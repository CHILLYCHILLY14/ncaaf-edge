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10" headerRowCount="1">
  <autoFilter ref="A4:Q31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3" headerRowCount="1">
  <autoFilter ref="A4:G183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2026-09-06T21:07:53+00:00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Ledger'!$G$6:$G$73,"&lt;&gt;Pending",'Bet Ledger'!$H$6:$H$73)</f>
        <v/>
      </c>
    </row>
    <row r="6">
      <c r="A6" s="3" t="inlineStr">
        <is>
          <t>Total Staked</t>
        </is>
      </c>
      <c r="B6" s="5">
        <f>SUMIF('Bet Ledger'!$G$6:$G$73,"&lt;&gt;Pending",'Bet Ledger'!$F$6:$F$73)</f>
        <v/>
      </c>
    </row>
    <row r="7">
      <c r="A7" s="3" t="inlineStr">
        <is>
          <t>Profit / Loss</t>
        </is>
      </c>
      <c r="B7" s="5">
        <f>SUMIF('Bet Ledger'!$G$6:$G$73,"&lt;&gt;Pending",'Bet Ledger'!$H$6:$H$73)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Ledger'!$G$6:$G$73,"&lt;&gt;Pending",'Bet Ledger'!$G$6:$G$73,"&lt;&gt;")</f>
        <v/>
      </c>
    </row>
    <row r="10">
      <c r="A10" s="3" t="inlineStr">
        <is>
          <t>Wins</t>
        </is>
      </c>
      <c r="B10" s="7">
        <f>COUNTIF('Bet Ledger'!$G$6:$G$73,"Win")</f>
        <v/>
      </c>
    </row>
    <row r="11">
      <c r="A11" s="3" t="inlineStr">
        <is>
          <t>Losses</t>
        </is>
      </c>
      <c r="B11" s="7">
        <f>COUNTIF('Bet Ledger'!$G$6:$G$73,"Loss")</f>
        <v/>
      </c>
    </row>
    <row r="12">
      <c r="A12" s="3" t="inlineStr">
        <is>
          <t>Pushes</t>
        </is>
      </c>
      <c r="B12" s="7">
        <f>COUNTIF('Bet Ledger'!$G$6:$G$73,"Push")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Ledger'!$G$6:$G$73,"Pending")</f>
        <v/>
      </c>
    </row>
    <row r="15">
      <c r="A15" s="3" t="inlineStr">
        <is>
          <t>Live Plays On The Board</t>
        </is>
      </c>
      <c r="B15" s="7" t="n">
        <v>11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NAVY @ FAU</t>
        </is>
      </c>
      <c r="C21" s="12" t="inlineStr">
        <is>
          <t>ML</t>
        </is>
      </c>
      <c r="D21" s="12" t="inlineStr">
        <is>
          <t>FAU ML</t>
        </is>
      </c>
      <c r="E21" s="13" t="n">
        <v>195</v>
      </c>
      <c r="F21" s="14" t="n">
        <v>0.1327097058958958</v>
      </c>
      <c r="G21" s="15" t="n">
        <v>0.4716927567433534</v>
      </c>
      <c r="H21" s="16" t="n"/>
      <c r="I21" s="12" t="inlineStr">
        <is>
          <t>2026-09-12 23:30</t>
        </is>
      </c>
    </row>
    <row r="22">
      <c r="A22" s="17" t="inlineStr">
        <is>
          <t>BEST BET</t>
        </is>
      </c>
      <c r="B22" s="17" t="inlineStr">
        <is>
          <t>OU @ MICH</t>
        </is>
      </c>
      <c r="C22" s="17" t="inlineStr">
        <is>
          <t>ML</t>
        </is>
      </c>
      <c r="D22" s="17" t="inlineStr">
        <is>
          <t>MICH ML</t>
        </is>
      </c>
      <c r="E22" s="18" t="n">
        <v>195</v>
      </c>
      <c r="F22" s="19" t="n">
        <v>0.126332846727808</v>
      </c>
      <c r="G22" s="20" t="n">
        <v>0.4653158975752656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UNLV @ UNT</t>
        </is>
      </c>
      <c r="C23" s="12" t="inlineStr">
        <is>
          <t>ATS</t>
        </is>
      </c>
      <c r="D23" s="12" t="inlineStr">
        <is>
          <t>UNT +5.5</t>
        </is>
      </c>
      <c r="E23" s="13" t="n">
        <v>-105</v>
      </c>
      <c r="F23" s="14" t="n">
        <v>0.1237922075751066</v>
      </c>
      <c r="G23" s="15" t="n">
        <v>0.6359873295263261</v>
      </c>
      <c r="H23" s="16" t="n"/>
      <c r="I23" s="12" t="inlineStr">
        <is>
          <t>2026-09-12 19:45</t>
        </is>
      </c>
    </row>
    <row r="24">
      <c r="A24" s="17" t="inlineStr">
        <is>
          <t>BEST BET</t>
        </is>
      </c>
      <c r="B24" s="17" t="inlineStr">
        <is>
          <t>ASU @ TA&amp;M</t>
        </is>
      </c>
      <c r="C24" s="17" t="inlineStr">
        <is>
          <t>ATS</t>
        </is>
      </c>
      <c r="D24" s="17" t="inlineStr">
        <is>
          <t>ASU +14.5</t>
        </is>
      </c>
      <c r="E24" s="18" t="n">
        <v>-112</v>
      </c>
      <c r="F24" s="19" t="n">
        <v>0.1204301006104477</v>
      </c>
      <c r="G24" s="20" t="n">
        <v>0.6487319874029005</v>
      </c>
      <c r="H24" s="21" t="n"/>
      <c r="I24" s="17" t="inlineStr">
        <is>
          <t>2026-09-12 16:00</t>
        </is>
      </c>
    </row>
    <row r="25">
      <c r="A25" s="12" t="inlineStr">
        <is>
          <t>GOOD</t>
        </is>
      </c>
      <c r="B25" s="12" t="inlineStr">
        <is>
          <t>WAKE @ PUR</t>
        </is>
      </c>
      <c r="C25" s="12" t="inlineStr">
        <is>
          <t>ATS</t>
        </is>
      </c>
      <c r="D25" s="12" t="inlineStr">
        <is>
          <t>PUR +4.5</t>
        </is>
      </c>
      <c r="E25" s="13" t="n">
        <v>-108</v>
      </c>
      <c r="F25" s="14" t="n">
        <v>0.1120904474895786</v>
      </c>
      <c r="G25" s="15" t="n">
        <v>0.6313212167203479</v>
      </c>
      <c r="H25" s="16" t="n"/>
      <c r="I25" s="12" t="inlineStr">
        <is>
          <t>2026-09-12 16:00</t>
        </is>
      </c>
    </row>
    <row r="26">
      <c r="A26" s="17" t="inlineStr">
        <is>
          <t>GOOD</t>
        </is>
      </c>
      <c r="B26" s="17" t="inlineStr">
        <is>
          <t>UL @ USC</t>
        </is>
      </c>
      <c r="C26" s="17" t="inlineStr">
        <is>
          <t>TOTAL</t>
        </is>
      </c>
      <c r="D26" s="17" t="inlineStr">
        <is>
          <t>Under 59.5</t>
        </is>
      </c>
      <c r="E26" s="18" t="n">
        <v>-112</v>
      </c>
      <c r="F26" s="19" t="n">
        <v>0.1105963917522103</v>
      </c>
      <c r="G26" s="20" t="n">
        <v>0.6388982785446631</v>
      </c>
      <c r="H26" s="21" t="n"/>
      <c r="I26" s="17" t="inlineStr">
        <is>
          <t>2026-09-13 03:00</t>
        </is>
      </c>
    </row>
    <row r="27">
      <c r="A27" s="12" t="inlineStr">
        <is>
          <t>GOOD</t>
        </is>
      </c>
      <c r="B27" s="12" t="inlineStr">
        <is>
          <t>ORE @ OKST</t>
        </is>
      </c>
      <c r="C27" s="12" t="inlineStr">
        <is>
          <t>TOTAL</t>
        </is>
      </c>
      <c r="D27" s="12" t="inlineStr">
        <is>
          <t>Under 58.5</t>
        </is>
      </c>
      <c r="E27" s="13" t="n">
        <v>-108</v>
      </c>
      <c r="F27" s="14" t="n">
        <v>0.109224203788403</v>
      </c>
      <c r="G27" s="15" t="n">
        <v>0.6284549730191723</v>
      </c>
      <c r="H27" s="16" t="n"/>
      <c r="I27" s="12" t="inlineStr">
        <is>
          <t>2026-09-12 16:00</t>
        </is>
      </c>
    </row>
    <row r="28">
      <c r="A28" s="17" t="inlineStr">
        <is>
          <t>GOOD</t>
        </is>
      </c>
      <c r="B28" s="17" t="inlineStr">
        <is>
          <t>NMSU @ HAW</t>
        </is>
      </c>
      <c r="C28" s="17" t="inlineStr">
        <is>
          <t>ATS</t>
        </is>
      </c>
      <c r="D28" s="17" t="inlineStr">
        <is>
          <t>NMSU +10</t>
        </is>
      </c>
      <c r="E28" s="18" t="n">
        <v>-110</v>
      </c>
      <c r="F28" s="19" t="n">
        <v>0.0948257683979048</v>
      </c>
      <c r="G28" s="20" t="n">
        <v>0.6186352922074286</v>
      </c>
      <c r="H28" s="21" t="n"/>
      <c r="I28" s="17" t="inlineStr">
        <is>
          <t>2026-09-13 03:59</t>
        </is>
      </c>
    </row>
    <row r="29">
      <c r="A29" s="12" t="inlineStr">
        <is>
          <t>GOOD</t>
        </is>
      </c>
      <c r="B29" s="12" t="inlineStr">
        <is>
          <t>ISU @ IOWA</t>
        </is>
      </c>
      <c r="C29" s="12" t="inlineStr">
        <is>
          <t>ML</t>
        </is>
      </c>
      <c r="D29" s="12" t="inlineStr">
        <is>
          <t>ISU ML</t>
        </is>
      </c>
      <c r="E29" s="13" t="n">
        <v>500</v>
      </c>
      <c r="F29" s="14" t="n">
        <v>0.09223273854248379</v>
      </c>
      <c r="G29" s="15" t="n">
        <v>0.2588994052091504</v>
      </c>
      <c r="H29" s="16" t="n"/>
      <c r="I29" s="12" t="inlineStr">
        <is>
          <t>2026-09-12 23:30</t>
        </is>
      </c>
    </row>
    <row r="30">
      <c r="A30" s="17" t="inlineStr">
        <is>
          <t>LEAN</t>
        </is>
      </c>
      <c r="B30" s="17" t="inlineStr">
        <is>
          <t>CLT @ MISS</t>
        </is>
      </c>
      <c r="C30" s="17" t="inlineStr">
        <is>
          <t>TOTAL</t>
        </is>
      </c>
      <c r="D30" s="17" t="inlineStr">
        <is>
          <t>Under 61.5</t>
        </is>
      </c>
      <c r="E30" s="18" t="n">
        <v>-108</v>
      </c>
      <c r="F30" s="19" t="n">
        <v>0.1107693135191402</v>
      </c>
      <c r="G30" s="20" t="n">
        <v>0.6300000827499095</v>
      </c>
      <c r="H30" s="21" t="n"/>
      <c r="I30" s="17" t="inlineStr">
        <is>
          <t>2026-09-12 23:45</t>
        </is>
      </c>
    </row>
    <row r="31">
      <c r="A31" s="12" t="inlineStr">
        <is>
          <t>LEAN</t>
        </is>
      </c>
      <c r="B31" s="12" t="inlineStr">
        <is>
          <t>SMU @ FSU</t>
        </is>
      </c>
      <c r="C31" s="12" t="inlineStr">
        <is>
          <t>ML</t>
        </is>
      </c>
      <c r="D31" s="12" t="inlineStr">
        <is>
          <t>FSU ML</t>
        </is>
      </c>
      <c r="E31" s="13" t="n">
        <v>130</v>
      </c>
      <c r="F31" s="14" t="n">
        <v>0.09305985264984512</v>
      </c>
      <c r="G31" s="15" t="n">
        <v>0.5278424613454973</v>
      </c>
      <c r="H31" s="16" t="n"/>
      <c r="I31" s="12" t="inlineStr">
        <is>
          <t>2026-09-07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NAVY @ FAU</t>
        </is>
      </c>
      <c r="C5" s="12" t="inlineStr">
        <is>
          <t>2026-09-12 23:30</t>
        </is>
      </c>
      <c r="D5" s="22" t="n">
        <v>2</v>
      </c>
      <c r="E5" s="12" t="inlineStr">
        <is>
          <t>ML</t>
        </is>
      </c>
      <c r="F5" s="12" t="inlineStr">
        <is>
          <t>FAU ML</t>
        </is>
      </c>
      <c r="G5" s="23" t="n"/>
      <c r="H5" s="13" t="n">
        <v>195</v>
      </c>
      <c r="I5" s="15" t="n">
        <v>0.4716927567433534</v>
      </c>
      <c r="J5" s="15" t="n">
        <v>0.3249687530045188</v>
      </c>
      <c r="K5" s="15" t="n">
        <v>0.3389830508474576</v>
      </c>
      <c r="L5" s="14" t="n">
        <v>0.1327097058958958</v>
      </c>
      <c r="M5" s="14" t="n">
        <v>0.3914936323928927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OU @ MICH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MICH ML</t>
        </is>
      </c>
      <c r="G6" s="26" t="n"/>
      <c r="H6" s="18" t="n">
        <v>195</v>
      </c>
      <c r="I6" s="20" t="n">
        <v>0.4653158975752656</v>
      </c>
      <c r="J6" s="20" t="n">
        <v>0.3249687530045188</v>
      </c>
      <c r="K6" s="20" t="n">
        <v>0.3389830508474576</v>
      </c>
      <c r="L6" s="19" t="n">
        <v>0.126332846727808</v>
      </c>
      <c r="M6" s="19" t="n">
        <v>0.3726818978470335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UNLV @ UNT</t>
        </is>
      </c>
      <c r="C7" s="12" t="inlineStr">
        <is>
          <t>2026-09-12 19:45</t>
        </is>
      </c>
      <c r="D7" s="22" t="n">
        <v>2</v>
      </c>
      <c r="E7" s="12" t="inlineStr">
        <is>
          <t>ATS</t>
        </is>
      </c>
      <c r="F7" s="12" t="inlineStr">
        <is>
          <t>UNT +5.5</t>
        </is>
      </c>
      <c r="G7" s="23" t="n">
        <v>5.5</v>
      </c>
      <c r="H7" s="13" t="n">
        <v>-105</v>
      </c>
      <c r="I7" s="15" t="n">
        <v>0.6359873295263261</v>
      </c>
      <c r="J7" s="15" t="n">
        <v>0.4891657638136511</v>
      </c>
      <c r="K7" s="15" t="n">
        <v>0.5121951219512195</v>
      </c>
      <c r="L7" s="14" t="n">
        <v>0.1237922075751066</v>
      </c>
      <c r="M7" s="14" t="n">
        <v>0.2416895481228271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ASU @ TA&amp;M</t>
        </is>
      </c>
      <c r="C8" s="17" t="inlineStr">
        <is>
          <t>2026-09-12 16:00</t>
        </is>
      </c>
      <c r="D8" s="25" t="n">
        <v>2</v>
      </c>
      <c r="E8" s="17" t="inlineStr">
        <is>
          <t>ATS</t>
        </is>
      </c>
      <c r="F8" s="17" t="inlineStr">
        <is>
          <t>ASU +14.5</t>
        </is>
      </c>
      <c r="G8" s="26" t="n">
        <v>-14.5</v>
      </c>
      <c r="H8" s="18" t="n">
        <v>-112</v>
      </c>
      <c r="I8" s="20" t="n">
        <v>0.6487319874029005</v>
      </c>
      <c r="J8" s="20" t="n">
        <v>0.5043297540699688</v>
      </c>
      <c r="K8" s="20" t="n">
        <v>0.5283018867924528</v>
      </c>
      <c r="L8" s="19" t="n">
        <v>0.1204301006104477</v>
      </c>
      <c r="M8" s="19" t="n">
        <v>0.2279569761554902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WAKE @ PUR</t>
        </is>
      </c>
      <c r="C9" s="12" t="inlineStr">
        <is>
          <t>2026-09-12 16:00</t>
        </is>
      </c>
      <c r="D9" s="22" t="n">
        <v>2</v>
      </c>
      <c r="E9" s="12" t="inlineStr">
        <is>
          <t>ATS</t>
        </is>
      </c>
      <c r="F9" s="12" t="inlineStr">
        <is>
          <t>PUR +4.5</t>
        </is>
      </c>
      <c r="G9" s="23" t="n">
        <v>4.5</v>
      </c>
      <c r="H9" s="13" t="n">
        <v>-108</v>
      </c>
      <c r="I9" s="15" t="n">
        <v>0.6313212167203479</v>
      </c>
      <c r="J9" s="15" t="n">
        <v>0.4956702459300312</v>
      </c>
      <c r="K9" s="15" t="n">
        <v>0.5192307692307693</v>
      </c>
      <c r="L9" s="14" t="n">
        <v>0.1120904474895786</v>
      </c>
      <c r="M9" s="14" t="n">
        <v>0.2158778988688183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UL @ USC</t>
        </is>
      </c>
      <c r="C10" s="17" t="inlineStr">
        <is>
          <t>2026-09-13 03:00</t>
        </is>
      </c>
      <c r="D10" s="25" t="n">
        <v>2</v>
      </c>
      <c r="E10" s="17" t="inlineStr">
        <is>
          <t>TOTAL</t>
        </is>
      </c>
      <c r="F10" s="17" t="inlineStr">
        <is>
          <t>Under 59.5</t>
        </is>
      </c>
      <c r="G10" s="26" t="n">
        <v>59.5</v>
      </c>
      <c r="H10" s="18" t="n">
        <v>-112</v>
      </c>
      <c r="I10" s="20" t="n">
        <v>0.6388982785446631</v>
      </c>
      <c r="J10" s="20" t="n">
        <v>0.5043297540699688</v>
      </c>
      <c r="K10" s="20" t="n">
        <v>0.5283018867924528</v>
      </c>
      <c r="L10" s="19" t="n">
        <v>0.1105963917522103</v>
      </c>
      <c r="M10" s="19" t="n">
        <v>0.2093431701023979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ORE @ OKST</t>
        </is>
      </c>
      <c r="C11" s="12" t="inlineStr">
        <is>
          <t>2026-09-12 16:00</t>
        </is>
      </c>
      <c r="D11" s="22" t="n">
        <v>2</v>
      </c>
      <c r="E11" s="12" t="inlineStr">
        <is>
          <t>TOTAL</t>
        </is>
      </c>
      <c r="F11" s="12" t="inlineStr">
        <is>
          <t>Under 58.5</t>
        </is>
      </c>
      <c r="G11" s="23" t="n">
        <v>58.5</v>
      </c>
      <c r="H11" s="13" t="n">
        <v>-108</v>
      </c>
      <c r="I11" s="15" t="n">
        <v>0.6284549730191723</v>
      </c>
      <c r="J11" s="15" t="n">
        <v>0.4956702459300312</v>
      </c>
      <c r="K11" s="15" t="n">
        <v>0.5192307692307693</v>
      </c>
      <c r="L11" s="14" t="n">
        <v>0.109224203788403</v>
      </c>
      <c r="M11" s="14" t="n">
        <v>0.2103577258147022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NMSU @ HAW</t>
        </is>
      </c>
      <c r="C12" s="17" t="inlineStr">
        <is>
          <t>2026-09-13 03:59</t>
        </is>
      </c>
      <c r="D12" s="25" t="n">
        <v>2</v>
      </c>
      <c r="E12" s="17" t="inlineStr">
        <is>
          <t>ATS</t>
        </is>
      </c>
      <c r="F12" s="17" t="inlineStr">
        <is>
          <t>NMSU +10</t>
        </is>
      </c>
      <c r="G12" s="26" t="n">
        <v>-10</v>
      </c>
      <c r="H12" s="18" t="n">
        <v>-110</v>
      </c>
      <c r="I12" s="20" t="n">
        <v>0.6186352922074286</v>
      </c>
      <c r="J12" s="20" t="n">
        <v>0.5</v>
      </c>
      <c r="K12" s="20" t="n">
        <v>0.5238095238095238</v>
      </c>
      <c r="L12" s="19" t="n">
        <v>0.0948257683979048</v>
      </c>
      <c r="M12" s="19" t="n">
        <v>0.1746608508581714</v>
      </c>
      <c r="N12" s="20" t="n">
        <v>0.0352</v>
      </c>
      <c r="O12" s="27" t="n">
        <v>0.839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ISU @ IOWA</t>
        </is>
      </c>
      <c r="C13" s="12" t="inlineStr">
        <is>
          <t>2026-09-12 23:30</t>
        </is>
      </c>
      <c r="D13" s="22" t="n">
        <v>2</v>
      </c>
      <c r="E13" s="12" t="inlineStr">
        <is>
          <t>ML</t>
        </is>
      </c>
      <c r="F13" s="12" t="inlineStr">
        <is>
          <t>ISU ML</t>
        </is>
      </c>
      <c r="G13" s="23" t="n"/>
      <c r="H13" s="13" t="n">
        <v>500</v>
      </c>
      <c r="I13" s="15" t="n">
        <v>0.2588994052091504</v>
      </c>
      <c r="J13" s="15" t="n">
        <v>0.16</v>
      </c>
      <c r="K13" s="15" t="n">
        <v>0.1666666666666667</v>
      </c>
      <c r="L13" s="14" t="n">
        <v>0.09223273854248379</v>
      </c>
      <c r="M13" s="14" t="n">
        <v>0.5533964312549027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CLT @ MISS</t>
        </is>
      </c>
      <c r="C14" s="17" t="inlineStr">
        <is>
          <t>2026-09-12 23:45</t>
        </is>
      </c>
      <c r="D14" s="25" t="n">
        <v>2</v>
      </c>
      <c r="E14" s="17" t="inlineStr">
        <is>
          <t>TOTAL</t>
        </is>
      </c>
      <c r="F14" s="17" t="inlineStr">
        <is>
          <t>Under 61.5</t>
        </is>
      </c>
      <c r="G14" s="26" t="n">
        <v>61.5</v>
      </c>
      <c r="H14" s="18" t="n">
        <v>-108</v>
      </c>
      <c r="I14" s="20" t="n">
        <v>0.6300000827499095</v>
      </c>
      <c r="J14" s="20" t="n">
        <v>0.4956702459300312</v>
      </c>
      <c r="K14" s="20" t="n">
        <v>0.5192307692307693</v>
      </c>
      <c r="L14" s="19" t="n">
        <v>0.1107693135191402</v>
      </c>
      <c r="M14" s="19" t="n">
        <v>0.2133334927035294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SMU @ FSU</t>
        </is>
      </c>
      <c r="C15" s="12" t="inlineStr">
        <is>
          <t>2026-09-07 23:30</t>
        </is>
      </c>
      <c r="D15" s="22" t="n">
        <v>1</v>
      </c>
      <c r="E15" s="12" t="inlineStr">
        <is>
          <t>ML</t>
        </is>
      </c>
      <c r="F15" s="12" t="inlineStr">
        <is>
          <t>FSU ML</t>
        </is>
      </c>
      <c r="G15" s="23" t="n"/>
      <c r="H15" s="13" t="n">
        <v>130</v>
      </c>
      <c r="I15" s="15" t="n">
        <v>0.5278424613454973</v>
      </c>
      <c r="J15" s="15" t="n">
        <v>0.4170073589533933</v>
      </c>
      <c r="K15" s="15" t="n">
        <v>0.4347826086956522</v>
      </c>
      <c r="L15" s="14" t="n">
        <v>0.09305985264984512</v>
      </c>
      <c r="M15" s="14" t="n">
        <v>0.2140376610946436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PASS</t>
        </is>
      </c>
      <c r="B16" s="17" t="inlineStr">
        <is>
          <t>TTU @ ORST</t>
        </is>
      </c>
      <c r="C16" s="17" t="inlineStr">
        <is>
          <t>2026-09-12 23:30</t>
        </is>
      </c>
      <c r="D16" s="25" t="n">
        <v>2</v>
      </c>
      <c r="E16" s="17" t="inlineStr">
        <is>
          <t>ML</t>
        </is>
      </c>
      <c r="F16" s="17" t="inlineStr">
        <is>
          <t>ORST ML</t>
        </is>
      </c>
      <c r="G16" s="26" t="n"/>
      <c r="H16" s="18" t="n">
        <v>1800</v>
      </c>
      <c r="I16" s="20" t="n">
        <v>0.3453560001798455</v>
      </c>
      <c r="J16" s="20" t="n">
        <v>0.05094905094905094</v>
      </c>
      <c r="K16" s="20" t="n">
        <v>0.05263157894736842</v>
      </c>
      <c r="L16" s="19" t="n">
        <v>0.2927244212324771</v>
      </c>
      <c r="M16" s="19" t="n">
        <v>5.561764003417063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OKST ML</t>
        </is>
      </c>
      <c r="G17" s="23" t="n"/>
      <c r="H17" s="13" t="n">
        <v>1200</v>
      </c>
      <c r="I17" s="15" t="n">
        <v>0.3665147762970848</v>
      </c>
      <c r="J17" s="15" t="n">
        <v>0.0741839762611276</v>
      </c>
      <c r="K17" s="15" t="n">
        <v>0.07692307692307693</v>
      </c>
      <c r="L17" s="14" t="n">
        <v>0.2895916993740079</v>
      </c>
      <c r="M17" s="14" t="n">
        <v>3.764692091862102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PSU @ TEM</t>
        </is>
      </c>
      <c r="C18" s="17" t="inlineStr">
        <is>
          <t>2026-09-12 16:00</t>
        </is>
      </c>
      <c r="D18" s="25" t="n">
        <v>2</v>
      </c>
      <c r="E18" s="17" t="inlineStr">
        <is>
          <t>ML</t>
        </is>
      </c>
      <c r="F18" s="17" t="inlineStr">
        <is>
          <t>TEM ML</t>
        </is>
      </c>
      <c r="G18" s="26" t="n"/>
      <c r="H18" s="18" t="n">
        <v>1200</v>
      </c>
      <c r="I18" s="20" t="n">
        <v>0.3538458772560626</v>
      </c>
      <c r="J18" s="20" t="n">
        <v>0.0741839762611276</v>
      </c>
      <c r="K18" s="20" t="n">
        <v>0.07692307692307693</v>
      </c>
      <c r="L18" s="19" t="n">
        <v>0.2769228003329857</v>
      </c>
      <c r="M18" s="19" t="n">
        <v>3.599996404328814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TLSA @ SHSU</t>
        </is>
      </c>
      <c r="C19" s="12" t="inlineStr">
        <is>
          <t>2026-09-12 23:00</t>
        </is>
      </c>
      <c r="D19" s="22" t="n">
        <v>2</v>
      </c>
      <c r="E19" s="12" t="inlineStr">
        <is>
          <t>ML</t>
        </is>
      </c>
      <c r="F19" s="12" t="inlineStr">
        <is>
          <t>SHSU ML</t>
        </is>
      </c>
      <c r="G19" s="23" t="n"/>
      <c r="H19" s="13" t="n">
        <v>470</v>
      </c>
      <c r="I19" s="15" t="n">
        <v>0.418233660361174</v>
      </c>
      <c r="J19" s="15" t="n">
        <v>0.1683501683501683</v>
      </c>
      <c r="K19" s="15" t="n">
        <v>0.1754385964912281</v>
      </c>
      <c r="L19" s="14" t="n">
        <v>0.2427950638699459</v>
      </c>
      <c r="M19" s="14" t="n">
        <v>1.383931864058692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raw model/market disagreement exceeds the safety limit</t>
        </is>
      </c>
    </row>
    <row r="20">
      <c r="A20" s="17" t="inlineStr">
        <is>
          <t>PASS</t>
        </is>
      </c>
      <c r="B20" s="17" t="inlineStr">
        <is>
          <t>CLT @ MISS</t>
        </is>
      </c>
      <c r="C20" s="17" t="inlineStr">
        <is>
          <t>2026-09-12 23:45</t>
        </is>
      </c>
      <c r="D20" s="25" t="n">
        <v>2</v>
      </c>
      <c r="E20" s="17" t="inlineStr">
        <is>
          <t>ATS</t>
        </is>
      </c>
      <c r="F20" s="17" t="inlineStr">
        <is>
          <t>CLT +46.5</t>
        </is>
      </c>
      <c r="G20" s="26" t="n">
        <v>-46.5</v>
      </c>
      <c r="H20" s="18" t="n">
        <v>-105</v>
      </c>
      <c r="I20" s="20" t="n">
        <v>0.7441739625240721</v>
      </c>
      <c r="J20" s="20" t="n">
        <v>0.4891657638136511</v>
      </c>
      <c r="K20" s="20" t="n">
        <v>0.5121951219512195</v>
      </c>
      <c r="L20" s="19" t="n">
        <v>0.2319788405728526</v>
      </c>
      <c r="M20" s="19" t="n">
        <v>0.452911069689855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MD @ CONN</t>
        </is>
      </c>
      <c r="C21" s="12" t="inlineStr">
        <is>
          <t>2026-09-12 19:30</t>
        </is>
      </c>
      <c r="D21" s="22" t="n">
        <v>2</v>
      </c>
      <c r="E21" s="12" t="inlineStr">
        <is>
          <t>ML</t>
        </is>
      </c>
      <c r="F21" s="12" t="inlineStr">
        <is>
          <t>CONN ML</t>
        </is>
      </c>
      <c r="G21" s="23" t="n"/>
      <c r="H21" s="13" t="n">
        <v>440</v>
      </c>
      <c r="I21" s="15" t="n">
        <v>0.4149159764738283</v>
      </c>
      <c r="J21" s="15" t="n">
        <v>0.1776649746192893</v>
      </c>
      <c r="K21" s="15" t="n">
        <v>0.1851851851851852</v>
      </c>
      <c r="L21" s="14" t="n">
        <v>0.2297307912886432</v>
      </c>
      <c r="M21" s="14" t="n">
        <v>1.240546272958673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RICE @ ND</t>
        </is>
      </c>
      <c r="C22" s="17" t="inlineStr">
        <is>
          <t>2026-09-12 19:30</t>
        </is>
      </c>
      <c r="D22" s="25" t="n">
        <v>2</v>
      </c>
      <c r="E22" s="17" t="inlineStr">
        <is>
          <t>ATS</t>
        </is>
      </c>
      <c r="F22" s="17" t="inlineStr">
        <is>
          <t>RICE +44.5</t>
        </is>
      </c>
      <c r="G22" s="26" t="n">
        <v>-44.5</v>
      </c>
      <c r="H22" s="18" t="n">
        <v>-112</v>
      </c>
      <c r="I22" s="20" t="n">
        <v>0.7516980686615171</v>
      </c>
      <c r="J22" s="20" t="n">
        <v>0.5043297540699688</v>
      </c>
      <c r="K22" s="20" t="n">
        <v>0.5283018867924528</v>
      </c>
      <c r="L22" s="19" t="n">
        <v>0.2233961818690643</v>
      </c>
      <c r="M22" s="19" t="n">
        <v>0.4228570585378716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TTU @ ORST</t>
        </is>
      </c>
      <c r="C23" s="12" t="inlineStr">
        <is>
          <t>2026-09-12 23:30</t>
        </is>
      </c>
      <c r="D23" s="22" t="n">
        <v>2</v>
      </c>
      <c r="E23" s="12" t="inlineStr">
        <is>
          <t>ATS</t>
        </is>
      </c>
      <c r="F23" s="12" t="inlineStr">
        <is>
          <t>ORST +25.5</t>
        </is>
      </c>
      <c r="G23" s="23" t="n">
        <v>25.5</v>
      </c>
      <c r="H23" s="13" t="n">
        <v>-110</v>
      </c>
      <c r="I23" s="15" t="n">
        <v>0.7458682341362064</v>
      </c>
      <c r="J23" s="15" t="n">
        <v>0.5</v>
      </c>
      <c r="K23" s="15" t="n">
        <v>0.5238095238095238</v>
      </c>
      <c r="L23" s="14" t="n">
        <v>0.2220587103266826</v>
      </c>
      <c r="M23" s="14" t="n">
        <v>0.4239302651691214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ORE @ OKST</t>
        </is>
      </c>
      <c r="C24" s="17" t="inlineStr">
        <is>
          <t>2026-09-12 16:00</t>
        </is>
      </c>
      <c r="D24" s="25" t="n">
        <v>2</v>
      </c>
      <c r="E24" s="17" t="inlineStr">
        <is>
          <t>ATS</t>
        </is>
      </c>
      <c r="F24" s="17" t="inlineStr">
        <is>
          <t>OKST +22.5</t>
        </is>
      </c>
      <c r="G24" s="26" t="n">
        <v>22.5</v>
      </c>
      <c r="H24" s="18" t="n">
        <v>-110</v>
      </c>
      <c r="I24" s="20" t="n">
        <v>0.7436445203585995</v>
      </c>
      <c r="J24" s="20" t="n">
        <v>0.5</v>
      </c>
      <c r="K24" s="20" t="n">
        <v>0.5238095238095238</v>
      </c>
      <c r="L24" s="19" t="n">
        <v>0.2198349965490757</v>
      </c>
      <c r="M24" s="19" t="n">
        <v>0.4196849934118718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WKU @ UGA</t>
        </is>
      </c>
      <c r="C25" s="12" t="inlineStr">
        <is>
          <t>2026-09-12 16:45</t>
        </is>
      </c>
      <c r="D25" s="22" t="n">
        <v>2</v>
      </c>
      <c r="E25" s="12" t="inlineStr">
        <is>
          <t>ATS</t>
        </is>
      </c>
      <c r="F25" s="12" t="inlineStr">
        <is>
          <t>WKU +39.5</t>
        </is>
      </c>
      <c r="G25" s="23" t="n">
        <v>-39.5</v>
      </c>
      <c r="H25" s="13" t="n">
        <v>-115</v>
      </c>
      <c r="I25" s="15" t="n">
        <v>0.753190226768625</v>
      </c>
      <c r="J25" s="15" t="n">
        <v>0.5108342361863488</v>
      </c>
      <c r="K25" s="15" t="n">
        <v>0.5348837209302325</v>
      </c>
      <c r="L25" s="14" t="n">
        <v>0.2183065058383925</v>
      </c>
      <c r="M25" s="14" t="n">
        <v>0.4081382500456902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ATS</t>
        </is>
      </c>
      <c r="F26" s="17" t="inlineStr">
        <is>
          <t>TEM +22.5</t>
        </is>
      </c>
      <c r="G26" s="26" t="n">
        <v>22.5</v>
      </c>
      <c r="H26" s="18" t="n">
        <v>-112</v>
      </c>
      <c r="I26" s="20" t="n">
        <v>0.7445739718919946</v>
      </c>
      <c r="J26" s="20" t="n">
        <v>0.5043297540699688</v>
      </c>
      <c r="K26" s="20" t="n">
        <v>0.5283018867924528</v>
      </c>
      <c r="L26" s="19" t="n">
        <v>0.2162720850995418</v>
      </c>
      <c r="M26" s="19" t="n">
        <v>0.4093721610812754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LT @ LSU</t>
        </is>
      </c>
      <c r="C27" s="12" t="inlineStr">
        <is>
          <t>2026-09-12 23:30</t>
        </is>
      </c>
      <c r="D27" s="22" t="n">
        <v>2</v>
      </c>
      <c r="E27" s="12" t="inlineStr">
        <is>
          <t>ATS</t>
        </is>
      </c>
      <c r="F27" s="12" t="inlineStr">
        <is>
          <t>LT +31.5</t>
        </is>
      </c>
      <c r="G27" s="23" t="n">
        <v>-31.5</v>
      </c>
      <c r="H27" s="13" t="n">
        <v>-112</v>
      </c>
      <c r="I27" s="15" t="n">
        <v>0.7439417243037643</v>
      </c>
      <c r="J27" s="15" t="n">
        <v>0.5043297540699688</v>
      </c>
      <c r="K27" s="15" t="n">
        <v>0.5283018867924528</v>
      </c>
      <c r="L27" s="14" t="n">
        <v>0.2156398375113114</v>
      </c>
      <c r="M27" s="14" t="n">
        <v>0.4081754067178395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UL @ USC</t>
        </is>
      </c>
      <c r="C28" s="17" t="inlineStr">
        <is>
          <t>2026-09-13 03:00</t>
        </is>
      </c>
      <c r="D28" s="25" t="n">
        <v>2</v>
      </c>
      <c r="E28" s="17" t="inlineStr">
        <is>
          <t>ATS</t>
        </is>
      </c>
      <c r="F28" s="17" t="inlineStr">
        <is>
          <t>UL +30.5</t>
        </is>
      </c>
      <c r="G28" s="26" t="n">
        <v>-30.5</v>
      </c>
      <c r="H28" s="18" t="n">
        <v>-112</v>
      </c>
      <c r="I28" s="20" t="n">
        <v>0.7409109029945089</v>
      </c>
      <c r="J28" s="20" t="n">
        <v>0.5043297540699688</v>
      </c>
      <c r="K28" s="20" t="n">
        <v>0.5283018867924528</v>
      </c>
      <c r="L28" s="19" t="n">
        <v>0.2126090162020561</v>
      </c>
      <c r="M28" s="19" t="n">
        <v>0.4024384949538918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WIS @ ND</t>
        </is>
      </c>
      <c r="C29" s="12" t="inlineStr">
        <is>
          <t>2026-09-06 23:30</t>
        </is>
      </c>
      <c r="D29" s="22" t="n">
        <v>1</v>
      </c>
      <c r="E29" s="12" t="inlineStr">
        <is>
          <t>ATS</t>
        </is>
      </c>
      <c r="F29" s="12" t="inlineStr">
        <is>
          <t>WIS +21</t>
        </is>
      </c>
      <c r="G29" s="23" t="n">
        <v>-21</v>
      </c>
      <c r="H29" s="13" t="n">
        <v>-105</v>
      </c>
      <c r="I29" s="15" t="n">
        <v>0.7243553267010203</v>
      </c>
      <c r="J29" s="15" t="n">
        <v>0.4891657638136511</v>
      </c>
      <c r="K29" s="15" t="n">
        <v>0.5121951219512195</v>
      </c>
      <c r="L29" s="14" t="n">
        <v>0.2121602047498008</v>
      </c>
      <c r="M29" s="14" t="n">
        <v>0.4102869840085517</v>
      </c>
      <c r="N29" s="15" t="n">
        <v>0.0095</v>
      </c>
      <c r="O29" s="24" t="n">
        <v>0.4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USM @ AUB</t>
        </is>
      </c>
      <c r="C30" s="17" t="inlineStr">
        <is>
          <t>2026-09-12 23:45</t>
        </is>
      </c>
      <c r="D30" s="25" t="n">
        <v>2</v>
      </c>
      <c r="E30" s="17" t="inlineStr">
        <is>
          <t>ATS</t>
        </is>
      </c>
      <c r="F30" s="17" t="inlineStr">
        <is>
          <t>USM +29.5</t>
        </is>
      </c>
      <c r="G30" s="26" t="n">
        <v>-29.5</v>
      </c>
      <c r="H30" s="18" t="n">
        <v>-112</v>
      </c>
      <c r="I30" s="20" t="n">
        <v>0.7401630103764578</v>
      </c>
      <c r="J30" s="20" t="n">
        <v>0.5043297540699688</v>
      </c>
      <c r="K30" s="20" t="n">
        <v>0.5283018867924528</v>
      </c>
      <c r="L30" s="19" t="n">
        <v>0.211861123584005</v>
      </c>
      <c r="M30" s="19" t="n">
        <v>0.4010228410697236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TENN @ GT</t>
        </is>
      </c>
      <c r="C31" s="12" t="inlineStr">
        <is>
          <t>2026-09-12 23:00</t>
        </is>
      </c>
      <c r="D31" s="22" t="n">
        <v>2</v>
      </c>
      <c r="E31" s="12" t="inlineStr">
        <is>
          <t>ML</t>
        </is>
      </c>
      <c r="F31" s="12" t="inlineStr">
        <is>
          <t>GT ML</t>
        </is>
      </c>
      <c r="G31" s="23" t="n"/>
      <c r="H31" s="13" t="n">
        <v>425</v>
      </c>
      <c r="I31" s="15" t="n">
        <v>0.3976748117375405</v>
      </c>
      <c r="J31" s="15" t="n">
        <v>0.182741116751269</v>
      </c>
      <c r="K31" s="15" t="n">
        <v>0.1904761904761905</v>
      </c>
      <c r="L31" s="14" t="n">
        <v>0.2071986212613501</v>
      </c>
      <c r="M31" s="14" t="n">
        <v>1.087792761622088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USU @ WASH</t>
        </is>
      </c>
      <c r="C32" s="17" t="inlineStr">
        <is>
          <t>2026-09-12 19:30</t>
        </is>
      </c>
      <c r="D32" s="25" t="n">
        <v>2</v>
      </c>
      <c r="E32" s="17" t="inlineStr">
        <is>
          <t>ATS</t>
        </is>
      </c>
      <c r="F32" s="17" t="inlineStr">
        <is>
          <t>USU +27.5</t>
        </is>
      </c>
      <c r="G32" s="26" t="n">
        <v>-27.5</v>
      </c>
      <c r="H32" s="18" t="n">
        <v>-108</v>
      </c>
      <c r="I32" s="20" t="n">
        <v>0.72448626932968</v>
      </c>
      <c r="J32" s="20" t="n">
        <v>0.4956702459300312</v>
      </c>
      <c r="K32" s="20" t="n">
        <v>0.5192307692307693</v>
      </c>
      <c r="L32" s="19" t="n">
        <v>0.2052555000989107</v>
      </c>
      <c r="M32" s="19" t="n">
        <v>0.3953068890793837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BGSU @ NEB</t>
        </is>
      </c>
      <c r="C33" s="12" t="inlineStr">
        <is>
          <t>2026-09-12 23:00</t>
        </is>
      </c>
      <c r="D33" s="22" t="n">
        <v>2</v>
      </c>
      <c r="E33" s="12" t="inlineStr">
        <is>
          <t>ATS</t>
        </is>
      </c>
      <c r="F33" s="12" t="inlineStr">
        <is>
          <t>BGSU +28.5</t>
        </is>
      </c>
      <c r="G33" s="23" t="n">
        <v>-28.5</v>
      </c>
      <c r="H33" s="13" t="n">
        <v>-112</v>
      </c>
      <c r="I33" s="15" t="n">
        <v>0.7321435660437903</v>
      </c>
      <c r="J33" s="15" t="n">
        <v>0.5043297540699688</v>
      </c>
      <c r="K33" s="15" t="n">
        <v>0.5283018867924528</v>
      </c>
      <c r="L33" s="14" t="n">
        <v>0.2038416792513374</v>
      </c>
      <c r="M33" s="14" t="n">
        <v>0.3858431785828886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WIS @ ND</t>
        </is>
      </c>
      <c r="C34" s="17" t="inlineStr">
        <is>
          <t>2026-09-06 23:30</t>
        </is>
      </c>
      <c r="D34" s="25" t="n">
        <v>1</v>
      </c>
      <c r="E34" s="17" t="inlineStr">
        <is>
          <t>ML</t>
        </is>
      </c>
      <c r="F34" s="17" t="inlineStr">
        <is>
          <t>WIS ML</t>
        </is>
      </c>
      <c r="G34" s="26" t="n"/>
      <c r="H34" s="18" t="n">
        <v>1000</v>
      </c>
      <c r="I34" s="20" t="n">
        <v>0.2937788018433181</v>
      </c>
      <c r="J34" s="20" t="n">
        <v>0.08755760368663595</v>
      </c>
      <c r="K34" s="20" t="n">
        <v>0.09090909090909091</v>
      </c>
      <c r="L34" s="19" t="n">
        <v>0.2028697109342271</v>
      </c>
      <c r="M34" s="19" t="n">
        <v>2.231566820276499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TLSA @ SHSU</t>
        </is>
      </c>
      <c r="C35" s="12" t="inlineStr">
        <is>
          <t>2026-09-12 23:00</t>
        </is>
      </c>
      <c r="D35" s="22" t="n">
        <v>2</v>
      </c>
      <c r="E35" s="12" t="inlineStr">
        <is>
          <t>ATS</t>
        </is>
      </c>
      <c r="F35" s="12" t="inlineStr">
        <is>
          <t>SHSU +14</t>
        </is>
      </c>
      <c r="G35" s="23" t="n">
        <v>14</v>
      </c>
      <c r="H35" s="13" t="n">
        <v>-110</v>
      </c>
      <c r="I35" s="15" t="n">
        <v>0.725212218331146</v>
      </c>
      <c r="J35" s="15" t="n">
        <v>0.5</v>
      </c>
      <c r="K35" s="15" t="n">
        <v>0.5238095238095238</v>
      </c>
      <c r="L35" s="14" t="n">
        <v>0.2014026945216222</v>
      </c>
      <c r="M35" s="14" t="n">
        <v>0.3795654459375298</v>
      </c>
      <c r="N35" s="15" t="n">
        <v>0.0128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MD @ CONN</t>
        </is>
      </c>
      <c r="C36" s="17" t="inlineStr">
        <is>
          <t>2026-09-12 19:30</t>
        </is>
      </c>
      <c r="D36" s="25" t="n">
        <v>2</v>
      </c>
      <c r="E36" s="17" t="inlineStr">
        <is>
          <t>ATS</t>
        </is>
      </c>
      <c r="F36" s="17" t="inlineStr">
        <is>
          <t>CONN +13.5</t>
        </is>
      </c>
      <c r="G36" s="26" t="n">
        <v>13.5</v>
      </c>
      <c r="H36" s="18" t="n">
        <v>-105</v>
      </c>
      <c r="I36" s="20" t="n">
        <v>0.710953478960571</v>
      </c>
      <c r="J36" s="20" t="n">
        <v>0.4891657638136511</v>
      </c>
      <c r="K36" s="20" t="n">
        <v>0.5121951219512195</v>
      </c>
      <c r="L36" s="19" t="n">
        <v>0.1987583570093515</v>
      </c>
      <c r="M36" s="19" t="n">
        <v>0.3880520303515911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ALA @ UK</t>
        </is>
      </c>
      <c r="C37" s="12" t="inlineStr">
        <is>
          <t>2026-09-12 19:30</t>
        </is>
      </c>
      <c r="D37" s="22" t="n">
        <v>2</v>
      </c>
      <c r="E37" s="12" t="inlineStr">
        <is>
          <t>ML</t>
        </is>
      </c>
      <c r="F37" s="12" t="inlineStr">
        <is>
          <t>UK ML</t>
        </is>
      </c>
      <c r="G37" s="23" t="n"/>
      <c r="H37" s="13" t="n">
        <v>330</v>
      </c>
      <c r="I37" s="15" t="n">
        <v>0.4311936160242709</v>
      </c>
      <c r="J37" s="15" t="n">
        <v>0.2231668437832094</v>
      </c>
      <c r="K37" s="15" t="n">
        <v>0.2325581395348837</v>
      </c>
      <c r="L37" s="14" t="n">
        <v>0.1986354764893872</v>
      </c>
      <c r="M37" s="14" t="n">
        <v>0.8541325489043647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GASO @ CLEM</t>
        </is>
      </c>
      <c r="C38" s="17" t="inlineStr">
        <is>
          <t>2026-09-12 23:30</t>
        </is>
      </c>
      <c r="D38" s="25" t="n">
        <v>2</v>
      </c>
      <c r="E38" s="17" t="inlineStr">
        <is>
          <t>ATS</t>
        </is>
      </c>
      <c r="F38" s="17" t="inlineStr">
        <is>
          <t>GASO +22.5</t>
        </is>
      </c>
      <c r="G38" s="26" t="n">
        <v>-22.5</v>
      </c>
      <c r="H38" s="18" t="n">
        <v>-108</v>
      </c>
      <c r="I38" s="20" t="n">
        <v>0.7157680688629984</v>
      </c>
      <c r="J38" s="20" t="n">
        <v>0.4956702459300312</v>
      </c>
      <c r="K38" s="20" t="n">
        <v>0.5192307692307693</v>
      </c>
      <c r="L38" s="19" t="n">
        <v>0.1965372996322291</v>
      </c>
      <c r="M38" s="19" t="n">
        <v>0.3785162807731821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TENN @ GT</t>
        </is>
      </c>
      <c r="C39" s="12" t="inlineStr">
        <is>
          <t>2026-09-12 23:00</t>
        </is>
      </c>
      <c r="D39" s="22" t="n">
        <v>2</v>
      </c>
      <c r="E39" s="12" t="inlineStr">
        <is>
          <t>ATS</t>
        </is>
      </c>
      <c r="F39" s="12" t="inlineStr">
        <is>
          <t>GT +13.5</t>
        </is>
      </c>
      <c r="G39" s="23" t="n">
        <v>13.5</v>
      </c>
      <c r="H39" s="13" t="n">
        <v>-108</v>
      </c>
      <c r="I39" s="15" t="n">
        <v>0.7067857889089896</v>
      </c>
      <c r="J39" s="15" t="n">
        <v>0.4956702459300312</v>
      </c>
      <c r="K39" s="15" t="n">
        <v>0.5192307692307693</v>
      </c>
      <c r="L39" s="14" t="n">
        <v>0.1875550196782203</v>
      </c>
      <c r="M39" s="14" t="n">
        <v>0.3612170749358319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DEL @ VAN</t>
        </is>
      </c>
      <c r="C40" s="17" t="inlineStr">
        <is>
          <t>2026-09-12 20:15</t>
        </is>
      </c>
      <c r="D40" s="25" t="n">
        <v>2</v>
      </c>
      <c r="E40" s="17" t="inlineStr">
        <is>
          <t>ATS</t>
        </is>
      </c>
      <c r="F40" s="17" t="inlineStr">
        <is>
          <t>DEL +20.5</t>
        </is>
      </c>
      <c r="G40" s="26" t="n">
        <v>-20.5</v>
      </c>
      <c r="H40" s="18" t="n">
        <v>-112</v>
      </c>
      <c r="I40" s="20" t="n">
        <v>0.7081295524995201</v>
      </c>
      <c r="J40" s="20" t="n">
        <v>0.5043297540699688</v>
      </c>
      <c r="K40" s="20" t="n">
        <v>0.5283018867924528</v>
      </c>
      <c r="L40" s="19" t="n">
        <v>0.1798276657070673</v>
      </c>
      <c r="M40" s="19" t="n">
        <v>0.3403880815169488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ALA @ UK</t>
        </is>
      </c>
      <c r="C41" s="12" t="inlineStr">
        <is>
          <t>2026-09-12 19:30</t>
        </is>
      </c>
      <c r="D41" s="22" t="n">
        <v>2</v>
      </c>
      <c r="E41" s="12" t="inlineStr">
        <is>
          <t>ATS</t>
        </is>
      </c>
      <c r="F41" s="12" t="inlineStr">
        <is>
          <t>UK +10.5</t>
        </is>
      </c>
      <c r="G41" s="23" t="n">
        <v>10.5</v>
      </c>
      <c r="H41" s="13" t="n">
        <v>-110</v>
      </c>
      <c r="I41" s="15" t="n">
        <v>0.6977174140609883</v>
      </c>
      <c r="J41" s="15" t="n">
        <v>0.5</v>
      </c>
      <c r="K41" s="15" t="n">
        <v>0.5238095238095238</v>
      </c>
      <c r="L41" s="14" t="n">
        <v>0.1739078902514645</v>
      </c>
      <c r="M41" s="14" t="n">
        <v>0.3320059722982505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LT @ LSU</t>
        </is>
      </c>
      <c r="C42" s="17" t="inlineStr">
        <is>
          <t>2026-09-12 23:30</t>
        </is>
      </c>
      <c r="D42" s="25" t="n">
        <v>2</v>
      </c>
      <c r="E42" s="17" t="inlineStr">
        <is>
          <t>ML</t>
        </is>
      </c>
      <c r="F42" s="17" t="inlineStr">
        <is>
          <t>LT ML</t>
        </is>
      </c>
      <c r="G42" s="26" t="n"/>
      <c r="H42" s="18" t="n">
        <v>3000</v>
      </c>
      <c r="I42" s="20" t="n">
        <v>0.2002508678242918</v>
      </c>
      <c r="J42" s="20" t="n">
        <v>0.03155263980006248</v>
      </c>
      <c r="K42" s="20" t="n">
        <v>0.03225806451612903</v>
      </c>
      <c r="L42" s="19" t="n">
        <v>0.1679928033081628</v>
      </c>
      <c r="M42" s="19" t="n">
        <v>5.207776902553046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SAC @ FRES</t>
        </is>
      </c>
      <c r="C43" s="12" t="inlineStr">
        <is>
          <t>2026-09-13 02:30</t>
        </is>
      </c>
      <c r="D43" s="22" t="n">
        <v>2</v>
      </c>
      <c r="E43" s="12" t="inlineStr">
        <is>
          <t>ATS</t>
        </is>
      </c>
      <c r="F43" s="12" t="inlineStr">
        <is>
          <t>SAC +18.5</t>
        </is>
      </c>
      <c r="G43" s="23" t="n">
        <v>-18.5</v>
      </c>
      <c r="H43" s="13" t="n">
        <v>-112</v>
      </c>
      <c r="I43" s="15" t="n">
        <v>0.6947373675196025</v>
      </c>
      <c r="J43" s="15" t="n">
        <v>0.5043297540699688</v>
      </c>
      <c r="K43" s="15" t="n">
        <v>0.5283018867924528</v>
      </c>
      <c r="L43" s="14" t="n">
        <v>0.1664354807271496</v>
      </c>
      <c r="M43" s="14" t="n">
        <v>0.3150385885192475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WSU @ KSU</t>
        </is>
      </c>
      <c r="C44" s="17" t="inlineStr">
        <is>
          <t>2026-09-12 16:00</t>
        </is>
      </c>
      <c r="D44" s="25" t="n">
        <v>2</v>
      </c>
      <c r="E44" s="17" t="inlineStr">
        <is>
          <t>ATS</t>
        </is>
      </c>
      <c r="F44" s="17" t="inlineStr">
        <is>
          <t>WSU +19.5</t>
        </is>
      </c>
      <c r="G44" s="26" t="n">
        <v>-19.5</v>
      </c>
      <c r="H44" s="18" t="n">
        <v>-112</v>
      </c>
      <c r="I44" s="20" t="n">
        <v>0.6921347971090999</v>
      </c>
      <c r="J44" s="20" t="n">
        <v>0.5043297540699688</v>
      </c>
      <c r="K44" s="20" t="n">
        <v>0.5283018867924528</v>
      </c>
      <c r="L44" s="19" t="n">
        <v>0.163832910316647</v>
      </c>
      <c r="M44" s="19" t="n">
        <v>0.310112294527939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MTSU @ MRSH</t>
        </is>
      </c>
      <c r="C45" s="12" t="inlineStr">
        <is>
          <t>2026-09-12 23:00</t>
        </is>
      </c>
      <c r="D45" s="22" t="n">
        <v>2</v>
      </c>
      <c r="E45" s="12" t="inlineStr">
        <is>
          <t>ATS</t>
        </is>
      </c>
      <c r="F45" s="12" t="inlineStr">
        <is>
          <t>MTSU +17.5</t>
        </is>
      </c>
      <c r="G45" s="23" t="n">
        <v>-17.5</v>
      </c>
      <c r="H45" s="13" t="n">
        <v>-110</v>
      </c>
      <c r="I45" s="15" t="n">
        <v>0.6841374677151725</v>
      </c>
      <c r="J45" s="15" t="n">
        <v>0.5</v>
      </c>
      <c r="K45" s="15" t="n">
        <v>0.5238095238095238</v>
      </c>
      <c r="L45" s="14" t="n">
        <v>0.1603279439056486</v>
      </c>
      <c r="M45" s="14" t="n">
        <v>0.3060806201835111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USM @ AUB</t>
        </is>
      </c>
      <c r="C46" s="17" t="inlineStr">
        <is>
          <t>2026-09-12 23:45</t>
        </is>
      </c>
      <c r="D46" s="25" t="n">
        <v>2</v>
      </c>
      <c r="E46" s="17" t="inlineStr">
        <is>
          <t>ML</t>
        </is>
      </c>
      <c r="F46" s="17" t="inlineStr">
        <is>
          <t>USM ML</t>
        </is>
      </c>
      <c r="G46" s="26" t="n"/>
      <c r="H46" s="18" t="n">
        <v>1800</v>
      </c>
      <c r="I46" s="20" t="n">
        <v>0.2094027876431144</v>
      </c>
      <c r="J46" s="20" t="n">
        <v>0.05094905094905094</v>
      </c>
      <c r="K46" s="20" t="n">
        <v>0.05263157894736842</v>
      </c>
      <c r="L46" s="19" t="n">
        <v>0.156771208695746</v>
      </c>
      <c r="M46" s="19" t="n">
        <v>2.978652965219173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price outside allowed range</t>
        </is>
      </c>
    </row>
    <row r="47">
      <c r="A47" s="12" t="inlineStr">
        <is>
          <t>PASS</t>
        </is>
      </c>
      <c r="B47" s="12" t="inlineStr">
        <is>
          <t>ODU @ VT</t>
        </is>
      </c>
      <c r="C47" s="12" t="inlineStr">
        <is>
          <t>2026-09-12 16:00</t>
        </is>
      </c>
      <c r="D47" s="22" t="n">
        <v>2</v>
      </c>
      <c r="E47" s="12" t="inlineStr">
        <is>
          <t>ATS</t>
        </is>
      </c>
      <c r="F47" s="12" t="inlineStr">
        <is>
          <t>ODU +17.5</t>
        </is>
      </c>
      <c r="G47" s="23" t="n">
        <v>-17.5</v>
      </c>
      <c r="H47" s="13" t="n">
        <v>-108</v>
      </c>
      <c r="I47" s="15" t="n">
        <v>0.6759662833368364</v>
      </c>
      <c r="J47" s="15" t="n">
        <v>0.4956702459300312</v>
      </c>
      <c r="K47" s="15" t="n">
        <v>0.5192307692307693</v>
      </c>
      <c r="L47" s="14" t="n">
        <v>0.1567355141060671</v>
      </c>
      <c r="M47" s="14" t="n">
        <v>0.3018609901302035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UL @ USC</t>
        </is>
      </c>
      <c r="C48" s="17" t="inlineStr">
        <is>
          <t>2026-09-13 03:00</t>
        </is>
      </c>
      <c r="D48" s="25" t="n">
        <v>2</v>
      </c>
      <c r="E48" s="17" t="inlineStr">
        <is>
          <t>ML</t>
        </is>
      </c>
      <c r="F48" s="17" t="inlineStr">
        <is>
          <t>UL ML</t>
        </is>
      </c>
      <c r="G48" s="26" t="n"/>
      <c r="H48" s="18" t="n">
        <v>2500</v>
      </c>
      <c r="I48" s="20" t="n">
        <v>0.1942439428776817</v>
      </c>
      <c r="J48" s="20" t="n">
        <v>0.0374331550802139</v>
      </c>
      <c r="K48" s="20" t="n">
        <v>0.03846153846153846</v>
      </c>
      <c r="L48" s="19" t="n">
        <v>0.1557824044161432</v>
      </c>
      <c r="M48" s="19" t="n">
        <v>4.050342514819723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GASO @ CLEM</t>
        </is>
      </c>
      <c r="C49" s="12" t="inlineStr">
        <is>
          <t>2026-09-12 23:30</t>
        </is>
      </c>
      <c r="D49" s="22" t="n">
        <v>2</v>
      </c>
      <c r="E49" s="12" t="inlineStr">
        <is>
          <t>ML</t>
        </is>
      </c>
      <c r="F49" s="12" t="inlineStr">
        <is>
          <t>GASO ML</t>
        </is>
      </c>
      <c r="G49" s="23" t="n"/>
      <c r="H49" s="13" t="n">
        <v>1100</v>
      </c>
      <c r="I49" s="15" t="n">
        <v>0.2345349635709428</v>
      </c>
      <c r="J49" s="15" t="n">
        <v>0.08029197080291971</v>
      </c>
      <c r="K49" s="15" t="n">
        <v>0.08333333333333333</v>
      </c>
      <c r="L49" s="14" t="n">
        <v>0.1512016302376095</v>
      </c>
      <c r="M49" s="14" t="n">
        <v>1.814419562851314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price outside allowed range</t>
        </is>
      </c>
    </row>
    <row r="50">
      <c r="A50" s="17" t="inlineStr">
        <is>
          <t>PASS</t>
        </is>
      </c>
      <c r="B50" s="17" t="inlineStr">
        <is>
          <t>EMU @ MSU</t>
        </is>
      </c>
      <c r="C50" s="17" t="inlineStr">
        <is>
          <t>2026-09-12 19:30</t>
        </is>
      </c>
      <c r="D50" s="25" t="n">
        <v>2</v>
      </c>
      <c r="E50" s="17" t="inlineStr">
        <is>
          <t>ATS</t>
        </is>
      </c>
      <c r="F50" s="17" t="inlineStr">
        <is>
          <t>EMU +17.5</t>
        </is>
      </c>
      <c r="G50" s="26" t="n">
        <v>-17.5</v>
      </c>
      <c r="H50" s="18" t="n">
        <v>-112</v>
      </c>
      <c r="I50" s="20" t="n">
        <v>0.6757896111121886</v>
      </c>
      <c r="J50" s="20" t="n">
        <v>0.5043297540699688</v>
      </c>
      <c r="K50" s="20" t="n">
        <v>0.5283018867924528</v>
      </c>
      <c r="L50" s="19" t="n">
        <v>0.1474877243197358</v>
      </c>
      <c r="M50" s="19" t="n">
        <v>0.2791731924623569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UTSA @ TXST</t>
        </is>
      </c>
      <c r="C51" s="12" t="inlineStr">
        <is>
          <t>2026-09-12 19:30</t>
        </is>
      </c>
      <c r="D51" s="22" t="n">
        <v>2</v>
      </c>
      <c r="E51" s="12" t="inlineStr">
        <is>
          <t>TOTAL</t>
        </is>
      </c>
      <c r="F51" s="12" t="inlineStr">
        <is>
          <t>Under 64.5</t>
        </is>
      </c>
      <c r="G51" s="23" t="n">
        <v>64.5</v>
      </c>
      <c r="H51" s="13" t="n">
        <v>-110</v>
      </c>
      <c r="I51" s="15" t="n">
        <v>0.6670387706847001</v>
      </c>
      <c r="J51" s="15" t="n">
        <v>0.5</v>
      </c>
      <c r="K51" s="15" t="n">
        <v>0.5238095238095238</v>
      </c>
      <c r="L51" s="14" t="n">
        <v>0.1432292468751762</v>
      </c>
      <c r="M51" s="14" t="n">
        <v>0.2734376531253365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MIZ @ KU</t>
        </is>
      </c>
      <c r="C52" s="17" t="inlineStr">
        <is>
          <t>2026-09-12 00:00</t>
        </is>
      </c>
      <c r="D52" s="25" t="n">
        <v>2</v>
      </c>
      <c r="E52" s="17" t="inlineStr">
        <is>
          <t>ML</t>
        </is>
      </c>
      <c r="F52" s="17" t="inlineStr">
        <is>
          <t>KU ML</t>
        </is>
      </c>
      <c r="G52" s="26" t="n"/>
      <c r="H52" s="18" t="n">
        <v>200</v>
      </c>
      <c r="I52" s="20" t="n">
        <v>0.4749743445206636</v>
      </c>
      <c r="J52" s="20" t="n">
        <v>0.3194444444444444</v>
      </c>
      <c r="K52" s="20" t="n">
        <v>0.3333333333333333</v>
      </c>
      <c r="L52" s="19" t="n">
        <v>0.1416410111873303</v>
      </c>
      <c r="M52" s="19" t="n">
        <v>0.4249230335619908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NDSU @ AFA</t>
        </is>
      </c>
      <c r="C53" s="12" t="inlineStr">
        <is>
          <t>2026-09-13 02:00</t>
        </is>
      </c>
      <c r="D53" s="22" t="n">
        <v>2</v>
      </c>
      <c r="E53" s="12" t="inlineStr">
        <is>
          <t>ML</t>
        </is>
      </c>
      <c r="F53" s="12" t="inlineStr">
        <is>
          <t>AFA ML</t>
        </is>
      </c>
      <c r="G53" s="23" t="n"/>
      <c r="H53" s="13" t="n">
        <v>200</v>
      </c>
      <c r="I53" s="15" t="n">
        <v>0.4747008907950997</v>
      </c>
      <c r="J53" s="15" t="n">
        <v>0.3194444444444444</v>
      </c>
      <c r="K53" s="15" t="n">
        <v>0.3333333333333333</v>
      </c>
      <c r="L53" s="14" t="n">
        <v>0.1413675574617664</v>
      </c>
      <c r="M53" s="14" t="n">
        <v>0.4241026723852991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DEL @ VAN</t>
        </is>
      </c>
      <c r="C54" s="17" t="inlineStr">
        <is>
          <t>2026-09-12 20:15</t>
        </is>
      </c>
      <c r="D54" s="25" t="n">
        <v>2</v>
      </c>
      <c r="E54" s="17" t="inlineStr">
        <is>
          <t>ML</t>
        </is>
      </c>
      <c r="F54" s="17" t="inlineStr">
        <is>
          <t>DEL ML</t>
        </is>
      </c>
      <c r="G54" s="26" t="n"/>
      <c r="H54" s="18" t="n">
        <v>800</v>
      </c>
      <c r="I54" s="20" t="n">
        <v>0.2468660044137012</v>
      </c>
      <c r="J54" s="20" t="n">
        <v>0.1066176470588235</v>
      </c>
      <c r="K54" s="20" t="n">
        <v>0.1111111111111111</v>
      </c>
      <c r="L54" s="19" t="n">
        <v>0.1357548933025901</v>
      </c>
      <c r="M54" s="19" t="n">
        <v>1.221794039723311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price outside allowed range</t>
        </is>
      </c>
    </row>
    <row r="55">
      <c r="A55" s="12" t="inlineStr">
        <is>
          <t>PASS</t>
        </is>
      </c>
      <c r="B55" s="12" t="inlineStr">
        <is>
          <t>BGSU @ NEB</t>
        </is>
      </c>
      <c r="C55" s="12" t="inlineStr">
        <is>
          <t>2026-09-12 23:00</t>
        </is>
      </c>
      <c r="D55" s="22" t="n">
        <v>2</v>
      </c>
      <c r="E55" s="12" t="inlineStr">
        <is>
          <t>ML</t>
        </is>
      </c>
      <c r="F55" s="12" t="inlineStr">
        <is>
          <t>BGSU ML</t>
        </is>
      </c>
      <c r="G55" s="23" t="n"/>
      <c r="H55" s="13" t="n">
        <v>2200</v>
      </c>
      <c r="I55" s="15" t="n">
        <v>0.1784146962300148</v>
      </c>
      <c r="J55" s="15" t="n">
        <v>0.04216553878188443</v>
      </c>
      <c r="K55" s="15" t="n">
        <v>0.04347826086956522</v>
      </c>
      <c r="L55" s="14" t="n">
        <v>0.1349364353604496</v>
      </c>
      <c r="M55" s="14" t="n">
        <v>3.103538013290341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price outside allowed range</t>
        </is>
      </c>
    </row>
    <row r="56">
      <c r="A56" s="17" t="inlineStr">
        <is>
          <t>PASS</t>
        </is>
      </c>
      <c r="B56" s="17" t="inlineStr">
        <is>
          <t>ISU @ IOWA</t>
        </is>
      </c>
      <c r="C56" s="17" t="inlineStr">
        <is>
          <t>2026-09-12 23:30</t>
        </is>
      </c>
      <c r="D56" s="25" t="n">
        <v>2</v>
      </c>
      <c r="E56" s="17" t="inlineStr">
        <is>
          <t>TOTAL</t>
        </is>
      </c>
      <c r="F56" s="17" t="inlineStr">
        <is>
          <t>Over 41.5</t>
        </is>
      </c>
      <c r="G56" s="26" t="n">
        <v>41.5</v>
      </c>
      <c r="H56" s="18" t="n">
        <v>-112</v>
      </c>
      <c r="I56" s="20" t="n">
        <v>0.6628218606172733</v>
      </c>
      <c r="J56" s="20" t="n">
        <v>0.5043297540699688</v>
      </c>
      <c r="K56" s="20" t="n">
        <v>0.5283018867924528</v>
      </c>
      <c r="L56" s="19" t="n">
        <v>0.1345199738248205</v>
      </c>
      <c r="M56" s="19" t="n">
        <v>0.2546270933112673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USU @ WASH</t>
        </is>
      </c>
      <c r="C57" s="12" t="inlineStr">
        <is>
          <t>2026-09-12 19:30</t>
        </is>
      </c>
      <c r="D57" s="22" t="n">
        <v>2</v>
      </c>
      <c r="E57" s="12" t="inlineStr">
        <is>
          <t>ML</t>
        </is>
      </c>
      <c r="F57" s="12" t="inlineStr">
        <is>
          <t>USU ML</t>
        </is>
      </c>
      <c r="G57" s="23" t="n"/>
      <c r="H57" s="13" t="n">
        <v>1800</v>
      </c>
      <c r="I57" s="15" t="n">
        <v>0.1848771166649368</v>
      </c>
      <c r="J57" s="15" t="n">
        <v>0.05094905094905094</v>
      </c>
      <c r="K57" s="15" t="n">
        <v>0.05263157894736842</v>
      </c>
      <c r="L57" s="14" t="n">
        <v>0.1322455377175684</v>
      </c>
      <c r="M57" s="14" t="n">
        <v>2.512665216633799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MIZ @ KU</t>
        </is>
      </c>
      <c r="C58" s="17" t="inlineStr">
        <is>
          <t>2026-09-12 00:00</t>
        </is>
      </c>
      <c r="D58" s="25" t="n">
        <v>2</v>
      </c>
      <c r="E58" s="17" t="inlineStr">
        <is>
          <t>ATS</t>
        </is>
      </c>
      <c r="F58" s="17" t="inlineStr">
        <is>
          <t>KU +6.5</t>
        </is>
      </c>
      <c r="G58" s="26" t="n">
        <v>6.5</v>
      </c>
      <c r="H58" s="18" t="n">
        <v>-110</v>
      </c>
      <c r="I58" s="20" t="n">
        <v>0.6524262466817228</v>
      </c>
      <c r="J58" s="20" t="n">
        <v>0.5</v>
      </c>
      <c r="K58" s="20" t="n">
        <v>0.5238095238095238</v>
      </c>
      <c r="L58" s="19" t="n">
        <v>0.1286167228721989</v>
      </c>
      <c r="M58" s="19" t="n">
        <v>0.2455410163923799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NDSU @ AFA</t>
        </is>
      </c>
      <c r="C59" s="12" t="inlineStr">
        <is>
          <t>2026-09-13 02:00</t>
        </is>
      </c>
      <c r="D59" s="22" t="n">
        <v>2</v>
      </c>
      <c r="E59" s="12" t="inlineStr">
        <is>
          <t>ATS</t>
        </is>
      </c>
      <c r="F59" s="12" t="inlineStr">
        <is>
          <t>AFA +6.5</t>
        </is>
      </c>
      <c r="G59" s="23" t="n">
        <v>6.5</v>
      </c>
      <c r="H59" s="13" t="n">
        <v>-110</v>
      </c>
      <c r="I59" s="15" t="n">
        <v>0.6522278351634587</v>
      </c>
      <c r="J59" s="15" t="n">
        <v>0.5</v>
      </c>
      <c r="K59" s="15" t="n">
        <v>0.5238095238095238</v>
      </c>
      <c r="L59" s="14" t="n">
        <v>0.1284183113539349</v>
      </c>
      <c r="M59" s="14" t="n">
        <v>0.245162230766603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ISU @ IOWA</t>
        </is>
      </c>
      <c r="C60" s="17" t="inlineStr">
        <is>
          <t>2026-09-12 23:30</t>
        </is>
      </c>
      <c r="D60" s="25" t="n">
        <v>2</v>
      </c>
      <c r="E60" s="17" t="inlineStr">
        <is>
          <t>ATS</t>
        </is>
      </c>
      <c r="F60" s="17" t="inlineStr">
        <is>
          <t>ISU +14.5</t>
        </is>
      </c>
      <c r="G60" s="26" t="n">
        <v>-14.5</v>
      </c>
      <c r="H60" s="18" t="n">
        <v>-110</v>
      </c>
      <c r="I60" s="20" t="n">
        <v>0.6504488694226176</v>
      </c>
      <c r="J60" s="20" t="n">
        <v>0.5</v>
      </c>
      <c r="K60" s="20" t="n">
        <v>0.5238095238095238</v>
      </c>
      <c r="L60" s="19" t="n">
        <v>0.1266393456130938</v>
      </c>
      <c r="M60" s="19" t="n">
        <v>0.2417660234431791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NAVY @ FAU</t>
        </is>
      </c>
      <c r="C61" s="12" t="inlineStr">
        <is>
          <t>2026-09-12 23:30</t>
        </is>
      </c>
      <c r="D61" s="22" t="n">
        <v>2</v>
      </c>
      <c r="E61" s="12" t="inlineStr">
        <is>
          <t>ATS</t>
        </is>
      </c>
      <c r="F61" s="12" t="inlineStr">
        <is>
          <t>FAU +6.5</t>
        </is>
      </c>
      <c r="G61" s="23" t="n">
        <v>6.5</v>
      </c>
      <c r="H61" s="13" t="n">
        <v>-108</v>
      </c>
      <c r="I61" s="15" t="n">
        <v>0.6458404856446884</v>
      </c>
      <c r="J61" s="15" t="n">
        <v>0.4956702459300312</v>
      </c>
      <c r="K61" s="15" t="n">
        <v>0.5192307692307693</v>
      </c>
      <c r="L61" s="14" t="n">
        <v>0.1266097164139192</v>
      </c>
      <c r="M61" s="14" t="n">
        <v>0.2438409353156963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SAC @ FRES</t>
        </is>
      </c>
      <c r="C62" s="17" t="inlineStr">
        <is>
          <t>2026-09-13 02:30</t>
        </is>
      </c>
      <c r="D62" s="25" t="n">
        <v>2</v>
      </c>
      <c r="E62" s="17" t="inlineStr">
        <is>
          <t>ML</t>
        </is>
      </c>
      <c r="F62" s="17" t="inlineStr">
        <is>
          <t>SAC ML</t>
        </is>
      </c>
      <c r="G62" s="26" t="n"/>
      <c r="H62" s="18" t="n">
        <v>675</v>
      </c>
      <c r="I62" s="20" t="n">
        <v>0.251737489185772</v>
      </c>
      <c r="J62" s="20" t="n">
        <v>0.1238223418573351</v>
      </c>
      <c r="K62" s="20" t="n">
        <v>0.1290322580645161</v>
      </c>
      <c r="L62" s="19" t="n">
        <v>0.1227052311212559</v>
      </c>
      <c r="M62" s="19" t="n">
        <v>0.9509655411897329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price outside allowed range</t>
        </is>
      </c>
    </row>
    <row r="63">
      <c r="A63" s="12" t="inlineStr">
        <is>
          <t>PASS</t>
        </is>
      </c>
      <c r="B63" s="12" t="inlineStr">
        <is>
          <t>WSU @ KSU</t>
        </is>
      </c>
      <c r="C63" s="12" t="inlineStr">
        <is>
          <t>2026-09-12 16:00</t>
        </is>
      </c>
      <c r="D63" s="22" t="n">
        <v>2</v>
      </c>
      <c r="E63" s="12" t="inlineStr">
        <is>
          <t>ML</t>
        </is>
      </c>
      <c r="F63" s="12" t="inlineStr">
        <is>
          <t>WSU ML</t>
        </is>
      </c>
      <c r="G63" s="23" t="n"/>
      <c r="H63" s="13" t="n">
        <v>900</v>
      </c>
      <c r="I63" s="15" t="n">
        <v>0.2218051028039993</v>
      </c>
      <c r="J63" s="15" t="n">
        <v>0.096045197740113</v>
      </c>
      <c r="K63" s="15" t="n">
        <v>0.1</v>
      </c>
      <c r="L63" s="14" t="n">
        <v>0.1218051028039993</v>
      </c>
      <c r="M63" s="14" t="n">
        <v>1.218051028039993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price outside allowed range</t>
        </is>
      </c>
    </row>
    <row r="64">
      <c r="A64" s="17" t="inlineStr">
        <is>
          <t>PASS</t>
        </is>
      </c>
      <c r="B64" s="17" t="inlineStr">
        <is>
          <t>UNLV @ UNT</t>
        </is>
      </c>
      <c r="C64" s="17" t="inlineStr">
        <is>
          <t>2026-09-12 19:45</t>
        </is>
      </c>
      <c r="D64" s="25" t="n">
        <v>2</v>
      </c>
      <c r="E64" s="17" t="inlineStr">
        <is>
          <t>ML</t>
        </is>
      </c>
      <c r="F64" s="17" t="inlineStr">
        <is>
          <t>UNT ML</t>
        </is>
      </c>
      <c r="G64" s="26" t="n"/>
      <c r="H64" s="18" t="n">
        <v>170</v>
      </c>
      <c r="I64" s="20" t="n">
        <v>0.4919299057977884</v>
      </c>
      <c r="J64" s="20" t="n">
        <v>0.3552708211997671</v>
      </c>
      <c r="K64" s="20" t="n">
        <v>0.3703703703703703</v>
      </c>
      <c r="L64" s="19" t="n">
        <v>0.1215595354274181</v>
      </c>
      <c r="M64" s="19" t="n">
        <v>0.3282107456540289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OU @ MICH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MICH +5.5</t>
        </is>
      </c>
      <c r="G65" s="23" t="n">
        <v>5.5</v>
      </c>
      <c r="H65" s="13" t="n">
        <v>-102</v>
      </c>
      <c r="I65" s="15" t="n">
        <v>0.6237473319090014</v>
      </c>
      <c r="J65" s="15" t="n">
        <v>0.4826358742837298</v>
      </c>
      <c r="K65" s="15" t="n">
        <v>0.504950495049505</v>
      </c>
      <c r="L65" s="14" t="n">
        <v>0.1187968368594965</v>
      </c>
      <c r="M65" s="14" t="n">
        <v>0.23526432397665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MTSU @ MRSH</t>
        </is>
      </c>
      <c r="C66" s="17" t="inlineStr">
        <is>
          <t>2026-09-12 23:00</t>
        </is>
      </c>
      <c r="D66" s="25" t="n">
        <v>2</v>
      </c>
      <c r="E66" s="17" t="inlineStr">
        <is>
          <t>ML</t>
        </is>
      </c>
      <c r="F66" s="17" t="inlineStr">
        <is>
          <t>MTSU ML</t>
        </is>
      </c>
      <c r="G66" s="26" t="n"/>
      <c r="H66" s="18" t="n">
        <v>650</v>
      </c>
      <c r="I66" s="20" t="n">
        <v>0.2507552564030862</v>
      </c>
      <c r="J66" s="20" t="n">
        <v>0.1279069767441861</v>
      </c>
      <c r="K66" s="20" t="n">
        <v>0.1333333333333333</v>
      </c>
      <c r="L66" s="19" t="n">
        <v>0.1174219230697528</v>
      </c>
      <c r="M66" s="19" t="n">
        <v>0.8806644230231462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ODU @ VT</t>
        </is>
      </c>
      <c r="C67" s="12" t="inlineStr">
        <is>
          <t>2026-09-12 16:00</t>
        </is>
      </c>
      <c r="D67" s="22" t="n">
        <v>2</v>
      </c>
      <c r="E67" s="12" t="inlineStr">
        <is>
          <t>ML</t>
        </is>
      </c>
      <c r="F67" s="12" t="inlineStr">
        <is>
          <t>ODU ML</t>
        </is>
      </c>
      <c r="G67" s="23" t="n"/>
      <c r="H67" s="13" t="n">
        <v>675</v>
      </c>
      <c r="I67" s="15" t="n">
        <v>0.2387847747527537</v>
      </c>
      <c r="J67" s="15" t="n">
        <v>0.1238223418573351</v>
      </c>
      <c r="K67" s="15" t="n">
        <v>0.1290322580645161</v>
      </c>
      <c r="L67" s="14" t="n">
        <v>0.1097525166882376</v>
      </c>
      <c r="M67" s="14" t="n">
        <v>0.8505820043338413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price outside allowed range</t>
        </is>
      </c>
    </row>
    <row r="68">
      <c r="A68" s="17" t="inlineStr">
        <is>
          <t>PASS</t>
        </is>
      </c>
      <c r="B68" s="17" t="inlineStr">
        <is>
          <t>WAKE @ PUR</t>
        </is>
      </c>
      <c r="C68" s="17" t="inlineStr">
        <is>
          <t>2026-09-12 16:00</t>
        </is>
      </c>
      <c r="D68" s="25" t="n">
        <v>2</v>
      </c>
      <c r="E68" s="17" t="inlineStr">
        <is>
          <t>ML</t>
        </is>
      </c>
      <c r="F68" s="17" t="inlineStr">
        <is>
          <t>PUR ML</t>
        </is>
      </c>
      <c r="G68" s="26" t="n"/>
      <c r="H68" s="18" t="n">
        <v>150</v>
      </c>
      <c r="I68" s="20" t="n">
        <v>0.5079890529576518</v>
      </c>
      <c r="J68" s="20" t="n">
        <v>0.3835616438356164</v>
      </c>
      <c r="K68" s="20" t="n">
        <v>0.4</v>
      </c>
      <c r="L68" s="19" t="n">
        <v>0.1079890529576518</v>
      </c>
      <c r="M68" s="19" t="n">
        <v>0.2699726323941296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EMU @ MSU</t>
        </is>
      </c>
      <c r="C69" s="12" t="inlineStr">
        <is>
          <t>2026-09-12 19:30</t>
        </is>
      </c>
      <c r="D69" s="22" t="n">
        <v>2</v>
      </c>
      <c r="E69" s="12" t="inlineStr">
        <is>
          <t>ML</t>
        </is>
      </c>
      <c r="F69" s="12" t="inlineStr">
        <is>
          <t>EMU ML</t>
        </is>
      </c>
      <c r="G69" s="23" t="n"/>
      <c r="H69" s="13" t="n">
        <v>625</v>
      </c>
      <c r="I69" s="15" t="n">
        <v>0.2360538441424231</v>
      </c>
      <c r="J69" s="15" t="n">
        <v>0.1322834645669291</v>
      </c>
      <c r="K69" s="15" t="n">
        <v>0.1379310344827586</v>
      </c>
      <c r="L69" s="14" t="n">
        <v>0.09812280965966452</v>
      </c>
      <c r="M69" s="14" t="n">
        <v>0.7113903700325679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price outside allowed range</t>
        </is>
      </c>
    </row>
    <row r="70">
      <c r="A70" s="17" t="inlineStr">
        <is>
          <t>PASS</t>
        </is>
      </c>
      <c r="B70" s="17" t="inlineStr">
        <is>
          <t>OU @ MICH</t>
        </is>
      </c>
      <c r="C70" s="17" t="inlineStr">
        <is>
          <t>2026-09-12 16:00</t>
        </is>
      </c>
      <c r="D70" s="25" t="n">
        <v>2</v>
      </c>
      <c r="E70" s="17" t="inlineStr">
        <is>
          <t>TOTAL</t>
        </is>
      </c>
      <c r="F70" s="17" t="inlineStr">
        <is>
          <t>Over 43.5</t>
        </is>
      </c>
      <c r="G70" s="26" t="n">
        <v>43.5</v>
      </c>
      <c r="H70" s="18" t="n">
        <v>-115</v>
      </c>
      <c r="I70" s="20" t="n">
        <v>0.6249174277344233</v>
      </c>
      <c r="J70" s="20" t="n">
        <v>0.5108342361863488</v>
      </c>
      <c r="K70" s="20" t="n">
        <v>0.5348837209302325</v>
      </c>
      <c r="L70" s="19" t="n">
        <v>0.09003370680419076</v>
      </c>
      <c r="M70" s="19" t="n">
        <v>0.1683238866339217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SMU @ FSU</t>
        </is>
      </c>
      <c r="C71" s="12" t="inlineStr">
        <is>
          <t>2026-09-07 23:30</t>
        </is>
      </c>
      <c r="D71" s="22" t="n">
        <v>1</v>
      </c>
      <c r="E71" s="12" t="inlineStr">
        <is>
          <t>ATS</t>
        </is>
      </c>
      <c r="F71" s="12" t="inlineStr">
        <is>
          <t>FSU +3</t>
        </is>
      </c>
      <c r="G71" s="23" t="n">
        <v>3</v>
      </c>
      <c r="H71" s="13" t="n">
        <v>-115</v>
      </c>
      <c r="I71" s="15" t="n">
        <v>0.6222421098829498</v>
      </c>
      <c r="J71" s="15" t="n">
        <v>0.5108342361863488</v>
      </c>
      <c r="K71" s="15" t="n">
        <v>0.5348837209302325</v>
      </c>
      <c r="L71" s="14" t="n">
        <v>0.0873583889527173</v>
      </c>
      <c r="M71" s="14" t="n">
        <v>0.1549948561081069</v>
      </c>
      <c r="N71" s="15" t="n">
        <v>0.051</v>
      </c>
      <c r="O71" s="24" t="n">
        <v>0.4</v>
      </c>
      <c r="P71" s="12" t="inlineStr">
        <is>
          <t>DraftKings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ASU @ TA&amp;M</t>
        </is>
      </c>
      <c r="C72" s="17" t="inlineStr">
        <is>
          <t>2026-09-12 16:00</t>
        </is>
      </c>
      <c r="D72" s="25" t="n">
        <v>2</v>
      </c>
      <c r="E72" s="17" t="inlineStr">
        <is>
          <t>ML</t>
        </is>
      </c>
      <c r="F72" s="17" t="inlineStr">
        <is>
          <t>ASU ML</t>
        </is>
      </c>
      <c r="G72" s="26" t="n"/>
      <c r="H72" s="18" t="n">
        <v>490</v>
      </c>
      <c r="I72" s="20" t="n">
        <v>0.2553668524017649</v>
      </c>
      <c r="J72" s="20" t="n">
        <v>0.162900683131897</v>
      </c>
      <c r="K72" s="20" t="n">
        <v>0.1694915254237288</v>
      </c>
      <c r="L72" s="19" t="n">
        <v>0.08587532697803613</v>
      </c>
      <c r="M72" s="19" t="n">
        <v>0.5066644291704132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LOU @ MISS</t>
        </is>
      </c>
      <c r="C73" s="12" t="inlineStr">
        <is>
          <t>2026-09-06 23:30</t>
        </is>
      </c>
      <c r="D73" s="22" t="n">
        <v>1</v>
      </c>
      <c r="E73" s="12" t="inlineStr">
        <is>
          <t>ATS</t>
        </is>
      </c>
      <c r="F73" s="12" t="inlineStr">
        <is>
          <t>LOU +6.5</t>
        </is>
      </c>
      <c r="G73" s="23" t="n">
        <v>-6.5</v>
      </c>
      <c r="H73" s="13" t="n">
        <v>-105</v>
      </c>
      <c r="I73" s="15" t="n">
        <v>0.5951691887678856</v>
      </c>
      <c r="J73" s="15" t="n">
        <v>0.4891657638136511</v>
      </c>
      <c r="K73" s="15" t="n">
        <v>0.5121951219512195</v>
      </c>
      <c r="L73" s="14" t="n">
        <v>0.08297406681666608</v>
      </c>
      <c r="M73" s="14" t="n">
        <v>0.1619969875944433</v>
      </c>
      <c r="N73" s="15" t="n">
        <v>0</v>
      </c>
      <c r="O73" s="24" t="n">
        <v>0.4</v>
      </c>
      <c r="P73" s="12" t="inlineStr">
        <is>
          <t>DraftKings</t>
        </is>
      </c>
      <c r="Q73" s="12" t="n"/>
    </row>
    <row r="74">
      <c r="A74" s="17" t="inlineStr">
        <is>
          <t>PASS</t>
        </is>
      </c>
      <c r="B74" s="17" t="inlineStr">
        <is>
          <t>LOU @ MISS</t>
        </is>
      </c>
      <c r="C74" s="17" t="inlineStr">
        <is>
          <t>2026-09-06 23:30</t>
        </is>
      </c>
      <c r="D74" s="25" t="n">
        <v>1</v>
      </c>
      <c r="E74" s="17" t="inlineStr">
        <is>
          <t>ML</t>
        </is>
      </c>
      <c r="F74" s="17" t="inlineStr">
        <is>
          <t>LOU ML</t>
        </is>
      </c>
      <c r="G74" s="26" t="n"/>
      <c r="H74" s="18" t="n">
        <v>210</v>
      </c>
      <c r="I74" s="20" t="n">
        <v>0.4046035584729659</v>
      </c>
      <c r="J74" s="20" t="n">
        <v>0.3092071169459319</v>
      </c>
      <c r="K74" s="20" t="n">
        <v>0.3225806451612903</v>
      </c>
      <c r="L74" s="19" t="n">
        <v>0.0820229133116756</v>
      </c>
      <c r="M74" s="19" t="n">
        <v>0.2542710312661944</v>
      </c>
      <c r="N74" s="20" t="n">
        <v>0</v>
      </c>
      <c r="O74" s="27" t="n">
        <v>0.4</v>
      </c>
      <c r="P74" s="17" t="inlineStr">
        <is>
          <t>DraftKings</t>
        </is>
      </c>
      <c r="Q74" s="17" t="n"/>
    </row>
    <row r="75">
      <c r="A75" s="12" t="inlineStr">
        <is>
          <t>PASS</t>
        </is>
      </c>
      <c r="B75" s="12" t="inlineStr">
        <is>
          <t>UNLV @ UNT</t>
        </is>
      </c>
      <c r="C75" s="12" t="inlineStr">
        <is>
          <t>2026-09-12 19:45</t>
        </is>
      </c>
      <c r="D75" s="22" t="n">
        <v>2</v>
      </c>
      <c r="E75" s="12" t="inlineStr">
        <is>
          <t>TOTAL</t>
        </is>
      </c>
      <c r="F75" s="12" t="inlineStr">
        <is>
          <t>Under 58.5</t>
        </is>
      </c>
      <c r="G75" s="23" t="n">
        <v>58.5</v>
      </c>
      <c r="H75" s="13" t="n">
        <v>-110</v>
      </c>
      <c r="I75" s="15" t="n">
        <v>0.6027395585449662</v>
      </c>
      <c r="J75" s="15" t="n">
        <v>0.5</v>
      </c>
      <c r="K75" s="15" t="n">
        <v>0.5238095238095238</v>
      </c>
      <c r="L75" s="14" t="n">
        <v>0.07893003473544236</v>
      </c>
      <c r="M75" s="14" t="n">
        <v>0.1506846117676628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MTSU @ MRSH</t>
        </is>
      </c>
      <c r="C76" s="17" t="inlineStr">
        <is>
          <t>2026-09-12 23:00</t>
        </is>
      </c>
      <c r="D76" s="25" t="n">
        <v>2</v>
      </c>
      <c r="E76" s="17" t="inlineStr">
        <is>
          <t>TOTAL</t>
        </is>
      </c>
      <c r="F76" s="17" t="inlineStr">
        <is>
          <t>Under 57.5</t>
        </is>
      </c>
      <c r="G76" s="26" t="n">
        <v>57.5</v>
      </c>
      <c r="H76" s="18" t="n">
        <v>-105</v>
      </c>
      <c r="I76" s="20" t="n">
        <v>0.5903508066430171</v>
      </c>
      <c r="J76" s="20" t="n">
        <v>0.4891657638136511</v>
      </c>
      <c r="K76" s="20" t="n">
        <v>0.5121951219512195</v>
      </c>
      <c r="L76" s="19" t="n">
        <v>0.07815568469179757</v>
      </c>
      <c r="M76" s="19" t="n">
        <v>0.1525896701125572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ARK @ UTAH</t>
        </is>
      </c>
      <c r="C77" s="12" t="inlineStr">
        <is>
          <t>2026-09-13 02:15</t>
        </is>
      </c>
      <c r="D77" s="22" t="n">
        <v>2</v>
      </c>
      <c r="E77" s="12" t="inlineStr">
        <is>
          <t>ATS</t>
        </is>
      </c>
      <c r="F77" s="12" t="inlineStr">
        <is>
          <t>ARK +11.5</t>
        </is>
      </c>
      <c r="G77" s="23" t="n">
        <v>-11.5</v>
      </c>
      <c r="H77" s="13" t="n">
        <v>-110</v>
      </c>
      <c r="I77" s="15" t="n">
        <v>0.6018060221654626</v>
      </c>
      <c r="J77" s="15" t="n">
        <v>0.5</v>
      </c>
      <c r="K77" s="15" t="n">
        <v>0.5238095238095238</v>
      </c>
      <c r="L77" s="14" t="n">
        <v>0.0779964983559388</v>
      </c>
      <c r="M77" s="14" t="n">
        <v>0.1489024059522469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MSST @ MINN</t>
        </is>
      </c>
      <c r="C78" s="17" t="inlineStr">
        <is>
          <t>2026-09-12 19:30</t>
        </is>
      </c>
      <c r="D78" s="25" t="n">
        <v>2</v>
      </c>
      <c r="E78" s="17" t="inlineStr">
        <is>
          <t>ML</t>
        </is>
      </c>
      <c r="F78" s="17" t="inlineStr">
        <is>
          <t>MINN ML</t>
        </is>
      </c>
      <c r="G78" s="26" t="n"/>
      <c r="H78" s="18" t="n">
        <v>105</v>
      </c>
      <c r="I78" s="20" t="n">
        <v>0.5593133384339284</v>
      </c>
      <c r="J78" s="20" t="n">
        <v>0.4675324675324675</v>
      </c>
      <c r="K78" s="20" t="n">
        <v>0.4878048780487805</v>
      </c>
      <c r="L78" s="19" t="n">
        <v>0.07150846038514791</v>
      </c>
      <c r="M78" s="19" t="n">
        <v>0.1465923437895531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USA @ TULN</t>
        </is>
      </c>
      <c r="C79" s="12" t="inlineStr">
        <is>
          <t>2026-09-12 23:00</t>
        </is>
      </c>
      <c r="D79" s="22" t="n">
        <v>2</v>
      </c>
      <c r="E79" s="12" t="inlineStr">
        <is>
          <t>ATS</t>
        </is>
      </c>
      <c r="F79" s="12" t="inlineStr">
        <is>
          <t>USA +10.5</t>
        </is>
      </c>
      <c r="G79" s="23" t="n">
        <v>-10.5</v>
      </c>
      <c r="H79" s="13" t="n">
        <v>-115</v>
      </c>
      <c r="I79" s="15" t="n">
        <v>0.6060422092491113</v>
      </c>
      <c r="J79" s="15" t="n">
        <v>0.5108342361863488</v>
      </c>
      <c r="K79" s="15" t="n">
        <v>0.5348837209302325</v>
      </c>
      <c r="L79" s="14" t="n">
        <v>0.07115848831887883</v>
      </c>
      <c r="M79" s="14" t="n">
        <v>0.1330354346831211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BUFF @ FIU</t>
        </is>
      </c>
      <c r="C80" s="17" t="inlineStr">
        <is>
          <t>2026-09-12 22:00</t>
        </is>
      </c>
      <c r="D80" s="25" t="n">
        <v>2</v>
      </c>
      <c r="E80" s="17" t="inlineStr">
        <is>
          <t>ATS</t>
        </is>
      </c>
      <c r="F80" s="17" t="inlineStr">
        <is>
          <t>BUFF +10.5</t>
        </is>
      </c>
      <c r="G80" s="26" t="n">
        <v>-10.5</v>
      </c>
      <c r="H80" s="18" t="n">
        <v>-112</v>
      </c>
      <c r="I80" s="20" t="n">
        <v>0.5971300111410556</v>
      </c>
      <c r="J80" s="20" t="n">
        <v>0.5043297540699688</v>
      </c>
      <c r="K80" s="20" t="n">
        <v>0.5283018867924528</v>
      </c>
      <c r="L80" s="19" t="n">
        <v>0.06882812434860275</v>
      </c>
      <c r="M80" s="19" t="n">
        <v>0.1302818068027123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OSU @ TEX</t>
        </is>
      </c>
      <c r="C81" s="12" t="inlineStr">
        <is>
          <t>2026-09-12 23:30</t>
        </is>
      </c>
      <c r="D81" s="22" t="n">
        <v>2</v>
      </c>
      <c r="E81" s="12" t="inlineStr">
        <is>
          <t>TOTAL</t>
        </is>
      </c>
      <c r="F81" s="12" t="inlineStr">
        <is>
          <t>Over 47.5</t>
        </is>
      </c>
      <c r="G81" s="23" t="n">
        <v>47.5</v>
      </c>
      <c r="H81" s="13" t="n">
        <v>-110</v>
      </c>
      <c r="I81" s="15" t="n">
        <v>0.5922287555912803</v>
      </c>
      <c r="J81" s="15" t="n">
        <v>0.5</v>
      </c>
      <c r="K81" s="15" t="n">
        <v>0.5238095238095238</v>
      </c>
      <c r="L81" s="14" t="n">
        <v>0.06841923178175646</v>
      </c>
      <c r="M81" s="14" t="n">
        <v>0.1306185334015352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GASO @ CLEM</t>
        </is>
      </c>
      <c r="C82" s="17" t="inlineStr">
        <is>
          <t>2026-09-12 23:30</t>
        </is>
      </c>
      <c r="D82" s="25" t="n">
        <v>2</v>
      </c>
      <c r="E82" s="17" t="inlineStr">
        <is>
          <t>TOTAL</t>
        </is>
      </c>
      <c r="F82" s="17" t="inlineStr">
        <is>
          <t>Under 56.5</t>
        </is>
      </c>
      <c r="G82" s="26" t="n">
        <v>56.5</v>
      </c>
      <c r="H82" s="18" t="n">
        <v>-112</v>
      </c>
      <c r="I82" s="20" t="n">
        <v>0.5961675352236799</v>
      </c>
      <c r="J82" s="20" t="n">
        <v>0.5043297540699688</v>
      </c>
      <c r="K82" s="20" t="n">
        <v>0.5283018867924528</v>
      </c>
      <c r="L82" s="19" t="n">
        <v>0.06786564843122711</v>
      </c>
      <c r="M82" s="19" t="n">
        <v>0.1284599773876799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WIS @ ND</t>
        </is>
      </c>
      <c r="C83" s="12" t="inlineStr">
        <is>
          <t>2026-09-06 23:30</t>
        </is>
      </c>
      <c r="D83" s="22" t="n">
        <v>1</v>
      </c>
      <c r="E83" s="12" t="inlineStr">
        <is>
          <t>TOTAL</t>
        </is>
      </c>
      <c r="F83" s="12" t="inlineStr">
        <is>
          <t>Over 46.5</t>
        </is>
      </c>
      <c r="G83" s="23" t="n">
        <v>46.5</v>
      </c>
      <c r="H83" s="13" t="n">
        <v>-108</v>
      </c>
      <c r="I83" s="15" t="n">
        <v>0.5864905308372941</v>
      </c>
      <c r="J83" s="15" t="n">
        <v>0.4956702459300312</v>
      </c>
      <c r="K83" s="15" t="n">
        <v>0.5192307692307693</v>
      </c>
      <c r="L83" s="14" t="n">
        <v>0.0672597616065248</v>
      </c>
      <c r="M83" s="14" t="n">
        <v>0.1295373186496035</v>
      </c>
      <c r="N83" s="15" t="n">
        <v>0</v>
      </c>
      <c r="O83" s="24" t="n">
        <v>0.4</v>
      </c>
      <c r="P83" s="12" t="inlineStr">
        <is>
          <t>DraftKings</t>
        </is>
      </c>
      <c r="Q83" s="12" t="n"/>
    </row>
    <row r="84">
      <c r="A84" s="17" t="inlineStr">
        <is>
          <t>PASS</t>
        </is>
      </c>
      <c r="B84" s="17" t="inlineStr">
        <is>
          <t>MSST @ MINN</t>
        </is>
      </c>
      <c r="C84" s="17" t="inlineStr">
        <is>
          <t>2026-09-12 19:30</t>
        </is>
      </c>
      <c r="D84" s="25" t="n">
        <v>2</v>
      </c>
      <c r="E84" s="17" t="inlineStr">
        <is>
          <t>ATS</t>
        </is>
      </c>
      <c r="F84" s="17" t="inlineStr">
        <is>
          <t>MINN +1.5</t>
        </is>
      </c>
      <c r="G84" s="26" t="n">
        <v>1.5</v>
      </c>
      <c r="H84" s="18" t="n">
        <v>-112</v>
      </c>
      <c r="I84" s="20" t="n">
        <v>0.5943465059010947</v>
      </c>
      <c r="J84" s="20" t="n">
        <v>0.5043297540699688</v>
      </c>
      <c r="K84" s="20" t="n">
        <v>0.5283018867924528</v>
      </c>
      <c r="L84" s="19" t="n">
        <v>0.0660446191086419</v>
      </c>
      <c r="M84" s="19" t="n">
        <v>0.1250130290270721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APP @ ECU</t>
        </is>
      </c>
      <c r="C85" s="12" t="inlineStr">
        <is>
          <t>2026-09-12 16:00</t>
        </is>
      </c>
      <c r="D85" s="22" t="n">
        <v>2</v>
      </c>
      <c r="E85" s="12" t="inlineStr">
        <is>
          <t>ATS</t>
        </is>
      </c>
      <c r="F85" s="12" t="inlineStr">
        <is>
          <t>APP +9.5</t>
        </is>
      </c>
      <c r="G85" s="23" t="n">
        <v>-9.5</v>
      </c>
      <c r="H85" s="13" t="n">
        <v>-112</v>
      </c>
      <c r="I85" s="15" t="n">
        <v>0.5939601694537299</v>
      </c>
      <c r="J85" s="15" t="n">
        <v>0.5043297540699688</v>
      </c>
      <c r="K85" s="15" t="n">
        <v>0.5283018867924528</v>
      </c>
      <c r="L85" s="14" t="n">
        <v>0.06565828266127705</v>
      </c>
      <c r="M85" s="14" t="n">
        <v>0.1242817493231315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USA @ TULN</t>
        </is>
      </c>
      <c r="C86" s="17" t="inlineStr">
        <is>
          <t>2026-09-12 23:00</t>
        </is>
      </c>
      <c r="D86" s="25" t="n">
        <v>2</v>
      </c>
      <c r="E86" s="17" t="inlineStr">
        <is>
          <t>ML</t>
        </is>
      </c>
      <c r="F86" s="17" t="inlineStr">
        <is>
          <t>USA ML</t>
        </is>
      </c>
      <c r="G86" s="26" t="n"/>
      <c r="H86" s="18" t="n">
        <v>360</v>
      </c>
      <c r="I86" s="20" t="n">
        <v>0.2826776246129594</v>
      </c>
      <c r="J86" s="20" t="n">
        <v>0.2086383601756955</v>
      </c>
      <c r="K86" s="20" t="n">
        <v>0.2173913043478261</v>
      </c>
      <c r="L86" s="19" t="n">
        <v>0.06528632026513334</v>
      </c>
      <c r="M86" s="19" t="n">
        <v>0.3003170732196132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ULM @ UAB</t>
        </is>
      </c>
      <c r="C87" s="12" t="inlineStr">
        <is>
          <t>2026-09-12 19:30</t>
        </is>
      </c>
      <c r="D87" s="22" t="n">
        <v>2</v>
      </c>
      <c r="E87" s="12" t="inlineStr">
        <is>
          <t>ATS</t>
        </is>
      </c>
      <c r="F87" s="12" t="inlineStr">
        <is>
          <t>ULM +10</t>
        </is>
      </c>
      <c r="G87" s="23" t="n">
        <v>-10</v>
      </c>
      <c r="H87" s="13" t="n">
        <v>-108</v>
      </c>
      <c r="I87" s="15" t="n">
        <v>0.5830652574870749</v>
      </c>
      <c r="J87" s="15" t="n">
        <v>0.4956702459300312</v>
      </c>
      <c r="K87" s="15" t="n">
        <v>0.5192307692307693</v>
      </c>
      <c r="L87" s="14" t="n">
        <v>0.06383448825630567</v>
      </c>
      <c r="M87" s="14" t="n">
        <v>0.1182073168804963</v>
      </c>
      <c r="N87" s="15" t="n">
        <v>0.0385</v>
      </c>
      <c r="O87" s="24" t="n">
        <v>0.725</v>
      </c>
      <c r="P87" s="12" t="inlineStr">
        <is>
          <t>DraftKings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NMSU @ HAW</t>
        </is>
      </c>
      <c r="C88" s="17" t="inlineStr">
        <is>
          <t>2026-09-13 03:59</t>
        </is>
      </c>
      <c r="D88" s="25" t="n">
        <v>2</v>
      </c>
      <c r="E88" s="17" t="inlineStr">
        <is>
          <t>ML</t>
        </is>
      </c>
      <c r="F88" s="17" t="inlineStr">
        <is>
          <t>NMSU ML</t>
        </is>
      </c>
      <c r="G88" s="26" t="n"/>
      <c r="H88" s="18" t="n">
        <v>270</v>
      </c>
      <c r="I88" s="20" t="n">
        <v>0.3334438387581556</v>
      </c>
      <c r="J88" s="20" t="n">
        <v>0.2591283863368669</v>
      </c>
      <c r="K88" s="20" t="n">
        <v>0.2702702702702703</v>
      </c>
      <c r="L88" s="19" t="n">
        <v>0.06317356848788536</v>
      </c>
      <c r="M88" s="19" t="n">
        <v>0.2337422034051759</v>
      </c>
      <c r="N88" s="20" t="n">
        <v>0</v>
      </c>
      <c r="O88" s="27" t="n">
        <v>0.839</v>
      </c>
      <c r="P88" s="17" t="inlineStr">
        <is>
          <t>DraftKings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CAL @ SYR</t>
        </is>
      </c>
      <c r="C89" s="12" t="inlineStr">
        <is>
          <t>2026-09-12 19:30</t>
        </is>
      </c>
      <c r="D89" s="22" t="n">
        <v>2</v>
      </c>
      <c r="E89" s="12" t="inlineStr">
        <is>
          <t>ML</t>
        </is>
      </c>
      <c r="F89" s="12" t="inlineStr">
        <is>
          <t>SYR ML</t>
        </is>
      </c>
      <c r="G89" s="23" t="n"/>
      <c r="H89" s="13" t="n">
        <v>-130</v>
      </c>
      <c r="I89" s="15" t="n">
        <v>0.6262273152545805</v>
      </c>
      <c r="J89" s="15" t="n">
        <v>0.5427435387673957</v>
      </c>
      <c r="K89" s="15" t="n">
        <v>0.5652173913043478</v>
      </c>
      <c r="L89" s="14" t="n">
        <v>0.06100992395023275</v>
      </c>
      <c r="M89" s="14" t="n">
        <v>0.1079406346811809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SDSU @ UCLA</t>
        </is>
      </c>
      <c r="C90" s="17" t="inlineStr">
        <is>
          <t>2026-09-12 23:15</t>
        </is>
      </c>
      <c r="D90" s="25" t="n">
        <v>2</v>
      </c>
      <c r="E90" s="17" t="inlineStr">
        <is>
          <t>ATS</t>
        </is>
      </c>
      <c r="F90" s="17" t="inlineStr">
        <is>
          <t>SDSU +10.5</t>
        </is>
      </c>
      <c r="G90" s="26" t="n">
        <v>-10.5</v>
      </c>
      <c r="H90" s="18" t="n">
        <v>-112</v>
      </c>
      <c r="I90" s="20" t="n">
        <v>0.5852482503664516</v>
      </c>
      <c r="J90" s="20" t="n">
        <v>0.5043297540699688</v>
      </c>
      <c r="K90" s="20" t="n">
        <v>0.5283018867924528</v>
      </c>
      <c r="L90" s="19" t="n">
        <v>0.05694636357399874</v>
      </c>
      <c r="M90" s="19" t="n">
        <v>0.1077913310507833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UCF @ PITT</t>
        </is>
      </c>
      <c r="C91" s="12" t="inlineStr">
        <is>
          <t>2026-09-12 19:30</t>
        </is>
      </c>
      <c r="D91" s="22" t="n">
        <v>2</v>
      </c>
      <c r="E91" s="12" t="inlineStr">
        <is>
          <t>ATS</t>
        </is>
      </c>
      <c r="F91" s="12" t="inlineStr">
        <is>
          <t>UCF +8.5</t>
        </is>
      </c>
      <c r="G91" s="23" t="n">
        <v>-8.5</v>
      </c>
      <c r="H91" s="13" t="n">
        <v>-110</v>
      </c>
      <c r="I91" s="15" t="n">
        <v>0.5802682441639312</v>
      </c>
      <c r="J91" s="15" t="n">
        <v>0.5</v>
      </c>
      <c r="K91" s="15" t="n">
        <v>0.5238095238095238</v>
      </c>
      <c r="L91" s="14" t="n">
        <v>0.05645872035440735</v>
      </c>
      <c r="M91" s="14" t="n">
        <v>0.107784829767505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GAST @ KENN</t>
        </is>
      </c>
      <c r="C92" s="17" t="inlineStr">
        <is>
          <t>2026-09-12 23:00</t>
        </is>
      </c>
      <c r="D92" s="25" t="n">
        <v>2</v>
      </c>
      <c r="E92" s="17" t="inlineStr">
        <is>
          <t>ATS</t>
        </is>
      </c>
      <c r="F92" s="17" t="inlineStr">
        <is>
          <t>GAST +9.5</t>
        </is>
      </c>
      <c r="G92" s="26" t="n">
        <v>-9.5</v>
      </c>
      <c r="H92" s="18" t="n">
        <v>-108</v>
      </c>
      <c r="I92" s="20" t="n">
        <v>0.5745077550320316</v>
      </c>
      <c r="J92" s="20" t="n">
        <v>0.4956702459300312</v>
      </c>
      <c r="K92" s="20" t="n">
        <v>0.5192307692307693</v>
      </c>
      <c r="L92" s="19" t="n">
        <v>0.05527698580126228</v>
      </c>
      <c r="M92" s="19" t="n">
        <v>0.1064593800616904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MEM @ BOIS</t>
        </is>
      </c>
      <c r="C93" s="12" t="inlineStr">
        <is>
          <t>2026-09-12 22:00</t>
        </is>
      </c>
      <c r="D93" s="22" t="n">
        <v>2</v>
      </c>
      <c r="E93" s="12" t="inlineStr">
        <is>
          <t>ATS</t>
        </is>
      </c>
      <c r="F93" s="12" t="inlineStr">
        <is>
          <t>MEM +8.5</t>
        </is>
      </c>
      <c r="G93" s="23" t="n">
        <v>-8.5</v>
      </c>
      <c r="H93" s="13" t="n">
        <v>-110</v>
      </c>
      <c r="I93" s="15" t="n">
        <v>0.5785291820074172</v>
      </c>
      <c r="J93" s="15" t="n">
        <v>0.5</v>
      </c>
      <c r="K93" s="15" t="n">
        <v>0.5238095238095238</v>
      </c>
      <c r="L93" s="14" t="n">
        <v>0.05471965819789337</v>
      </c>
      <c r="M93" s="14" t="n">
        <v>0.1044648020141602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USU @ WASH</t>
        </is>
      </c>
      <c r="C94" s="17" t="inlineStr">
        <is>
          <t>2026-09-12 19:30</t>
        </is>
      </c>
      <c r="D94" s="25" t="n">
        <v>2</v>
      </c>
      <c r="E94" s="17" t="inlineStr">
        <is>
          <t>TOTAL</t>
        </is>
      </c>
      <c r="F94" s="17" t="inlineStr">
        <is>
          <t>Under 56.5</t>
        </is>
      </c>
      <c r="G94" s="26" t="n">
        <v>56.5</v>
      </c>
      <c r="H94" s="18" t="n">
        <v>-108</v>
      </c>
      <c r="I94" s="20" t="n">
        <v>0.573731042163146</v>
      </c>
      <c r="J94" s="20" t="n">
        <v>0.4956702459300312</v>
      </c>
      <c r="K94" s="20" t="n">
        <v>0.5192307692307693</v>
      </c>
      <c r="L94" s="19" t="n">
        <v>0.05450027293237669</v>
      </c>
      <c r="M94" s="19" t="n">
        <v>0.1049634886105034</v>
      </c>
      <c r="N94" s="20" t="n">
        <v>0</v>
      </c>
      <c r="O94" s="27" t="n">
        <v>0.4</v>
      </c>
      <c r="P94" s="17" t="inlineStr">
        <is>
          <t>DraftKings</t>
        </is>
      </c>
      <c r="Q94" s="17" t="n"/>
    </row>
    <row r="95">
      <c r="A95" s="12" t="inlineStr">
        <is>
          <t>PASS</t>
        </is>
      </c>
      <c r="B95" s="12" t="inlineStr">
        <is>
          <t>CAL @ SYR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SYR -2.5</t>
        </is>
      </c>
      <c r="G95" s="23" t="n">
        <v>-2.5</v>
      </c>
      <c r="H95" s="13" t="n">
        <v>-108</v>
      </c>
      <c r="I95" s="15" t="n">
        <v>0.5737157059543578</v>
      </c>
      <c r="J95" s="15" t="n">
        <v>0.4956702459300312</v>
      </c>
      <c r="K95" s="15" t="n">
        <v>0.5192307692307693</v>
      </c>
      <c r="L95" s="14" t="n">
        <v>0.05448493672358856</v>
      </c>
      <c r="M95" s="14" t="n">
        <v>0.104933952208393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UTSA @ TXST</t>
        </is>
      </c>
      <c r="C96" s="17" t="inlineStr">
        <is>
          <t>2026-09-12 19:30</t>
        </is>
      </c>
      <c r="D96" s="25" t="n">
        <v>2</v>
      </c>
      <c r="E96" s="17" t="inlineStr">
        <is>
          <t>ATS</t>
        </is>
      </c>
      <c r="F96" s="17" t="inlineStr">
        <is>
          <t>TXST +1.5</t>
        </is>
      </c>
      <c r="G96" s="26" t="n">
        <v>1.5</v>
      </c>
      <c r="H96" s="18" t="n">
        <v>-110</v>
      </c>
      <c r="I96" s="20" t="n">
        <v>0.5771202700429439</v>
      </c>
      <c r="J96" s="20" t="n">
        <v>0.5</v>
      </c>
      <c r="K96" s="20" t="n">
        <v>0.5238095238095238</v>
      </c>
      <c r="L96" s="19" t="n">
        <v>0.05331074623342003</v>
      </c>
      <c r="M96" s="19" t="n">
        <v>0.1017750609910747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ULM @ UAB</t>
        </is>
      </c>
      <c r="C97" s="12" t="inlineStr">
        <is>
          <t>2026-09-12 19:30</t>
        </is>
      </c>
      <c r="D97" s="22" t="n">
        <v>2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330</v>
      </c>
      <c r="I97" s="15" t="n">
        <v>0.2805659686832487</v>
      </c>
      <c r="J97" s="15" t="n">
        <v>0.2231668437832094</v>
      </c>
      <c r="K97" s="15" t="n">
        <v>0.2325581395348837</v>
      </c>
      <c r="L97" s="14" t="n">
        <v>0.04800782914836496</v>
      </c>
      <c r="M97" s="14" t="n">
        <v>0.2064336653379693</v>
      </c>
      <c r="N97" s="15" t="n">
        <v>0</v>
      </c>
      <c r="O97" s="24" t="n">
        <v>0.725</v>
      </c>
      <c r="P97" s="12" t="inlineStr">
        <is>
          <t>DraftKings</t>
        </is>
      </c>
      <c r="Q97" s="12" t="n"/>
    </row>
    <row r="98">
      <c r="A98" s="17" t="inlineStr">
        <is>
          <t>PASS</t>
        </is>
      </c>
      <c r="B98" s="17" t="inlineStr">
        <is>
          <t>ARK @ UTAH</t>
        </is>
      </c>
      <c r="C98" s="17" t="inlineStr">
        <is>
          <t>2026-09-13 02:15</t>
        </is>
      </c>
      <c r="D98" s="25" t="n">
        <v>2</v>
      </c>
      <c r="E98" s="17" t="inlineStr">
        <is>
          <t>ML</t>
        </is>
      </c>
      <c r="F98" s="17" t="inlineStr">
        <is>
          <t>ARK ML</t>
        </is>
      </c>
      <c r="G98" s="26" t="n"/>
      <c r="H98" s="18" t="n">
        <v>340</v>
      </c>
      <c r="I98" s="20" t="n">
        <v>0.274856515547502</v>
      </c>
      <c r="J98" s="20" t="n">
        <v>0.2180936995153474</v>
      </c>
      <c r="K98" s="20" t="n">
        <v>0.2272727272727273</v>
      </c>
      <c r="L98" s="19" t="n">
        <v>0.04758378827477475</v>
      </c>
      <c r="M98" s="19" t="n">
        <v>0.2093686684090089</v>
      </c>
      <c r="N98" s="20" t="n">
        <v>0</v>
      </c>
      <c r="O98" s="27" t="n">
        <v>0.725</v>
      </c>
      <c r="P98" s="17" t="inlineStr">
        <is>
          <t>DraftKings</t>
        </is>
      </c>
      <c r="Q98" s="17" t="n"/>
    </row>
    <row r="99">
      <c r="A99" s="12" t="inlineStr">
        <is>
          <t>PASS</t>
        </is>
      </c>
      <c r="B99" s="12" t="inlineStr">
        <is>
          <t>UCF @ PITT</t>
        </is>
      </c>
      <c r="C99" s="12" t="inlineStr">
        <is>
          <t>2026-09-12 19:30</t>
        </is>
      </c>
      <c r="D99" s="22" t="n">
        <v>2</v>
      </c>
      <c r="E99" s="12" t="inlineStr">
        <is>
          <t>ML</t>
        </is>
      </c>
      <c r="F99" s="12" t="inlineStr">
        <is>
          <t>UCF ML</t>
        </is>
      </c>
      <c r="G99" s="23" t="n"/>
      <c r="H99" s="13" t="n">
        <v>270</v>
      </c>
      <c r="I99" s="15" t="n">
        <v>0.3177389924399775</v>
      </c>
      <c r="J99" s="15" t="n">
        <v>0.2591283863368669</v>
      </c>
      <c r="K99" s="15" t="n">
        <v>0.2702702702702703</v>
      </c>
      <c r="L99" s="14" t="n">
        <v>0.04746872216970721</v>
      </c>
      <c r="M99" s="14" t="n">
        <v>0.1756342720279168</v>
      </c>
      <c r="N99" s="15" t="n">
        <v>0</v>
      </c>
      <c r="O99" s="24" t="n">
        <v>0.725</v>
      </c>
      <c r="P99" s="12" t="inlineStr">
        <is>
          <t>DraftKings</t>
        </is>
      </c>
      <c r="Q99" s="12" t="n"/>
    </row>
    <row r="100">
      <c r="A100" s="17" t="inlineStr">
        <is>
          <t>PASS</t>
        </is>
      </c>
      <c r="B100" s="17" t="inlineStr">
        <is>
          <t>UTSA @ TXST</t>
        </is>
      </c>
      <c r="C100" s="17" t="inlineStr">
        <is>
          <t>2026-09-12 19:30</t>
        </is>
      </c>
      <c r="D100" s="25" t="n">
        <v>2</v>
      </c>
      <c r="E100" s="17" t="inlineStr">
        <is>
          <t>ML</t>
        </is>
      </c>
      <c r="F100" s="17" t="inlineStr">
        <is>
          <t>TXST ML</t>
        </is>
      </c>
      <c r="G100" s="26" t="n"/>
      <c r="H100" s="18" t="n">
        <v>-102</v>
      </c>
      <c r="I100" s="20" t="n">
        <v>0.5512159610148606</v>
      </c>
      <c r="J100" s="20" t="n">
        <v>0.4826358742837298</v>
      </c>
      <c r="K100" s="20" t="n">
        <v>0.504950495049505</v>
      </c>
      <c r="L100" s="19" t="n">
        <v>0.04626546596535563</v>
      </c>
      <c r="M100" s="19" t="n">
        <v>0.09162376593139065</v>
      </c>
      <c r="N100" s="20" t="n">
        <v>0</v>
      </c>
      <c r="O100" s="27" t="n">
        <v>0.725</v>
      </c>
      <c r="P100" s="17" t="inlineStr">
        <is>
          <t>DraftKings</t>
        </is>
      </c>
      <c r="Q100" s="17" t="n"/>
    </row>
    <row r="101">
      <c r="A101" s="12" t="inlineStr">
        <is>
          <t>PASS</t>
        </is>
      </c>
      <c r="B101" s="12" t="inlineStr">
        <is>
          <t>APP @ ECU</t>
        </is>
      </c>
      <c r="C101" s="12" t="inlineStr">
        <is>
          <t>2026-09-12 16:00</t>
        </is>
      </c>
      <c r="D101" s="22" t="n">
        <v>2</v>
      </c>
      <c r="E101" s="12" t="inlineStr">
        <is>
          <t>TOTAL</t>
        </is>
      </c>
      <c r="F101" s="12" t="inlineStr">
        <is>
          <t>Under 56.5</t>
        </is>
      </c>
      <c r="G101" s="23" t="n">
        <v>56.5</v>
      </c>
      <c r="H101" s="13" t="n">
        <v>-112</v>
      </c>
      <c r="I101" s="15" t="n">
        <v>0.5743479870867317</v>
      </c>
      <c r="J101" s="15" t="n">
        <v>0.5043297540699688</v>
      </c>
      <c r="K101" s="15" t="n">
        <v>0.5283018867924528</v>
      </c>
      <c r="L101" s="14" t="n">
        <v>0.04604610029427891</v>
      </c>
      <c r="M101" s="14" t="n">
        <v>0.08715868984274222</v>
      </c>
      <c r="N101" s="15" t="n">
        <v>0</v>
      </c>
      <c r="O101" s="24" t="n">
        <v>0.725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ALA @ UK</t>
        </is>
      </c>
      <c r="C102" s="17" t="inlineStr">
        <is>
          <t>2026-09-12 19:30</t>
        </is>
      </c>
      <c r="D102" s="25" t="n">
        <v>2</v>
      </c>
      <c r="E102" s="17" t="inlineStr">
        <is>
          <t>TOTAL</t>
        </is>
      </c>
      <c r="F102" s="17" t="inlineStr">
        <is>
          <t>Over 48.5</t>
        </is>
      </c>
      <c r="G102" s="26" t="n">
        <v>48.5</v>
      </c>
      <c r="H102" s="18" t="n">
        <v>-110</v>
      </c>
      <c r="I102" s="20" t="n">
        <v>0.5684427337875915</v>
      </c>
      <c r="J102" s="20" t="n">
        <v>0.5</v>
      </c>
      <c r="K102" s="20" t="n">
        <v>0.5238095238095238</v>
      </c>
      <c r="L102" s="19" t="n">
        <v>0.04463320997806763</v>
      </c>
      <c r="M102" s="19" t="n">
        <v>0.08520885541267464</v>
      </c>
      <c r="N102" s="20" t="n">
        <v>0</v>
      </c>
      <c r="O102" s="27" t="n">
        <v>0.725</v>
      </c>
      <c r="P102" s="17" t="inlineStr">
        <is>
          <t>DraftKings</t>
        </is>
      </c>
      <c r="Q102" s="17" t="n"/>
    </row>
    <row r="103">
      <c r="A103" s="12" t="inlineStr">
        <is>
          <t>PASS</t>
        </is>
      </c>
      <c r="B103" s="12" t="inlineStr">
        <is>
          <t>NAVY @ FAU</t>
        </is>
      </c>
      <c r="C103" s="12" t="inlineStr">
        <is>
          <t>2026-09-12 23:30</t>
        </is>
      </c>
      <c r="D103" s="22" t="n">
        <v>2</v>
      </c>
      <c r="E103" s="12" t="inlineStr">
        <is>
          <t>TOTAL</t>
        </is>
      </c>
      <c r="F103" s="12" t="inlineStr">
        <is>
          <t>Under 58.5</t>
        </is>
      </c>
      <c r="G103" s="23" t="n">
        <v>58.5</v>
      </c>
      <c r="H103" s="13" t="n">
        <v>-110</v>
      </c>
      <c r="I103" s="15" t="n">
        <v>0.5684427072964562</v>
      </c>
      <c r="J103" s="15" t="n">
        <v>0.5</v>
      </c>
      <c r="K103" s="15" t="n">
        <v>0.5238095238095238</v>
      </c>
      <c r="L103" s="14" t="n">
        <v>0.04463318348693235</v>
      </c>
      <c r="M103" s="14" t="n">
        <v>0.08520880483868909</v>
      </c>
      <c r="N103" s="15" t="n">
        <v>0</v>
      </c>
      <c r="O103" s="24" t="n">
        <v>0.725</v>
      </c>
      <c r="P103" s="12" t="inlineStr">
        <is>
          <t>DraftKings</t>
        </is>
      </c>
      <c r="Q103" s="12" t="n"/>
    </row>
    <row r="104">
      <c r="A104" s="17" t="inlineStr">
        <is>
          <t>PASS</t>
        </is>
      </c>
      <c r="B104" s="17" t="inlineStr">
        <is>
          <t>APP @ ECU</t>
        </is>
      </c>
      <c r="C104" s="17" t="inlineStr">
        <is>
          <t>2026-09-12 16:00</t>
        </is>
      </c>
      <c r="D104" s="25" t="n">
        <v>2</v>
      </c>
      <c r="E104" s="17" t="inlineStr">
        <is>
          <t>ML</t>
        </is>
      </c>
      <c r="F104" s="17" t="inlineStr">
        <is>
          <t>APP ML</t>
        </is>
      </c>
      <c r="G104" s="26" t="n"/>
      <c r="H104" s="18" t="n">
        <v>260</v>
      </c>
      <c r="I104" s="20" t="n">
        <v>0.3219536798796711</v>
      </c>
      <c r="J104" s="20" t="n">
        <v>0.2664576802507838</v>
      </c>
      <c r="K104" s="20" t="n">
        <v>0.2777777777777778</v>
      </c>
      <c r="L104" s="19" t="n">
        <v>0.04417590210189326</v>
      </c>
      <c r="M104" s="19" t="n">
        <v>0.1590332475668158</v>
      </c>
      <c r="N104" s="20" t="n">
        <v>0</v>
      </c>
      <c r="O104" s="27" t="n">
        <v>0.725</v>
      </c>
      <c r="P104" s="17" t="inlineStr">
        <is>
          <t>DraftKings</t>
        </is>
      </c>
      <c r="Q104" s="17" t="n"/>
    </row>
    <row r="105">
      <c r="A105" s="12" t="inlineStr">
        <is>
          <t>PASS</t>
        </is>
      </c>
      <c r="B105" s="12" t="inlineStr">
        <is>
          <t>MEM @ BOIS</t>
        </is>
      </c>
      <c r="C105" s="12" t="inlineStr">
        <is>
          <t>2026-09-12 22:00</t>
        </is>
      </c>
      <c r="D105" s="22" t="n">
        <v>2</v>
      </c>
      <c r="E105" s="12" t="inlineStr">
        <is>
          <t>ML</t>
        </is>
      </c>
      <c r="F105" s="12" t="inlineStr">
        <is>
          <t>MEM ML</t>
        </is>
      </c>
      <c r="G105" s="23" t="n"/>
      <c r="H105" s="13" t="n">
        <v>260</v>
      </c>
      <c r="I105" s="15" t="n">
        <v>0.3196192822569816</v>
      </c>
      <c r="J105" s="15" t="n">
        <v>0.2664576802507838</v>
      </c>
      <c r="K105" s="15" t="n">
        <v>0.2777777777777778</v>
      </c>
      <c r="L105" s="14" t="n">
        <v>0.04184150447920376</v>
      </c>
      <c r="M105" s="14" t="n">
        <v>0.1506294161251336</v>
      </c>
      <c r="N105" s="15" t="n">
        <v>0</v>
      </c>
      <c r="O105" s="24" t="n">
        <v>0.725</v>
      </c>
      <c r="P105" s="12" t="inlineStr">
        <is>
          <t>DraftKings</t>
        </is>
      </c>
      <c r="Q105" s="12" t="n"/>
    </row>
    <row r="106">
      <c r="A106" s="17" t="inlineStr">
        <is>
          <t>PASS</t>
        </is>
      </c>
      <c r="B106" s="17" t="inlineStr">
        <is>
          <t>LOU @ MISS</t>
        </is>
      </c>
      <c r="C106" s="17" t="inlineStr">
        <is>
          <t>2026-09-06 23:30</t>
        </is>
      </c>
      <c r="D106" s="25" t="n">
        <v>1</v>
      </c>
      <c r="E106" s="17" t="inlineStr">
        <is>
          <t>TOTAL</t>
        </is>
      </c>
      <c r="F106" s="17" t="inlineStr">
        <is>
          <t>Under 55.5</t>
        </is>
      </c>
      <c r="G106" s="26" t="n">
        <v>55.5</v>
      </c>
      <c r="H106" s="18" t="n">
        <v>-115</v>
      </c>
      <c r="I106" s="20" t="n">
        <v>0.575733387248029</v>
      </c>
      <c r="J106" s="20" t="n">
        <v>0.5108342361863488</v>
      </c>
      <c r="K106" s="20" t="n">
        <v>0.5348837209302325</v>
      </c>
      <c r="L106" s="19" t="n">
        <v>0.04084966631779652</v>
      </c>
      <c r="M106" s="19" t="n">
        <v>0.07637111528979335</v>
      </c>
      <c r="N106" s="20" t="n">
        <v>0</v>
      </c>
      <c r="O106" s="27" t="n">
        <v>0.4</v>
      </c>
      <c r="P106" s="17" t="inlineStr">
        <is>
          <t>DraftKings</t>
        </is>
      </c>
      <c r="Q106" s="17" t="n"/>
    </row>
    <row r="107">
      <c r="A107" s="12" t="inlineStr">
        <is>
          <t>PASS</t>
        </is>
      </c>
      <c r="B107" s="12" t="inlineStr">
        <is>
          <t>BUFF @ FIU</t>
        </is>
      </c>
      <c r="C107" s="12" t="inlineStr">
        <is>
          <t>2026-09-12 22:00</t>
        </is>
      </c>
      <c r="D107" s="22" t="n">
        <v>2</v>
      </c>
      <c r="E107" s="12" t="inlineStr">
        <is>
          <t>ML</t>
        </is>
      </c>
      <c r="F107" s="12" t="inlineStr">
        <is>
          <t>BUFF ML</t>
        </is>
      </c>
      <c r="G107" s="23" t="n"/>
      <c r="H107" s="13" t="n">
        <v>295</v>
      </c>
      <c r="I107" s="15" t="n">
        <v>0.2938501644710231</v>
      </c>
      <c r="J107" s="15" t="n">
        <v>0.2428115015974441</v>
      </c>
      <c r="K107" s="15" t="n">
        <v>0.2531645569620253</v>
      </c>
      <c r="L107" s="14" t="n">
        <v>0.04068560750899775</v>
      </c>
      <c r="M107" s="14" t="n">
        <v>0.1607081496605413</v>
      </c>
      <c r="N107" s="15" t="n">
        <v>0</v>
      </c>
      <c r="O107" s="24" t="n">
        <v>0.725</v>
      </c>
      <c r="P107" s="12" t="inlineStr">
        <is>
          <t>DraftKings</t>
        </is>
      </c>
      <c r="Q107" s="12" t="n"/>
    </row>
    <row r="108">
      <c r="A108" s="17" t="inlineStr">
        <is>
          <t>PASS</t>
        </is>
      </c>
      <c r="B108" s="17" t="inlineStr">
        <is>
          <t>OSU @ TEX</t>
        </is>
      </c>
      <c r="C108" s="17" t="inlineStr">
        <is>
          <t>2026-09-12 23:30</t>
        </is>
      </c>
      <c r="D108" s="25" t="n">
        <v>2</v>
      </c>
      <c r="E108" s="17" t="inlineStr">
        <is>
          <t>ML</t>
        </is>
      </c>
      <c r="F108" s="17" t="inlineStr">
        <is>
          <t>TEX ML</t>
        </is>
      </c>
      <c r="G108" s="26" t="n"/>
      <c r="H108" s="18" t="n">
        <v>-115</v>
      </c>
      <c r="I108" s="20" t="n">
        <v>0.5748916225253811</v>
      </c>
      <c r="J108" s="20" t="n">
        <v>0.5108342361863488</v>
      </c>
      <c r="K108" s="20" t="n">
        <v>0.5348837209302325</v>
      </c>
      <c r="L108" s="19" t="n">
        <v>0.04000790159514855</v>
      </c>
      <c r="M108" s="19" t="n">
        <v>0.07479738124310364</v>
      </c>
      <c r="N108" s="20" t="n">
        <v>0</v>
      </c>
      <c r="O108" s="27" t="n">
        <v>0.725</v>
      </c>
      <c r="P108" s="17" t="inlineStr">
        <is>
          <t>DraftKings</t>
        </is>
      </c>
      <c r="Q108" s="17" t="n"/>
    </row>
    <row r="109">
      <c r="A109" s="12" t="inlineStr">
        <is>
          <t>PASS</t>
        </is>
      </c>
      <c r="B109" s="12" t="inlineStr">
        <is>
          <t>WAKE @ PUR</t>
        </is>
      </c>
      <c r="C109" s="12" t="inlineStr">
        <is>
          <t>2026-09-12 16:00</t>
        </is>
      </c>
      <c r="D109" s="22" t="n">
        <v>2</v>
      </c>
      <c r="E109" s="12" t="inlineStr">
        <is>
          <t>TOTAL</t>
        </is>
      </c>
      <c r="F109" s="12" t="inlineStr">
        <is>
          <t>Over 49.5</t>
        </is>
      </c>
      <c r="G109" s="23" t="n">
        <v>49.5</v>
      </c>
      <c r="H109" s="13" t="n">
        <v>-110</v>
      </c>
      <c r="I109" s="15" t="n">
        <v>0.5608843548564783</v>
      </c>
      <c r="J109" s="15" t="n">
        <v>0.5</v>
      </c>
      <c r="K109" s="15" t="n">
        <v>0.5238095238095238</v>
      </c>
      <c r="L109" s="14" t="n">
        <v>0.03707483104695442</v>
      </c>
      <c r="M109" s="14" t="n">
        <v>0.07077922290782213</v>
      </c>
      <c r="N109" s="15" t="n">
        <v>0</v>
      </c>
      <c r="O109" s="24" t="n">
        <v>0.725</v>
      </c>
      <c r="P109" s="12" t="inlineStr">
        <is>
          <t>DraftKings</t>
        </is>
      </c>
      <c r="Q109" s="12" t="n"/>
    </row>
    <row r="110">
      <c r="A110" s="17" t="inlineStr">
        <is>
          <t>PASS</t>
        </is>
      </c>
      <c r="B110" s="17" t="inlineStr">
        <is>
          <t>ARIZ @ BYU</t>
        </is>
      </c>
      <c r="C110" s="17" t="inlineStr">
        <is>
          <t>2026-09-12 19:30</t>
        </is>
      </c>
      <c r="D110" s="25" t="n">
        <v>2</v>
      </c>
      <c r="E110" s="17" t="inlineStr">
        <is>
          <t>ATS</t>
        </is>
      </c>
      <c r="F110" s="17" t="inlineStr">
        <is>
          <t>ARIZ +7.5</t>
        </is>
      </c>
      <c r="G110" s="26" t="n">
        <v>-7.5</v>
      </c>
      <c r="H110" s="18" t="n">
        <v>-108</v>
      </c>
      <c r="I110" s="20" t="n">
        <v>0.5561221325195158</v>
      </c>
      <c r="J110" s="20" t="n">
        <v>0.4956702459300312</v>
      </c>
      <c r="K110" s="20" t="n">
        <v>0.5192307692307693</v>
      </c>
      <c r="L110" s="19" t="n">
        <v>0.03689136328874654</v>
      </c>
      <c r="M110" s="19" t="n">
        <v>0.07105003300054902</v>
      </c>
      <c r="N110" s="20" t="n">
        <v>0</v>
      </c>
      <c r="O110" s="27" t="n">
        <v>0.725</v>
      </c>
      <c r="P110" s="17" t="inlineStr">
        <is>
          <t>DraftKings</t>
        </is>
      </c>
      <c r="Q110" s="17" t="n"/>
    </row>
    <row r="111">
      <c r="A111" s="12" t="inlineStr">
        <is>
          <t>PASS</t>
        </is>
      </c>
      <c r="B111" s="12" t="inlineStr">
        <is>
          <t>SDSU @ UCLA</t>
        </is>
      </c>
      <c r="C111" s="12" t="inlineStr">
        <is>
          <t>2026-09-12 23:15</t>
        </is>
      </c>
      <c r="D111" s="22" t="n">
        <v>2</v>
      </c>
      <c r="E111" s="12" t="inlineStr">
        <is>
          <t>ML</t>
        </is>
      </c>
      <c r="F111" s="12" t="inlineStr">
        <is>
          <t>SDSU ML</t>
        </is>
      </c>
      <c r="G111" s="23" t="n"/>
      <c r="H111" s="13" t="n">
        <v>320</v>
      </c>
      <c r="I111" s="15" t="n">
        <v>0.2748193700690805</v>
      </c>
      <c r="J111" s="15" t="n">
        <v>0.2284946236559139</v>
      </c>
      <c r="K111" s="15" t="n">
        <v>0.2380952380952381</v>
      </c>
      <c r="L111" s="14" t="n">
        <v>0.03672413197384244</v>
      </c>
      <c r="M111" s="14" t="n">
        <v>0.1542413542901383</v>
      </c>
      <c r="N111" s="15" t="n">
        <v>0</v>
      </c>
      <c r="O111" s="24" t="n">
        <v>0.725</v>
      </c>
      <c r="P111" s="12" t="inlineStr">
        <is>
          <t>DraftKings</t>
        </is>
      </c>
      <c r="Q111" s="12" t="n"/>
    </row>
    <row r="112">
      <c r="A112" s="17" t="inlineStr">
        <is>
          <t>PASS</t>
        </is>
      </c>
      <c r="B112" s="17" t="inlineStr">
        <is>
          <t>SDSU @ UCLA</t>
        </is>
      </c>
      <c r="C112" s="17" t="inlineStr">
        <is>
          <t>2026-09-12 23:15</t>
        </is>
      </c>
      <c r="D112" s="25" t="n">
        <v>2</v>
      </c>
      <c r="E112" s="17" t="inlineStr">
        <is>
          <t>TOTAL</t>
        </is>
      </c>
      <c r="F112" s="17" t="inlineStr">
        <is>
          <t>Over 50.5</t>
        </is>
      </c>
      <c r="G112" s="26" t="n">
        <v>50.5</v>
      </c>
      <c r="H112" s="18" t="n">
        <v>-105</v>
      </c>
      <c r="I112" s="20" t="n">
        <v>0.5478144860676011</v>
      </c>
      <c r="J112" s="20" t="n">
        <v>0.4891657638136511</v>
      </c>
      <c r="K112" s="20" t="n">
        <v>0.5121951219512195</v>
      </c>
      <c r="L112" s="19" t="n">
        <v>0.03561936411638156</v>
      </c>
      <c r="M112" s="19" t="n">
        <v>0.06954256803674497</v>
      </c>
      <c r="N112" s="20" t="n">
        <v>0</v>
      </c>
      <c r="O112" s="27" t="n">
        <v>0.725</v>
      </c>
      <c r="P112" s="17" t="inlineStr">
        <is>
          <t>DraftKings</t>
        </is>
      </c>
      <c r="Q112" s="17" t="n"/>
    </row>
    <row r="113">
      <c r="A113" s="12" t="inlineStr">
        <is>
          <t>PASS</t>
        </is>
      </c>
      <c r="B113" s="12" t="inlineStr">
        <is>
          <t>GAST @ KENN</t>
        </is>
      </c>
      <c r="C113" s="12" t="inlineStr">
        <is>
          <t>2026-09-12 23:00</t>
        </is>
      </c>
      <c r="D113" s="22" t="n">
        <v>2</v>
      </c>
      <c r="E113" s="12" t="inlineStr">
        <is>
          <t>ML</t>
        </is>
      </c>
      <c r="F113" s="12" t="inlineStr">
        <is>
          <t>GAST ML</t>
        </is>
      </c>
      <c r="G113" s="23" t="n"/>
      <c r="H113" s="13" t="n">
        <v>270</v>
      </c>
      <c r="I113" s="15" t="n">
        <v>0.3028110281169024</v>
      </c>
      <c r="J113" s="15" t="n">
        <v>0.2591283863368669</v>
      </c>
      <c r="K113" s="15" t="n">
        <v>0.2702702702702703</v>
      </c>
      <c r="L113" s="14" t="n">
        <v>0.03254075784663213</v>
      </c>
      <c r="M113" s="14" t="n">
        <v>0.1204008040325389</v>
      </c>
      <c r="N113" s="15" t="n">
        <v>0</v>
      </c>
      <c r="O113" s="24" t="n">
        <v>0.725</v>
      </c>
      <c r="P113" s="12" t="inlineStr">
        <is>
          <t>DraftKings</t>
        </is>
      </c>
      <c r="Q113" s="12" t="n"/>
    </row>
    <row r="114">
      <c r="A114" s="17" t="inlineStr">
        <is>
          <t>PASS</t>
        </is>
      </c>
      <c r="B114" s="17" t="inlineStr">
        <is>
          <t>DUKE @ ILL</t>
        </is>
      </c>
      <c r="C114" s="17" t="inlineStr">
        <is>
          <t>2026-09-12 19:30</t>
        </is>
      </c>
      <c r="D114" s="25" t="n">
        <v>2</v>
      </c>
      <c r="E114" s="17" t="inlineStr">
        <is>
          <t>TOTAL</t>
        </is>
      </c>
      <c r="F114" s="17" t="inlineStr">
        <is>
          <t>Under 54.5</t>
        </is>
      </c>
      <c r="G114" s="26" t="n">
        <v>54.5</v>
      </c>
      <c r="H114" s="18" t="n">
        <v>-105</v>
      </c>
      <c r="I114" s="20" t="n">
        <v>0.5439561859118005</v>
      </c>
      <c r="J114" s="20" t="n">
        <v>0.4891657638136511</v>
      </c>
      <c r="K114" s="20" t="n">
        <v>0.5121951219512195</v>
      </c>
      <c r="L114" s="19" t="n">
        <v>0.03176106396058098</v>
      </c>
      <c r="M114" s="19" t="n">
        <v>0.06200969630399145</v>
      </c>
      <c r="N114" s="20" t="n">
        <v>0</v>
      </c>
      <c r="O114" s="27" t="n">
        <v>0.725</v>
      </c>
      <c r="P114" s="17" t="inlineStr">
        <is>
          <t>DraftKings</t>
        </is>
      </c>
      <c r="Q114" s="17" t="n"/>
    </row>
    <row r="115">
      <c r="A115" s="12" t="inlineStr">
        <is>
          <t>PASS</t>
        </is>
      </c>
      <c r="B115" s="12" t="inlineStr">
        <is>
          <t>JVST @ OHIO</t>
        </is>
      </c>
      <c r="C115" s="12" t="inlineStr">
        <is>
          <t>2026-09-12 22:00</t>
        </is>
      </c>
      <c r="D115" s="22" t="n">
        <v>2</v>
      </c>
      <c r="E115" s="12" t="inlineStr">
        <is>
          <t>ML</t>
        </is>
      </c>
      <c r="F115" s="12" t="inlineStr">
        <is>
          <t>OHIO ML</t>
        </is>
      </c>
      <c r="G115" s="23" t="n"/>
      <c r="H115" s="13" t="n">
        <v>-118</v>
      </c>
      <c r="I115" s="15" t="n">
        <v>0.572565686841503</v>
      </c>
      <c r="J115" s="15" t="n">
        <v>0.5173641257162701</v>
      </c>
      <c r="K115" s="15" t="n">
        <v>0.5412844036697247</v>
      </c>
      <c r="L115" s="14" t="n">
        <v>0.03128128317177825</v>
      </c>
      <c r="M115" s="14" t="n">
        <v>0.05779084518175975</v>
      </c>
      <c r="N115" s="15" t="n">
        <v>0</v>
      </c>
      <c r="O115" s="24" t="n">
        <v>0.725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OSU @ TEX</t>
        </is>
      </c>
      <c r="C116" s="17" t="inlineStr">
        <is>
          <t>2026-09-12 23:30</t>
        </is>
      </c>
      <c r="D116" s="25" t="n">
        <v>2</v>
      </c>
      <c r="E116" s="17" t="inlineStr">
        <is>
          <t>ATS</t>
        </is>
      </c>
      <c r="F116" s="17" t="inlineStr">
        <is>
          <t>TEX -1.5</t>
        </is>
      </c>
      <c r="G116" s="26" t="n">
        <v>-1.5</v>
      </c>
      <c r="H116" s="18" t="n">
        <v>-108</v>
      </c>
      <c r="I116" s="20" t="n">
        <v>0.5496219092479613</v>
      </c>
      <c r="J116" s="20" t="n">
        <v>0.4956702459300312</v>
      </c>
      <c r="K116" s="20" t="n">
        <v>0.5192307692307693</v>
      </c>
      <c r="L116" s="19" t="n">
        <v>0.03039114001719201</v>
      </c>
      <c r="M116" s="19" t="n">
        <v>0.05853108447755517</v>
      </c>
      <c r="N116" s="20" t="n">
        <v>0</v>
      </c>
      <c r="O116" s="27" t="n">
        <v>0.725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TENN @ GT</t>
        </is>
      </c>
      <c r="C117" s="12" t="inlineStr">
        <is>
          <t>2026-09-12 23:00</t>
        </is>
      </c>
      <c r="D117" s="22" t="n">
        <v>2</v>
      </c>
      <c r="E117" s="12" t="inlineStr">
        <is>
          <t>TOTAL</t>
        </is>
      </c>
      <c r="F117" s="12" t="inlineStr">
        <is>
          <t>Under 55.5</t>
        </is>
      </c>
      <c r="G117" s="23" t="n">
        <v>55.5</v>
      </c>
      <c r="H117" s="13" t="n">
        <v>-112</v>
      </c>
      <c r="I117" s="15" t="n">
        <v>0.5573178869522228</v>
      </c>
      <c r="J117" s="15" t="n">
        <v>0.5043297540699688</v>
      </c>
      <c r="K117" s="15" t="n">
        <v>0.5283018867924528</v>
      </c>
      <c r="L117" s="14" t="n">
        <v>0.02901600015977002</v>
      </c>
      <c r="M117" s="14" t="n">
        <v>0.05492314315956465</v>
      </c>
      <c r="N117" s="15" t="n">
        <v>0</v>
      </c>
      <c r="O117" s="24" t="n">
        <v>0.725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RUTG @ BC</t>
        </is>
      </c>
      <c r="C118" s="17" t="inlineStr">
        <is>
          <t>2026-09-11 23:30</t>
        </is>
      </c>
      <c r="D118" s="25" t="n">
        <v>2</v>
      </c>
      <c r="E118" s="17" t="inlineStr">
        <is>
          <t>TOTAL</t>
        </is>
      </c>
      <c r="F118" s="17" t="inlineStr">
        <is>
          <t>Under 55.5</t>
        </is>
      </c>
      <c r="G118" s="26" t="n">
        <v>55.5</v>
      </c>
      <c r="H118" s="18" t="n">
        <v>-110</v>
      </c>
      <c r="I118" s="20" t="n">
        <v>0.5474368250083941</v>
      </c>
      <c r="J118" s="20" t="n">
        <v>0.5</v>
      </c>
      <c r="K118" s="20" t="n">
        <v>0.5238095238095238</v>
      </c>
      <c r="L118" s="19" t="n">
        <v>0.02362730119887024</v>
      </c>
      <c r="M118" s="19" t="n">
        <v>0.04510666592511603</v>
      </c>
      <c r="N118" s="20" t="n">
        <v>0</v>
      </c>
      <c r="O118" s="27" t="n">
        <v>0.725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GAST @ KENN</t>
        </is>
      </c>
      <c r="C119" s="12" t="inlineStr">
        <is>
          <t>2026-09-12 23:00</t>
        </is>
      </c>
      <c r="D119" s="22" t="n">
        <v>2</v>
      </c>
      <c r="E119" s="12" t="inlineStr">
        <is>
          <t>TOTAL</t>
        </is>
      </c>
      <c r="F119" s="12" t="inlineStr">
        <is>
          <t>Over 50.5</t>
        </is>
      </c>
      <c r="G119" s="23" t="n">
        <v>50.5</v>
      </c>
      <c r="H119" s="13" t="n">
        <v>-112</v>
      </c>
      <c r="I119" s="15" t="n">
        <v>0.5515382091222532</v>
      </c>
      <c r="J119" s="15" t="n">
        <v>0.5043297540699688</v>
      </c>
      <c r="K119" s="15" t="n">
        <v>0.5283018867924528</v>
      </c>
      <c r="L119" s="14" t="n">
        <v>0.02323632232980033</v>
      </c>
      <c r="M119" s="14" t="n">
        <v>0.04398303869569342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JVST @ OHIO</t>
        </is>
      </c>
      <c r="C120" s="17" t="inlineStr">
        <is>
          <t>2026-09-12 22:00</t>
        </is>
      </c>
      <c r="D120" s="25" t="n">
        <v>2</v>
      </c>
      <c r="E120" s="17" t="inlineStr">
        <is>
          <t>ATS</t>
        </is>
      </c>
      <c r="F120" s="17" t="inlineStr">
        <is>
          <t>OHIO -1.5</t>
        </is>
      </c>
      <c r="G120" s="26" t="n">
        <v>-1.5</v>
      </c>
      <c r="H120" s="18" t="n">
        <v>-110</v>
      </c>
      <c r="I120" s="20" t="n">
        <v>0.5460486696882147</v>
      </c>
      <c r="J120" s="20" t="n">
        <v>0.5</v>
      </c>
      <c r="K120" s="20" t="n">
        <v>0.5238095238095238</v>
      </c>
      <c r="L120" s="19" t="n">
        <v>0.02223914587869091</v>
      </c>
      <c r="M120" s="19" t="n">
        <v>0.0424565512229555</v>
      </c>
      <c r="N120" s="20" t="n">
        <v>0</v>
      </c>
      <c r="O120" s="27" t="n">
        <v>0.725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ULM @ UAB</t>
        </is>
      </c>
      <c r="C121" s="12" t="inlineStr">
        <is>
          <t>2026-09-12 19:30</t>
        </is>
      </c>
      <c r="D121" s="22" t="n">
        <v>2</v>
      </c>
      <c r="E121" s="12" t="inlineStr">
        <is>
          <t>TOTAL</t>
        </is>
      </c>
      <c r="F121" s="12" t="inlineStr">
        <is>
          <t>Under 56.5</t>
        </is>
      </c>
      <c r="G121" s="23" t="n">
        <v>56.5</v>
      </c>
      <c r="H121" s="13" t="n">
        <v>-108</v>
      </c>
      <c r="I121" s="15" t="n">
        <v>0.5413851930119231</v>
      </c>
      <c r="J121" s="15" t="n">
        <v>0.4956702459300312</v>
      </c>
      <c r="K121" s="15" t="n">
        <v>0.5192307692307693</v>
      </c>
      <c r="L121" s="14" t="n">
        <v>0.02215442378115384</v>
      </c>
      <c r="M121" s="14" t="n">
        <v>0.04266777913407416</v>
      </c>
      <c r="N121" s="15" t="n">
        <v>0</v>
      </c>
      <c r="O121" s="24" t="n">
        <v>0.725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ARIZ @ BYU</t>
        </is>
      </c>
      <c r="C122" s="17" t="inlineStr">
        <is>
          <t>2026-09-12 19:30</t>
        </is>
      </c>
      <c r="D122" s="25" t="n">
        <v>2</v>
      </c>
      <c r="E122" s="17" t="inlineStr">
        <is>
          <t>ML</t>
        </is>
      </c>
      <c r="F122" s="17" t="inlineStr">
        <is>
          <t>ARIZ ML</t>
        </is>
      </c>
      <c r="G122" s="26" t="n"/>
      <c r="H122" s="18" t="n">
        <v>230</v>
      </c>
      <c r="I122" s="20" t="n">
        <v>0.3246691189178719</v>
      </c>
      <c r="J122" s="20" t="n">
        <v>0.2904564315352697</v>
      </c>
      <c r="K122" s="20" t="n">
        <v>0.303030303030303</v>
      </c>
      <c r="L122" s="19" t="n">
        <v>0.02163881588756883</v>
      </c>
      <c r="M122" s="19" t="n">
        <v>0.07140809242897705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SAC @ FRES</t>
        </is>
      </c>
      <c r="C123" s="12" t="inlineStr">
        <is>
          <t>2026-09-13 02:30</t>
        </is>
      </c>
      <c r="D123" s="22" t="n">
        <v>2</v>
      </c>
      <c r="E123" s="12" t="inlineStr">
        <is>
          <t>TOTAL</t>
        </is>
      </c>
      <c r="F123" s="12" t="inlineStr">
        <is>
          <t>Over 48.5</t>
        </is>
      </c>
      <c r="G123" s="23" t="n">
        <v>48.5</v>
      </c>
      <c r="H123" s="13" t="n">
        <v>-108</v>
      </c>
      <c r="I123" s="15" t="n">
        <v>0.5394353389718693</v>
      </c>
      <c r="J123" s="15" t="n">
        <v>0.4956702459300312</v>
      </c>
      <c r="K123" s="15" t="n">
        <v>0.5192307692307693</v>
      </c>
      <c r="L123" s="14" t="n">
        <v>0.02020456974110008</v>
      </c>
      <c r="M123" s="14" t="n">
        <v>0.03891250468656327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DEL @ VAN</t>
        </is>
      </c>
      <c r="C124" s="17" t="inlineStr">
        <is>
          <t>2026-09-12 20:15</t>
        </is>
      </c>
      <c r="D124" s="25" t="n">
        <v>2</v>
      </c>
      <c r="E124" s="17" t="inlineStr">
        <is>
          <t>TOTAL</t>
        </is>
      </c>
      <c r="F124" s="17" t="inlineStr">
        <is>
          <t>Under 54.5</t>
        </is>
      </c>
      <c r="G124" s="26" t="n">
        <v>54.5</v>
      </c>
      <c r="H124" s="18" t="n">
        <v>-108</v>
      </c>
      <c r="I124" s="20" t="n">
        <v>0.5394352799340024</v>
      </c>
      <c r="J124" s="20" t="n">
        <v>0.4956702459300312</v>
      </c>
      <c r="K124" s="20" t="n">
        <v>0.5192307692307693</v>
      </c>
      <c r="L124" s="19" t="n">
        <v>0.02020451070323315</v>
      </c>
      <c r="M124" s="19" t="n">
        <v>0.03891239098400473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LT @ LSU</t>
        </is>
      </c>
      <c r="C125" s="12" t="inlineStr">
        <is>
          <t>2026-09-12 23:30</t>
        </is>
      </c>
      <c r="D125" s="22" t="n">
        <v>2</v>
      </c>
      <c r="E125" s="12" t="inlineStr">
        <is>
          <t>TOTAL</t>
        </is>
      </c>
      <c r="F125" s="12" t="inlineStr">
        <is>
          <t>Under 55.5</t>
        </is>
      </c>
      <c r="G125" s="23" t="n">
        <v>55.5</v>
      </c>
      <c r="H125" s="13" t="n">
        <v>-112</v>
      </c>
      <c r="I125" s="15" t="n">
        <v>0.5476605596722331</v>
      </c>
      <c r="J125" s="15" t="n">
        <v>0.5043297540699688</v>
      </c>
      <c r="K125" s="15" t="n">
        <v>0.5283018867924528</v>
      </c>
      <c r="L125" s="14" t="n">
        <v>0.01935867287978033</v>
      </c>
      <c r="M125" s="14" t="n">
        <v>0.03664320223672701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MIZ @ KU</t>
        </is>
      </c>
      <c r="C126" s="17" t="inlineStr">
        <is>
          <t>2026-09-12 00:00</t>
        </is>
      </c>
      <c r="D126" s="25" t="n">
        <v>2</v>
      </c>
      <c r="E126" s="17" t="inlineStr">
        <is>
          <t>TOTAL</t>
        </is>
      </c>
      <c r="F126" s="17" t="inlineStr">
        <is>
          <t>Over 50.5</t>
        </is>
      </c>
      <c r="G126" s="26" t="n">
        <v>50.5</v>
      </c>
      <c r="H126" s="18" t="n">
        <v>-115</v>
      </c>
      <c r="I126" s="20" t="n">
        <v>0.5509128230168565</v>
      </c>
      <c r="J126" s="20" t="n">
        <v>0.5108342361863488</v>
      </c>
      <c r="K126" s="20" t="n">
        <v>0.5348837209302325</v>
      </c>
      <c r="L126" s="19" t="n">
        <v>0.016029102086624</v>
      </c>
      <c r="M126" s="19" t="n">
        <v>0.02996745172716647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UCF @ PITT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Under 56.5</t>
        </is>
      </c>
      <c r="G127" s="23" t="n">
        <v>56.5</v>
      </c>
      <c r="H127" s="13" t="n">
        <v>-110</v>
      </c>
      <c r="I127" s="15" t="n">
        <v>0.5396461583071209</v>
      </c>
      <c r="J127" s="15" t="n">
        <v>0.5</v>
      </c>
      <c r="K127" s="15" t="n">
        <v>0.5238095238095238</v>
      </c>
      <c r="L127" s="14" t="n">
        <v>0.01583663449759709</v>
      </c>
      <c r="M127" s="14" t="n">
        <v>0.03023357494995815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ARK @ UTAH</t>
        </is>
      </c>
      <c r="C128" s="17" t="inlineStr">
        <is>
          <t>2026-09-13 02:15</t>
        </is>
      </c>
      <c r="D128" s="25" t="n">
        <v>2</v>
      </c>
      <c r="E128" s="17" t="inlineStr">
        <is>
          <t>TOTAL</t>
        </is>
      </c>
      <c r="F128" s="17" t="inlineStr">
        <is>
          <t>Under 56.5</t>
        </is>
      </c>
      <c r="G128" s="26" t="n">
        <v>56.5</v>
      </c>
      <c r="H128" s="18" t="n">
        <v>-110</v>
      </c>
      <c r="I128" s="20" t="n">
        <v>0.5396461583071209</v>
      </c>
      <c r="J128" s="20" t="n">
        <v>0.5</v>
      </c>
      <c r="K128" s="20" t="n">
        <v>0.5238095238095238</v>
      </c>
      <c r="L128" s="19" t="n">
        <v>0.01583663449759709</v>
      </c>
      <c r="M128" s="19" t="n">
        <v>0.03023357494995815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DUKE @ ILL</t>
        </is>
      </c>
      <c r="C129" s="12" t="inlineStr">
        <is>
          <t>2026-09-12 19:30</t>
        </is>
      </c>
      <c r="D129" s="22" t="n">
        <v>2</v>
      </c>
      <c r="E129" s="12" t="inlineStr">
        <is>
          <t>ATS</t>
        </is>
      </c>
      <c r="F129" s="12" t="inlineStr">
        <is>
          <t>DUKE +7</t>
        </is>
      </c>
      <c r="G129" s="23" t="n">
        <v>-7</v>
      </c>
      <c r="H129" s="13" t="n">
        <v>-112</v>
      </c>
      <c r="I129" s="15" t="n">
        <v>0.541811361632709</v>
      </c>
      <c r="J129" s="15" t="n">
        <v>0.5043297540699688</v>
      </c>
      <c r="K129" s="15" t="n">
        <v>0.5283018867924528</v>
      </c>
      <c r="L129" s="14" t="n">
        <v>0.01350947484025622</v>
      </c>
      <c r="M129" s="14" t="n">
        <v>0.02427474318208661</v>
      </c>
      <c r="N129" s="15" t="n">
        <v>0.0507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MEM @ BOIS</t>
        </is>
      </c>
      <c r="C130" s="17" t="inlineStr">
        <is>
          <t>2026-09-12 22:00</t>
        </is>
      </c>
      <c r="D130" s="25" t="n">
        <v>2</v>
      </c>
      <c r="E130" s="17" t="inlineStr">
        <is>
          <t>TOTAL</t>
        </is>
      </c>
      <c r="F130" s="17" t="inlineStr">
        <is>
          <t>Under 54.5</t>
        </is>
      </c>
      <c r="G130" s="26" t="n">
        <v>54.5</v>
      </c>
      <c r="H130" s="18" t="n">
        <v>-108</v>
      </c>
      <c r="I130" s="20" t="n">
        <v>0.5315965169035887</v>
      </c>
      <c r="J130" s="20" t="n">
        <v>0.4956702459300312</v>
      </c>
      <c r="K130" s="20" t="n">
        <v>0.5192307692307693</v>
      </c>
      <c r="L130" s="19" t="n">
        <v>0.01236574767281939</v>
      </c>
      <c r="M130" s="19" t="n">
        <v>0.0238155140365412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MSST @ MINN</t>
        </is>
      </c>
      <c r="C131" s="12" t="inlineStr">
        <is>
          <t>2026-09-12 19:30</t>
        </is>
      </c>
      <c r="D131" s="22" t="n">
        <v>2</v>
      </c>
      <c r="E131" s="12" t="inlineStr">
        <is>
          <t>TOTAL</t>
        </is>
      </c>
      <c r="F131" s="12" t="inlineStr">
        <is>
          <t>Under 55.5</t>
        </is>
      </c>
      <c r="G131" s="23" t="n">
        <v>55.5</v>
      </c>
      <c r="H131" s="13" t="n">
        <v>-105</v>
      </c>
      <c r="I131" s="15" t="n">
        <v>0.5244040608157894</v>
      </c>
      <c r="J131" s="15" t="n">
        <v>0.4891657638136511</v>
      </c>
      <c r="K131" s="15" t="n">
        <v>0.5121951219512195</v>
      </c>
      <c r="L131" s="14" t="n">
        <v>0.01220893886456986</v>
      </c>
      <c r="M131" s="14" t="n">
        <v>0.02383649968796975</v>
      </c>
      <c r="N131" s="15" t="n">
        <v>0</v>
      </c>
      <c r="O131" s="24" t="n">
        <v>0.725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USF @ ARMY</t>
        </is>
      </c>
      <c r="C132" s="17" t="inlineStr">
        <is>
          <t>2026-09-12 16:00</t>
        </is>
      </c>
      <c r="D132" s="25" t="n">
        <v>2</v>
      </c>
      <c r="E132" s="17" t="inlineStr">
        <is>
          <t>ATS</t>
        </is>
      </c>
      <c r="F132" s="17" t="inlineStr">
        <is>
          <t>ARMY -3</t>
        </is>
      </c>
      <c r="G132" s="26" t="n">
        <v>-3</v>
      </c>
      <c r="H132" s="18" t="n">
        <v>-112</v>
      </c>
      <c r="I132" s="20" t="n">
        <v>0.5400593237770359</v>
      </c>
      <c r="J132" s="20" t="n">
        <v>0.5043297540699688</v>
      </c>
      <c r="K132" s="20" t="n">
        <v>0.5283018867924528</v>
      </c>
      <c r="L132" s="19" t="n">
        <v>0.01175743698458309</v>
      </c>
      <c r="M132" s="19" t="n">
        <v>0.0209169521272578</v>
      </c>
      <c r="N132" s="20" t="n">
        <v>0.0601</v>
      </c>
      <c r="O132" s="27" t="n">
        <v>0.725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USF @ ARMY</t>
        </is>
      </c>
      <c r="C133" s="12" t="inlineStr">
        <is>
          <t>2026-09-12 16:00</t>
        </is>
      </c>
      <c r="D133" s="22" t="n">
        <v>2</v>
      </c>
      <c r="E133" s="12" t="inlineStr">
        <is>
          <t>ML</t>
        </is>
      </c>
      <c r="F133" s="12" t="inlineStr">
        <is>
          <t>ARMY ML</t>
        </is>
      </c>
      <c r="G133" s="23" t="n"/>
      <c r="H133" s="13" t="n">
        <v>-162</v>
      </c>
      <c r="I133" s="15" t="n">
        <v>0.6278349743315188</v>
      </c>
      <c r="J133" s="15" t="n">
        <v>0.5933697541594239</v>
      </c>
      <c r="K133" s="15" t="n">
        <v>0.6183206106870229</v>
      </c>
      <c r="L133" s="14" t="n">
        <v>0.009514363644495871</v>
      </c>
      <c r="M133" s="14" t="n">
        <v>0.01538742762257983</v>
      </c>
      <c r="N133" s="15" t="n">
        <v>0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DUKE @ ILL</t>
        </is>
      </c>
      <c r="C134" s="17" t="inlineStr">
        <is>
          <t>2026-09-12 19:30</t>
        </is>
      </c>
      <c r="D134" s="25" t="n">
        <v>2</v>
      </c>
      <c r="E134" s="17" t="inlineStr">
        <is>
          <t>ML</t>
        </is>
      </c>
      <c r="F134" s="17" t="inlineStr">
        <is>
          <t>DUKE ML</t>
        </is>
      </c>
      <c r="G134" s="26" t="n"/>
      <c r="H134" s="18" t="n">
        <v>220</v>
      </c>
      <c r="I134" s="20" t="n">
        <v>0.3216956919121202</v>
      </c>
      <c r="J134" s="20" t="n">
        <v>0.299837925445705</v>
      </c>
      <c r="K134" s="20" t="n">
        <v>0.3125</v>
      </c>
      <c r="L134" s="19" t="n">
        <v>0.009195691912120219</v>
      </c>
      <c r="M134" s="19" t="n">
        <v>0.02942621411878477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JVST @ OHIO</t>
        </is>
      </c>
      <c r="C135" s="12" t="inlineStr">
        <is>
          <t>2026-09-12 22:00</t>
        </is>
      </c>
      <c r="D135" s="22" t="n">
        <v>2</v>
      </c>
      <c r="E135" s="12" t="inlineStr">
        <is>
          <t>TOTAL</t>
        </is>
      </c>
      <c r="F135" s="12" t="inlineStr">
        <is>
          <t>Over 50.5</t>
        </is>
      </c>
      <c r="G135" s="23" t="n">
        <v>50.5</v>
      </c>
      <c r="H135" s="13" t="n">
        <v>-108</v>
      </c>
      <c r="I135" s="15" t="n">
        <v>0.5276563283782866</v>
      </c>
      <c r="J135" s="15" t="n">
        <v>0.4956702459300312</v>
      </c>
      <c r="K135" s="15" t="n">
        <v>0.5192307692307693</v>
      </c>
      <c r="L135" s="14" t="n">
        <v>0.008425559147517303</v>
      </c>
      <c r="M135" s="14" t="n">
        <v>0.01622700280262607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ASU @ TA&amp;M</t>
        </is>
      </c>
      <c r="C136" s="17" t="inlineStr">
        <is>
          <t>2026-09-12 16:00</t>
        </is>
      </c>
      <c r="D136" s="25" t="n">
        <v>2</v>
      </c>
      <c r="E136" s="17" t="inlineStr">
        <is>
          <t>TOTAL</t>
        </is>
      </c>
      <c r="F136" s="17" t="inlineStr">
        <is>
          <t>Over 51.5</t>
        </is>
      </c>
      <c r="G136" s="26" t="n">
        <v>51.5</v>
      </c>
      <c r="H136" s="18" t="n">
        <v>-108</v>
      </c>
      <c r="I136" s="20" t="n">
        <v>0.5276563195041775</v>
      </c>
      <c r="J136" s="20" t="n">
        <v>0.4956702459300312</v>
      </c>
      <c r="K136" s="20" t="n">
        <v>0.5192307692307693</v>
      </c>
      <c r="L136" s="19" t="n">
        <v>0.008425550273408189</v>
      </c>
      <c r="M136" s="19" t="n">
        <v>0.01622698571174924</v>
      </c>
      <c r="N136" s="20" t="n">
        <v>0</v>
      </c>
      <c r="O136" s="27" t="n">
        <v>0.725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USM @ AUB</t>
        </is>
      </c>
      <c r="C137" s="12" t="inlineStr">
        <is>
          <t>2026-09-12 23:45</t>
        </is>
      </c>
      <c r="D137" s="22" t="n">
        <v>2</v>
      </c>
      <c r="E137" s="12" t="inlineStr">
        <is>
          <t>TOTAL</t>
        </is>
      </c>
      <c r="F137" s="12" t="inlineStr">
        <is>
          <t>Under 52.5</t>
        </is>
      </c>
      <c r="G137" s="23" t="n">
        <v>52.5</v>
      </c>
      <c r="H137" s="13" t="n">
        <v>-105</v>
      </c>
      <c r="I137" s="15" t="n">
        <v>0.5204519724063698</v>
      </c>
      <c r="J137" s="15" t="n">
        <v>0.4891657638136511</v>
      </c>
      <c r="K137" s="15" t="n">
        <v>0.5121951219512195</v>
      </c>
      <c r="L137" s="14" t="n">
        <v>0.008256850455150233</v>
      </c>
      <c r="M137" s="14" t="n">
        <v>0.01612051755529331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WSU @ KSU</t>
        </is>
      </c>
      <c r="C138" s="17" t="inlineStr">
        <is>
          <t>2026-09-12 16:00</t>
        </is>
      </c>
      <c r="D138" s="25" t="n">
        <v>2</v>
      </c>
      <c r="E138" s="17" t="inlineStr">
        <is>
          <t>TOTAL</t>
        </is>
      </c>
      <c r="F138" s="17" t="inlineStr">
        <is>
          <t>Over 51.5</t>
        </is>
      </c>
      <c r="G138" s="26" t="n">
        <v>51.5</v>
      </c>
      <c r="H138" s="18" t="n">
        <v>-110</v>
      </c>
      <c r="I138" s="20" t="n">
        <v>0.5317928833776088</v>
      </c>
      <c r="J138" s="20" t="n">
        <v>0.5</v>
      </c>
      <c r="K138" s="20" t="n">
        <v>0.5238095238095238</v>
      </c>
      <c r="L138" s="19" t="n">
        <v>0.007983359568084936</v>
      </c>
      <c r="M138" s="19" t="n">
        <v>0.015240959175435</v>
      </c>
      <c r="N138" s="20" t="n">
        <v>0</v>
      </c>
      <c r="O138" s="27" t="n">
        <v>0.4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NDSU @ AFA</t>
        </is>
      </c>
      <c r="C139" s="12" t="inlineStr">
        <is>
          <t>2026-09-13 02:00</t>
        </is>
      </c>
      <c r="D139" s="22" t="n">
        <v>2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-115</v>
      </c>
      <c r="I139" s="15" t="n">
        <v>0.5391785783415708</v>
      </c>
      <c r="J139" s="15" t="n">
        <v>0.5108342361863488</v>
      </c>
      <c r="K139" s="15" t="n">
        <v>0.5348837209302325</v>
      </c>
      <c r="L139" s="14" t="n">
        <v>0.004294857411338282</v>
      </c>
      <c r="M139" s="14" t="n">
        <v>0.008029516029893158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RUTG @ BC</t>
        </is>
      </c>
      <c r="C140" s="17" t="inlineStr">
        <is>
          <t>2026-09-11 23:30</t>
        </is>
      </c>
      <c r="D140" s="25" t="n">
        <v>2</v>
      </c>
      <c r="E140" s="17" t="inlineStr">
        <is>
          <t>ML</t>
        </is>
      </c>
      <c r="F140" s="17" t="inlineStr">
        <is>
          <t>BC ML</t>
        </is>
      </c>
      <c r="G140" s="26" t="n"/>
      <c r="H140" s="18" t="n">
        <v>-175</v>
      </c>
      <c r="I140" s="20" t="n">
        <v>0.6384130600275438</v>
      </c>
      <c r="J140" s="20" t="n">
        <v>0.6092362344582594</v>
      </c>
      <c r="K140" s="20" t="n">
        <v>0.6363636363636364</v>
      </c>
      <c r="L140" s="19" t="n">
        <v>0.002049423663907479</v>
      </c>
      <c r="M140" s="19" t="n">
        <v>0.003220522900426015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PSU @ TEM</t>
        </is>
      </c>
      <c r="C141" s="12" t="inlineStr">
        <is>
          <t>2026-09-12 16:00</t>
        </is>
      </c>
      <c r="D141" s="22" t="n">
        <v>2</v>
      </c>
      <c r="E141" s="12" t="inlineStr">
        <is>
          <t>TOTAL</t>
        </is>
      </c>
      <c r="F141" s="12" t="inlineStr">
        <is>
          <t>Over 50.5</t>
        </is>
      </c>
      <c r="G141" s="23" t="n">
        <v>50.5</v>
      </c>
      <c r="H141" s="13" t="n">
        <v>-115</v>
      </c>
      <c r="I141" s="15" t="n">
        <v>0.5352383235064454</v>
      </c>
      <c r="J141" s="15" t="n">
        <v>0.5108342361863488</v>
      </c>
      <c r="K141" s="15" t="n">
        <v>0.5348837209302325</v>
      </c>
      <c r="L141" s="14" t="n">
        <v>0.0003546025762128924</v>
      </c>
      <c r="M141" s="14" t="n">
        <v>0.000662952642484782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TLSA @ SHSU</t>
        </is>
      </c>
      <c r="C142" s="17" t="inlineStr">
        <is>
          <t>2026-09-12 23:00</t>
        </is>
      </c>
      <c r="D142" s="25" t="n">
        <v>2</v>
      </c>
      <c r="E142" s="17" t="inlineStr">
        <is>
          <t>TOTAL</t>
        </is>
      </c>
      <c r="F142" s="17" t="inlineStr">
        <is>
          <t>Under 52.5</t>
        </is>
      </c>
      <c r="G142" s="26" t="n">
        <v>52.5</v>
      </c>
      <c r="H142" s="18" t="n">
        <v>-110</v>
      </c>
      <c r="I142" s="20" t="n">
        <v>0.5238890988524141</v>
      </c>
      <c r="J142" s="20" t="n">
        <v>0.5</v>
      </c>
      <c r="K142" s="20" t="n">
        <v>0.5238095238095238</v>
      </c>
      <c r="L142" s="19" t="n">
        <v>7.957504289024531e-05</v>
      </c>
      <c r="M142" s="19" t="n">
        <v>0.0001519159909723622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BUFF @ FIU</t>
        </is>
      </c>
      <c r="C143" s="12" t="inlineStr">
        <is>
          <t>2026-09-12 22:00</t>
        </is>
      </c>
      <c r="D143" s="22" t="n">
        <v>2</v>
      </c>
      <c r="E143" s="12" t="inlineStr">
        <is>
          <t>TOTAL</t>
        </is>
      </c>
      <c r="F143" s="12" t="inlineStr">
        <is>
          <t>Over 49.5</t>
        </is>
      </c>
      <c r="G143" s="23" t="n">
        <v>49.5</v>
      </c>
      <c r="H143" s="13" t="n">
        <v>-110</v>
      </c>
      <c r="I143" s="15" t="n">
        <v>0.5219067947917317</v>
      </c>
      <c r="J143" s="15" t="n">
        <v>0.5</v>
      </c>
      <c r="K143" s="15" t="n">
        <v>0.5238095238095238</v>
      </c>
      <c r="L143" s="14" t="n">
        <v>-0.001902729017792093</v>
      </c>
      <c r="M143" s="14" t="n">
        <v>-0.003632482670330284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RUTG @ BC</t>
        </is>
      </c>
      <c r="C144" s="17" t="inlineStr">
        <is>
          <t>2026-09-11 23:30</t>
        </is>
      </c>
      <c r="D144" s="25" t="n">
        <v>2</v>
      </c>
      <c r="E144" s="17" t="inlineStr">
        <is>
          <t>ATS</t>
        </is>
      </c>
      <c r="F144" s="17" t="inlineStr">
        <is>
          <t>BC -3.5</t>
        </is>
      </c>
      <c r="G144" s="26" t="n">
        <v>-3.5</v>
      </c>
      <c r="H144" s="18" t="n">
        <v>-112</v>
      </c>
      <c r="I144" s="20" t="n">
        <v>0.5256175959572096</v>
      </c>
      <c r="J144" s="20" t="n">
        <v>0.5043297540699688</v>
      </c>
      <c r="K144" s="20" t="n">
        <v>0.5283018867924528</v>
      </c>
      <c r="L144" s="19" t="n">
        <v>-0.002684290835243242</v>
      </c>
      <c r="M144" s="19" t="n">
        <v>-0.005080979080996195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USA @ TULN</t>
        </is>
      </c>
      <c r="C145" s="12" t="inlineStr">
        <is>
          <t>2026-09-12 23:00</t>
        </is>
      </c>
      <c r="D145" s="22" t="n">
        <v>2</v>
      </c>
      <c r="E145" s="12" t="inlineStr">
        <is>
          <t>TOTAL</t>
        </is>
      </c>
      <c r="F145" s="12" t="inlineStr">
        <is>
          <t>Under 51.5</t>
        </is>
      </c>
      <c r="G145" s="23" t="n">
        <v>51.5</v>
      </c>
      <c r="H145" s="13" t="n">
        <v>-105</v>
      </c>
      <c r="I145" s="15" t="n">
        <v>0.5085402419354313</v>
      </c>
      <c r="J145" s="15" t="n">
        <v>0.4891657638136511</v>
      </c>
      <c r="K145" s="15" t="n">
        <v>0.5121951219512195</v>
      </c>
      <c r="L145" s="14" t="n">
        <v>-0.003654880015788176</v>
      </c>
      <c r="M145" s="14" t="n">
        <v>-0.007135718126062618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USF @ ARMY</t>
        </is>
      </c>
      <c r="C146" s="17" t="inlineStr">
        <is>
          <t>2026-09-12 16:00</t>
        </is>
      </c>
      <c r="D146" s="25" t="n">
        <v>2</v>
      </c>
      <c r="E146" s="17" t="inlineStr">
        <is>
          <t>TOTAL</t>
        </is>
      </c>
      <c r="F146" s="17" t="inlineStr">
        <is>
          <t>Over 50.5</t>
        </is>
      </c>
      <c r="G146" s="26" t="n">
        <v>50.5</v>
      </c>
      <c r="H146" s="18" t="n">
        <v>-112</v>
      </c>
      <c r="I146" s="20" t="n">
        <v>0.5240716538936481</v>
      </c>
      <c r="J146" s="20" t="n">
        <v>0.5043297540699688</v>
      </c>
      <c r="K146" s="20" t="n">
        <v>0.5283018867924528</v>
      </c>
      <c r="L146" s="19" t="n">
        <v>-0.004230232898804753</v>
      </c>
      <c r="M146" s="19" t="n">
        <v>-0.008007226558451874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ODU @ VT</t>
        </is>
      </c>
      <c r="C147" s="12" t="inlineStr">
        <is>
          <t>2026-09-12 16:00</t>
        </is>
      </c>
      <c r="D147" s="22" t="n">
        <v>2</v>
      </c>
      <c r="E147" s="12" t="inlineStr">
        <is>
          <t>TOTAL</t>
        </is>
      </c>
      <c r="F147" s="12" t="inlineStr">
        <is>
          <t>Over 51.5</t>
        </is>
      </c>
      <c r="G147" s="23" t="n">
        <v>51.5</v>
      </c>
      <c r="H147" s="13" t="n">
        <v>-110</v>
      </c>
      <c r="I147" s="15" t="n">
        <v>0.5179356689269923</v>
      </c>
      <c r="J147" s="15" t="n">
        <v>0.5</v>
      </c>
      <c r="K147" s="15" t="n">
        <v>0.5238095238095238</v>
      </c>
      <c r="L147" s="14" t="n">
        <v>-0.00587385488253156</v>
      </c>
      <c r="M147" s="14" t="n">
        <v>-0.01121372295756018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CAL @ SYR</t>
        </is>
      </c>
      <c r="C148" s="17" t="inlineStr">
        <is>
          <t>2026-09-12 19:30</t>
        </is>
      </c>
      <c r="D148" s="25" t="n">
        <v>2</v>
      </c>
      <c r="E148" s="17" t="inlineStr">
        <is>
          <t>TOTAL</t>
        </is>
      </c>
      <c r="F148" s="17" t="inlineStr">
        <is>
          <t>Under 54.5</t>
        </is>
      </c>
      <c r="G148" s="26" t="n">
        <v>54.5</v>
      </c>
      <c r="H148" s="18" t="n">
        <v>-105</v>
      </c>
      <c r="I148" s="20" t="n">
        <v>0.5045564329484108</v>
      </c>
      <c r="J148" s="20" t="n">
        <v>0.4891657638136511</v>
      </c>
      <c r="K148" s="20" t="n">
        <v>0.5121951219512195</v>
      </c>
      <c r="L148" s="19" t="n">
        <v>-0.00763868900280873</v>
      </c>
      <c r="M148" s="19" t="n">
        <v>-0.01491363091024561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TTU @ ORST</t>
        </is>
      </c>
      <c r="C149" s="12" t="inlineStr">
        <is>
          <t>2026-09-12 23:30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-108</v>
      </c>
      <c r="I149" s="15" t="n">
        <v>0.5098012284358664</v>
      </c>
      <c r="J149" s="15" t="n">
        <v>0.4956702459300312</v>
      </c>
      <c r="K149" s="15" t="n">
        <v>0.5192307692307693</v>
      </c>
      <c r="L149" s="14" t="n">
        <v>-0.00942954079490288</v>
      </c>
      <c r="M149" s="14" t="n">
        <v>-0.01816059708647949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WKU @ UGA</t>
        </is>
      </c>
      <c r="C150" s="17" t="inlineStr">
        <is>
          <t>2026-09-12 16:45</t>
        </is>
      </c>
      <c r="D150" s="25" t="n">
        <v>2</v>
      </c>
      <c r="E150" s="17" t="inlineStr">
        <is>
          <t>TOTAL</t>
        </is>
      </c>
      <c r="F150" s="17" t="inlineStr">
        <is>
          <t>Over 52.5</t>
        </is>
      </c>
      <c r="G150" s="26" t="n">
        <v>52.5</v>
      </c>
      <c r="H150" s="18" t="n">
        <v>-108</v>
      </c>
      <c r="I150" s="20" t="n">
        <v>0.5058151780039191</v>
      </c>
      <c r="J150" s="20" t="n">
        <v>0.4956702459300312</v>
      </c>
      <c r="K150" s="20" t="n">
        <v>0.5192307692307693</v>
      </c>
      <c r="L150" s="19" t="n">
        <v>-0.01341559122685021</v>
      </c>
      <c r="M150" s="19" t="n">
        <v>-0.02583743495541507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NMSU @ HAW</t>
        </is>
      </c>
      <c r="C151" s="12" t="inlineStr">
        <is>
          <t>2026-09-13 03:59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-105</v>
      </c>
      <c r="I151" s="15" t="n">
        <v>0.4985736751688912</v>
      </c>
      <c r="J151" s="15" t="n">
        <v>0.4891657638136511</v>
      </c>
      <c r="K151" s="15" t="n">
        <v>0.5121951219512195</v>
      </c>
      <c r="L151" s="14" t="n">
        <v>-0.01362144678232835</v>
      </c>
      <c r="M151" s="14" t="n">
        <v>-0.02659425324168868</v>
      </c>
      <c r="N151" s="15" t="n">
        <v>0</v>
      </c>
      <c r="O151" s="24" t="n">
        <v>0.839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ARIZ @ BYU</t>
        </is>
      </c>
      <c r="C152" s="17" t="inlineStr">
        <is>
          <t>2026-09-12 19:30</t>
        </is>
      </c>
      <c r="D152" s="25" t="n">
        <v>2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-110</v>
      </c>
      <c r="I152" s="20" t="n">
        <v>0.5099735765478127</v>
      </c>
      <c r="J152" s="20" t="n">
        <v>0.5</v>
      </c>
      <c r="K152" s="20" t="n">
        <v>0.5238095238095238</v>
      </c>
      <c r="L152" s="19" t="n">
        <v>-0.01383594726171111</v>
      </c>
      <c r="M152" s="19" t="n">
        <v>-0.02641408113599386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SMU @ FSU</t>
        </is>
      </c>
      <c r="C153" s="12" t="inlineStr">
        <is>
          <t>2026-09-07 23:30</t>
        </is>
      </c>
      <c r="D153" s="22" t="n">
        <v>1</v>
      </c>
      <c r="E153" s="12" t="inlineStr">
        <is>
          <t>TOTAL</t>
        </is>
      </c>
      <c r="F153" s="12" t="inlineStr">
        <is>
          <t>Under 52.5</t>
        </is>
      </c>
      <c r="G153" s="23" t="n">
        <v>52.5</v>
      </c>
      <c r="H153" s="13" t="n">
        <v>-105</v>
      </c>
      <c r="I153" s="15" t="n">
        <v>0.4945828676053019</v>
      </c>
      <c r="J153" s="15" t="n">
        <v>0.4891657638136511</v>
      </c>
      <c r="K153" s="15" t="n">
        <v>0.5121951219512195</v>
      </c>
      <c r="L153" s="14" t="n">
        <v>-0.01761225434591762</v>
      </c>
      <c r="M153" s="14" t="n">
        <v>-0.03438582991345823</v>
      </c>
      <c r="N153" s="15" t="n">
        <v>0</v>
      </c>
      <c r="O153" s="24" t="n">
        <v>0.4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RICE @ ND</t>
        </is>
      </c>
      <c r="C154" s="17" t="inlineStr">
        <is>
          <t>2026-09-12 19:30</t>
        </is>
      </c>
      <c r="D154" s="25" t="n">
        <v>2</v>
      </c>
      <c r="E154" s="17" t="inlineStr">
        <is>
          <t>TOTAL</t>
        </is>
      </c>
      <c r="F154" s="17" t="inlineStr">
        <is>
          <t>Under 52.5</t>
        </is>
      </c>
      <c r="G154" s="26" t="n">
        <v>52.5</v>
      </c>
      <c r="H154" s="18" t="n">
        <v>-110</v>
      </c>
      <c r="I154" s="20" t="n">
        <v>0.5059857147105115</v>
      </c>
      <c r="J154" s="20" t="n">
        <v>0.5</v>
      </c>
      <c r="K154" s="20" t="n">
        <v>0.5238095238095238</v>
      </c>
      <c r="L154" s="19" t="n">
        <v>-0.01782380909901238</v>
      </c>
      <c r="M154" s="19" t="n">
        <v>-0.03402727191629629</v>
      </c>
      <c r="N154" s="20" t="n">
        <v>0</v>
      </c>
      <c r="O154" s="27" t="n">
        <v>0.4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EMU @ MSU</t>
        </is>
      </c>
      <c r="C155" s="12" t="inlineStr">
        <is>
          <t>2026-09-12 19:30</t>
        </is>
      </c>
      <c r="D155" s="22" t="n">
        <v>2</v>
      </c>
      <c r="E155" s="12" t="inlineStr">
        <is>
          <t>TOTAL</t>
        </is>
      </c>
      <c r="F155" s="12" t="inlineStr">
        <is>
          <t>Under 51.5</t>
        </is>
      </c>
      <c r="G155" s="23" t="n">
        <v>51.5</v>
      </c>
      <c r="H155" s="13" t="n">
        <v>-108</v>
      </c>
      <c r="I155" s="15" t="n">
        <v>0.4998306071624703</v>
      </c>
      <c r="J155" s="15" t="n">
        <v>0.4956702459300312</v>
      </c>
      <c r="K155" s="15" t="n">
        <v>0.5192307692307693</v>
      </c>
      <c r="L155" s="14" t="n">
        <v>-0.01940016206829898</v>
      </c>
      <c r="M155" s="14" t="n">
        <v>-0.0373632750945016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MD @ CONN</t>
        </is>
      </c>
      <c r="C156" s="17" t="inlineStr">
        <is>
          <t>2026-09-12 19:30</t>
        </is>
      </c>
      <c r="D156" s="25" t="n">
        <v>2</v>
      </c>
      <c r="E156" s="17" t="inlineStr">
        <is>
          <t>TOTAL</t>
        </is>
      </c>
      <c r="F156" s="17" t="inlineStr">
        <is>
          <t>Over 53.5</t>
        </is>
      </c>
      <c r="G156" s="26" t="n">
        <v>53.5</v>
      </c>
      <c r="H156" s="18" t="n">
        <v>-110</v>
      </c>
      <c r="I156" s="20" t="n">
        <v>0.5039908277153654</v>
      </c>
      <c r="J156" s="20" t="n">
        <v>0.5</v>
      </c>
      <c r="K156" s="20" t="n">
        <v>0.5238095238095238</v>
      </c>
      <c r="L156" s="19" t="n">
        <v>-0.01981869609415843</v>
      </c>
      <c r="M156" s="19" t="n">
        <v>-0.03783569254339325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BGSU @ NEB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-112</v>
      </c>
      <c r="I157" s="15" t="n">
        <v>0.5061557197338721</v>
      </c>
      <c r="J157" s="15" t="n">
        <v>0.5043297540699688</v>
      </c>
      <c r="K157" s="15" t="n">
        <v>0.5283018867924528</v>
      </c>
      <c r="L157" s="14" t="n">
        <v>-0.02214616705858075</v>
      </c>
      <c r="M157" s="14" t="n">
        <v>-0.0419195305037422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BGSU @ NEB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Under 51.5</t>
        </is>
      </c>
      <c r="G158" s="26" t="n">
        <v>51.5</v>
      </c>
      <c r="H158" s="18" t="n">
        <v>-108</v>
      </c>
      <c r="I158" s="20" t="n">
        <v>0.4938442802661279</v>
      </c>
      <c r="J158" s="20" t="n">
        <v>0.4956702459300312</v>
      </c>
      <c r="K158" s="20" t="n">
        <v>0.5192307692307693</v>
      </c>
      <c r="L158" s="19" t="n">
        <v>-0.02538648896464135</v>
      </c>
      <c r="M158" s="19" t="n">
        <v>-0.04889249726523504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MD @ CONN</t>
        </is>
      </c>
      <c r="C159" s="12" t="inlineStr">
        <is>
          <t>2026-09-12 19:30</t>
        </is>
      </c>
      <c r="D159" s="22" t="n">
        <v>2</v>
      </c>
      <c r="E159" s="12" t="inlineStr">
        <is>
          <t>TOTAL</t>
        </is>
      </c>
      <c r="F159" s="12" t="inlineStr">
        <is>
          <t>Under 53.5</t>
        </is>
      </c>
      <c r="G159" s="23" t="n">
        <v>53.5</v>
      </c>
      <c r="H159" s="13" t="n">
        <v>-110</v>
      </c>
      <c r="I159" s="15" t="n">
        <v>0.4960091722846346</v>
      </c>
      <c r="J159" s="15" t="n">
        <v>0.5</v>
      </c>
      <c r="K159" s="15" t="n">
        <v>0.5238095238095238</v>
      </c>
      <c r="L159" s="14" t="n">
        <v>-0.02780035152488924</v>
      </c>
      <c r="M159" s="14" t="n">
        <v>-0.05307339836569758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EMU @ MSU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Over 51.5</t>
        </is>
      </c>
      <c r="G160" s="26" t="n">
        <v>51.5</v>
      </c>
      <c r="H160" s="18" t="n">
        <v>-112</v>
      </c>
      <c r="I160" s="20" t="n">
        <v>0.5001693928375297</v>
      </c>
      <c r="J160" s="20" t="n">
        <v>0.5043297540699688</v>
      </c>
      <c r="K160" s="20" t="n">
        <v>0.5283018867924528</v>
      </c>
      <c r="L160" s="19" t="n">
        <v>-0.02813249395492312</v>
      </c>
      <c r="M160" s="19" t="n">
        <v>-0.05325079212896167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SMU @ FSU</t>
        </is>
      </c>
      <c r="C161" s="12" t="inlineStr">
        <is>
          <t>2026-09-07 23:30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-115</v>
      </c>
      <c r="I161" s="15" t="n">
        <v>0.5054171323946981</v>
      </c>
      <c r="J161" s="15" t="n">
        <v>0.5108342361863488</v>
      </c>
      <c r="K161" s="15" t="n">
        <v>0.5348837209302325</v>
      </c>
      <c r="L161" s="14" t="n">
        <v>-0.02946658853553441</v>
      </c>
      <c r="M161" s="14" t="n">
        <v>-0.05508970900121668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RICE @ ND</t>
        </is>
      </c>
      <c r="C162" s="17" t="inlineStr">
        <is>
          <t>2026-09-12 19:30</t>
        </is>
      </c>
      <c r="D162" s="25" t="n">
        <v>2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0.4940142852894885</v>
      </c>
      <c r="J162" s="20" t="n">
        <v>0.5</v>
      </c>
      <c r="K162" s="20" t="n">
        <v>0.5238095238095238</v>
      </c>
      <c r="L162" s="19" t="n">
        <v>-0.02979523852003529</v>
      </c>
      <c r="M162" s="19" t="n">
        <v>-0.05688181899279454</v>
      </c>
      <c r="N162" s="20" t="n">
        <v>0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NMSU @ HAW</t>
        </is>
      </c>
      <c r="C163" s="12" t="inlineStr">
        <is>
          <t>2026-09-13 03:59</t>
        </is>
      </c>
      <c r="D163" s="22" t="n">
        <v>2</v>
      </c>
      <c r="E163" s="12" t="inlineStr">
        <is>
          <t>TOTAL</t>
        </is>
      </c>
      <c r="F163" s="12" t="inlineStr">
        <is>
          <t>Over 51.5</t>
        </is>
      </c>
      <c r="G163" s="23" t="n">
        <v>51.5</v>
      </c>
      <c r="H163" s="13" t="n">
        <v>-115</v>
      </c>
      <c r="I163" s="15" t="n">
        <v>0.5014263248311088</v>
      </c>
      <c r="J163" s="15" t="n">
        <v>0.5108342361863488</v>
      </c>
      <c r="K163" s="15" t="n">
        <v>0.5348837209302325</v>
      </c>
      <c r="L163" s="14" t="n">
        <v>-0.03345739609912368</v>
      </c>
      <c r="M163" s="14" t="n">
        <v>-0.06255078401140529</v>
      </c>
      <c r="N163" s="15" t="n">
        <v>0</v>
      </c>
      <c r="O163" s="24" t="n">
        <v>0.839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ARIZ @ BYU</t>
        </is>
      </c>
      <c r="C164" s="17" t="inlineStr">
        <is>
          <t>2026-09-12 19:30</t>
        </is>
      </c>
      <c r="D164" s="25" t="n">
        <v>2</v>
      </c>
      <c r="E164" s="17" t="inlineStr">
        <is>
          <t>TOTAL</t>
        </is>
      </c>
      <c r="F164" s="17" t="inlineStr">
        <is>
          <t>Under 51.5</t>
        </is>
      </c>
      <c r="G164" s="26" t="n">
        <v>51.5</v>
      </c>
      <c r="H164" s="18" t="n">
        <v>-110</v>
      </c>
      <c r="I164" s="20" t="n">
        <v>0.4900264234521873</v>
      </c>
      <c r="J164" s="20" t="n">
        <v>0.5</v>
      </c>
      <c r="K164" s="20" t="n">
        <v>0.5238095238095238</v>
      </c>
      <c r="L164" s="19" t="n">
        <v>-0.03378310035733656</v>
      </c>
      <c r="M164" s="19" t="n">
        <v>-0.06449500977309697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WKU @ UGA</t>
        </is>
      </c>
      <c r="C165" s="12" t="inlineStr">
        <is>
          <t>2026-09-12 16:45</t>
        </is>
      </c>
      <c r="D165" s="22" t="n">
        <v>2</v>
      </c>
      <c r="E165" s="12" t="inlineStr">
        <is>
          <t>TOTAL</t>
        </is>
      </c>
      <c r="F165" s="12" t="inlineStr">
        <is>
          <t>Under 52.5</t>
        </is>
      </c>
      <c r="G165" s="23" t="n">
        <v>52.5</v>
      </c>
      <c r="H165" s="13" t="n">
        <v>-112</v>
      </c>
      <c r="I165" s="15" t="n">
        <v>0.4941848219960809</v>
      </c>
      <c r="J165" s="15" t="n">
        <v>0.5043297540699688</v>
      </c>
      <c r="K165" s="15" t="n">
        <v>0.5283018867924528</v>
      </c>
      <c r="L165" s="14" t="n">
        <v>-0.03411706479637189</v>
      </c>
      <c r="M165" s="14" t="n">
        <v>-0.06457872979313256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TTU @ ORST</t>
        </is>
      </c>
      <c r="C166" s="17" t="inlineStr">
        <is>
          <t>2026-09-12 23:30</t>
        </is>
      </c>
      <c r="D166" s="25" t="n">
        <v>2</v>
      </c>
      <c r="E166" s="17" t="inlineStr">
        <is>
          <t>TOTAL</t>
        </is>
      </c>
      <c r="F166" s="17" t="inlineStr">
        <is>
          <t>Under 50.5</t>
        </is>
      </c>
      <c r="G166" s="26" t="n">
        <v>50.5</v>
      </c>
      <c r="H166" s="18" t="n">
        <v>-112</v>
      </c>
      <c r="I166" s="20" t="n">
        <v>0.4901987715641336</v>
      </c>
      <c r="J166" s="20" t="n">
        <v>0.5043297540699688</v>
      </c>
      <c r="K166" s="20" t="n">
        <v>0.5283018867924528</v>
      </c>
      <c r="L166" s="19" t="n">
        <v>-0.03810311522831922</v>
      </c>
      <c r="M166" s="19" t="n">
        <v>-0.07212375382503283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CAL @ SYR</t>
        </is>
      </c>
      <c r="C167" s="12" t="inlineStr">
        <is>
          <t>2026-09-12 19:30</t>
        </is>
      </c>
      <c r="D167" s="22" t="n">
        <v>2</v>
      </c>
      <c r="E167" s="12" t="inlineStr">
        <is>
          <t>TOTAL</t>
        </is>
      </c>
      <c r="F167" s="12" t="inlineStr">
        <is>
          <t>Over 54.5</t>
        </is>
      </c>
      <c r="G167" s="23" t="n">
        <v>54.5</v>
      </c>
      <c r="H167" s="13" t="n">
        <v>-115</v>
      </c>
      <c r="I167" s="15" t="n">
        <v>0.4954435670515892</v>
      </c>
      <c r="J167" s="15" t="n">
        <v>0.5108342361863488</v>
      </c>
      <c r="K167" s="15" t="n">
        <v>0.5348837209302325</v>
      </c>
      <c r="L167" s="14" t="n">
        <v>-0.0394401538786433</v>
      </c>
      <c r="M167" s="14" t="n">
        <v>-0.07373593986007243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ODU @ VT</t>
        </is>
      </c>
      <c r="C168" s="17" t="inlineStr">
        <is>
          <t>2026-09-12 16:00</t>
        </is>
      </c>
      <c r="D168" s="25" t="n">
        <v>2</v>
      </c>
      <c r="E168" s="17" t="inlineStr">
        <is>
          <t>TOTAL</t>
        </is>
      </c>
      <c r="F168" s="17" t="inlineStr">
        <is>
          <t>Under 51.5</t>
        </is>
      </c>
      <c r="G168" s="26" t="n">
        <v>51.5</v>
      </c>
      <c r="H168" s="18" t="n">
        <v>-110</v>
      </c>
      <c r="I168" s="20" t="n">
        <v>0.4820643310730077</v>
      </c>
      <c r="J168" s="20" t="n">
        <v>0.5</v>
      </c>
      <c r="K168" s="20" t="n">
        <v>0.5238095238095238</v>
      </c>
      <c r="L168" s="19" t="n">
        <v>-0.04174519273651611</v>
      </c>
      <c r="M168" s="19" t="n">
        <v>-0.07969536795153065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USF @ ARMY</t>
        </is>
      </c>
      <c r="C169" s="12" t="inlineStr">
        <is>
          <t>2026-09-12 16:00</t>
        </is>
      </c>
      <c r="D169" s="22" t="n">
        <v>2</v>
      </c>
      <c r="E169" s="12" t="inlineStr">
        <is>
          <t>TOTAL</t>
        </is>
      </c>
      <c r="F169" s="12" t="inlineStr">
        <is>
          <t>Under 50.5</t>
        </is>
      </c>
      <c r="G169" s="23" t="n">
        <v>50.5</v>
      </c>
      <c r="H169" s="13" t="n">
        <v>-108</v>
      </c>
      <c r="I169" s="15" t="n">
        <v>0.4759283461063519</v>
      </c>
      <c r="J169" s="15" t="n">
        <v>0.4956702459300312</v>
      </c>
      <c r="K169" s="15" t="n">
        <v>0.5192307692307693</v>
      </c>
      <c r="L169" s="14" t="n">
        <v>-0.04330242312441734</v>
      </c>
      <c r="M169" s="14" t="n">
        <v>-0.08339725935072956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USA @ TULN</t>
        </is>
      </c>
      <c r="C170" s="17" t="inlineStr">
        <is>
          <t>2026-09-12 23:00</t>
        </is>
      </c>
      <c r="D170" s="25" t="n">
        <v>2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-115</v>
      </c>
      <c r="I170" s="20" t="n">
        <v>0.4914597580645687</v>
      </c>
      <c r="J170" s="20" t="n">
        <v>0.5108342361863488</v>
      </c>
      <c r="K170" s="20" t="n">
        <v>0.5348837209302325</v>
      </c>
      <c r="L170" s="19" t="n">
        <v>-0.04342396286566386</v>
      </c>
      <c r="M170" s="19" t="n">
        <v>-0.08118393057493695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RUTG @ BC</t>
        </is>
      </c>
      <c r="C171" s="12" t="inlineStr">
        <is>
          <t>2026-09-11 23:30</t>
        </is>
      </c>
      <c r="D171" s="22" t="n">
        <v>2</v>
      </c>
      <c r="E171" s="12" t="inlineStr">
        <is>
          <t>ATS</t>
        </is>
      </c>
      <c r="F171" s="12" t="inlineStr">
        <is>
          <t>RUTG +3.5</t>
        </is>
      </c>
      <c r="G171" s="23" t="n">
        <v>-3.5</v>
      </c>
      <c r="H171" s="13" t="n">
        <v>-108</v>
      </c>
      <c r="I171" s="15" t="n">
        <v>0.4743824040427904</v>
      </c>
      <c r="J171" s="15" t="n">
        <v>0.4956702459300312</v>
      </c>
      <c r="K171" s="15" t="n">
        <v>0.5192307692307693</v>
      </c>
      <c r="L171" s="14" t="n">
        <v>-0.04484836518797886</v>
      </c>
      <c r="M171" s="14" t="n">
        <v>-0.0863746292509221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BUFF @ FIU</t>
        </is>
      </c>
      <c r="C172" s="17" t="inlineStr">
        <is>
          <t>2026-09-12 22:00</t>
        </is>
      </c>
      <c r="D172" s="25" t="n">
        <v>2</v>
      </c>
      <c r="E172" s="17" t="inlineStr">
        <is>
          <t>TOTAL</t>
        </is>
      </c>
      <c r="F172" s="17" t="inlineStr">
        <is>
          <t>Under 49.5</t>
        </is>
      </c>
      <c r="G172" s="26" t="n">
        <v>49.5</v>
      </c>
      <c r="H172" s="18" t="n">
        <v>-110</v>
      </c>
      <c r="I172" s="20" t="n">
        <v>0.4780932052082683</v>
      </c>
      <c r="J172" s="20" t="n">
        <v>0.5</v>
      </c>
      <c r="K172" s="20" t="n">
        <v>0.5238095238095238</v>
      </c>
      <c r="L172" s="19" t="n">
        <v>-0.04571631860125558</v>
      </c>
      <c r="M172" s="19" t="n">
        <v>-0.08727660823876054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RUTG @ BC</t>
        </is>
      </c>
      <c r="C173" s="12" t="inlineStr">
        <is>
          <t>2026-09-11 23:30</t>
        </is>
      </c>
      <c r="D173" s="22" t="n">
        <v>2</v>
      </c>
      <c r="E173" s="12" t="inlineStr">
        <is>
          <t>ML</t>
        </is>
      </c>
      <c r="F173" s="12" t="inlineStr">
        <is>
          <t>RUTG ML</t>
        </is>
      </c>
      <c r="G173" s="23" t="n"/>
      <c r="H173" s="13" t="n">
        <v>145</v>
      </c>
      <c r="I173" s="15" t="n">
        <v>0.3615869399724562</v>
      </c>
      <c r="J173" s="15" t="n">
        <v>0.3907637655417407</v>
      </c>
      <c r="K173" s="15" t="n">
        <v>0.4081632653061225</v>
      </c>
      <c r="L173" s="14" t="n">
        <v>-0.04657632533366629</v>
      </c>
      <c r="M173" s="14" t="n">
        <v>-0.1141119970674823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PSU @ TEM</t>
        </is>
      </c>
      <c r="C174" s="17" t="inlineStr">
        <is>
          <t>2026-09-12 16:00</t>
        </is>
      </c>
      <c r="D174" s="25" t="n">
        <v>2</v>
      </c>
      <c r="E174" s="17" t="inlineStr">
        <is>
          <t>TOTAL</t>
        </is>
      </c>
      <c r="F174" s="17" t="inlineStr">
        <is>
          <t>Under 50.5</t>
        </is>
      </c>
      <c r="G174" s="26" t="n">
        <v>50.5</v>
      </c>
      <c r="H174" s="18" t="n">
        <v>-105</v>
      </c>
      <c r="I174" s="20" t="n">
        <v>0.4647616764935546</v>
      </c>
      <c r="J174" s="20" t="n">
        <v>0.4891657638136511</v>
      </c>
      <c r="K174" s="20" t="n">
        <v>0.5121951219512195</v>
      </c>
      <c r="L174" s="19" t="n">
        <v>-0.04743344545766492</v>
      </c>
      <c r="M174" s="19" t="n">
        <v>-0.09260815541734579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TLSA @ SHSU</t>
        </is>
      </c>
      <c r="C175" s="12" t="inlineStr">
        <is>
          <t>2026-09-12 23:00</t>
        </is>
      </c>
      <c r="D175" s="22" t="n">
        <v>2</v>
      </c>
      <c r="E175" s="12" t="inlineStr">
        <is>
          <t>TOTAL</t>
        </is>
      </c>
      <c r="F175" s="12" t="inlineStr">
        <is>
          <t>Over 52.5</t>
        </is>
      </c>
      <c r="G175" s="23" t="n">
        <v>52.5</v>
      </c>
      <c r="H175" s="13" t="n">
        <v>-110</v>
      </c>
      <c r="I175" s="15" t="n">
        <v>0.476110901147586</v>
      </c>
      <c r="J175" s="15" t="n">
        <v>0.5</v>
      </c>
      <c r="K175" s="15" t="n">
        <v>0.5238095238095238</v>
      </c>
      <c r="L175" s="14" t="n">
        <v>-0.04769862266193786</v>
      </c>
      <c r="M175" s="14" t="n">
        <v>-0.09106100690006314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NDSU @ AFA</t>
        </is>
      </c>
      <c r="C176" s="17" t="inlineStr">
        <is>
          <t>2026-09-13 02:00</t>
        </is>
      </c>
      <c r="D176" s="25" t="n">
        <v>2</v>
      </c>
      <c r="E176" s="17" t="inlineStr">
        <is>
          <t>TOTAL</t>
        </is>
      </c>
      <c r="F176" s="17" t="inlineStr">
        <is>
          <t>Under 48.5</t>
        </is>
      </c>
      <c r="G176" s="26" t="n">
        <v>48.5</v>
      </c>
      <c r="H176" s="18" t="n">
        <v>-105</v>
      </c>
      <c r="I176" s="20" t="n">
        <v>0.4608214216584292</v>
      </c>
      <c r="J176" s="20" t="n">
        <v>0.4891657638136511</v>
      </c>
      <c r="K176" s="20" t="n">
        <v>0.5121951219512195</v>
      </c>
      <c r="L176" s="19" t="n">
        <v>-0.05137370029279031</v>
      </c>
      <c r="M176" s="19" t="n">
        <v>-0.1003010339049716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DUKE @ ILL</t>
        </is>
      </c>
      <c r="C177" s="12" t="inlineStr">
        <is>
          <t>2026-09-12 19:30</t>
        </is>
      </c>
      <c r="D177" s="22" t="n">
        <v>2</v>
      </c>
      <c r="E177" s="12" t="inlineStr">
        <is>
          <t>ML</t>
        </is>
      </c>
      <c r="F177" s="12" t="inlineStr">
        <is>
          <t>ILL ML</t>
        </is>
      </c>
      <c r="G177" s="23" t="n"/>
      <c r="H177" s="13" t="n">
        <v>-270</v>
      </c>
      <c r="I177" s="15" t="n">
        <v>0.6783043080878798</v>
      </c>
      <c r="J177" s="15" t="n">
        <v>0.7001620745542949</v>
      </c>
      <c r="K177" s="15" t="n">
        <v>0.7297297297297297</v>
      </c>
      <c r="L177" s="14" t="n">
        <v>-0.05142542164184993</v>
      </c>
      <c r="M177" s="14" t="n">
        <v>-0.07047187410179445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USF @ ARMY</t>
        </is>
      </c>
      <c r="C178" s="17" t="inlineStr">
        <is>
          <t>2026-09-12 16:00</t>
        </is>
      </c>
      <c r="D178" s="25" t="n">
        <v>2</v>
      </c>
      <c r="E178" s="17" t="inlineStr">
        <is>
          <t>ML</t>
        </is>
      </c>
      <c r="F178" s="17" t="inlineStr">
        <is>
          <t>USF ML</t>
        </is>
      </c>
      <c r="G178" s="26" t="n"/>
      <c r="H178" s="18" t="n">
        <v>136</v>
      </c>
      <c r="I178" s="20" t="n">
        <v>0.3721650256684812</v>
      </c>
      <c r="J178" s="20" t="n">
        <v>0.4066302458405761</v>
      </c>
      <c r="K178" s="20" t="n">
        <v>0.423728813559322</v>
      </c>
      <c r="L178" s="19" t="n">
        <v>-0.05156378789084082</v>
      </c>
      <c r="M178" s="19" t="n">
        <v>-0.1216905394223843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USM @ AUB</t>
        </is>
      </c>
      <c r="C179" s="12" t="inlineStr">
        <is>
          <t>2026-09-12 23:45</t>
        </is>
      </c>
      <c r="D179" s="22" t="n">
        <v>2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-115</v>
      </c>
      <c r="I179" s="15" t="n">
        <v>0.4795480275936302</v>
      </c>
      <c r="J179" s="15" t="n">
        <v>0.5108342361863488</v>
      </c>
      <c r="K179" s="15" t="n">
        <v>0.5348837209302325</v>
      </c>
      <c r="L179" s="14" t="n">
        <v>-0.05533569333660227</v>
      </c>
      <c r="M179" s="14" t="n">
        <v>-0.1034536875423435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WSU @ KSU</t>
        </is>
      </c>
      <c r="C180" s="17" t="inlineStr">
        <is>
          <t>2026-09-12 16:00</t>
        </is>
      </c>
      <c r="D180" s="25" t="n">
        <v>2</v>
      </c>
      <c r="E180" s="17" t="inlineStr">
        <is>
          <t>TOTAL</t>
        </is>
      </c>
      <c r="F180" s="17" t="inlineStr">
        <is>
          <t>Under 51.5</t>
        </is>
      </c>
      <c r="G180" s="26" t="n">
        <v>51.5</v>
      </c>
      <c r="H180" s="18" t="n">
        <v>-110</v>
      </c>
      <c r="I180" s="20" t="n">
        <v>0.4682071166223912</v>
      </c>
      <c r="J180" s="20" t="n">
        <v>0.5</v>
      </c>
      <c r="K180" s="20" t="n">
        <v>0.5238095238095238</v>
      </c>
      <c r="L180" s="19" t="n">
        <v>-0.05560240718713261</v>
      </c>
      <c r="M180" s="19" t="n">
        <v>-0.1061500500845258</v>
      </c>
      <c r="N180" s="20" t="n">
        <v>0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ASU @ TA&amp;M</t>
        </is>
      </c>
      <c r="C181" s="12" t="inlineStr">
        <is>
          <t>2026-09-12 16:00</t>
        </is>
      </c>
      <c r="D181" s="22" t="n">
        <v>2</v>
      </c>
      <c r="E181" s="12" t="inlineStr">
        <is>
          <t>TOTAL</t>
        </is>
      </c>
      <c r="F181" s="12" t="inlineStr">
        <is>
          <t>Under 51.5</t>
        </is>
      </c>
      <c r="G181" s="23" t="n">
        <v>51.5</v>
      </c>
      <c r="H181" s="13" t="n">
        <v>-112</v>
      </c>
      <c r="I181" s="15" t="n">
        <v>0.4723436804958225</v>
      </c>
      <c r="J181" s="15" t="n">
        <v>0.5043297540699688</v>
      </c>
      <c r="K181" s="15" t="n">
        <v>0.5283018867924528</v>
      </c>
      <c r="L181" s="14" t="n">
        <v>-0.05595820629663029</v>
      </c>
      <c r="M181" s="14" t="n">
        <v>-0.1059208904900502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JVST @ OHIO</t>
        </is>
      </c>
      <c r="C182" s="17" t="inlineStr">
        <is>
          <t>2026-09-12 22:00</t>
        </is>
      </c>
      <c r="D182" s="25" t="n">
        <v>2</v>
      </c>
      <c r="E182" s="17" t="inlineStr">
        <is>
          <t>TOTAL</t>
        </is>
      </c>
      <c r="F182" s="17" t="inlineStr">
        <is>
          <t>Under 50.5</t>
        </is>
      </c>
      <c r="G182" s="26" t="n">
        <v>50.5</v>
      </c>
      <c r="H182" s="18" t="n">
        <v>-112</v>
      </c>
      <c r="I182" s="20" t="n">
        <v>0.4723436716217134</v>
      </c>
      <c r="J182" s="20" t="n">
        <v>0.5043297540699688</v>
      </c>
      <c r="K182" s="20" t="n">
        <v>0.5283018867924528</v>
      </c>
      <c r="L182" s="19" t="n">
        <v>-0.0559582151707394</v>
      </c>
      <c r="M182" s="19" t="n">
        <v>-0.1059209072874711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MSST @ MINN</t>
        </is>
      </c>
      <c r="C183" s="12" t="inlineStr">
        <is>
          <t>2026-09-12 19:30</t>
        </is>
      </c>
      <c r="D183" s="22" t="n">
        <v>2</v>
      </c>
      <c r="E183" s="12" t="inlineStr">
        <is>
          <t>TOTAL</t>
        </is>
      </c>
      <c r="F183" s="12" t="inlineStr">
        <is>
          <t>Over 55.5</t>
        </is>
      </c>
      <c r="G183" s="23" t="n">
        <v>55.5</v>
      </c>
      <c r="H183" s="13" t="n">
        <v>-115</v>
      </c>
      <c r="I183" s="15" t="n">
        <v>0.4755959391842106</v>
      </c>
      <c r="J183" s="15" t="n">
        <v>0.5108342361863488</v>
      </c>
      <c r="K183" s="15" t="n">
        <v>0.5348837209302325</v>
      </c>
      <c r="L183" s="14" t="n">
        <v>-0.05928778174602195</v>
      </c>
      <c r="M183" s="14" t="n">
        <v>-0.1108423745686498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USF @ ARMY</t>
        </is>
      </c>
      <c r="C184" s="17" t="inlineStr">
        <is>
          <t>2026-09-12 16:00</t>
        </is>
      </c>
      <c r="D184" s="25" t="n">
        <v>2</v>
      </c>
      <c r="E184" s="17" t="inlineStr">
        <is>
          <t>ATS</t>
        </is>
      </c>
      <c r="F184" s="17" t="inlineStr">
        <is>
          <t>USF +3</t>
        </is>
      </c>
      <c r="G184" s="26" t="n">
        <v>-3</v>
      </c>
      <c r="H184" s="18" t="n">
        <v>-108</v>
      </c>
      <c r="I184" s="20" t="n">
        <v>0.4599406762229641</v>
      </c>
      <c r="J184" s="20" t="n">
        <v>0.4956702459300312</v>
      </c>
      <c r="K184" s="20" t="n">
        <v>0.5192307692307693</v>
      </c>
      <c r="L184" s="19" t="n">
        <v>-0.05929009300780519</v>
      </c>
      <c r="M184" s="19" t="n">
        <v>-0.1073222120589791</v>
      </c>
      <c r="N184" s="20" t="n">
        <v>0.0601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MEM @ BOIS</t>
        </is>
      </c>
      <c r="C185" s="12" t="inlineStr">
        <is>
          <t>2026-09-12 22:00</t>
        </is>
      </c>
      <c r="D185" s="22" t="n">
        <v>2</v>
      </c>
      <c r="E185" s="12" t="inlineStr">
        <is>
          <t>TOTAL</t>
        </is>
      </c>
      <c r="F185" s="12" t="inlineStr">
        <is>
          <t>Over 54.5</t>
        </is>
      </c>
      <c r="G185" s="23" t="n">
        <v>54.5</v>
      </c>
      <c r="H185" s="13" t="n">
        <v>-112</v>
      </c>
      <c r="I185" s="15" t="n">
        <v>0.4684034830964113</v>
      </c>
      <c r="J185" s="15" t="n">
        <v>0.5043297540699688</v>
      </c>
      <c r="K185" s="15" t="n">
        <v>0.5283018867924528</v>
      </c>
      <c r="L185" s="14" t="n">
        <v>-0.05989840369604149</v>
      </c>
      <c r="M185" s="14" t="n">
        <v>-0.1133791212817928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DUKE @ ILL</t>
        </is>
      </c>
      <c r="C186" s="17" t="inlineStr">
        <is>
          <t>2026-09-12 19:30</t>
        </is>
      </c>
      <c r="D186" s="25" t="n">
        <v>2</v>
      </c>
      <c r="E186" s="17" t="inlineStr">
        <is>
          <t>ATS</t>
        </is>
      </c>
      <c r="F186" s="17" t="inlineStr">
        <is>
          <t>ILL -7</t>
        </is>
      </c>
      <c r="G186" s="26" t="n">
        <v>-7</v>
      </c>
      <c r="H186" s="18" t="n">
        <v>-108</v>
      </c>
      <c r="I186" s="20" t="n">
        <v>0.458188638367291</v>
      </c>
      <c r="J186" s="20" t="n">
        <v>0.4956702459300312</v>
      </c>
      <c r="K186" s="20" t="n">
        <v>0.5192307692307693</v>
      </c>
      <c r="L186" s="19" t="n">
        <v>-0.06104213086347832</v>
      </c>
      <c r="M186" s="19" t="n">
        <v>-0.1116008760887254</v>
      </c>
      <c r="N186" s="20" t="n">
        <v>0.0507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MIZ @ KU</t>
        </is>
      </c>
      <c r="C187" s="12" t="inlineStr">
        <is>
          <t>2026-09-12 00:00</t>
        </is>
      </c>
      <c r="D187" s="22" t="n">
        <v>2</v>
      </c>
      <c r="E187" s="12" t="inlineStr">
        <is>
          <t>TOTAL</t>
        </is>
      </c>
      <c r="F187" s="12" t="inlineStr">
        <is>
          <t>Under 50.5</t>
        </is>
      </c>
      <c r="G187" s="23" t="n">
        <v>50.5</v>
      </c>
      <c r="H187" s="13" t="n">
        <v>-105</v>
      </c>
      <c r="I187" s="15" t="n">
        <v>0.4490871769831435</v>
      </c>
      <c r="J187" s="15" t="n">
        <v>0.4891657638136511</v>
      </c>
      <c r="K187" s="15" t="n">
        <v>0.5121951219512195</v>
      </c>
      <c r="L187" s="14" t="n">
        <v>-0.06310794496807604</v>
      </c>
      <c r="M187" s="14" t="n">
        <v>-0.123210749699577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UCF @ PITT</t>
        </is>
      </c>
      <c r="C188" s="17" t="inlineStr">
        <is>
          <t>2026-09-12 19:30</t>
        </is>
      </c>
      <c r="D188" s="25" t="n">
        <v>2</v>
      </c>
      <c r="E188" s="17" t="inlineStr">
        <is>
          <t>TOTAL</t>
        </is>
      </c>
      <c r="F188" s="17" t="inlineStr">
        <is>
          <t>Over 56.5</t>
        </is>
      </c>
      <c r="G188" s="26" t="n">
        <v>56.5</v>
      </c>
      <c r="H188" s="18" t="n">
        <v>-110</v>
      </c>
      <c r="I188" s="20" t="n">
        <v>0.4603538416928791</v>
      </c>
      <c r="J188" s="20" t="n">
        <v>0.5</v>
      </c>
      <c r="K188" s="20" t="n">
        <v>0.5238095238095238</v>
      </c>
      <c r="L188" s="19" t="n">
        <v>-0.06345568211664476</v>
      </c>
      <c r="M188" s="19" t="n">
        <v>-0.121142665859049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ARK @ UTAH</t>
        </is>
      </c>
      <c r="C189" s="12" t="inlineStr">
        <is>
          <t>2026-09-13 02:15</t>
        </is>
      </c>
      <c r="D189" s="22" t="n">
        <v>2</v>
      </c>
      <c r="E189" s="12" t="inlineStr">
        <is>
          <t>TOTAL</t>
        </is>
      </c>
      <c r="F189" s="12" t="inlineStr">
        <is>
          <t>Over 56.5</t>
        </is>
      </c>
      <c r="G189" s="23" t="n">
        <v>56.5</v>
      </c>
      <c r="H189" s="13" t="n">
        <v>-110</v>
      </c>
      <c r="I189" s="15" t="n">
        <v>0.4603538416928791</v>
      </c>
      <c r="J189" s="15" t="n">
        <v>0.5</v>
      </c>
      <c r="K189" s="15" t="n">
        <v>0.5238095238095238</v>
      </c>
      <c r="L189" s="14" t="n">
        <v>-0.06345568211664476</v>
      </c>
      <c r="M189" s="14" t="n">
        <v>-0.121142665859049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ARIZ @ BYU</t>
        </is>
      </c>
      <c r="C190" s="17" t="inlineStr">
        <is>
          <t>2026-09-12 19:30</t>
        </is>
      </c>
      <c r="D190" s="25" t="n">
        <v>2</v>
      </c>
      <c r="E190" s="17" t="inlineStr">
        <is>
          <t>ML</t>
        </is>
      </c>
      <c r="F190" s="17" t="inlineStr">
        <is>
          <t>BYU ML</t>
        </is>
      </c>
      <c r="G190" s="26" t="n"/>
      <c r="H190" s="18" t="n">
        <v>-285</v>
      </c>
      <c r="I190" s="20" t="n">
        <v>0.6753308810821281</v>
      </c>
      <c r="J190" s="20" t="n">
        <v>0.7095435684647302</v>
      </c>
      <c r="K190" s="20" t="n">
        <v>0.7402597402597403</v>
      </c>
      <c r="L190" s="19" t="n">
        <v>-0.06492885917761215</v>
      </c>
      <c r="M190" s="19" t="n">
        <v>-0.08771091502940587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LT @ LSU</t>
        </is>
      </c>
      <c r="C191" s="12" t="inlineStr">
        <is>
          <t>2026-09-12 23:30</t>
        </is>
      </c>
      <c r="D191" s="22" t="n">
        <v>2</v>
      </c>
      <c r="E191" s="12" t="inlineStr">
        <is>
          <t>TOTAL</t>
        </is>
      </c>
      <c r="F191" s="12" t="inlineStr">
        <is>
          <t>Over 55.5</t>
        </is>
      </c>
      <c r="G191" s="23" t="n">
        <v>55.5</v>
      </c>
      <c r="H191" s="13" t="n">
        <v>-108</v>
      </c>
      <c r="I191" s="15" t="n">
        <v>0.4523394403277669</v>
      </c>
      <c r="J191" s="15" t="n">
        <v>0.4956702459300312</v>
      </c>
      <c r="K191" s="15" t="n">
        <v>0.5192307692307693</v>
      </c>
      <c r="L191" s="14" t="n">
        <v>-0.06689132890300242</v>
      </c>
      <c r="M191" s="14" t="n">
        <v>-0.1288277445539305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DEL @ VAN</t>
        </is>
      </c>
      <c r="C192" s="17" t="inlineStr">
        <is>
          <t>2026-09-12 20:15</t>
        </is>
      </c>
      <c r="D192" s="25" t="n">
        <v>2</v>
      </c>
      <c r="E192" s="17" t="inlineStr">
        <is>
          <t>TOTAL</t>
        </is>
      </c>
      <c r="F192" s="17" t="inlineStr">
        <is>
          <t>Over 54.5</t>
        </is>
      </c>
      <c r="G192" s="26" t="n">
        <v>54.5</v>
      </c>
      <c r="H192" s="18" t="n">
        <v>-112</v>
      </c>
      <c r="I192" s="20" t="n">
        <v>0.4605647200659976</v>
      </c>
      <c r="J192" s="20" t="n">
        <v>0.5043297540699688</v>
      </c>
      <c r="K192" s="20" t="n">
        <v>0.5283018867924528</v>
      </c>
      <c r="L192" s="19" t="n">
        <v>-0.06773716672645524</v>
      </c>
      <c r="M192" s="19" t="n">
        <v>-0.128216779875076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SAC @ FRES</t>
        </is>
      </c>
      <c r="C193" s="12" t="inlineStr">
        <is>
          <t>2026-09-13 02:30</t>
        </is>
      </c>
      <c r="D193" s="22" t="n">
        <v>2</v>
      </c>
      <c r="E193" s="12" t="inlineStr">
        <is>
          <t>TOTAL</t>
        </is>
      </c>
      <c r="F193" s="12" t="inlineStr">
        <is>
          <t>Under 48.5</t>
        </is>
      </c>
      <c r="G193" s="23" t="n">
        <v>48.5</v>
      </c>
      <c r="H193" s="13" t="n">
        <v>-112</v>
      </c>
      <c r="I193" s="15" t="n">
        <v>0.4605646610281307</v>
      </c>
      <c r="J193" s="15" t="n">
        <v>0.5043297540699688</v>
      </c>
      <c r="K193" s="15" t="n">
        <v>0.5283018867924528</v>
      </c>
      <c r="L193" s="14" t="n">
        <v>-0.06773722576432217</v>
      </c>
      <c r="M193" s="14" t="n">
        <v>-0.1282168916253242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ULM @ UAB</t>
        </is>
      </c>
      <c r="C194" s="17" t="inlineStr">
        <is>
          <t>2026-09-12 19:30</t>
        </is>
      </c>
      <c r="D194" s="25" t="n">
        <v>2</v>
      </c>
      <c r="E194" s="17" t="inlineStr">
        <is>
          <t>TOTAL</t>
        </is>
      </c>
      <c r="F194" s="17" t="inlineStr">
        <is>
          <t>Over 56.5</t>
        </is>
      </c>
      <c r="G194" s="26" t="n">
        <v>56.5</v>
      </c>
      <c r="H194" s="18" t="n">
        <v>-112</v>
      </c>
      <c r="I194" s="20" t="n">
        <v>0.4586148069880768</v>
      </c>
      <c r="J194" s="20" t="n">
        <v>0.5043297540699688</v>
      </c>
      <c r="K194" s="20" t="n">
        <v>0.5283018867924528</v>
      </c>
      <c r="L194" s="19" t="n">
        <v>-0.069687079804376</v>
      </c>
      <c r="M194" s="19" t="n">
        <v>-0.1319076867725688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JVST @ OHIO</t>
        </is>
      </c>
      <c r="C195" s="12" t="inlineStr">
        <is>
          <t>2026-09-12 22:00</t>
        </is>
      </c>
      <c r="D195" s="22" t="n">
        <v>2</v>
      </c>
      <c r="E195" s="12" t="inlineStr">
        <is>
          <t>ATS</t>
        </is>
      </c>
      <c r="F195" s="12" t="inlineStr">
        <is>
          <t>JVST +1.5</t>
        </is>
      </c>
      <c r="G195" s="23" t="n">
        <v>-1.5</v>
      </c>
      <c r="H195" s="13" t="n">
        <v>-110</v>
      </c>
      <c r="I195" s="15" t="n">
        <v>0.4539513303117853</v>
      </c>
      <c r="J195" s="15" t="n">
        <v>0.5</v>
      </c>
      <c r="K195" s="15" t="n">
        <v>0.5238095238095238</v>
      </c>
      <c r="L195" s="14" t="n">
        <v>-0.06985819349773859</v>
      </c>
      <c r="M195" s="14" t="n">
        <v>-0.1333656421320463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GAST @ KENN</t>
        </is>
      </c>
      <c r="C196" s="17" t="inlineStr">
        <is>
          <t>2026-09-12 23:00</t>
        </is>
      </c>
      <c r="D196" s="25" t="n">
        <v>2</v>
      </c>
      <c r="E196" s="17" t="inlineStr">
        <is>
          <t>TOTAL</t>
        </is>
      </c>
      <c r="F196" s="17" t="inlineStr">
        <is>
          <t>Under 50.5</t>
        </is>
      </c>
      <c r="G196" s="26" t="n">
        <v>50.5</v>
      </c>
      <c r="H196" s="18" t="n">
        <v>-108</v>
      </c>
      <c r="I196" s="20" t="n">
        <v>0.4484617908777468</v>
      </c>
      <c r="J196" s="20" t="n">
        <v>0.4956702459300312</v>
      </c>
      <c r="K196" s="20" t="n">
        <v>0.5192307692307693</v>
      </c>
      <c r="L196" s="19" t="n">
        <v>-0.07076897835302243</v>
      </c>
      <c r="M196" s="19" t="n">
        <v>-0.1362958101613764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RUTG @ BC</t>
        </is>
      </c>
      <c r="C197" s="12" t="inlineStr">
        <is>
          <t>2026-09-11 23:30</t>
        </is>
      </c>
      <c r="D197" s="22" t="n">
        <v>2</v>
      </c>
      <c r="E197" s="12" t="inlineStr">
        <is>
          <t>TOTAL</t>
        </is>
      </c>
      <c r="F197" s="12" t="inlineStr">
        <is>
          <t>Over 55.5</t>
        </is>
      </c>
      <c r="G197" s="23" t="n">
        <v>55.5</v>
      </c>
      <c r="H197" s="13" t="n">
        <v>-110</v>
      </c>
      <c r="I197" s="15" t="n">
        <v>0.4525631749916059</v>
      </c>
      <c r="J197" s="15" t="n">
        <v>0.5</v>
      </c>
      <c r="K197" s="15" t="n">
        <v>0.5238095238095238</v>
      </c>
      <c r="L197" s="14" t="n">
        <v>-0.07124634881791791</v>
      </c>
      <c r="M197" s="14" t="n">
        <v>-0.1360157568342069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GAST @ KENN</t>
        </is>
      </c>
      <c r="C198" s="17" t="inlineStr">
        <is>
          <t>2026-09-12 23:00</t>
        </is>
      </c>
      <c r="D198" s="25" t="n">
        <v>2</v>
      </c>
      <c r="E198" s="17" t="inlineStr">
        <is>
          <t>ML</t>
        </is>
      </c>
      <c r="F198" s="17" t="inlineStr">
        <is>
          <t>KENN ML</t>
        </is>
      </c>
      <c r="G198" s="26" t="n"/>
      <c r="H198" s="18" t="n">
        <v>-340</v>
      </c>
      <c r="I198" s="20" t="n">
        <v>0.6971889718830976</v>
      </c>
      <c r="J198" s="20" t="n">
        <v>0.740871613663133</v>
      </c>
      <c r="K198" s="20" t="n">
        <v>0.7727272727272727</v>
      </c>
      <c r="L198" s="19" t="n">
        <v>-0.07553830084417512</v>
      </c>
      <c r="M198" s="19" t="n">
        <v>-0.09775544815128542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TENN @ GT</t>
        </is>
      </c>
      <c r="C199" s="12" t="inlineStr">
        <is>
          <t>2026-09-12 23:00</t>
        </is>
      </c>
      <c r="D199" s="22" t="n">
        <v>2</v>
      </c>
      <c r="E199" s="12" t="inlineStr">
        <is>
          <t>TOTAL</t>
        </is>
      </c>
      <c r="F199" s="12" t="inlineStr">
        <is>
          <t>Over 55.5</t>
        </is>
      </c>
      <c r="G199" s="23" t="n">
        <v>55.5</v>
      </c>
      <c r="H199" s="13" t="n">
        <v>-108</v>
      </c>
      <c r="I199" s="15" t="n">
        <v>0.4426821130477772</v>
      </c>
      <c r="J199" s="15" t="n">
        <v>0.4956702459300312</v>
      </c>
      <c r="K199" s="15" t="n">
        <v>0.5192307692307693</v>
      </c>
      <c r="L199" s="14" t="n">
        <v>-0.07654865618299211</v>
      </c>
      <c r="M199" s="14" t="n">
        <v>-0.1474270415376143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JVST @ OHIO</t>
        </is>
      </c>
      <c r="C200" s="17" t="inlineStr">
        <is>
          <t>2026-09-12 22:00</t>
        </is>
      </c>
      <c r="D200" s="25" t="n">
        <v>2</v>
      </c>
      <c r="E200" s="17" t="inlineStr">
        <is>
          <t>ML</t>
        </is>
      </c>
      <c r="F200" s="17" t="inlineStr">
        <is>
          <t>JVST ML</t>
        </is>
      </c>
      <c r="G200" s="26" t="n"/>
      <c r="H200" s="18" t="n">
        <v>-102</v>
      </c>
      <c r="I200" s="20" t="n">
        <v>0.427434313158497</v>
      </c>
      <c r="J200" s="20" t="n">
        <v>0.4826358742837298</v>
      </c>
      <c r="K200" s="20" t="n">
        <v>0.504950495049505</v>
      </c>
      <c r="L200" s="19" t="n">
        <v>-0.07751618189100795</v>
      </c>
      <c r="M200" s="19" t="n">
        <v>-0.1535124386468981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OSU @ TEX</t>
        </is>
      </c>
      <c r="C201" s="12" t="inlineStr">
        <is>
          <t>2026-09-12 23:30</t>
        </is>
      </c>
      <c r="D201" s="22" t="n">
        <v>2</v>
      </c>
      <c r="E201" s="12" t="inlineStr">
        <is>
          <t>ATS</t>
        </is>
      </c>
      <c r="F201" s="12" t="inlineStr">
        <is>
          <t>OSU +1.5</t>
        </is>
      </c>
      <c r="G201" s="23" t="n">
        <v>-1.5</v>
      </c>
      <c r="H201" s="13" t="n">
        <v>-112</v>
      </c>
      <c r="I201" s="15" t="n">
        <v>0.4503780907520387</v>
      </c>
      <c r="J201" s="15" t="n">
        <v>0.5043297540699688</v>
      </c>
      <c r="K201" s="15" t="n">
        <v>0.5283018867924528</v>
      </c>
      <c r="L201" s="14" t="n">
        <v>-0.07792379604041411</v>
      </c>
      <c r="M201" s="14" t="n">
        <v>-0.1474986139336411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SDSU @ UCLA</t>
        </is>
      </c>
      <c r="C202" s="17" t="inlineStr">
        <is>
          <t>2026-09-12 23:15</t>
        </is>
      </c>
      <c r="D202" s="25" t="n">
        <v>2</v>
      </c>
      <c r="E202" s="17" t="inlineStr">
        <is>
          <t>ML</t>
        </is>
      </c>
      <c r="F202" s="17" t="inlineStr">
        <is>
          <t>UCLA ML</t>
        </is>
      </c>
      <c r="G202" s="26" t="n"/>
      <c r="H202" s="18" t="n">
        <v>-410</v>
      </c>
      <c r="I202" s="20" t="n">
        <v>0.7251806299309195</v>
      </c>
      <c r="J202" s="20" t="n">
        <v>0.771505376344086</v>
      </c>
      <c r="K202" s="20" t="n">
        <v>0.803921568627451</v>
      </c>
      <c r="L202" s="19" t="n">
        <v>-0.07874093869653154</v>
      </c>
      <c r="M202" s="19" t="n">
        <v>-0.09794604569568555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price outside allowed range</t>
        </is>
      </c>
    </row>
    <row r="203">
      <c r="A203" s="12" t="inlineStr">
        <is>
          <t>PASS</t>
        </is>
      </c>
      <c r="B203" s="12" t="inlineStr">
        <is>
          <t>DUKE @ ILL</t>
        </is>
      </c>
      <c r="C203" s="12" t="inlineStr">
        <is>
          <t>2026-09-12 19:30</t>
        </is>
      </c>
      <c r="D203" s="22" t="n">
        <v>2</v>
      </c>
      <c r="E203" s="12" t="inlineStr">
        <is>
          <t>TOTAL</t>
        </is>
      </c>
      <c r="F203" s="12" t="inlineStr">
        <is>
          <t>Over 54.5</t>
        </is>
      </c>
      <c r="G203" s="23" t="n">
        <v>54.5</v>
      </c>
      <c r="H203" s="13" t="n">
        <v>-115</v>
      </c>
      <c r="I203" s="15" t="n">
        <v>0.4560438140881994</v>
      </c>
      <c r="J203" s="15" t="n">
        <v>0.5108342361863488</v>
      </c>
      <c r="K203" s="15" t="n">
        <v>0.5348837209302325</v>
      </c>
      <c r="L203" s="14" t="n">
        <v>-0.07883990684203307</v>
      </c>
      <c r="M203" s="14" t="n">
        <v>-0.1473963475742359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SDSU @ UCLA</t>
        </is>
      </c>
      <c r="C204" s="17" t="inlineStr">
        <is>
          <t>2026-09-12 23:15</t>
        </is>
      </c>
      <c r="D204" s="25" t="n">
        <v>2</v>
      </c>
      <c r="E204" s="17" t="inlineStr">
        <is>
          <t>TOTAL</t>
        </is>
      </c>
      <c r="F204" s="17" t="inlineStr">
        <is>
          <t>Under 50.5</t>
        </is>
      </c>
      <c r="G204" s="26" t="n">
        <v>50.5</v>
      </c>
      <c r="H204" s="18" t="n">
        <v>-115</v>
      </c>
      <c r="I204" s="20" t="n">
        <v>0.4521855139323989</v>
      </c>
      <c r="J204" s="20" t="n">
        <v>0.5108342361863488</v>
      </c>
      <c r="K204" s="20" t="n">
        <v>0.5348837209302325</v>
      </c>
      <c r="L204" s="19" t="n">
        <v>-0.08269820699783359</v>
      </c>
      <c r="M204" s="19" t="n">
        <v>-0.154609691343776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BUFF @ FIU</t>
        </is>
      </c>
      <c r="C205" s="12" t="inlineStr">
        <is>
          <t>2026-09-12 22:00</t>
        </is>
      </c>
      <c r="D205" s="22" t="n">
        <v>2</v>
      </c>
      <c r="E205" s="12" t="inlineStr">
        <is>
          <t>ML</t>
        </is>
      </c>
      <c r="F205" s="12" t="inlineStr">
        <is>
          <t>FIU ML</t>
        </is>
      </c>
      <c r="G205" s="23" t="n"/>
      <c r="H205" s="13" t="n">
        <v>-375</v>
      </c>
      <c r="I205" s="15" t="n">
        <v>0.7061498355289769</v>
      </c>
      <c r="J205" s="15" t="n">
        <v>0.7571884984025559</v>
      </c>
      <c r="K205" s="15" t="n">
        <v>0.7894736842105263</v>
      </c>
      <c r="L205" s="14" t="n">
        <v>-0.08332384868154941</v>
      </c>
      <c r="M205" s="14" t="n">
        <v>-0.1055435416632959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MEM @ BOIS</t>
        </is>
      </c>
      <c r="C206" s="17" t="inlineStr">
        <is>
          <t>2026-09-12 22:00</t>
        </is>
      </c>
      <c r="D206" s="25" t="n">
        <v>2</v>
      </c>
      <c r="E206" s="17" t="inlineStr">
        <is>
          <t>ML</t>
        </is>
      </c>
      <c r="F206" s="17" t="inlineStr">
        <is>
          <t>BOIS ML</t>
        </is>
      </c>
      <c r="G206" s="26" t="n"/>
      <c r="H206" s="18" t="n">
        <v>-325</v>
      </c>
      <c r="I206" s="20" t="n">
        <v>0.6803807177430184</v>
      </c>
      <c r="J206" s="20" t="n">
        <v>0.7335423197492164</v>
      </c>
      <c r="K206" s="20" t="n">
        <v>0.7647058823529411</v>
      </c>
      <c r="L206" s="19" t="n">
        <v>-0.08432516460992268</v>
      </c>
      <c r="M206" s="19" t="n">
        <v>-0.1102713691052836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ARIZ @ BYU</t>
        </is>
      </c>
      <c r="C207" s="12" t="inlineStr">
        <is>
          <t>2026-09-12 19:30</t>
        </is>
      </c>
      <c r="D207" s="22" t="n">
        <v>2</v>
      </c>
      <c r="E207" s="12" t="inlineStr">
        <is>
          <t>ATS</t>
        </is>
      </c>
      <c r="F207" s="12" t="inlineStr">
        <is>
          <t>BYU -7.5</t>
        </is>
      </c>
      <c r="G207" s="23" t="n">
        <v>-7.5</v>
      </c>
      <c r="H207" s="13" t="n">
        <v>-112</v>
      </c>
      <c r="I207" s="15" t="n">
        <v>0.4438778674804842</v>
      </c>
      <c r="J207" s="15" t="n">
        <v>0.5043297540699688</v>
      </c>
      <c r="K207" s="15" t="n">
        <v>0.5283018867924528</v>
      </c>
      <c r="L207" s="14" t="n">
        <v>-0.08442401931196863</v>
      </c>
      <c r="M207" s="14" t="n">
        <v>-0.1598026079833693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WAKE @ PUR</t>
        </is>
      </c>
      <c r="C208" s="17" t="inlineStr">
        <is>
          <t>2026-09-12 16:00</t>
        </is>
      </c>
      <c r="D208" s="25" t="n">
        <v>2</v>
      </c>
      <c r="E208" s="17" t="inlineStr">
        <is>
          <t>TOTAL</t>
        </is>
      </c>
      <c r="F208" s="17" t="inlineStr">
        <is>
          <t>Under 49.5</t>
        </is>
      </c>
      <c r="G208" s="26" t="n">
        <v>49.5</v>
      </c>
      <c r="H208" s="18" t="n">
        <v>-110</v>
      </c>
      <c r="I208" s="20" t="n">
        <v>0.4391156451435217</v>
      </c>
      <c r="J208" s="20" t="n">
        <v>0.5</v>
      </c>
      <c r="K208" s="20" t="n">
        <v>0.5238095238095238</v>
      </c>
      <c r="L208" s="19" t="n">
        <v>-0.08469387866600209</v>
      </c>
      <c r="M208" s="19" t="n">
        <v>-0.161688313816913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APP @ ECU</t>
        </is>
      </c>
      <c r="C209" s="12" t="inlineStr">
        <is>
          <t>2026-09-12 16:00</t>
        </is>
      </c>
      <c r="D209" s="22" t="n">
        <v>2</v>
      </c>
      <c r="E209" s="12" t="inlineStr">
        <is>
          <t>ML</t>
        </is>
      </c>
      <c r="F209" s="12" t="inlineStr">
        <is>
          <t>ECU ML</t>
        </is>
      </c>
      <c r="G209" s="23" t="n"/>
      <c r="H209" s="13" t="n">
        <v>-325</v>
      </c>
      <c r="I209" s="15" t="n">
        <v>0.6780463201203289</v>
      </c>
      <c r="J209" s="15" t="n">
        <v>0.7335423197492164</v>
      </c>
      <c r="K209" s="15" t="n">
        <v>0.7647058823529411</v>
      </c>
      <c r="L209" s="14" t="n">
        <v>-0.08665956223261218</v>
      </c>
      <c r="M209" s="14" t="n">
        <v>-0.1133240429195698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OSU @ TEX</t>
        </is>
      </c>
      <c r="C210" s="17" t="inlineStr">
        <is>
          <t>2026-09-12 23:30</t>
        </is>
      </c>
      <c r="D210" s="25" t="n">
        <v>2</v>
      </c>
      <c r="E210" s="17" t="inlineStr">
        <is>
          <t>ML</t>
        </is>
      </c>
      <c r="F210" s="17" t="inlineStr">
        <is>
          <t>OSU ML</t>
        </is>
      </c>
      <c r="G210" s="26" t="n"/>
      <c r="H210" s="18" t="n">
        <v>-105</v>
      </c>
      <c r="I210" s="20" t="n">
        <v>0.4251083774746189</v>
      </c>
      <c r="J210" s="20" t="n">
        <v>0.4891657638136511</v>
      </c>
      <c r="K210" s="20" t="n">
        <v>0.5121951219512195</v>
      </c>
      <c r="L210" s="19" t="n">
        <v>-0.08708674447660059</v>
      </c>
      <c r="M210" s="19" t="n">
        <v>-0.1700265011209821</v>
      </c>
      <c r="N210" s="20" t="n">
        <v>0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LOU @ MISS</t>
        </is>
      </c>
      <c r="C211" s="12" t="inlineStr">
        <is>
          <t>2026-09-06 23:30</t>
        </is>
      </c>
      <c r="D211" s="22" t="n">
        <v>1</v>
      </c>
      <c r="E211" s="12" t="inlineStr">
        <is>
          <t>TOTAL</t>
        </is>
      </c>
      <c r="F211" s="12" t="inlineStr">
        <is>
          <t>Over 55.5</t>
        </is>
      </c>
      <c r="G211" s="23" t="n">
        <v>55.5</v>
      </c>
      <c r="H211" s="13" t="n">
        <v>-105</v>
      </c>
      <c r="I211" s="15" t="n">
        <v>0.424266612751971</v>
      </c>
      <c r="J211" s="15" t="n">
        <v>0.4891657638136511</v>
      </c>
      <c r="K211" s="15" t="n">
        <v>0.5121951219512195</v>
      </c>
      <c r="L211" s="14" t="n">
        <v>-0.08792850919924849</v>
      </c>
      <c r="M211" s="14" t="n">
        <v>-0.1716699465318662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ARK @ UTAH</t>
        </is>
      </c>
      <c r="C212" s="17" t="inlineStr">
        <is>
          <t>2026-09-13 02:15</t>
        </is>
      </c>
      <c r="D212" s="25" t="n">
        <v>2</v>
      </c>
      <c r="E212" s="17" t="inlineStr">
        <is>
          <t>ML</t>
        </is>
      </c>
      <c r="F212" s="17" t="inlineStr">
        <is>
          <t>UTAH ML</t>
        </is>
      </c>
      <c r="G212" s="26" t="n"/>
      <c r="H212" s="18" t="n">
        <v>-440</v>
      </c>
      <c r="I212" s="20" t="n">
        <v>0.725143484452498</v>
      </c>
      <c r="J212" s="20" t="n">
        <v>0.7819063004846527</v>
      </c>
      <c r="K212" s="20" t="n">
        <v>0.8148148148148148</v>
      </c>
      <c r="L212" s="19" t="n">
        <v>-0.08967133036231678</v>
      </c>
      <c r="M212" s="19" t="n">
        <v>-0.1100511781719343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price outside allowed range</t>
        </is>
      </c>
    </row>
    <row r="213">
      <c r="A213" s="12" t="inlineStr">
        <is>
          <t>PASS</t>
        </is>
      </c>
      <c r="B213" s="12" t="inlineStr">
        <is>
          <t>ULM @ UAB</t>
        </is>
      </c>
      <c r="C213" s="12" t="inlineStr">
        <is>
          <t>2026-09-12 19:30</t>
        </is>
      </c>
      <c r="D213" s="22" t="n">
        <v>2</v>
      </c>
      <c r="E213" s="12" t="inlineStr">
        <is>
          <t>ML</t>
        </is>
      </c>
      <c r="F213" s="12" t="inlineStr">
        <is>
          <t>UAB ML</t>
        </is>
      </c>
      <c r="G213" s="23" t="n"/>
      <c r="H213" s="13" t="n">
        <v>-425</v>
      </c>
      <c r="I213" s="15" t="n">
        <v>0.7194340313167513</v>
      </c>
      <c r="J213" s="15" t="n">
        <v>0.7768331562167907</v>
      </c>
      <c r="K213" s="15" t="n">
        <v>0.8095238095238095</v>
      </c>
      <c r="L213" s="14" t="n">
        <v>-0.09008977820705821</v>
      </c>
      <c r="M213" s="14" t="n">
        <v>-0.1112873730793072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UCF @ PITT</t>
        </is>
      </c>
      <c r="C214" s="17" t="inlineStr">
        <is>
          <t>2026-09-12 19:30</t>
        </is>
      </c>
      <c r="D214" s="25" t="n">
        <v>2</v>
      </c>
      <c r="E214" s="17" t="inlineStr">
        <is>
          <t>ML</t>
        </is>
      </c>
      <c r="F214" s="17" t="inlineStr">
        <is>
          <t>PITT ML</t>
        </is>
      </c>
      <c r="G214" s="26" t="n"/>
      <c r="H214" s="18" t="n">
        <v>-340</v>
      </c>
      <c r="I214" s="20" t="n">
        <v>0.6822610075600225</v>
      </c>
      <c r="J214" s="20" t="n">
        <v>0.740871613663133</v>
      </c>
      <c r="K214" s="20" t="n">
        <v>0.7727272727272727</v>
      </c>
      <c r="L214" s="19" t="n">
        <v>-0.0904662651672502</v>
      </c>
      <c r="M214" s="19" t="n">
        <v>-0.1170739902164414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NAVY @ FAU</t>
        </is>
      </c>
      <c r="C215" s="12" t="inlineStr">
        <is>
          <t>2026-09-12 23:30</t>
        </is>
      </c>
      <c r="D215" s="22" t="n">
        <v>2</v>
      </c>
      <c r="E215" s="12" t="inlineStr">
        <is>
          <t>TOTAL</t>
        </is>
      </c>
      <c r="F215" s="12" t="inlineStr">
        <is>
          <t>Over 58.5</t>
        </is>
      </c>
      <c r="G215" s="23" t="n">
        <v>58.5</v>
      </c>
      <c r="H215" s="13" t="n">
        <v>-110</v>
      </c>
      <c r="I215" s="15" t="n">
        <v>0.4315572927035438</v>
      </c>
      <c r="J215" s="15" t="n">
        <v>0.5</v>
      </c>
      <c r="K215" s="15" t="n">
        <v>0.5238095238095238</v>
      </c>
      <c r="L215" s="14" t="n">
        <v>-0.09225223110598002</v>
      </c>
      <c r="M215" s="14" t="n">
        <v>-0.17611789574778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ALA @ UK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Under 48.5</t>
        </is>
      </c>
      <c r="G216" s="26" t="n">
        <v>48.5</v>
      </c>
      <c r="H216" s="18" t="n">
        <v>-110</v>
      </c>
      <c r="I216" s="20" t="n">
        <v>0.4315572662124085</v>
      </c>
      <c r="J216" s="20" t="n">
        <v>0.5</v>
      </c>
      <c r="K216" s="20" t="n">
        <v>0.5238095238095238</v>
      </c>
      <c r="L216" s="19" t="n">
        <v>-0.09225225759711531</v>
      </c>
      <c r="M216" s="19" t="n">
        <v>-0.1761179463217655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UTSA @ TXST</t>
        </is>
      </c>
      <c r="C217" s="12" t="inlineStr">
        <is>
          <t>2026-09-12 19:30</t>
        </is>
      </c>
      <c r="D217" s="22" t="n">
        <v>2</v>
      </c>
      <c r="E217" s="12" t="inlineStr">
        <is>
          <t>ML</t>
        </is>
      </c>
      <c r="F217" s="12" t="inlineStr">
        <is>
          <t>UTSA ML</t>
        </is>
      </c>
      <c r="G217" s="23" t="n"/>
      <c r="H217" s="13" t="n">
        <v>-118</v>
      </c>
      <c r="I217" s="15" t="n">
        <v>0.4487840389851394</v>
      </c>
      <c r="J217" s="15" t="n">
        <v>0.5173641257162701</v>
      </c>
      <c r="K217" s="15" t="n">
        <v>0.5412844036697247</v>
      </c>
      <c r="L217" s="14" t="n">
        <v>-0.09250036468458533</v>
      </c>
      <c r="M217" s="14" t="n">
        <v>-0.1708905042477933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APP @ ECU</t>
        </is>
      </c>
      <c r="C218" s="17" t="inlineStr">
        <is>
          <t>2026-09-12 16:00</t>
        </is>
      </c>
      <c r="D218" s="25" t="n">
        <v>2</v>
      </c>
      <c r="E218" s="17" t="inlineStr">
        <is>
          <t>TOTAL</t>
        </is>
      </c>
      <c r="F218" s="17" t="inlineStr">
        <is>
          <t>Over 56.5</t>
        </is>
      </c>
      <c r="G218" s="26" t="n">
        <v>56.5</v>
      </c>
      <c r="H218" s="18" t="n">
        <v>-108</v>
      </c>
      <c r="I218" s="20" t="n">
        <v>0.4256520129132683</v>
      </c>
      <c r="J218" s="20" t="n">
        <v>0.4956702459300312</v>
      </c>
      <c r="K218" s="20" t="n">
        <v>0.5192307692307693</v>
      </c>
      <c r="L218" s="19" t="n">
        <v>-0.09357875631750101</v>
      </c>
      <c r="M218" s="19" t="n">
        <v>-0.1802257529077796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UTSA @ TXST</t>
        </is>
      </c>
      <c r="C219" s="12" t="inlineStr">
        <is>
          <t>2026-09-12 19:30</t>
        </is>
      </c>
      <c r="D219" s="22" t="n">
        <v>2</v>
      </c>
      <c r="E219" s="12" t="inlineStr">
        <is>
          <t>ATS</t>
        </is>
      </c>
      <c r="F219" s="12" t="inlineStr">
        <is>
          <t>UTSA -1.5</t>
        </is>
      </c>
      <c r="G219" s="23" t="n">
        <v>1.5</v>
      </c>
      <c r="H219" s="13" t="n">
        <v>-110</v>
      </c>
      <c r="I219" s="15" t="n">
        <v>0.4228797299570561</v>
      </c>
      <c r="J219" s="15" t="n">
        <v>0.5</v>
      </c>
      <c r="K219" s="15" t="n">
        <v>0.5238095238095238</v>
      </c>
      <c r="L219" s="14" t="n">
        <v>-0.1009297938524677</v>
      </c>
      <c r="M219" s="14" t="n">
        <v>-0.1926841519001655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CAL @ SYR</t>
        </is>
      </c>
      <c r="C220" s="17" t="inlineStr">
        <is>
          <t>2026-09-12 19:30</t>
        </is>
      </c>
      <c r="D220" s="25" t="n">
        <v>2</v>
      </c>
      <c r="E220" s="17" t="inlineStr">
        <is>
          <t>ATS</t>
        </is>
      </c>
      <c r="F220" s="17" t="inlineStr">
        <is>
          <t>CAL +2.5</t>
        </is>
      </c>
      <c r="G220" s="26" t="n">
        <v>-2.5</v>
      </c>
      <c r="H220" s="18" t="n">
        <v>-112</v>
      </c>
      <c r="I220" s="20" t="n">
        <v>0.4262842940456422</v>
      </c>
      <c r="J220" s="20" t="n">
        <v>0.5043297540699688</v>
      </c>
      <c r="K220" s="20" t="n">
        <v>0.5283018867924528</v>
      </c>
      <c r="L220" s="19" t="n">
        <v>-0.1020175927468107</v>
      </c>
      <c r="M220" s="19" t="n">
        <v>-0.1931047291278916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USU @ WASH</t>
        </is>
      </c>
      <c r="C221" s="12" t="inlineStr">
        <is>
          <t>2026-09-12 19:30</t>
        </is>
      </c>
      <c r="D221" s="22" t="n">
        <v>2</v>
      </c>
      <c r="E221" s="12" t="inlineStr">
        <is>
          <t>TOTAL</t>
        </is>
      </c>
      <c r="F221" s="12" t="inlineStr">
        <is>
          <t>Over 56.5</t>
        </is>
      </c>
      <c r="G221" s="23" t="n">
        <v>56.5</v>
      </c>
      <c r="H221" s="13" t="n">
        <v>-112</v>
      </c>
      <c r="I221" s="15" t="n">
        <v>0.426268957836854</v>
      </c>
      <c r="J221" s="15" t="n">
        <v>0.5043297540699688</v>
      </c>
      <c r="K221" s="15" t="n">
        <v>0.5283018867924528</v>
      </c>
      <c r="L221" s="14" t="n">
        <v>-0.1020329289555988</v>
      </c>
      <c r="M221" s="14" t="n">
        <v>-0.1931337583802406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MEM @ BOIS</t>
        </is>
      </c>
      <c r="C222" s="17" t="inlineStr">
        <is>
          <t>2026-09-12 22:00</t>
        </is>
      </c>
      <c r="D222" s="25" t="n">
        <v>2</v>
      </c>
      <c r="E222" s="17" t="inlineStr">
        <is>
          <t>ATS</t>
        </is>
      </c>
      <c r="F222" s="17" t="inlineStr">
        <is>
          <t>BOIS -8.5</t>
        </is>
      </c>
      <c r="G222" s="26" t="n">
        <v>-8.5</v>
      </c>
      <c r="H222" s="18" t="n">
        <v>-110</v>
      </c>
      <c r="I222" s="20" t="n">
        <v>0.4214708179925828</v>
      </c>
      <c r="J222" s="20" t="n">
        <v>0.5</v>
      </c>
      <c r="K222" s="20" t="n">
        <v>0.5238095238095238</v>
      </c>
      <c r="L222" s="19" t="n">
        <v>-0.102338705816941</v>
      </c>
      <c r="M222" s="19" t="n">
        <v>-0.195373892923251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CAL @ SYR</t>
        </is>
      </c>
      <c r="C223" s="12" t="inlineStr">
        <is>
          <t>2026-09-12 19:30</t>
        </is>
      </c>
      <c r="D223" s="22" t="n">
        <v>2</v>
      </c>
      <c r="E223" s="12" t="inlineStr">
        <is>
          <t>ML</t>
        </is>
      </c>
      <c r="F223" s="12" t="inlineStr">
        <is>
          <t>CAL ML</t>
        </is>
      </c>
      <c r="G223" s="23" t="n"/>
      <c r="H223" s="13" t="n">
        <v>110</v>
      </c>
      <c r="I223" s="15" t="n">
        <v>0.3737726847454195</v>
      </c>
      <c r="J223" s="15" t="n">
        <v>0.4572564612326044</v>
      </c>
      <c r="K223" s="15" t="n">
        <v>0.4761904761904762</v>
      </c>
      <c r="L223" s="14" t="n">
        <v>-0.1024177914450567</v>
      </c>
      <c r="M223" s="14" t="n">
        <v>-0.2150773620346191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GAST @ KENN</t>
        </is>
      </c>
      <c r="C224" s="17" t="inlineStr">
        <is>
          <t>2026-09-12 23:00</t>
        </is>
      </c>
      <c r="D224" s="25" t="n">
        <v>2</v>
      </c>
      <c r="E224" s="17" t="inlineStr">
        <is>
          <t>ATS</t>
        </is>
      </c>
      <c r="F224" s="17" t="inlineStr">
        <is>
          <t>KENN -9.5</t>
        </is>
      </c>
      <c r="G224" s="26" t="n">
        <v>-9.5</v>
      </c>
      <c r="H224" s="18" t="n">
        <v>-112</v>
      </c>
      <c r="I224" s="20" t="n">
        <v>0.4254922449679684</v>
      </c>
      <c r="J224" s="20" t="n">
        <v>0.5043297540699688</v>
      </c>
      <c r="K224" s="20" t="n">
        <v>0.5283018867924528</v>
      </c>
      <c r="L224" s="19" t="n">
        <v>-0.1028096418244844</v>
      </c>
      <c r="M224" s="19" t="n">
        <v>-0.1946039648820598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UCF @ PITT</t>
        </is>
      </c>
      <c r="C225" s="12" t="inlineStr">
        <is>
          <t>2026-09-12 19:30</t>
        </is>
      </c>
      <c r="D225" s="22" t="n">
        <v>2</v>
      </c>
      <c r="E225" s="12" t="inlineStr">
        <is>
          <t>ATS</t>
        </is>
      </c>
      <c r="F225" s="12" t="inlineStr">
        <is>
          <t>PITT -8.5</t>
        </is>
      </c>
      <c r="G225" s="23" t="n">
        <v>-8.5</v>
      </c>
      <c r="H225" s="13" t="n">
        <v>-110</v>
      </c>
      <c r="I225" s="15" t="n">
        <v>0.4197317558360688</v>
      </c>
      <c r="J225" s="15" t="n">
        <v>0.5</v>
      </c>
      <c r="K225" s="15" t="n">
        <v>0.5238095238095238</v>
      </c>
      <c r="L225" s="14" t="n">
        <v>-0.104077767973455</v>
      </c>
      <c r="M225" s="14" t="n">
        <v>-0.1986939206765959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SDSU @ UCLA</t>
        </is>
      </c>
      <c r="C226" s="17" t="inlineStr">
        <is>
          <t>2026-09-12 23:15</t>
        </is>
      </c>
      <c r="D226" s="25" t="n">
        <v>2</v>
      </c>
      <c r="E226" s="17" t="inlineStr">
        <is>
          <t>ATS</t>
        </is>
      </c>
      <c r="F226" s="17" t="inlineStr">
        <is>
          <t>UCLA -10.5</t>
        </is>
      </c>
      <c r="G226" s="26" t="n">
        <v>-10.5</v>
      </c>
      <c r="H226" s="18" t="n">
        <v>-108</v>
      </c>
      <c r="I226" s="20" t="n">
        <v>0.4147517496335484</v>
      </c>
      <c r="J226" s="20" t="n">
        <v>0.4956702459300312</v>
      </c>
      <c r="K226" s="20" t="n">
        <v>0.5192307692307693</v>
      </c>
      <c r="L226" s="19" t="n">
        <v>-0.1044790195972208</v>
      </c>
      <c r="M226" s="19" t="n">
        <v>-0.2012188525576104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NMSU @ HAW</t>
        </is>
      </c>
      <c r="C227" s="12" t="inlineStr">
        <is>
          <t>2026-09-13 03:59</t>
        </is>
      </c>
      <c r="D227" s="22" t="n">
        <v>2</v>
      </c>
      <c r="E227" s="12" t="inlineStr">
        <is>
          <t>ML</t>
        </is>
      </c>
      <c r="F227" s="12" t="inlineStr">
        <is>
          <t>HAW ML</t>
        </is>
      </c>
      <c r="G227" s="23" t="n"/>
      <c r="H227" s="13" t="n">
        <v>-340</v>
      </c>
      <c r="I227" s="15" t="n">
        <v>0.6665561612418444</v>
      </c>
      <c r="J227" s="15" t="n">
        <v>0.740871613663133</v>
      </c>
      <c r="K227" s="15" t="n">
        <v>0.7727272727272727</v>
      </c>
      <c r="L227" s="14" t="n">
        <v>-0.1061711114854283</v>
      </c>
      <c r="M227" s="14" t="n">
        <v>-0.1373979089811425</v>
      </c>
      <c r="N227" s="15" t="n">
        <v>0</v>
      </c>
      <c r="O227" s="24" t="n">
        <v>0.839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USA @ TULN</t>
        </is>
      </c>
      <c r="C228" s="17" t="inlineStr">
        <is>
          <t>2026-09-12 23:00</t>
        </is>
      </c>
      <c r="D228" s="25" t="n">
        <v>2</v>
      </c>
      <c r="E228" s="17" t="inlineStr">
        <is>
          <t>ML</t>
        </is>
      </c>
      <c r="F228" s="17" t="inlineStr">
        <is>
          <t>TULN ML</t>
        </is>
      </c>
      <c r="G228" s="26" t="n"/>
      <c r="H228" s="18" t="n">
        <v>-470</v>
      </c>
      <c r="I228" s="20" t="n">
        <v>0.7173223753870406</v>
      </c>
      <c r="J228" s="20" t="n">
        <v>0.7913616398243045</v>
      </c>
      <c r="K228" s="20" t="n">
        <v>0.8245614035087719</v>
      </c>
      <c r="L228" s="19" t="n">
        <v>-0.1072390281217314</v>
      </c>
      <c r="M228" s="19" t="n">
        <v>-0.1300558426157167</v>
      </c>
      <c r="N228" s="20" t="n">
        <v>0</v>
      </c>
      <c r="O228" s="27" t="n">
        <v>0.725</v>
      </c>
      <c r="P228" s="17" t="inlineStr">
        <is>
          <t>DraftKings</t>
        </is>
      </c>
      <c r="Q228" s="17" t="inlineStr">
        <is>
          <t>price outside allowed range</t>
        </is>
      </c>
    </row>
    <row r="229">
      <c r="A229" s="12" t="inlineStr">
        <is>
          <t>PASS</t>
        </is>
      </c>
      <c r="B229" s="12" t="inlineStr">
        <is>
          <t>ULM @ UAB</t>
        </is>
      </c>
      <c r="C229" s="12" t="inlineStr">
        <is>
          <t>2026-09-12 19:30</t>
        </is>
      </c>
      <c r="D229" s="22" t="n">
        <v>2</v>
      </c>
      <c r="E229" s="12" t="inlineStr">
        <is>
          <t>ATS</t>
        </is>
      </c>
      <c r="F229" s="12" t="inlineStr">
        <is>
          <t>UAB -10</t>
        </is>
      </c>
      <c r="G229" s="23" t="n">
        <v>-10</v>
      </c>
      <c r="H229" s="13" t="n">
        <v>-112</v>
      </c>
      <c r="I229" s="15" t="n">
        <v>0.416934742512925</v>
      </c>
      <c r="J229" s="15" t="n">
        <v>0.5043297540699688</v>
      </c>
      <c r="K229" s="15" t="n">
        <v>0.5283018867924528</v>
      </c>
      <c r="L229" s="14" t="n">
        <v>-0.1113671442795278</v>
      </c>
      <c r="M229" s="14" t="n">
        <v>-0.2026862654526268</v>
      </c>
      <c r="N229" s="15" t="n">
        <v>0.0385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APP @ ECU</t>
        </is>
      </c>
      <c r="C230" s="17" t="inlineStr">
        <is>
          <t>2026-09-12 16:00</t>
        </is>
      </c>
      <c r="D230" s="25" t="n">
        <v>2</v>
      </c>
      <c r="E230" s="17" t="inlineStr">
        <is>
          <t>ATS</t>
        </is>
      </c>
      <c r="F230" s="17" t="inlineStr">
        <is>
          <t>ECU -9.5</t>
        </is>
      </c>
      <c r="G230" s="26" t="n">
        <v>-9.5</v>
      </c>
      <c r="H230" s="18" t="n">
        <v>-108</v>
      </c>
      <c r="I230" s="20" t="n">
        <v>0.4060398305462701</v>
      </c>
      <c r="J230" s="20" t="n">
        <v>0.4956702459300312</v>
      </c>
      <c r="K230" s="20" t="n">
        <v>0.5192307692307693</v>
      </c>
      <c r="L230" s="19" t="n">
        <v>-0.1131909386844991</v>
      </c>
      <c r="M230" s="19" t="n">
        <v>-0.2179973633923686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MSST @ MINN</t>
        </is>
      </c>
      <c r="C231" s="12" t="inlineStr">
        <is>
          <t>2026-09-12 19:30</t>
        </is>
      </c>
      <c r="D231" s="22" t="n">
        <v>2</v>
      </c>
      <c r="E231" s="12" t="inlineStr">
        <is>
          <t>ATS</t>
        </is>
      </c>
      <c r="F231" s="12" t="inlineStr">
        <is>
          <t>MSST -1.5</t>
        </is>
      </c>
      <c r="G231" s="23" t="n">
        <v>1.5</v>
      </c>
      <c r="H231" s="13" t="n">
        <v>-108</v>
      </c>
      <c r="I231" s="15" t="n">
        <v>0.4056534940989053</v>
      </c>
      <c r="J231" s="15" t="n">
        <v>0.4956702459300312</v>
      </c>
      <c r="K231" s="15" t="n">
        <v>0.5192307692307693</v>
      </c>
      <c r="L231" s="14" t="n">
        <v>-0.113577275131864</v>
      </c>
      <c r="M231" s="14" t="n">
        <v>-0.2187414187724787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WIS @ ND</t>
        </is>
      </c>
      <c r="C232" s="17" t="inlineStr">
        <is>
          <t>2026-09-06 23:30</t>
        </is>
      </c>
      <c r="D232" s="25" t="n">
        <v>1</v>
      </c>
      <c r="E232" s="17" t="inlineStr">
        <is>
          <t>TOTAL</t>
        </is>
      </c>
      <c r="F232" s="17" t="inlineStr">
        <is>
          <t>Under 46.5</t>
        </is>
      </c>
      <c r="G232" s="26" t="n">
        <v>46.5</v>
      </c>
      <c r="H232" s="18" t="n">
        <v>-112</v>
      </c>
      <c r="I232" s="20" t="n">
        <v>0.4135094691627059</v>
      </c>
      <c r="J232" s="20" t="n">
        <v>0.5043297540699688</v>
      </c>
      <c r="K232" s="20" t="n">
        <v>0.5283018867924528</v>
      </c>
      <c r="L232" s="19" t="n">
        <v>-0.1147924176297469</v>
      </c>
      <c r="M232" s="19" t="n">
        <v>-0.2172856476563066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MSST @ MINN</t>
        </is>
      </c>
      <c r="C233" s="12" t="inlineStr">
        <is>
          <t>2026-09-12 19:30</t>
        </is>
      </c>
      <c r="D233" s="22" t="n">
        <v>2</v>
      </c>
      <c r="E233" s="12" t="inlineStr">
        <is>
          <t>ML</t>
        </is>
      </c>
      <c r="F233" s="12" t="inlineStr">
        <is>
          <t>MSST ML</t>
        </is>
      </c>
      <c r="G233" s="23" t="n"/>
      <c r="H233" s="13" t="n">
        <v>-125</v>
      </c>
      <c r="I233" s="15" t="n">
        <v>0.4406866615660716</v>
      </c>
      <c r="J233" s="15" t="n">
        <v>0.5324675324675325</v>
      </c>
      <c r="K233" s="15" t="n">
        <v>0.5555555555555556</v>
      </c>
      <c r="L233" s="14" t="n">
        <v>-0.114868893989484</v>
      </c>
      <c r="M233" s="14" t="n">
        <v>-0.2067640091810711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GASO @ CLEM</t>
        </is>
      </c>
      <c r="C234" s="17" t="inlineStr">
        <is>
          <t>2026-09-12 23:30</t>
        </is>
      </c>
      <c r="D234" s="25" t="n">
        <v>2</v>
      </c>
      <c r="E234" s="17" t="inlineStr">
        <is>
          <t>TOTAL</t>
        </is>
      </c>
      <c r="F234" s="17" t="inlineStr">
        <is>
          <t>Over 56.5</t>
        </is>
      </c>
      <c r="G234" s="26" t="n">
        <v>56.5</v>
      </c>
      <c r="H234" s="18" t="n">
        <v>-108</v>
      </c>
      <c r="I234" s="20" t="n">
        <v>0.4038324647763201</v>
      </c>
      <c r="J234" s="20" t="n">
        <v>0.4956702459300312</v>
      </c>
      <c r="K234" s="20" t="n">
        <v>0.5192307692307693</v>
      </c>
      <c r="L234" s="19" t="n">
        <v>-0.1153983044544492</v>
      </c>
      <c r="M234" s="19" t="n">
        <v>-0.2222485863567168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OSU @ TEX</t>
        </is>
      </c>
      <c r="C235" s="12" t="inlineStr">
        <is>
          <t>2026-09-12 23:30</t>
        </is>
      </c>
      <c r="D235" s="22" t="n">
        <v>2</v>
      </c>
      <c r="E235" s="12" t="inlineStr">
        <is>
          <t>TOTAL</t>
        </is>
      </c>
      <c r="F235" s="12" t="inlineStr">
        <is>
          <t>Under 47.5</t>
        </is>
      </c>
      <c r="G235" s="23" t="n">
        <v>47.5</v>
      </c>
      <c r="H235" s="13" t="n">
        <v>-110</v>
      </c>
      <c r="I235" s="15" t="n">
        <v>0.4077712444087197</v>
      </c>
      <c r="J235" s="15" t="n">
        <v>0.5</v>
      </c>
      <c r="K235" s="15" t="n">
        <v>0.5238095238095238</v>
      </c>
      <c r="L235" s="14" t="n">
        <v>-0.1160382794008041</v>
      </c>
      <c r="M235" s="14" t="n">
        <v>-0.221527624310626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BUFF @ FIU</t>
        </is>
      </c>
      <c r="C236" s="17" t="inlineStr">
        <is>
          <t>2026-09-12 22:00</t>
        </is>
      </c>
      <c r="D236" s="25" t="n">
        <v>2</v>
      </c>
      <c r="E236" s="17" t="inlineStr">
        <is>
          <t>ATS</t>
        </is>
      </c>
      <c r="F236" s="17" t="inlineStr">
        <is>
          <t>FIU -10.5</t>
        </is>
      </c>
      <c r="G236" s="26" t="n">
        <v>-10.5</v>
      </c>
      <c r="H236" s="18" t="n">
        <v>-108</v>
      </c>
      <c r="I236" s="20" t="n">
        <v>0.4028699888589444</v>
      </c>
      <c r="J236" s="20" t="n">
        <v>0.4956702459300312</v>
      </c>
      <c r="K236" s="20" t="n">
        <v>0.5192307692307693</v>
      </c>
      <c r="L236" s="19" t="n">
        <v>-0.1163607803718249</v>
      </c>
      <c r="M236" s="19" t="n">
        <v>-0.22410224367907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USA @ TULN</t>
        </is>
      </c>
      <c r="C237" s="12" t="inlineStr">
        <is>
          <t>2026-09-12 23:00</t>
        </is>
      </c>
      <c r="D237" s="22" t="n">
        <v>2</v>
      </c>
      <c r="E237" s="12" t="inlineStr">
        <is>
          <t>ATS</t>
        </is>
      </c>
      <c r="F237" s="12" t="inlineStr">
        <is>
          <t>TULN -10.5</t>
        </is>
      </c>
      <c r="G237" s="23" t="n">
        <v>-10.5</v>
      </c>
      <c r="H237" s="13" t="n">
        <v>-105</v>
      </c>
      <c r="I237" s="15" t="n">
        <v>0.3939577907508887</v>
      </c>
      <c r="J237" s="15" t="n">
        <v>0.4891657638136511</v>
      </c>
      <c r="K237" s="15" t="n">
        <v>0.5121951219512195</v>
      </c>
      <c r="L237" s="14" t="n">
        <v>-0.1182373312003309</v>
      </c>
      <c r="M237" s="14" t="n">
        <v>-0.2308443132958841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MTSU @ MRSH</t>
        </is>
      </c>
      <c r="C238" s="17" t="inlineStr">
        <is>
          <t>2026-09-12 23:00</t>
        </is>
      </c>
      <c r="D238" s="25" t="n">
        <v>2</v>
      </c>
      <c r="E238" s="17" t="inlineStr">
        <is>
          <t>TOTAL</t>
        </is>
      </c>
      <c r="F238" s="17" t="inlineStr">
        <is>
          <t>Over 57.5</t>
        </is>
      </c>
      <c r="G238" s="26" t="n">
        <v>57.5</v>
      </c>
      <c r="H238" s="18" t="n">
        <v>-115</v>
      </c>
      <c r="I238" s="20" t="n">
        <v>0.4096491933569829</v>
      </c>
      <c r="J238" s="20" t="n">
        <v>0.5108342361863488</v>
      </c>
      <c r="K238" s="20" t="n">
        <v>0.5348837209302325</v>
      </c>
      <c r="L238" s="19" t="n">
        <v>-0.1252345275732496</v>
      </c>
      <c r="M238" s="19" t="n">
        <v>-0.2341341167673798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LOU @ MISS</t>
        </is>
      </c>
      <c r="C239" s="12" t="inlineStr">
        <is>
          <t>2026-09-06 23:30</t>
        </is>
      </c>
      <c r="D239" s="22" t="n">
        <v>1</v>
      </c>
      <c r="E239" s="12" t="inlineStr">
        <is>
          <t>ML</t>
        </is>
      </c>
      <c r="F239" s="12" t="inlineStr">
        <is>
          <t>MISS ML</t>
        </is>
      </c>
      <c r="G239" s="23" t="n"/>
      <c r="H239" s="13" t="n">
        <v>-258</v>
      </c>
      <c r="I239" s="15" t="n">
        <v>0.5953964415270341</v>
      </c>
      <c r="J239" s="15" t="n">
        <v>0.6907928830540681</v>
      </c>
      <c r="K239" s="15" t="n">
        <v>0.7206703910614525</v>
      </c>
      <c r="L239" s="14" t="n">
        <v>-0.1252739495344184</v>
      </c>
      <c r="M239" s="14" t="n">
        <v>-0.1738297439276039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ARK @ UTAH</t>
        </is>
      </c>
      <c r="C240" s="17" t="inlineStr">
        <is>
          <t>2026-09-13 02:15</t>
        </is>
      </c>
      <c r="D240" s="25" t="n">
        <v>2</v>
      </c>
      <c r="E240" s="17" t="inlineStr">
        <is>
          <t>ATS</t>
        </is>
      </c>
      <c r="F240" s="17" t="inlineStr">
        <is>
          <t>UTAH -11.5</t>
        </is>
      </c>
      <c r="G240" s="26" t="n">
        <v>-11.5</v>
      </c>
      <c r="H240" s="18" t="n">
        <v>-110</v>
      </c>
      <c r="I240" s="20" t="n">
        <v>0.3981939778345374</v>
      </c>
      <c r="J240" s="20" t="n">
        <v>0.5</v>
      </c>
      <c r="K240" s="20" t="n">
        <v>0.5238095238095238</v>
      </c>
      <c r="L240" s="19" t="n">
        <v>-0.1256155459749865</v>
      </c>
      <c r="M240" s="19" t="n">
        <v>-0.2398114968613377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ASU @ TA&amp;M</t>
        </is>
      </c>
      <c r="C241" s="12" t="inlineStr">
        <is>
          <t>2026-09-12 16:00</t>
        </is>
      </c>
      <c r="D241" s="22" t="n">
        <v>2</v>
      </c>
      <c r="E241" s="12" t="inlineStr">
        <is>
          <t>ML</t>
        </is>
      </c>
      <c r="F241" s="12" t="inlineStr">
        <is>
          <t>TA&amp;M ML</t>
        </is>
      </c>
      <c r="G241" s="23" t="n"/>
      <c r="H241" s="13" t="n">
        <v>-675</v>
      </c>
      <c r="I241" s="15" t="n">
        <v>0.7446331475982351</v>
      </c>
      <c r="J241" s="15" t="n">
        <v>0.8370993168681029</v>
      </c>
      <c r="K241" s="15" t="n">
        <v>0.8709677419354839</v>
      </c>
      <c r="L241" s="14" t="n">
        <v>-0.1263345943372488</v>
      </c>
      <c r="M241" s="14" t="n">
        <v>-0.1450508305353597</v>
      </c>
      <c r="N241" s="15" t="n">
        <v>0</v>
      </c>
      <c r="O241" s="24" t="n">
        <v>0.725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UNLV @ UNT</t>
        </is>
      </c>
      <c r="C242" s="17" t="inlineStr">
        <is>
          <t>2026-09-12 19:45</t>
        </is>
      </c>
      <c r="D242" s="25" t="n">
        <v>2</v>
      </c>
      <c r="E242" s="17" t="inlineStr">
        <is>
          <t>TOTAL</t>
        </is>
      </c>
      <c r="F242" s="17" t="inlineStr">
        <is>
          <t>Over 58.5</t>
        </is>
      </c>
      <c r="G242" s="26" t="n">
        <v>58.5</v>
      </c>
      <c r="H242" s="18" t="n">
        <v>-110</v>
      </c>
      <c r="I242" s="20" t="n">
        <v>0.3972604414550339</v>
      </c>
      <c r="J242" s="20" t="n">
        <v>0.5</v>
      </c>
      <c r="K242" s="20" t="n">
        <v>0.5238095238095238</v>
      </c>
      <c r="L242" s="19" t="n">
        <v>-0.12654908235449</v>
      </c>
      <c r="M242" s="19" t="n">
        <v>-0.2415937026767536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LOU @ MISS</t>
        </is>
      </c>
      <c r="C243" s="12" t="inlineStr">
        <is>
          <t>2026-09-06 23:30</t>
        </is>
      </c>
      <c r="D243" s="22" t="n">
        <v>1</v>
      </c>
      <c r="E243" s="12" t="inlineStr">
        <is>
          <t>ATS</t>
        </is>
      </c>
      <c r="F243" s="12" t="inlineStr">
        <is>
          <t>MISS -6.5</t>
        </is>
      </c>
      <c r="G243" s="23" t="n">
        <v>-6.5</v>
      </c>
      <c r="H243" s="13" t="n">
        <v>-115</v>
      </c>
      <c r="I243" s="15" t="n">
        <v>0.4048308112321144</v>
      </c>
      <c r="J243" s="15" t="n">
        <v>0.5108342361863488</v>
      </c>
      <c r="K243" s="15" t="n">
        <v>0.5348837209302325</v>
      </c>
      <c r="L243" s="14" t="n">
        <v>-0.1300529096981181</v>
      </c>
      <c r="M243" s="14" t="n">
        <v>-0.243142396392134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ISU @ IOWA</t>
        </is>
      </c>
      <c r="C244" s="17" t="inlineStr">
        <is>
          <t>2026-09-12 23:30</t>
        </is>
      </c>
      <c r="D244" s="25" t="n">
        <v>2</v>
      </c>
      <c r="E244" s="17" t="inlineStr">
        <is>
          <t>ML</t>
        </is>
      </c>
      <c r="F244" s="17" t="inlineStr">
        <is>
          <t>IOWA ML</t>
        </is>
      </c>
      <c r="G244" s="26" t="n"/>
      <c r="H244" s="18" t="n">
        <v>-700</v>
      </c>
      <c r="I244" s="20" t="n">
        <v>0.7411005947908496</v>
      </c>
      <c r="J244" s="20" t="n">
        <v>0.84</v>
      </c>
      <c r="K244" s="20" t="n">
        <v>0.875</v>
      </c>
      <c r="L244" s="19" t="n">
        <v>-0.1338994052091504</v>
      </c>
      <c r="M244" s="19" t="n">
        <v>-0.1530278916676006</v>
      </c>
      <c r="N244" s="20" t="n">
        <v>0</v>
      </c>
      <c r="O244" s="27" t="n">
        <v>0.725</v>
      </c>
      <c r="P244" s="17" t="inlineStr">
        <is>
          <t>DraftKings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SMU @ FSU</t>
        </is>
      </c>
      <c r="C245" s="12" t="inlineStr">
        <is>
          <t>2026-09-07 23:30</t>
        </is>
      </c>
      <c r="D245" s="22" t="n">
        <v>1</v>
      </c>
      <c r="E245" s="12" t="inlineStr">
        <is>
          <t>ATS</t>
        </is>
      </c>
      <c r="F245" s="12" t="inlineStr">
        <is>
          <t>SMU -3</t>
        </is>
      </c>
      <c r="G245" s="23" t="n">
        <v>3</v>
      </c>
      <c r="H245" s="13" t="n">
        <v>-105</v>
      </c>
      <c r="I245" s="15" t="n">
        <v>0.3777578901170502</v>
      </c>
      <c r="J245" s="15" t="n">
        <v>0.4891657638136511</v>
      </c>
      <c r="K245" s="15" t="n">
        <v>0.5121951219512195</v>
      </c>
      <c r="L245" s="14" t="n">
        <v>-0.1344372318341693</v>
      </c>
      <c r="M245" s="14" t="n">
        <v>-0.2490899312993639</v>
      </c>
      <c r="N245" s="15" t="n">
        <v>0.051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SMU @ FSU</t>
        </is>
      </c>
      <c r="C246" s="17" t="inlineStr">
        <is>
          <t>2026-09-07 23:30</t>
        </is>
      </c>
      <c r="D246" s="25" t="n">
        <v>1</v>
      </c>
      <c r="E246" s="17" t="inlineStr">
        <is>
          <t>ML</t>
        </is>
      </c>
      <c r="F246" s="17" t="inlineStr">
        <is>
          <t>SMU ML</t>
        </is>
      </c>
      <c r="G246" s="26" t="n"/>
      <c r="H246" s="18" t="n">
        <v>-155</v>
      </c>
      <c r="I246" s="20" t="n">
        <v>0.4721575386545027</v>
      </c>
      <c r="J246" s="20" t="n">
        <v>0.5829926410466066</v>
      </c>
      <c r="K246" s="20" t="n">
        <v>0.6078431372549019</v>
      </c>
      <c r="L246" s="19" t="n">
        <v>-0.1356855986003992</v>
      </c>
      <c r="M246" s="19" t="n">
        <v>-0.2232246944716246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OU @ MICH</t>
        </is>
      </c>
      <c r="C247" s="12" t="inlineStr">
        <is>
          <t>2026-09-12 16:00</t>
        </is>
      </c>
      <c r="D247" s="22" t="n">
        <v>2</v>
      </c>
      <c r="E247" s="12" t="inlineStr">
        <is>
          <t>TOTAL</t>
        </is>
      </c>
      <c r="F247" s="12" t="inlineStr">
        <is>
          <t>Under 43.5</t>
        </is>
      </c>
      <c r="G247" s="23" t="n">
        <v>43.5</v>
      </c>
      <c r="H247" s="13" t="n">
        <v>-105</v>
      </c>
      <c r="I247" s="15" t="n">
        <v>0.3750825722655767</v>
      </c>
      <c r="J247" s="15" t="n">
        <v>0.4891657638136511</v>
      </c>
      <c r="K247" s="15" t="n">
        <v>0.5121951219512195</v>
      </c>
      <c r="L247" s="14" t="n">
        <v>-0.1371125496856428</v>
      </c>
      <c r="M247" s="14" t="n">
        <v>-0.2676959303386359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EMU @ MSU</t>
        </is>
      </c>
      <c r="C248" s="17" t="inlineStr">
        <is>
          <t>2026-09-12 19:30</t>
        </is>
      </c>
      <c r="D248" s="25" t="n">
        <v>2</v>
      </c>
      <c r="E248" s="17" t="inlineStr">
        <is>
          <t>ML</t>
        </is>
      </c>
      <c r="F248" s="17" t="inlineStr">
        <is>
          <t>MSU ML</t>
        </is>
      </c>
      <c r="G248" s="26" t="n"/>
      <c r="H248" s="18" t="n">
        <v>-950</v>
      </c>
      <c r="I248" s="20" t="n">
        <v>0.7639461558575769</v>
      </c>
      <c r="J248" s="20" t="n">
        <v>0.8677165354330709</v>
      </c>
      <c r="K248" s="20" t="n">
        <v>0.9047619047619048</v>
      </c>
      <c r="L248" s="19" t="n">
        <v>-0.1408157489043279</v>
      </c>
      <c r="M248" s="19" t="n">
        <v>-0.1556384593153099</v>
      </c>
      <c r="N248" s="20" t="n">
        <v>0</v>
      </c>
      <c r="O248" s="27" t="n">
        <v>0.725</v>
      </c>
      <c r="P248" s="17" t="inlineStr">
        <is>
          <t>DraftKings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NMSU @ HAW</t>
        </is>
      </c>
      <c r="C249" s="12" t="inlineStr">
        <is>
          <t>2026-09-13 03:59</t>
        </is>
      </c>
      <c r="D249" s="22" t="n">
        <v>2</v>
      </c>
      <c r="E249" s="12" t="inlineStr">
        <is>
          <t>ATS</t>
        </is>
      </c>
      <c r="F249" s="12" t="inlineStr">
        <is>
          <t>HAW -10</t>
        </is>
      </c>
      <c r="G249" s="23" t="n">
        <v>-10</v>
      </c>
      <c r="H249" s="13" t="n">
        <v>-110</v>
      </c>
      <c r="I249" s="15" t="n">
        <v>0.3813647077925714</v>
      </c>
      <c r="J249" s="15" t="n">
        <v>0.5</v>
      </c>
      <c r="K249" s="15" t="n">
        <v>0.5238095238095238</v>
      </c>
      <c r="L249" s="14" t="n">
        <v>-0.1424448160169525</v>
      </c>
      <c r="M249" s="14" t="n">
        <v>-0.2623710114476257</v>
      </c>
      <c r="N249" s="15" t="n">
        <v>0.0352</v>
      </c>
      <c r="O249" s="24" t="n">
        <v>0.839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WAKE @ PUR</t>
        </is>
      </c>
      <c r="C250" s="17" t="inlineStr">
        <is>
          <t>2026-09-12 16:00</t>
        </is>
      </c>
      <c r="D250" s="25" t="n">
        <v>2</v>
      </c>
      <c r="E250" s="17" t="inlineStr">
        <is>
          <t>ML</t>
        </is>
      </c>
      <c r="F250" s="17" t="inlineStr">
        <is>
          <t>WAKE ML</t>
        </is>
      </c>
      <c r="G250" s="26" t="n"/>
      <c r="H250" s="18" t="n">
        <v>-180</v>
      </c>
      <c r="I250" s="20" t="n">
        <v>0.4920109470423482</v>
      </c>
      <c r="J250" s="20" t="n">
        <v>0.6164383561643836</v>
      </c>
      <c r="K250" s="20" t="n">
        <v>0.6428571428571429</v>
      </c>
      <c r="L250" s="19" t="n">
        <v>-0.1508461958147947</v>
      </c>
      <c r="M250" s="19" t="n">
        <v>-0.2346496379341251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ODU @ VT</t>
        </is>
      </c>
      <c r="C251" s="12" t="inlineStr">
        <is>
          <t>2026-09-12 16:00</t>
        </is>
      </c>
      <c r="D251" s="22" t="n">
        <v>2</v>
      </c>
      <c r="E251" s="12" t="inlineStr">
        <is>
          <t>ML</t>
        </is>
      </c>
      <c r="F251" s="12" t="inlineStr">
        <is>
          <t>VT ML</t>
        </is>
      </c>
      <c r="G251" s="23" t="n"/>
      <c r="H251" s="13" t="n">
        <v>-1050</v>
      </c>
      <c r="I251" s="15" t="n">
        <v>0.7612152252472463</v>
      </c>
      <c r="J251" s="15" t="n">
        <v>0.8761776581426649</v>
      </c>
      <c r="K251" s="15" t="n">
        <v>0.9130434782608695</v>
      </c>
      <c r="L251" s="14" t="n">
        <v>-0.1518282530136232</v>
      </c>
      <c r="M251" s="14" t="n">
        <v>-0.1662880866339683</v>
      </c>
      <c r="N251" s="15" t="n">
        <v>0</v>
      </c>
      <c r="O251" s="24" t="n">
        <v>0.725</v>
      </c>
      <c r="P251" s="12" t="inlineStr">
        <is>
          <t>DraftKings</t>
        </is>
      </c>
      <c r="Q251" s="12" t="inlineStr">
        <is>
          <t>price outside allowed range</t>
        </is>
      </c>
    </row>
    <row r="252">
      <c r="A252" s="17" t="inlineStr">
        <is>
          <t>PASS</t>
        </is>
      </c>
      <c r="B252" s="17" t="inlineStr">
        <is>
          <t>ORE @ OKST</t>
        </is>
      </c>
      <c r="C252" s="17" t="inlineStr">
        <is>
          <t>2026-09-12 16:00</t>
        </is>
      </c>
      <c r="D252" s="25" t="n">
        <v>2</v>
      </c>
      <c r="E252" s="17" t="inlineStr">
        <is>
          <t>TOTAL</t>
        </is>
      </c>
      <c r="F252" s="17" t="inlineStr">
        <is>
          <t>Over 58.5</t>
        </is>
      </c>
      <c r="G252" s="26" t="n">
        <v>58.5</v>
      </c>
      <c r="H252" s="18" t="n">
        <v>-112</v>
      </c>
      <c r="I252" s="20" t="n">
        <v>0.3715450269808277</v>
      </c>
      <c r="J252" s="20" t="n">
        <v>0.5043297540699688</v>
      </c>
      <c r="K252" s="20" t="n">
        <v>0.5283018867924528</v>
      </c>
      <c r="L252" s="19" t="n">
        <v>-0.1567568598116251</v>
      </c>
      <c r="M252" s="19" t="n">
        <v>-0.2967183417862905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UL @ USC</t>
        </is>
      </c>
      <c r="C253" s="12" t="inlineStr">
        <is>
          <t>2026-09-13 03:00</t>
        </is>
      </c>
      <c r="D253" s="22" t="n">
        <v>2</v>
      </c>
      <c r="E253" s="12" t="inlineStr">
        <is>
          <t>TOTAL</t>
        </is>
      </c>
      <c r="F253" s="12" t="inlineStr">
        <is>
          <t>Over 59.5</t>
        </is>
      </c>
      <c r="G253" s="23" t="n">
        <v>59.5</v>
      </c>
      <c r="H253" s="13" t="n">
        <v>-108</v>
      </c>
      <c r="I253" s="15" t="n">
        <v>0.3611017214553369</v>
      </c>
      <c r="J253" s="15" t="n">
        <v>0.4956702459300312</v>
      </c>
      <c r="K253" s="15" t="n">
        <v>0.5192307692307693</v>
      </c>
      <c r="L253" s="14" t="n">
        <v>-0.1581290477754324</v>
      </c>
      <c r="M253" s="14" t="n">
        <v>-0.3045448327526845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CLT @ MISS</t>
        </is>
      </c>
      <c r="C254" s="17" t="inlineStr">
        <is>
          <t>2026-09-12 23:45</t>
        </is>
      </c>
      <c r="D254" s="25" t="n">
        <v>2</v>
      </c>
      <c r="E254" s="17" t="inlineStr">
        <is>
          <t>TOTAL</t>
        </is>
      </c>
      <c r="F254" s="17" t="inlineStr">
        <is>
          <t>Over 61.5</t>
        </is>
      </c>
      <c r="G254" s="26" t="n">
        <v>61.5</v>
      </c>
      <c r="H254" s="18" t="n">
        <v>-112</v>
      </c>
      <c r="I254" s="20" t="n">
        <v>0.3699999172500905</v>
      </c>
      <c r="J254" s="20" t="n">
        <v>0.5043297540699688</v>
      </c>
      <c r="K254" s="20" t="n">
        <v>0.5283018867924528</v>
      </c>
      <c r="L254" s="19" t="n">
        <v>-0.1583019695423624</v>
      </c>
      <c r="M254" s="19" t="n">
        <v>-0.2996430137766145</v>
      </c>
      <c r="N254" s="20" t="n">
        <v>0</v>
      </c>
      <c r="O254" s="27" t="n">
        <v>0.4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WAKE @ PUR</t>
        </is>
      </c>
      <c r="C255" s="12" t="inlineStr">
        <is>
          <t>2026-09-12 16:00</t>
        </is>
      </c>
      <c r="D255" s="22" t="n">
        <v>2</v>
      </c>
      <c r="E255" s="12" t="inlineStr">
        <is>
          <t>ATS</t>
        </is>
      </c>
      <c r="F255" s="12" t="inlineStr">
        <is>
          <t>WAKE -4.5</t>
        </is>
      </c>
      <c r="G255" s="23" t="n">
        <v>4.5</v>
      </c>
      <c r="H255" s="13" t="n">
        <v>-112</v>
      </c>
      <c r="I255" s="15" t="n">
        <v>0.3686787832796521</v>
      </c>
      <c r="J255" s="15" t="n">
        <v>0.5043297540699688</v>
      </c>
      <c r="K255" s="15" t="n">
        <v>0.5283018867924528</v>
      </c>
      <c r="L255" s="14" t="n">
        <v>-0.1596231035128007</v>
      </c>
      <c r="M255" s="14" t="n">
        <v>-0.30214373164923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MTSU @ MRSH</t>
        </is>
      </c>
      <c r="C256" s="17" t="inlineStr">
        <is>
          <t>2026-09-12 23:00</t>
        </is>
      </c>
      <c r="D256" s="25" t="n">
        <v>2</v>
      </c>
      <c r="E256" s="17" t="inlineStr">
        <is>
          <t>ML</t>
        </is>
      </c>
      <c r="F256" s="17" t="inlineStr">
        <is>
          <t>MRSH ML</t>
        </is>
      </c>
      <c r="G256" s="26" t="n"/>
      <c r="H256" s="18" t="n">
        <v>-1000</v>
      </c>
      <c r="I256" s="20" t="n">
        <v>0.7492447435969138</v>
      </c>
      <c r="J256" s="20" t="n">
        <v>0.8720930232558138</v>
      </c>
      <c r="K256" s="20" t="n">
        <v>0.9090909090909091</v>
      </c>
      <c r="L256" s="19" t="n">
        <v>-0.1598461654939952</v>
      </c>
      <c r="M256" s="19" t="n">
        <v>-0.1758307820433947</v>
      </c>
      <c r="N256" s="20" t="n">
        <v>0</v>
      </c>
      <c r="O256" s="27" t="n">
        <v>0.725</v>
      </c>
      <c r="P256" s="17" t="inlineStr">
        <is>
          <t>DraftKings</t>
        </is>
      </c>
      <c r="Q256" s="17" t="inlineStr">
        <is>
          <t>price outside allowed range</t>
        </is>
      </c>
    </row>
    <row r="257">
      <c r="A257" s="12" t="inlineStr">
        <is>
          <t>PASS</t>
        </is>
      </c>
      <c r="B257" s="12" t="inlineStr">
        <is>
          <t>WSU @ KSU</t>
        </is>
      </c>
      <c r="C257" s="12" t="inlineStr">
        <is>
          <t>2026-09-12 16:00</t>
        </is>
      </c>
      <c r="D257" s="22" t="n">
        <v>2</v>
      </c>
      <c r="E257" s="12" t="inlineStr">
        <is>
          <t>ML</t>
        </is>
      </c>
      <c r="F257" s="12" t="inlineStr">
        <is>
          <t>KSU ML</t>
        </is>
      </c>
      <c r="G257" s="23" t="n"/>
      <c r="H257" s="13" t="n">
        <v>-1600</v>
      </c>
      <c r="I257" s="15" t="n">
        <v>0.7781948971960007</v>
      </c>
      <c r="J257" s="15" t="n">
        <v>0.9039548022598869</v>
      </c>
      <c r="K257" s="15" t="n">
        <v>0.9411764705882353</v>
      </c>
      <c r="L257" s="14" t="n">
        <v>-0.1629815733922346</v>
      </c>
      <c r="M257" s="14" t="n">
        <v>-0.1731679217292493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price outside allowed range</t>
        </is>
      </c>
    </row>
    <row r="258">
      <c r="A258" s="17" t="inlineStr">
        <is>
          <t>PASS</t>
        </is>
      </c>
      <c r="B258" s="17" t="inlineStr">
        <is>
          <t>UNLV @ UNT</t>
        </is>
      </c>
      <c r="C258" s="17" t="inlineStr">
        <is>
          <t>2026-09-12 19:45</t>
        </is>
      </c>
      <c r="D258" s="25" t="n">
        <v>2</v>
      </c>
      <c r="E258" s="17" t="inlineStr">
        <is>
          <t>ML</t>
        </is>
      </c>
      <c r="F258" s="17" t="inlineStr">
        <is>
          <t>UNLV ML</t>
        </is>
      </c>
      <c r="G258" s="26" t="n"/>
      <c r="H258" s="18" t="n">
        <v>-205</v>
      </c>
      <c r="I258" s="20" t="n">
        <v>0.5080700942022116</v>
      </c>
      <c r="J258" s="20" t="n">
        <v>0.6447291788002329</v>
      </c>
      <c r="K258" s="20" t="n">
        <v>0.6721311475409836</v>
      </c>
      <c r="L258" s="19" t="n">
        <v>-0.164061053338772</v>
      </c>
      <c r="M258" s="19" t="n">
        <v>-0.2440908354552462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SAC @ FRES</t>
        </is>
      </c>
      <c r="C259" s="12" t="inlineStr">
        <is>
          <t>2026-09-13 02:30</t>
        </is>
      </c>
      <c r="D259" s="22" t="n">
        <v>2</v>
      </c>
      <c r="E259" s="12" t="inlineStr">
        <is>
          <t>ML</t>
        </is>
      </c>
      <c r="F259" s="12" t="inlineStr">
        <is>
          <t>FRES ML</t>
        </is>
      </c>
      <c r="G259" s="23" t="n"/>
      <c r="H259" s="13" t="n">
        <v>-1050</v>
      </c>
      <c r="I259" s="15" t="n">
        <v>0.748262510814228</v>
      </c>
      <c r="J259" s="15" t="n">
        <v>0.8761776581426649</v>
      </c>
      <c r="K259" s="15" t="n">
        <v>0.9130434782608695</v>
      </c>
      <c r="L259" s="14" t="n">
        <v>-0.1647809674466415</v>
      </c>
      <c r="M259" s="14" t="n">
        <v>-0.1804743929177502</v>
      </c>
      <c r="N259" s="15" t="n">
        <v>0</v>
      </c>
      <c r="O259" s="24" t="n">
        <v>0.725</v>
      </c>
      <c r="P259" s="12" t="inlineStr">
        <is>
          <t>DraftKings</t>
        </is>
      </c>
      <c r="Q259" s="12" t="inlineStr">
        <is>
          <t>price outside allowed range</t>
        </is>
      </c>
    </row>
    <row r="260">
      <c r="A260" s="17" t="inlineStr">
        <is>
          <t>PASS</t>
        </is>
      </c>
      <c r="B260" s="17" t="inlineStr">
        <is>
          <t>OU @ MICH</t>
        </is>
      </c>
      <c r="C260" s="17" t="inlineStr">
        <is>
          <t>2026-09-12 16:00</t>
        </is>
      </c>
      <c r="D260" s="25" t="n">
        <v>2</v>
      </c>
      <c r="E260" s="17" t="inlineStr">
        <is>
          <t>ATS</t>
        </is>
      </c>
      <c r="F260" s="17" t="inlineStr">
        <is>
          <t>OU -5.5</t>
        </is>
      </c>
      <c r="G260" s="26" t="n">
        <v>5.5</v>
      </c>
      <c r="H260" s="18" t="n">
        <v>-118</v>
      </c>
      <c r="I260" s="20" t="n">
        <v>0.3762526680909986</v>
      </c>
      <c r="J260" s="20" t="n">
        <v>0.5173641257162701</v>
      </c>
      <c r="K260" s="20" t="n">
        <v>0.5412844036697247</v>
      </c>
      <c r="L260" s="19" t="n">
        <v>-0.1650317355787262</v>
      </c>
      <c r="M260" s="19" t="n">
        <v>-0.304889138611545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USU @ WASH</t>
        </is>
      </c>
      <c r="C261" s="12" t="inlineStr">
        <is>
          <t>2026-09-12 19:30</t>
        </is>
      </c>
      <c r="D261" s="22" t="n">
        <v>2</v>
      </c>
      <c r="E261" s="12" t="inlineStr">
        <is>
          <t>ML</t>
        </is>
      </c>
      <c r="F261" s="12" t="inlineStr">
        <is>
          <t>WASH ML</t>
        </is>
      </c>
      <c r="G261" s="23" t="n"/>
      <c r="H261" s="13" t="n">
        <v>-5000</v>
      </c>
      <c r="I261" s="15" t="n">
        <v>0.8151228833350632</v>
      </c>
      <c r="J261" s="15" t="n">
        <v>0.949050949050949</v>
      </c>
      <c r="K261" s="15" t="n">
        <v>0.9803921568627451</v>
      </c>
      <c r="L261" s="14" t="n">
        <v>-0.1652692735276818</v>
      </c>
      <c r="M261" s="14" t="n">
        <v>-0.1685746589982355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BGSU @ NEB</t>
        </is>
      </c>
      <c r="C262" s="17" t="inlineStr">
        <is>
          <t>2026-09-12 23:00</t>
        </is>
      </c>
      <c r="D262" s="25" t="n">
        <v>2</v>
      </c>
      <c r="E262" s="17" t="inlineStr">
        <is>
          <t>ML</t>
        </is>
      </c>
      <c r="F262" s="17" t="inlineStr">
        <is>
          <t>NEB ML</t>
        </is>
      </c>
      <c r="G262" s="26" t="n"/>
      <c r="H262" s="18" t="n">
        <v>-8000</v>
      </c>
      <c r="I262" s="20" t="n">
        <v>0.8215853037699852</v>
      </c>
      <c r="J262" s="20" t="n">
        <v>0.9578344612181156</v>
      </c>
      <c r="K262" s="20" t="n">
        <v>0.9876543209876543</v>
      </c>
      <c r="L262" s="19" t="n">
        <v>-0.1660690172176691</v>
      </c>
      <c r="M262" s="19" t="n">
        <v>-0.16814487993289</v>
      </c>
      <c r="N262" s="20" t="n">
        <v>0</v>
      </c>
      <c r="O262" s="27" t="n">
        <v>0.725</v>
      </c>
      <c r="P262" s="17" t="inlineStr">
        <is>
          <t>DraftKings</t>
        </is>
      </c>
      <c r="Q262" s="17" t="inlineStr">
        <is>
          <t>price outside allowed range</t>
        </is>
      </c>
    </row>
    <row r="263">
      <c r="A263" s="12" t="inlineStr">
        <is>
          <t>PASS</t>
        </is>
      </c>
      <c r="B263" s="12" t="inlineStr">
        <is>
          <t>ASU @ TA&amp;M</t>
        </is>
      </c>
      <c r="C263" s="12" t="inlineStr">
        <is>
          <t>2026-09-12 16:00</t>
        </is>
      </c>
      <c r="D263" s="22" t="n">
        <v>2</v>
      </c>
      <c r="E263" s="12" t="inlineStr">
        <is>
          <t>ATS</t>
        </is>
      </c>
      <c r="F263" s="12" t="inlineStr">
        <is>
          <t>TA&amp;M -14.5</t>
        </is>
      </c>
      <c r="G263" s="23" t="n">
        <v>-14.5</v>
      </c>
      <c r="H263" s="13" t="n">
        <v>-108</v>
      </c>
      <c r="I263" s="15" t="n">
        <v>0.3512680125970995</v>
      </c>
      <c r="J263" s="15" t="n">
        <v>0.4956702459300312</v>
      </c>
      <c r="K263" s="15" t="n">
        <v>0.5192307692307693</v>
      </c>
      <c r="L263" s="14" t="n">
        <v>-0.1679627566336698</v>
      </c>
      <c r="M263" s="14" t="n">
        <v>-0.3234838275907713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OU @ MICH</t>
        </is>
      </c>
      <c r="C264" s="17" t="inlineStr">
        <is>
          <t>2026-09-12 16:00</t>
        </is>
      </c>
      <c r="D264" s="25" t="n">
        <v>2</v>
      </c>
      <c r="E264" s="17" t="inlineStr">
        <is>
          <t>ML</t>
        </is>
      </c>
      <c r="F264" s="17" t="inlineStr">
        <is>
          <t>OU ML</t>
        </is>
      </c>
      <c r="G264" s="26" t="n"/>
      <c r="H264" s="18" t="n">
        <v>-238</v>
      </c>
      <c r="I264" s="20" t="n">
        <v>0.5346841024247344</v>
      </c>
      <c r="J264" s="20" t="n">
        <v>0.6750312469954812</v>
      </c>
      <c r="K264" s="20" t="n">
        <v>0.7041420118343196</v>
      </c>
      <c r="L264" s="19" t="n">
        <v>-0.1694579094095852</v>
      </c>
      <c r="M264" s="19" t="n">
        <v>-0.24065871168252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UNLV @ UNT</t>
        </is>
      </c>
      <c r="C265" s="12" t="inlineStr">
        <is>
          <t>2026-09-12 19:45</t>
        </is>
      </c>
      <c r="D265" s="22" t="n">
        <v>2</v>
      </c>
      <c r="E265" s="12" t="inlineStr">
        <is>
          <t>ATS</t>
        </is>
      </c>
      <c r="F265" s="12" t="inlineStr">
        <is>
          <t>UNLV -5.5</t>
        </is>
      </c>
      <c r="G265" s="23" t="n">
        <v>5.5</v>
      </c>
      <c r="H265" s="13" t="n">
        <v>-115</v>
      </c>
      <c r="I265" s="15" t="n">
        <v>0.3640126704736739</v>
      </c>
      <c r="J265" s="15" t="n">
        <v>0.5108342361863488</v>
      </c>
      <c r="K265" s="15" t="n">
        <v>0.5348837209302325</v>
      </c>
      <c r="L265" s="14" t="n">
        <v>-0.1708710504565586</v>
      </c>
      <c r="M265" s="14" t="n">
        <v>-0.3194545725926967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NAVY @ FAU</t>
        </is>
      </c>
      <c r="C266" s="17" t="inlineStr">
        <is>
          <t>2026-09-12 23:30</t>
        </is>
      </c>
      <c r="D266" s="25" t="n">
        <v>2</v>
      </c>
      <c r="E266" s="17" t="inlineStr">
        <is>
          <t>ATS</t>
        </is>
      </c>
      <c r="F266" s="17" t="inlineStr">
        <is>
          <t>NAVY -6.5</t>
        </is>
      </c>
      <c r="G266" s="26" t="n">
        <v>6.5</v>
      </c>
      <c r="H266" s="18" t="n">
        <v>-112</v>
      </c>
      <c r="I266" s="20" t="n">
        <v>0.3541595143553116</v>
      </c>
      <c r="J266" s="20" t="n">
        <v>0.5043297540699688</v>
      </c>
      <c r="K266" s="20" t="n">
        <v>0.5283018867924528</v>
      </c>
      <c r="L266" s="19" t="n">
        <v>-0.1741423724371413</v>
      </c>
      <c r="M266" s="19" t="n">
        <v>-0.3296266335417317</v>
      </c>
      <c r="N266" s="20" t="n">
        <v>0</v>
      </c>
      <c r="O266" s="27" t="n">
        <v>0.725</v>
      </c>
      <c r="P266" s="17" t="inlineStr">
        <is>
          <t>DraftKings</t>
        </is>
      </c>
      <c r="Q266" s="17" t="inlineStr">
        <is>
          <t>raw model/market disagreement exceeds the safety limit</t>
        </is>
      </c>
    </row>
    <row r="267">
      <c r="A267" s="12" t="inlineStr">
        <is>
          <t>PASS</t>
        </is>
      </c>
      <c r="B267" s="12" t="inlineStr">
        <is>
          <t>ISU @ IOWA</t>
        </is>
      </c>
      <c r="C267" s="12" t="inlineStr">
        <is>
          <t>2026-09-12 23:30</t>
        </is>
      </c>
      <c r="D267" s="22" t="n">
        <v>2</v>
      </c>
      <c r="E267" s="12" t="inlineStr">
        <is>
          <t>ATS</t>
        </is>
      </c>
      <c r="F267" s="12" t="inlineStr">
        <is>
          <t>IOWA -14.5</t>
        </is>
      </c>
      <c r="G267" s="23" t="n">
        <v>-14.5</v>
      </c>
      <c r="H267" s="13" t="n">
        <v>-110</v>
      </c>
      <c r="I267" s="15" t="n">
        <v>0.3495511305773824</v>
      </c>
      <c r="J267" s="15" t="n">
        <v>0.5</v>
      </c>
      <c r="K267" s="15" t="n">
        <v>0.5238095238095238</v>
      </c>
      <c r="L267" s="14" t="n">
        <v>-0.1742583932321414</v>
      </c>
      <c r="M267" s="14" t="n">
        <v>-0.3326751143522699</v>
      </c>
      <c r="N267" s="15" t="n">
        <v>0</v>
      </c>
      <c r="O267" s="24" t="n">
        <v>0.725</v>
      </c>
      <c r="P267" s="12" t="inlineStr">
        <is>
          <t>DraftKings</t>
        </is>
      </c>
      <c r="Q267" s="12" t="inlineStr">
        <is>
          <t>raw model/market disagreement exceeds the safety limit</t>
        </is>
      </c>
    </row>
    <row r="268">
      <c r="A268" s="17" t="inlineStr">
        <is>
          <t>PASS</t>
        </is>
      </c>
      <c r="B268" s="17" t="inlineStr">
        <is>
          <t>NAVY @ FAU</t>
        </is>
      </c>
      <c r="C268" s="17" t="inlineStr">
        <is>
          <t>2026-09-12 23:30</t>
        </is>
      </c>
      <c r="D268" s="25" t="n">
        <v>2</v>
      </c>
      <c r="E268" s="17" t="inlineStr">
        <is>
          <t>ML</t>
        </is>
      </c>
      <c r="F268" s="17" t="inlineStr">
        <is>
          <t>NAVY ML</t>
        </is>
      </c>
      <c r="G268" s="26" t="n"/>
      <c r="H268" s="18" t="n">
        <v>-238</v>
      </c>
      <c r="I268" s="20" t="n">
        <v>0.5283072432566466</v>
      </c>
      <c r="J268" s="20" t="n">
        <v>0.6750312469954812</v>
      </c>
      <c r="K268" s="20" t="n">
        <v>0.7041420118343196</v>
      </c>
      <c r="L268" s="19" t="n">
        <v>-0.175834768577673</v>
      </c>
      <c r="M268" s="19" t="n">
        <v>-0.2497149234422414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NDSU @ AFA</t>
        </is>
      </c>
      <c r="C269" s="12" t="inlineStr">
        <is>
          <t>2026-09-13 02:00</t>
        </is>
      </c>
      <c r="D269" s="22" t="n">
        <v>2</v>
      </c>
      <c r="E269" s="12" t="inlineStr">
        <is>
          <t>ATS</t>
        </is>
      </c>
      <c r="F269" s="12" t="inlineStr">
        <is>
          <t>NDSU -6.5</t>
        </is>
      </c>
      <c r="G269" s="23" t="n">
        <v>6.5</v>
      </c>
      <c r="H269" s="13" t="n">
        <v>-110</v>
      </c>
      <c r="I269" s="15" t="n">
        <v>0.3477721648365413</v>
      </c>
      <c r="J269" s="15" t="n">
        <v>0.5</v>
      </c>
      <c r="K269" s="15" t="n">
        <v>0.5238095238095238</v>
      </c>
      <c r="L269" s="14" t="n">
        <v>-0.1760373589729826</v>
      </c>
      <c r="M269" s="14" t="n">
        <v>-0.3360713216756939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raw model/market disagreement exceeds the safety limit</t>
        </is>
      </c>
    </row>
    <row r="270">
      <c r="A270" s="17" t="inlineStr">
        <is>
          <t>PASS</t>
        </is>
      </c>
      <c r="B270" s="17" t="inlineStr">
        <is>
          <t>MIZ @ KU</t>
        </is>
      </c>
      <c r="C270" s="17" t="inlineStr">
        <is>
          <t>2026-09-12 00:00</t>
        </is>
      </c>
      <c r="D270" s="25" t="n">
        <v>2</v>
      </c>
      <c r="E270" s="17" t="inlineStr">
        <is>
          <t>ATS</t>
        </is>
      </c>
      <c r="F270" s="17" t="inlineStr">
        <is>
          <t>MIZ -6.5</t>
        </is>
      </c>
      <c r="G270" s="26" t="n">
        <v>6.5</v>
      </c>
      <c r="H270" s="18" t="n">
        <v>-110</v>
      </c>
      <c r="I270" s="20" t="n">
        <v>0.3475737533182772</v>
      </c>
      <c r="J270" s="20" t="n">
        <v>0.5</v>
      </c>
      <c r="K270" s="20" t="n">
        <v>0.5238095238095238</v>
      </c>
      <c r="L270" s="19" t="n">
        <v>-0.1762357704912466</v>
      </c>
      <c r="M270" s="19" t="n">
        <v>-0.3364501073014707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raw model/market disagreement exceeds the safety limit</t>
        </is>
      </c>
    </row>
    <row r="271">
      <c r="A271" s="12" t="inlineStr">
        <is>
          <t>PASS</t>
        </is>
      </c>
      <c r="B271" s="12" t="inlineStr">
        <is>
          <t>DEL @ VAN</t>
        </is>
      </c>
      <c r="C271" s="12" t="inlineStr">
        <is>
          <t>2026-09-12 20:15</t>
        </is>
      </c>
      <c r="D271" s="22" t="n">
        <v>2</v>
      </c>
      <c r="E271" s="12" t="inlineStr">
        <is>
          <t>ML</t>
        </is>
      </c>
      <c r="F271" s="12" t="inlineStr">
        <is>
          <t>VAN ML</t>
        </is>
      </c>
      <c r="G271" s="23" t="n"/>
      <c r="H271" s="13" t="n">
        <v>-1350</v>
      </c>
      <c r="I271" s="15" t="n">
        <v>0.7531339955862988</v>
      </c>
      <c r="J271" s="15" t="n">
        <v>0.8933823529411765</v>
      </c>
      <c r="K271" s="15" t="n">
        <v>0.9310344827586207</v>
      </c>
      <c r="L271" s="14" t="n">
        <v>-0.1779004871723219</v>
      </c>
      <c r="M271" s="14" t="n">
        <v>-0.1910783010369384</v>
      </c>
      <c r="N271" s="15" t="n">
        <v>0</v>
      </c>
      <c r="O271" s="24" t="n">
        <v>0.725</v>
      </c>
      <c r="P271" s="12" t="inlineStr">
        <is>
          <t>DraftKings</t>
        </is>
      </c>
      <c r="Q271" s="12" t="inlineStr">
        <is>
          <t>price outside allowed range</t>
        </is>
      </c>
    </row>
    <row r="272">
      <c r="A272" s="17" t="inlineStr">
        <is>
          <t>PASS</t>
        </is>
      </c>
      <c r="B272" s="17" t="inlineStr">
        <is>
          <t>ISU @ IOWA</t>
        </is>
      </c>
      <c r="C272" s="17" t="inlineStr">
        <is>
          <t>2026-09-12 23:30</t>
        </is>
      </c>
      <c r="D272" s="25" t="n">
        <v>2</v>
      </c>
      <c r="E272" s="17" t="inlineStr">
        <is>
          <t>TOTAL</t>
        </is>
      </c>
      <c r="F272" s="17" t="inlineStr">
        <is>
          <t>Under 41.5</t>
        </is>
      </c>
      <c r="G272" s="26" t="n">
        <v>41.5</v>
      </c>
      <c r="H272" s="18" t="n">
        <v>-108</v>
      </c>
      <c r="I272" s="20" t="n">
        <v>0.3371781393827267</v>
      </c>
      <c r="J272" s="20" t="n">
        <v>0.4956702459300312</v>
      </c>
      <c r="K272" s="20" t="n">
        <v>0.5192307692307693</v>
      </c>
      <c r="L272" s="19" t="n">
        <v>-0.1820526298480426</v>
      </c>
      <c r="M272" s="19" t="n">
        <v>-0.3506198797073412</v>
      </c>
      <c r="N272" s="20" t="n">
        <v>0</v>
      </c>
      <c r="O272" s="27" t="n">
        <v>0.725</v>
      </c>
      <c r="P272" s="17" t="inlineStr">
        <is>
          <t>DraftKings</t>
        </is>
      </c>
      <c r="Q272" s="17" t="inlineStr">
        <is>
          <t>raw model/market disagreement exceeds the safety limit</t>
        </is>
      </c>
    </row>
    <row r="273">
      <c r="A273" s="12" t="inlineStr">
        <is>
          <t>PASS</t>
        </is>
      </c>
      <c r="B273" s="12" t="inlineStr">
        <is>
          <t>UL @ USC</t>
        </is>
      </c>
      <c r="C273" s="12" t="inlineStr">
        <is>
          <t>2026-09-13 03:00</t>
        </is>
      </c>
      <c r="D273" s="22" t="n">
        <v>2</v>
      </c>
      <c r="E273" s="12" t="inlineStr">
        <is>
          <t>ML</t>
        </is>
      </c>
      <c r="F273" s="12" t="inlineStr">
        <is>
          <t>USC ML</t>
        </is>
      </c>
      <c r="G273" s="23" t="n"/>
      <c r="H273" s="13" t="n">
        <v>-9000</v>
      </c>
      <c r="I273" s="15" t="n">
        <v>0.8057560571223183</v>
      </c>
      <c r="J273" s="15" t="n">
        <v>0.9625668449197861</v>
      </c>
      <c r="K273" s="15" t="n">
        <v>0.9890109890109891</v>
      </c>
      <c r="L273" s="14" t="n">
        <v>-0.1832549318886707</v>
      </c>
      <c r="M273" s="14" t="n">
        <v>-0.1852910977985448</v>
      </c>
      <c r="N273" s="15" t="n">
        <v>0</v>
      </c>
      <c r="O273" s="24" t="n">
        <v>0.725</v>
      </c>
      <c r="P273" s="12" t="inlineStr">
        <is>
          <t>DraftKings</t>
        </is>
      </c>
      <c r="Q273" s="12" t="inlineStr">
        <is>
          <t>price outside allowed range</t>
        </is>
      </c>
    </row>
    <row r="274">
      <c r="A274" s="17" t="inlineStr">
        <is>
          <t>PASS</t>
        </is>
      </c>
      <c r="B274" s="17" t="inlineStr">
        <is>
          <t>NDSU @ AFA</t>
        </is>
      </c>
      <c r="C274" s="17" t="inlineStr">
        <is>
          <t>2026-09-13 02:00</t>
        </is>
      </c>
      <c r="D274" s="25" t="n">
        <v>2</v>
      </c>
      <c r="E274" s="17" t="inlineStr">
        <is>
          <t>ML</t>
        </is>
      </c>
      <c r="F274" s="17" t="inlineStr">
        <is>
          <t>NDSU ML</t>
        </is>
      </c>
      <c r="G274" s="26" t="n"/>
      <c r="H274" s="18" t="n">
        <v>-245</v>
      </c>
      <c r="I274" s="20" t="n">
        <v>0.5252991092049003</v>
      </c>
      <c r="J274" s="20" t="n">
        <v>0.6805555555555556</v>
      </c>
      <c r="K274" s="20" t="n">
        <v>0.7101449275362319</v>
      </c>
      <c r="L274" s="19" t="n">
        <v>-0.1848458183313316</v>
      </c>
      <c r="M274" s="19" t="n">
        <v>-0.2602930911196302</v>
      </c>
      <c r="N274" s="20" t="n">
        <v>0</v>
      </c>
      <c r="O274" s="27" t="n">
        <v>0.725</v>
      </c>
      <c r="P274" s="17" t="inlineStr">
        <is>
          <t>DraftKings</t>
        </is>
      </c>
      <c r="Q274" s="17" t="inlineStr">
        <is>
          <t>raw model/market disagreement exceeds the safety limit</t>
        </is>
      </c>
    </row>
    <row r="275">
      <c r="A275" s="12" t="inlineStr">
        <is>
          <t>PASS</t>
        </is>
      </c>
      <c r="B275" s="12" t="inlineStr">
        <is>
          <t>MIZ @ KU</t>
        </is>
      </c>
      <c r="C275" s="12" t="inlineStr">
        <is>
          <t>2026-09-12 00:00</t>
        </is>
      </c>
      <c r="D275" s="22" t="n">
        <v>2</v>
      </c>
      <c r="E275" s="12" t="inlineStr">
        <is>
          <t>ML</t>
        </is>
      </c>
      <c r="F275" s="12" t="inlineStr">
        <is>
          <t>MIZ ML</t>
        </is>
      </c>
      <c r="G275" s="23" t="n"/>
      <c r="H275" s="13" t="n">
        <v>-245</v>
      </c>
      <c r="I275" s="15" t="n">
        <v>0.5250256554793364</v>
      </c>
      <c r="J275" s="15" t="n">
        <v>0.6805555555555556</v>
      </c>
      <c r="K275" s="15" t="n">
        <v>0.7101449275362319</v>
      </c>
      <c r="L275" s="14" t="n">
        <v>-0.1851192720568955</v>
      </c>
      <c r="M275" s="14" t="n">
        <v>-0.2606781586107303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raw model/market disagreement exceeds the safety limit</t>
        </is>
      </c>
    </row>
    <row r="276">
      <c r="A276" s="17" t="inlineStr">
        <is>
          <t>PASS</t>
        </is>
      </c>
      <c r="B276" s="17" t="inlineStr">
        <is>
          <t>GASO @ CLEM</t>
        </is>
      </c>
      <c r="C276" s="17" t="inlineStr">
        <is>
          <t>2026-09-12 23:30</t>
        </is>
      </c>
      <c r="D276" s="25" t="n">
        <v>2</v>
      </c>
      <c r="E276" s="17" t="inlineStr">
        <is>
          <t>ML</t>
        </is>
      </c>
      <c r="F276" s="17" t="inlineStr">
        <is>
          <t>CLEM ML</t>
        </is>
      </c>
      <c r="G276" s="26" t="n"/>
      <c r="H276" s="18" t="n">
        <v>-2100</v>
      </c>
      <c r="I276" s="20" t="n">
        <v>0.7654650364290572</v>
      </c>
      <c r="J276" s="20" t="n">
        <v>0.9197080291970804</v>
      </c>
      <c r="K276" s="20" t="n">
        <v>0.9545454545454546</v>
      </c>
      <c r="L276" s="19" t="n">
        <v>-0.1890804181163974</v>
      </c>
      <c r="M276" s="19" t="n">
        <v>-0.1980842475505115</v>
      </c>
      <c r="N276" s="20" t="n">
        <v>0</v>
      </c>
      <c r="O276" s="27" t="n">
        <v>0.725</v>
      </c>
      <c r="P276" s="17" t="inlineStr">
        <is>
          <t>DraftKings</t>
        </is>
      </c>
      <c r="Q276" s="17" t="inlineStr">
        <is>
          <t>price outside allowed range</t>
        </is>
      </c>
    </row>
    <row r="277">
      <c r="A277" s="12" t="inlineStr">
        <is>
          <t>PASS</t>
        </is>
      </c>
      <c r="B277" s="12" t="inlineStr">
        <is>
          <t>USM @ AUB</t>
        </is>
      </c>
      <c r="C277" s="12" t="inlineStr">
        <is>
          <t>2026-09-12 23:45</t>
        </is>
      </c>
      <c r="D277" s="22" t="n">
        <v>2</v>
      </c>
      <c r="E277" s="12" t="inlineStr">
        <is>
          <t>ML</t>
        </is>
      </c>
      <c r="F277" s="12" t="inlineStr">
        <is>
          <t>AUB ML</t>
        </is>
      </c>
      <c r="G277" s="23" t="n"/>
      <c r="H277" s="13" t="n">
        <v>-5000</v>
      </c>
      <c r="I277" s="15" t="n">
        <v>0.7905972123568856</v>
      </c>
      <c r="J277" s="15" t="n">
        <v>0.949050949050949</v>
      </c>
      <c r="K277" s="15" t="n">
        <v>0.9803921568627451</v>
      </c>
      <c r="L277" s="14" t="n">
        <v>-0.1897949445058594</v>
      </c>
      <c r="M277" s="14" t="n">
        <v>-0.1935908433959767</v>
      </c>
      <c r="N277" s="15" t="n">
        <v>0</v>
      </c>
      <c r="O277" s="24" t="n">
        <v>0.725</v>
      </c>
      <c r="P277" s="12" t="inlineStr">
        <is>
          <t>DraftKings</t>
        </is>
      </c>
      <c r="Q277" s="12" t="inlineStr">
        <is>
          <t>price outside allowed range</t>
        </is>
      </c>
    </row>
    <row r="278">
      <c r="A278" s="17" t="inlineStr">
        <is>
          <t>PASS</t>
        </is>
      </c>
      <c r="B278" s="17" t="inlineStr">
        <is>
          <t>LT @ LSU</t>
        </is>
      </c>
      <c r="C278" s="17" t="inlineStr">
        <is>
          <t>2026-09-12 23:30</t>
        </is>
      </c>
      <c r="D278" s="25" t="n">
        <v>2</v>
      </c>
      <c r="E278" s="17" t="inlineStr">
        <is>
          <t>ML</t>
        </is>
      </c>
      <c r="F278" s="17" t="inlineStr">
        <is>
          <t>LSU ML</t>
        </is>
      </c>
      <c r="G278" s="26" t="n"/>
      <c r="H278" s="18" t="n">
        <v>-10000</v>
      </c>
      <c r="I278" s="20" t="n">
        <v>0.7997491321757082</v>
      </c>
      <c r="J278" s="20" t="n">
        <v>0.9684473601999376</v>
      </c>
      <c r="K278" s="20" t="n">
        <v>0.9900990099009901</v>
      </c>
      <c r="L278" s="19" t="n">
        <v>-0.1903498777252819</v>
      </c>
      <c r="M278" s="19" t="n">
        <v>-0.1922533765025347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price outside allowed range</t>
        </is>
      </c>
    </row>
    <row r="279">
      <c r="A279" s="12" t="inlineStr">
        <is>
          <t>PASS</t>
        </is>
      </c>
      <c r="B279" s="12" t="inlineStr">
        <is>
          <t>UTSA @ TXST</t>
        </is>
      </c>
      <c r="C279" s="12" t="inlineStr">
        <is>
          <t>2026-09-12 19:30</t>
        </is>
      </c>
      <c r="D279" s="22" t="n">
        <v>2</v>
      </c>
      <c r="E279" s="12" t="inlineStr">
        <is>
          <t>TOTAL</t>
        </is>
      </c>
      <c r="F279" s="12" t="inlineStr">
        <is>
          <t>Over 64.5</t>
        </is>
      </c>
      <c r="G279" s="23" t="n">
        <v>64.5</v>
      </c>
      <c r="H279" s="13" t="n">
        <v>-110</v>
      </c>
      <c r="I279" s="15" t="n">
        <v>0.3329612293152999</v>
      </c>
      <c r="J279" s="15" t="n">
        <v>0.5</v>
      </c>
      <c r="K279" s="15" t="n">
        <v>0.5238095238095238</v>
      </c>
      <c r="L279" s="14" t="n">
        <v>-0.190848294494224</v>
      </c>
      <c r="M279" s="14" t="n">
        <v>-0.3643467440344275</v>
      </c>
      <c r="N279" s="15" t="n">
        <v>0</v>
      </c>
      <c r="O279" s="24" t="n">
        <v>0.725</v>
      </c>
      <c r="P279" s="12" t="inlineStr">
        <is>
          <t>DraftKings</t>
        </is>
      </c>
      <c r="Q279" s="12" t="inlineStr">
        <is>
          <t>raw model/market disagreement exceeds the safety limit</t>
        </is>
      </c>
    </row>
    <row r="280">
      <c r="A280" s="17" t="inlineStr">
        <is>
          <t>PASS</t>
        </is>
      </c>
      <c r="B280" s="17" t="inlineStr">
        <is>
          <t>EMU @ MSU</t>
        </is>
      </c>
      <c r="C280" s="17" t="inlineStr">
        <is>
          <t>2026-09-12 19:30</t>
        </is>
      </c>
      <c r="D280" s="25" t="n">
        <v>2</v>
      </c>
      <c r="E280" s="17" t="inlineStr">
        <is>
          <t>ATS</t>
        </is>
      </c>
      <c r="F280" s="17" t="inlineStr">
        <is>
          <t>MSU -17.5</t>
        </is>
      </c>
      <c r="G280" s="26" t="n">
        <v>-17.5</v>
      </c>
      <c r="H280" s="18" t="n">
        <v>-108</v>
      </c>
      <c r="I280" s="20" t="n">
        <v>0.3242103888878113</v>
      </c>
      <c r="J280" s="20" t="n">
        <v>0.4956702459300312</v>
      </c>
      <c r="K280" s="20" t="n">
        <v>0.5192307692307693</v>
      </c>
      <c r="L280" s="19" t="n">
        <v>-0.1950203803429579</v>
      </c>
      <c r="M280" s="19" t="n">
        <v>-0.3755948065864373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raw model/market disagreement exceeds the safety limit</t>
        </is>
      </c>
    </row>
    <row r="281">
      <c r="A281" s="12" t="inlineStr">
        <is>
          <t>PASS</t>
        </is>
      </c>
      <c r="B281" s="12" t="inlineStr">
        <is>
          <t>ODU @ VT</t>
        </is>
      </c>
      <c r="C281" s="12" t="inlineStr">
        <is>
          <t>2026-09-12 16:00</t>
        </is>
      </c>
      <c r="D281" s="22" t="n">
        <v>2</v>
      </c>
      <c r="E281" s="12" t="inlineStr">
        <is>
          <t>ATS</t>
        </is>
      </c>
      <c r="F281" s="12" t="inlineStr">
        <is>
          <t>VT -17.5</t>
        </is>
      </c>
      <c r="G281" s="23" t="n">
        <v>-17.5</v>
      </c>
      <c r="H281" s="13" t="n">
        <v>-112</v>
      </c>
      <c r="I281" s="15" t="n">
        <v>0.3240337166631636</v>
      </c>
      <c r="J281" s="15" t="n">
        <v>0.5043297540699688</v>
      </c>
      <c r="K281" s="15" t="n">
        <v>0.5283018867924528</v>
      </c>
      <c r="L281" s="14" t="n">
        <v>-0.2042681701292892</v>
      </c>
      <c r="M281" s="14" t="n">
        <v>-0.3866504648875832</v>
      </c>
      <c r="N281" s="15" t="n">
        <v>0</v>
      </c>
      <c r="O281" s="24" t="n">
        <v>0.725</v>
      </c>
      <c r="P281" s="12" t="inlineStr">
        <is>
          <t>DraftKings</t>
        </is>
      </c>
      <c r="Q281" s="12" t="inlineStr">
        <is>
          <t>raw model/market disagreement exceeds the safety limit</t>
        </is>
      </c>
    </row>
    <row r="282">
      <c r="A282" s="17" t="inlineStr">
        <is>
          <t>PASS</t>
        </is>
      </c>
      <c r="B282" s="17" t="inlineStr">
        <is>
          <t>MTSU @ MRSH</t>
        </is>
      </c>
      <c r="C282" s="17" t="inlineStr">
        <is>
          <t>2026-09-12 23:00</t>
        </is>
      </c>
      <c r="D282" s="25" t="n">
        <v>2</v>
      </c>
      <c r="E282" s="17" t="inlineStr">
        <is>
          <t>ATS</t>
        </is>
      </c>
      <c r="F282" s="17" t="inlineStr">
        <is>
          <t>MRSH -17.5</t>
        </is>
      </c>
      <c r="G282" s="26" t="n">
        <v>-17.5</v>
      </c>
      <c r="H282" s="18" t="n">
        <v>-110</v>
      </c>
      <c r="I282" s="20" t="n">
        <v>0.3158625322848275</v>
      </c>
      <c r="J282" s="20" t="n">
        <v>0.5</v>
      </c>
      <c r="K282" s="20" t="n">
        <v>0.5238095238095238</v>
      </c>
      <c r="L282" s="19" t="n">
        <v>-0.2079469915246963</v>
      </c>
      <c r="M282" s="19" t="n">
        <v>-0.3969897110926019</v>
      </c>
      <c r="N282" s="20" t="n">
        <v>0</v>
      </c>
      <c r="O282" s="27" t="n">
        <v>0.725</v>
      </c>
      <c r="P282" s="17" t="inlineStr">
        <is>
          <t>DraftKings</t>
        </is>
      </c>
      <c r="Q282" s="17" t="inlineStr">
        <is>
          <t>raw model/market disagreement exceeds the safety limit</t>
        </is>
      </c>
    </row>
    <row r="283">
      <c r="A283" s="12" t="inlineStr">
        <is>
          <t>PASS</t>
        </is>
      </c>
      <c r="B283" s="12" t="inlineStr">
        <is>
          <t>WSU @ KSU</t>
        </is>
      </c>
      <c r="C283" s="12" t="inlineStr">
        <is>
          <t>2026-09-12 16:00</t>
        </is>
      </c>
      <c r="D283" s="22" t="n">
        <v>2</v>
      </c>
      <c r="E283" s="12" t="inlineStr">
        <is>
          <t>ATS</t>
        </is>
      </c>
      <c r="F283" s="12" t="inlineStr">
        <is>
          <t>KSU -19.5</t>
        </is>
      </c>
      <c r="G283" s="23" t="n">
        <v>-19.5</v>
      </c>
      <c r="H283" s="13" t="n">
        <v>-108</v>
      </c>
      <c r="I283" s="15" t="n">
        <v>0.3078652028909002</v>
      </c>
      <c r="J283" s="15" t="n">
        <v>0.4956702459300312</v>
      </c>
      <c r="K283" s="15" t="n">
        <v>0.5192307692307693</v>
      </c>
      <c r="L283" s="14" t="n">
        <v>-0.2113655663398691</v>
      </c>
      <c r="M283" s="14" t="n">
        <v>-0.40707442406197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SAC @ FRES</t>
        </is>
      </c>
      <c r="C284" s="17" t="inlineStr">
        <is>
          <t>2026-09-13 02:30</t>
        </is>
      </c>
      <c r="D284" s="25" t="n">
        <v>2</v>
      </c>
      <c r="E284" s="17" t="inlineStr">
        <is>
          <t>ATS</t>
        </is>
      </c>
      <c r="F284" s="17" t="inlineStr">
        <is>
          <t>FRES -18.5</t>
        </is>
      </c>
      <c r="G284" s="26" t="n">
        <v>-18.5</v>
      </c>
      <c r="H284" s="18" t="n">
        <v>-108</v>
      </c>
      <c r="I284" s="20" t="n">
        <v>0.3052626324803975</v>
      </c>
      <c r="J284" s="20" t="n">
        <v>0.4956702459300312</v>
      </c>
      <c r="K284" s="20" t="n">
        <v>0.5192307692307693</v>
      </c>
      <c r="L284" s="19" t="n">
        <v>-0.2139681367503717</v>
      </c>
      <c r="M284" s="19" t="n">
        <v>-0.4120867818896047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ALA @ UK</t>
        </is>
      </c>
      <c r="C285" s="12" t="inlineStr">
        <is>
          <t>2026-09-12 19:30</t>
        </is>
      </c>
      <c r="D285" s="22" t="n">
        <v>2</v>
      </c>
      <c r="E285" s="12" t="inlineStr">
        <is>
          <t>ATS</t>
        </is>
      </c>
      <c r="F285" s="12" t="inlineStr">
        <is>
          <t>ALA -10.5</t>
        </is>
      </c>
      <c r="G285" s="23" t="n">
        <v>10.5</v>
      </c>
      <c r="H285" s="13" t="n">
        <v>-110</v>
      </c>
      <c r="I285" s="15" t="n">
        <v>0.3022825859390117</v>
      </c>
      <c r="J285" s="15" t="n">
        <v>0.5</v>
      </c>
      <c r="K285" s="15" t="n">
        <v>0.5238095238095238</v>
      </c>
      <c r="L285" s="14" t="n">
        <v>-0.2215269378705121</v>
      </c>
      <c r="M285" s="14" t="n">
        <v>-0.4229150632073413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DEL @ VAN</t>
        </is>
      </c>
      <c r="C286" s="17" t="inlineStr">
        <is>
          <t>2026-09-12 20:15</t>
        </is>
      </c>
      <c r="D286" s="25" t="n">
        <v>2</v>
      </c>
      <c r="E286" s="17" t="inlineStr">
        <is>
          <t>ATS</t>
        </is>
      </c>
      <c r="F286" s="17" t="inlineStr">
        <is>
          <t>VAN -20.5</t>
        </is>
      </c>
      <c r="G286" s="26" t="n">
        <v>-20.5</v>
      </c>
      <c r="H286" s="18" t="n">
        <v>-108</v>
      </c>
      <c r="I286" s="20" t="n">
        <v>0.2918704475004799</v>
      </c>
      <c r="J286" s="20" t="n">
        <v>0.4956702459300312</v>
      </c>
      <c r="K286" s="20" t="n">
        <v>0.5192307692307693</v>
      </c>
      <c r="L286" s="19" t="n">
        <v>-0.2273603217302894</v>
      </c>
      <c r="M286" s="19" t="n">
        <v>-0.4378791381472239</v>
      </c>
      <c r="N286" s="20" t="n">
        <v>0</v>
      </c>
      <c r="O286" s="27" t="n">
        <v>0.725</v>
      </c>
      <c r="P286" s="17" t="inlineStr">
        <is>
          <t>DraftKings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TENN @ GT</t>
        </is>
      </c>
      <c r="C287" s="12" t="inlineStr">
        <is>
          <t>2026-09-12 23:00</t>
        </is>
      </c>
      <c r="D287" s="22" t="n">
        <v>2</v>
      </c>
      <c r="E287" s="12" t="inlineStr">
        <is>
          <t>ATS</t>
        </is>
      </c>
      <c r="F287" s="12" t="inlineStr">
        <is>
          <t>TENN -13.5</t>
        </is>
      </c>
      <c r="G287" s="23" t="n">
        <v>13.5</v>
      </c>
      <c r="H287" s="13" t="n">
        <v>-112</v>
      </c>
      <c r="I287" s="15" t="n">
        <v>0.2932142110910104</v>
      </c>
      <c r="J287" s="15" t="n">
        <v>0.5043297540699688</v>
      </c>
      <c r="K287" s="15" t="n">
        <v>0.5283018867924528</v>
      </c>
      <c r="L287" s="14" t="n">
        <v>-0.2350876757014424</v>
      </c>
      <c r="M287" s="14" t="n">
        <v>-0.4449873861491588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ALA @ UK</t>
        </is>
      </c>
      <c r="C288" s="17" t="inlineStr">
        <is>
          <t>2026-09-12 19:30</t>
        </is>
      </c>
      <c r="D288" s="25" t="n">
        <v>2</v>
      </c>
      <c r="E288" s="17" t="inlineStr">
        <is>
          <t>ML</t>
        </is>
      </c>
      <c r="F288" s="17" t="inlineStr">
        <is>
          <t>ALA ML</t>
        </is>
      </c>
      <c r="G288" s="26" t="n"/>
      <c r="H288" s="18" t="n">
        <v>-425</v>
      </c>
      <c r="I288" s="20" t="n">
        <v>0.5688063839757291</v>
      </c>
      <c r="J288" s="20" t="n">
        <v>0.7768331562167907</v>
      </c>
      <c r="K288" s="20" t="n">
        <v>0.8095238095238095</v>
      </c>
      <c r="L288" s="19" t="n">
        <v>-0.2407174255480804</v>
      </c>
      <c r="M288" s="19" t="n">
        <v>-0.2973568197946875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price outside allowed range</t>
        </is>
      </c>
    </row>
    <row r="289">
      <c r="A289" s="12" t="inlineStr">
        <is>
          <t>PASS</t>
        </is>
      </c>
      <c r="B289" s="12" t="inlineStr">
        <is>
          <t>WIS @ ND</t>
        </is>
      </c>
      <c r="C289" s="12" t="inlineStr">
        <is>
          <t>2026-09-06 23:30</t>
        </is>
      </c>
      <c r="D289" s="22" t="n">
        <v>1</v>
      </c>
      <c r="E289" s="12" t="inlineStr">
        <is>
          <t>ML</t>
        </is>
      </c>
      <c r="F289" s="12" t="inlineStr">
        <is>
          <t>ND ML</t>
        </is>
      </c>
      <c r="G289" s="23" t="n"/>
      <c r="H289" s="13" t="n">
        <v>-1800</v>
      </c>
      <c r="I289" s="15" t="n">
        <v>0.7062211981566819</v>
      </c>
      <c r="J289" s="15" t="n">
        <v>0.912442396313364</v>
      </c>
      <c r="K289" s="15" t="n">
        <v>0.9473684210526315</v>
      </c>
      <c r="L289" s="14" t="n">
        <v>-0.2411472228959496</v>
      </c>
      <c r="M289" s="14" t="n">
        <v>-0.2545442908346135</v>
      </c>
      <c r="N289" s="15" t="n">
        <v>0</v>
      </c>
      <c r="O289" s="24" t="n">
        <v>0.4</v>
      </c>
      <c r="P289" s="12" t="inlineStr">
        <is>
          <t>DraftKings</t>
        </is>
      </c>
      <c r="Q289" s="12" t="inlineStr">
        <is>
          <t>price outside allowed range</t>
        </is>
      </c>
    </row>
    <row r="290">
      <c r="A290" s="17" t="inlineStr">
        <is>
          <t>PASS</t>
        </is>
      </c>
      <c r="B290" s="17" t="inlineStr">
        <is>
          <t>GASO @ CLEM</t>
        </is>
      </c>
      <c r="C290" s="17" t="inlineStr">
        <is>
          <t>2026-09-12 23:30</t>
        </is>
      </c>
      <c r="D290" s="25" t="n">
        <v>2</v>
      </c>
      <c r="E290" s="17" t="inlineStr">
        <is>
          <t>ATS</t>
        </is>
      </c>
      <c r="F290" s="17" t="inlineStr">
        <is>
          <t>CLEM -22.5</t>
        </is>
      </c>
      <c r="G290" s="26" t="n">
        <v>-22.5</v>
      </c>
      <c r="H290" s="18" t="n">
        <v>-112</v>
      </c>
      <c r="I290" s="20" t="n">
        <v>0.2842319311370016</v>
      </c>
      <c r="J290" s="20" t="n">
        <v>0.5043297540699688</v>
      </c>
      <c r="K290" s="20" t="n">
        <v>0.5283018867924528</v>
      </c>
      <c r="L290" s="19" t="n">
        <v>-0.2440699556554512</v>
      </c>
      <c r="M290" s="19" t="n">
        <v>-0.4619895589192469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MD @ CONN</t>
        </is>
      </c>
      <c r="C291" s="12" t="inlineStr">
        <is>
          <t>2026-09-12 19:30</t>
        </is>
      </c>
      <c r="D291" s="22" t="n">
        <v>2</v>
      </c>
      <c r="E291" s="12" t="inlineStr">
        <is>
          <t>ATS</t>
        </is>
      </c>
      <c r="F291" s="12" t="inlineStr">
        <is>
          <t>MD -13.5</t>
        </is>
      </c>
      <c r="G291" s="23" t="n">
        <v>13.5</v>
      </c>
      <c r="H291" s="13" t="n">
        <v>-115</v>
      </c>
      <c r="I291" s="15" t="n">
        <v>0.289046521039429</v>
      </c>
      <c r="J291" s="15" t="n">
        <v>0.5108342361863488</v>
      </c>
      <c r="K291" s="15" t="n">
        <v>0.5348837209302325</v>
      </c>
      <c r="L291" s="14" t="n">
        <v>-0.2458371998908035</v>
      </c>
      <c r="M291" s="14" t="n">
        <v>-0.4596086780567198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TLSA @ SHSU</t>
        </is>
      </c>
      <c r="C292" s="17" t="inlineStr">
        <is>
          <t>2026-09-12 23:00</t>
        </is>
      </c>
      <c r="D292" s="25" t="n">
        <v>2</v>
      </c>
      <c r="E292" s="17" t="inlineStr">
        <is>
          <t>ATS</t>
        </is>
      </c>
      <c r="F292" s="17" t="inlineStr">
        <is>
          <t>TLSA -14</t>
        </is>
      </c>
      <c r="G292" s="26" t="n">
        <v>14</v>
      </c>
      <c r="H292" s="18" t="n">
        <v>-110</v>
      </c>
      <c r="I292" s="20" t="n">
        <v>0.274787781668854</v>
      </c>
      <c r="J292" s="20" t="n">
        <v>0.5</v>
      </c>
      <c r="K292" s="20" t="n">
        <v>0.5238095238095238</v>
      </c>
      <c r="L292" s="19" t="n">
        <v>-0.2490217421406699</v>
      </c>
      <c r="M292" s="19" t="n">
        <v>-0.4693087588935729</v>
      </c>
      <c r="N292" s="20" t="n">
        <v>0.0128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TENN @ GT</t>
        </is>
      </c>
      <c r="C293" s="12" t="inlineStr">
        <is>
          <t>2026-09-12 23:00</t>
        </is>
      </c>
      <c r="D293" s="22" t="n">
        <v>2</v>
      </c>
      <c r="E293" s="12" t="inlineStr">
        <is>
          <t>ML</t>
        </is>
      </c>
      <c r="F293" s="12" t="inlineStr">
        <is>
          <t>TENN ML</t>
        </is>
      </c>
      <c r="G293" s="23" t="n"/>
      <c r="H293" s="13" t="n">
        <v>-575</v>
      </c>
      <c r="I293" s="15" t="n">
        <v>0.6023251882624594</v>
      </c>
      <c r="J293" s="15" t="n">
        <v>0.817258883248731</v>
      </c>
      <c r="K293" s="15" t="n">
        <v>0.8518518518518519</v>
      </c>
      <c r="L293" s="14" t="n">
        <v>-0.2495266635893925</v>
      </c>
      <c r="M293" s="14" t="n">
        <v>-0.2929226050831999</v>
      </c>
      <c r="N293" s="15" t="n">
        <v>0</v>
      </c>
      <c r="O293" s="24" t="n">
        <v>0.725</v>
      </c>
      <c r="P293" s="12" t="inlineStr">
        <is>
          <t>DraftKings</t>
        </is>
      </c>
      <c r="Q293" s="12" t="inlineStr">
        <is>
          <t>price outside allowed range</t>
        </is>
      </c>
    </row>
    <row r="294">
      <c r="A294" s="17" t="inlineStr">
        <is>
          <t>PASS</t>
        </is>
      </c>
      <c r="B294" s="17" t="inlineStr">
        <is>
          <t>BGSU @ NEB</t>
        </is>
      </c>
      <c r="C294" s="17" t="inlineStr">
        <is>
          <t>2026-09-12 23:00</t>
        </is>
      </c>
      <c r="D294" s="25" t="n">
        <v>2</v>
      </c>
      <c r="E294" s="17" t="inlineStr">
        <is>
          <t>ATS</t>
        </is>
      </c>
      <c r="F294" s="17" t="inlineStr">
        <is>
          <t>NEB -28.5</t>
        </is>
      </c>
      <c r="G294" s="26" t="n">
        <v>-28.5</v>
      </c>
      <c r="H294" s="18" t="n">
        <v>-108</v>
      </c>
      <c r="I294" s="20" t="n">
        <v>0.2678564339562097</v>
      </c>
      <c r="J294" s="20" t="n">
        <v>0.4956702459300312</v>
      </c>
      <c r="K294" s="20" t="n">
        <v>0.5192307692307693</v>
      </c>
      <c r="L294" s="19" t="n">
        <v>-0.2513743352745596</v>
      </c>
      <c r="M294" s="19" t="n">
        <v>-0.4841283494176701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USU @ WASH</t>
        </is>
      </c>
      <c r="C295" s="12" t="inlineStr">
        <is>
          <t>2026-09-12 19:30</t>
        </is>
      </c>
      <c r="D295" s="22" t="n">
        <v>2</v>
      </c>
      <c r="E295" s="12" t="inlineStr">
        <is>
          <t>ATS</t>
        </is>
      </c>
      <c r="F295" s="12" t="inlineStr">
        <is>
          <t>WASH -27.5</t>
        </is>
      </c>
      <c r="G295" s="23" t="n">
        <v>-27.5</v>
      </c>
      <c r="H295" s="13" t="n">
        <v>-112</v>
      </c>
      <c r="I295" s="15" t="n">
        <v>0.27551373067032</v>
      </c>
      <c r="J295" s="15" t="n">
        <v>0.5043297540699688</v>
      </c>
      <c r="K295" s="15" t="n">
        <v>0.5283018867924528</v>
      </c>
      <c r="L295" s="14" t="n">
        <v>-0.2527881561221328</v>
      </c>
      <c r="M295" s="14" t="n">
        <v>-0.4784918669454656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WIS @ ND</t>
        </is>
      </c>
      <c r="C296" s="17" t="inlineStr">
        <is>
          <t>2026-09-06 23:30</t>
        </is>
      </c>
      <c r="D296" s="25" t="n">
        <v>1</v>
      </c>
      <c r="E296" s="17" t="inlineStr">
        <is>
          <t>ATS</t>
        </is>
      </c>
      <c r="F296" s="17" t="inlineStr">
        <is>
          <t>ND -21</t>
        </is>
      </c>
      <c r="G296" s="26" t="n">
        <v>-21</v>
      </c>
      <c r="H296" s="18" t="n">
        <v>-115</v>
      </c>
      <c r="I296" s="20" t="n">
        <v>0.2756446732989797</v>
      </c>
      <c r="J296" s="20" t="n">
        <v>0.5108342361863488</v>
      </c>
      <c r="K296" s="20" t="n">
        <v>0.5348837209302325</v>
      </c>
      <c r="L296" s="19" t="n">
        <v>-0.2592390476312528</v>
      </c>
      <c r="M296" s="19" t="n">
        <v>-0.4800652702801479</v>
      </c>
      <c r="N296" s="20" t="n">
        <v>0.0095</v>
      </c>
      <c r="O296" s="27" t="n">
        <v>0.4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USM @ AUB</t>
        </is>
      </c>
      <c r="C297" s="12" t="inlineStr">
        <is>
          <t>2026-09-12 23:45</t>
        </is>
      </c>
      <c r="D297" s="22" t="n">
        <v>2</v>
      </c>
      <c r="E297" s="12" t="inlineStr">
        <is>
          <t>ATS</t>
        </is>
      </c>
      <c r="F297" s="12" t="inlineStr">
        <is>
          <t>AUB -29.5</t>
        </is>
      </c>
      <c r="G297" s="23" t="n">
        <v>-29.5</v>
      </c>
      <c r="H297" s="13" t="n">
        <v>-108</v>
      </c>
      <c r="I297" s="15" t="n">
        <v>0.2598369896235422</v>
      </c>
      <c r="J297" s="15" t="n">
        <v>0.4956702459300312</v>
      </c>
      <c r="K297" s="15" t="n">
        <v>0.5192307692307693</v>
      </c>
      <c r="L297" s="14" t="n">
        <v>-0.2593937796072271</v>
      </c>
      <c r="M297" s="14" t="n">
        <v>-0.4995732051694743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UL @ USC</t>
        </is>
      </c>
      <c r="C298" s="17" t="inlineStr">
        <is>
          <t>2026-09-13 03:00</t>
        </is>
      </c>
      <c r="D298" s="25" t="n">
        <v>2</v>
      </c>
      <c r="E298" s="17" t="inlineStr">
        <is>
          <t>ATS</t>
        </is>
      </c>
      <c r="F298" s="17" t="inlineStr">
        <is>
          <t>USC -30.5</t>
        </is>
      </c>
      <c r="G298" s="26" t="n">
        <v>-30.5</v>
      </c>
      <c r="H298" s="18" t="n">
        <v>-108</v>
      </c>
      <c r="I298" s="20" t="n">
        <v>0.2590890970054912</v>
      </c>
      <c r="J298" s="20" t="n">
        <v>0.4956702459300312</v>
      </c>
      <c r="K298" s="20" t="n">
        <v>0.5192307692307693</v>
      </c>
      <c r="L298" s="19" t="n">
        <v>-0.2601416722252781</v>
      </c>
      <c r="M298" s="19" t="n">
        <v>-0.5010135909523874</v>
      </c>
      <c r="N298" s="20" t="n">
        <v>0</v>
      </c>
      <c r="O298" s="27" t="n">
        <v>0.725</v>
      </c>
      <c r="P298" s="17" t="inlineStr">
        <is>
          <t>DraftKings</t>
        </is>
      </c>
      <c r="Q298" s="17" t="inlineStr">
        <is>
          <t>raw model/market disagreement exceeds the safety limit</t>
        </is>
      </c>
    </row>
    <row r="299">
      <c r="A299" s="12" t="inlineStr">
        <is>
          <t>PASS</t>
        </is>
      </c>
      <c r="B299" s="12" t="inlineStr">
        <is>
          <t>LT @ LSU</t>
        </is>
      </c>
      <c r="C299" s="12" t="inlineStr">
        <is>
          <t>2026-09-12 23:30</t>
        </is>
      </c>
      <c r="D299" s="22" t="n">
        <v>2</v>
      </c>
      <c r="E299" s="12" t="inlineStr">
        <is>
          <t>ATS</t>
        </is>
      </c>
      <c r="F299" s="12" t="inlineStr">
        <is>
          <t>LSU -31.5</t>
        </is>
      </c>
      <c r="G299" s="23" t="n">
        <v>-31.5</v>
      </c>
      <c r="H299" s="13" t="n">
        <v>-108</v>
      </c>
      <c r="I299" s="15" t="n">
        <v>0.2560582756962358</v>
      </c>
      <c r="J299" s="15" t="n">
        <v>0.4956702459300312</v>
      </c>
      <c r="K299" s="15" t="n">
        <v>0.5192307692307693</v>
      </c>
      <c r="L299" s="14" t="n">
        <v>-0.2631724935345335</v>
      </c>
      <c r="M299" s="14" t="n">
        <v>-0.5068507282887311</v>
      </c>
      <c r="N299" s="15" t="n">
        <v>0</v>
      </c>
      <c r="O299" s="24" t="n">
        <v>0.725</v>
      </c>
      <c r="P299" s="12" t="inlineStr">
        <is>
          <t>DraftKings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PSU @ TEM</t>
        </is>
      </c>
      <c r="C300" s="17" t="inlineStr">
        <is>
          <t>2026-09-12 16:00</t>
        </is>
      </c>
      <c r="D300" s="25" t="n">
        <v>2</v>
      </c>
      <c r="E300" s="17" t="inlineStr">
        <is>
          <t>ATS</t>
        </is>
      </c>
      <c r="F300" s="17" t="inlineStr">
        <is>
          <t>PSU -22.5</t>
        </is>
      </c>
      <c r="G300" s="26" t="n">
        <v>22.5</v>
      </c>
      <c r="H300" s="18" t="n">
        <v>-108</v>
      </c>
      <c r="I300" s="20" t="n">
        <v>0.2554260281080054</v>
      </c>
      <c r="J300" s="20" t="n">
        <v>0.4956702459300312</v>
      </c>
      <c r="K300" s="20" t="n">
        <v>0.5192307692307693</v>
      </c>
      <c r="L300" s="19" t="n">
        <v>-0.2638047411227639</v>
      </c>
      <c r="M300" s="19" t="n">
        <v>-0.5080683903105081</v>
      </c>
      <c r="N300" s="20" t="n">
        <v>0</v>
      </c>
      <c r="O300" s="27" t="n">
        <v>0.725</v>
      </c>
      <c r="P300" s="17" t="inlineStr">
        <is>
          <t>DraftKings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WKU @ UGA</t>
        </is>
      </c>
      <c r="C301" s="12" t="inlineStr">
        <is>
          <t>2026-09-12 16:45</t>
        </is>
      </c>
      <c r="D301" s="22" t="n">
        <v>2</v>
      </c>
      <c r="E301" s="12" t="inlineStr">
        <is>
          <t>ATS</t>
        </is>
      </c>
      <c r="F301" s="12" t="inlineStr">
        <is>
          <t>UGA -39.5</t>
        </is>
      </c>
      <c r="G301" s="23" t="n">
        <v>-39.5</v>
      </c>
      <c r="H301" s="13" t="n">
        <v>-105</v>
      </c>
      <c r="I301" s="15" t="n">
        <v>0.246809773231375</v>
      </c>
      <c r="J301" s="15" t="n">
        <v>0.4891657638136511</v>
      </c>
      <c r="K301" s="15" t="n">
        <v>0.5121951219512195</v>
      </c>
      <c r="L301" s="14" t="n">
        <v>-0.2653853487198445</v>
      </c>
      <c r="M301" s="14" t="n">
        <v>-0.5181332998816013</v>
      </c>
      <c r="N301" s="15" t="n">
        <v>0</v>
      </c>
      <c r="O301" s="24" t="n">
        <v>0.725</v>
      </c>
      <c r="P301" s="12" t="inlineStr">
        <is>
          <t>DraftKings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ORE @ OKST</t>
        </is>
      </c>
      <c r="C302" s="17" t="inlineStr">
        <is>
          <t>2026-09-12 16:00</t>
        </is>
      </c>
      <c r="D302" s="25" t="n">
        <v>2</v>
      </c>
      <c r="E302" s="17" t="inlineStr">
        <is>
          <t>ATS</t>
        </is>
      </c>
      <c r="F302" s="17" t="inlineStr">
        <is>
          <t>ORE -22.5</t>
        </is>
      </c>
      <c r="G302" s="26" t="n">
        <v>22.5</v>
      </c>
      <c r="H302" s="18" t="n">
        <v>-110</v>
      </c>
      <c r="I302" s="20" t="n">
        <v>0.2563554796414005</v>
      </c>
      <c r="J302" s="20" t="n">
        <v>0.5</v>
      </c>
      <c r="K302" s="20" t="n">
        <v>0.5238095238095238</v>
      </c>
      <c r="L302" s="19" t="n">
        <v>-0.2674540441681234</v>
      </c>
      <c r="M302" s="19" t="n">
        <v>-0.5105940843209626</v>
      </c>
      <c r="N302" s="20" t="n">
        <v>0</v>
      </c>
      <c r="O302" s="27" t="n">
        <v>0.725</v>
      </c>
      <c r="P302" s="17" t="inlineStr">
        <is>
          <t>DraftKings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TTU @ ORST</t>
        </is>
      </c>
      <c r="C303" s="12" t="inlineStr">
        <is>
          <t>2026-09-12 23:30</t>
        </is>
      </c>
      <c r="D303" s="22" t="n">
        <v>2</v>
      </c>
      <c r="E303" s="12" t="inlineStr">
        <is>
          <t>ATS</t>
        </is>
      </c>
      <c r="F303" s="12" t="inlineStr">
        <is>
          <t>TTU -25.5</t>
        </is>
      </c>
      <c r="G303" s="23" t="n">
        <v>25.5</v>
      </c>
      <c r="H303" s="13" t="n">
        <v>-110</v>
      </c>
      <c r="I303" s="15" t="n">
        <v>0.2541317658637936</v>
      </c>
      <c r="J303" s="15" t="n">
        <v>0.5</v>
      </c>
      <c r="K303" s="15" t="n">
        <v>0.5238095238095238</v>
      </c>
      <c r="L303" s="14" t="n">
        <v>-0.2696777579457302</v>
      </c>
      <c r="M303" s="14" t="n">
        <v>-0.5148393560782122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RICE @ ND</t>
        </is>
      </c>
      <c r="C304" s="17" t="inlineStr">
        <is>
          <t>2026-09-12 19:30</t>
        </is>
      </c>
      <c r="D304" s="25" t="n">
        <v>2</v>
      </c>
      <c r="E304" s="17" t="inlineStr">
        <is>
          <t>ATS</t>
        </is>
      </c>
      <c r="F304" s="17" t="inlineStr">
        <is>
          <t>ND -44.5</t>
        </is>
      </c>
      <c r="G304" s="26" t="n">
        <v>-44.5</v>
      </c>
      <c r="H304" s="18" t="n">
        <v>-108</v>
      </c>
      <c r="I304" s="20" t="n">
        <v>0.2483019313384828</v>
      </c>
      <c r="J304" s="20" t="n">
        <v>0.4956702459300312</v>
      </c>
      <c r="K304" s="20" t="n">
        <v>0.5192307692307693</v>
      </c>
      <c r="L304" s="19" t="n">
        <v>-0.2709288378922864</v>
      </c>
      <c r="M304" s="19" t="n">
        <v>-0.5217888729777367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MD @ CONN</t>
        </is>
      </c>
      <c r="C305" s="12" t="inlineStr">
        <is>
          <t>2026-09-12 19:30</t>
        </is>
      </c>
      <c r="D305" s="22" t="n">
        <v>2</v>
      </c>
      <c r="E305" s="12" t="inlineStr">
        <is>
          <t>ML</t>
        </is>
      </c>
      <c r="F305" s="12" t="inlineStr">
        <is>
          <t>MD ML</t>
        </is>
      </c>
      <c r="G305" s="23" t="n"/>
      <c r="H305" s="13" t="n">
        <v>-600</v>
      </c>
      <c r="I305" s="15" t="n">
        <v>0.5850840235261716</v>
      </c>
      <c r="J305" s="15" t="n">
        <v>0.8223350253807106</v>
      </c>
      <c r="K305" s="15" t="n">
        <v>0.8571428571428571</v>
      </c>
      <c r="L305" s="14" t="n">
        <v>-0.2720588336166855</v>
      </c>
      <c r="M305" s="14" t="n">
        <v>-0.3174019725527997</v>
      </c>
      <c r="N305" s="15" t="n">
        <v>0</v>
      </c>
      <c r="O305" s="24" t="n">
        <v>0.725</v>
      </c>
      <c r="P305" s="12" t="inlineStr">
        <is>
          <t>DraftKings</t>
        </is>
      </c>
      <c r="Q305" s="12" t="inlineStr">
        <is>
          <t>price outside allowed range</t>
        </is>
      </c>
    </row>
    <row r="306">
      <c r="A306" s="17" t="inlineStr">
        <is>
          <t>PASS</t>
        </is>
      </c>
      <c r="B306" s="17" t="inlineStr">
        <is>
          <t>CLT @ MISS</t>
        </is>
      </c>
      <c r="C306" s="17" t="inlineStr">
        <is>
          <t>2026-09-12 23:45</t>
        </is>
      </c>
      <c r="D306" s="25" t="n">
        <v>2</v>
      </c>
      <c r="E306" s="17" t="inlineStr">
        <is>
          <t>ATS</t>
        </is>
      </c>
      <c r="F306" s="17" t="inlineStr">
        <is>
          <t>MISS -46.5</t>
        </is>
      </c>
      <c r="G306" s="26" t="n">
        <v>-46.5</v>
      </c>
      <c r="H306" s="18" t="n">
        <v>-115</v>
      </c>
      <c r="I306" s="20" t="n">
        <v>0.2558260374759279</v>
      </c>
      <c r="J306" s="20" t="n">
        <v>0.5108342361863488</v>
      </c>
      <c r="K306" s="20" t="n">
        <v>0.5348837209302325</v>
      </c>
      <c r="L306" s="19" t="n">
        <v>-0.2790576834543046</v>
      </c>
      <c r="M306" s="19" t="n">
        <v>-0.5217165386319609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TLSA @ SHSU</t>
        </is>
      </c>
      <c r="C307" s="12" t="inlineStr">
        <is>
          <t>2026-09-12 23:00</t>
        </is>
      </c>
      <c r="D307" s="22" t="n">
        <v>2</v>
      </c>
      <c r="E307" s="12" t="inlineStr">
        <is>
          <t>ML</t>
        </is>
      </c>
      <c r="F307" s="12" t="inlineStr">
        <is>
          <t>TLSA ML</t>
        </is>
      </c>
      <c r="G307" s="23" t="n"/>
      <c r="H307" s="13" t="n">
        <v>-650</v>
      </c>
      <c r="I307" s="15" t="n">
        <v>0.581766339638826</v>
      </c>
      <c r="J307" s="15" t="n">
        <v>0.8316498316498315</v>
      </c>
      <c r="K307" s="15" t="n">
        <v>0.8666666666666667</v>
      </c>
      <c r="L307" s="14" t="n">
        <v>-0.2849003270278407</v>
      </c>
      <c r="M307" s="14" t="n">
        <v>-0.3287311465705855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price outside allowed range</t>
        </is>
      </c>
    </row>
    <row r="308">
      <c r="A308" s="17" t="inlineStr">
        <is>
          <t>PASS</t>
        </is>
      </c>
      <c r="B308" s="17" t="inlineStr">
        <is>
          <t>PSU @ TEM</t>
        </is>
      </c>
      <c r="C308" s="17" t="inlineStr">
        <is>
          <t>2026-09-12 16:00</t>
        </is>
      </c>
      <c r="D308" s="25" t="n">
        <v>2</v>
      </c>
      <c r="E308" s="17" t="inlineStr">
        <is>
          <t>ML</t>
        </is>
      </c>
      <c r="F308" s="17" t="inlineStr">
        <is>
          <t>PSU ML</t>
        </is>
      </c>
      <c r="G308" s="26" t="n"/>
      <c r="H308" s="18" t="n">
        <v>-2400</v>
      </c>
      <c r="I308" s="20" t="n">
        <v>0.6461541227439374</v>
      </c>
      <c r="J308" s="20" t="n">
        <v>0.9258160237388724</v>
      </c>
      <c r="K308" s="20" t="n">
        <v>0.96</v>
      </c>
      <c r="L308" s="19" t="n">
        <v>-0.3138458772560626</v>
      </c>
      <c r="M308" s="19" t="n">
        <v>-0.3269227888083985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price outside allowed range</t>
        </is>
      </c>
    </row>
    <row r="309">
      <c r="A309" s="12" t="inlineStr">
        <is>
          <t>PASS</t>
        </is>
      </c>
      <c r="B309" s="12" t="inlineStr">
        <is>
          <t>TTU @ ORST</t>
        </is>
      </c>
      <c r="C309" s="12" t="inlineStr">
        <is>
          <t>2026-09-12 23:30</t>
        </is>
      </c>
      <c r="D309" s="22" t="n">
        <v>2</v>
      </c>
      <c r="E309" s="12" t="inlineStr">
        <is>
          <t>ML</t>
        </is>
      </c>
      <c r="F309" s="12" t="inlineStr">
        <is>
          <t>TTU ML</t>
        </is>
      </c>
      <c r="G309" s="23" t="n"/>
      <c r="H309" s="13" t="n">
        <v>-5000</v>
      </c>
      <c r="I309" s="15" t="n">
        <v>0.6546439998201545</v>
      </c>
      <c r="J309" s="15" t="n">
        <v>0.949050949050949</v>
      </c>
      <c r="K309" s="15" t="n">
        <v>0.9803921568627451</v>
      </c>
      <c r="L309" s="14" t="n">
        <v>-0.3257481570425905</v>
      </c>
      <c r="M309" s="14" t="n">
        <v>-0.3322631201834423</v>
      </c>
      <c r="N309" s="15" t="n">
        <v>0</v>
      </c>
      <c r="O309" s="24" t="n">
        <v>0.725</v>
      </c>
      <c r="P309" s="12" t="inlineStr">
        <is>
          <t>DraftKings</t>
        </is>
      </c>
      <c r="Q309" s="12" t="inlineStr">
        <is>
          <t>price outside allowed range</t>
        </is>
      </c>
    </row>
    <row r="310">
      <c r="A310" s="17" t="inlineStr">
        <is>
          <t>PASS</t>
        </is>
      </c>
      <c r="B310" s="17" t="inlineStr">
        <is>
          <t>ORE @ OKST</t>
        </is>
      </c>
      <c r="C310" s="17" t="inlineStr">
        <is>
          <t>2026-09-12 16:00</t>
        </is>
      </c>
      <c r="D310" s="25" t="n">
        <v>2</v>
      </c>
      <c r="E310" s="17" t="inlineStr">
        <is>
          <t>ML</t>
        </is>
      </c>
      <c r="F310" s="17" t="inlineStr">
        <is>
          <t>ORE ML</t>
        </is>
      </c>
      <c r="G310" s="26" t="n"/>
      <c r="H310" s="18" t="n">
        <v>-2400</v>
      </c>
      <c r="I310" s="20" t="n">
        <v>0.6334852237029152</v>
      </c>
      <c r="J310" s="20" t="n">
        <v>0.9258160237388724</v>
      </c>
      <c r="K310" s="20" t="n">
        <v>0.96</v>
      </c>
      <c r="L310" s="19" t="n">
        <v>-0.3265147762970848</v>
      </c>
      <c r="M310" s="19" t="n">
        <v>-0.3401195586427966</v>
      </c>
      <c r="N310" s="20" t="n">
        <v>0</v>
      </c>
      <c r="O310" s="27" t="n">
        <v>0.725</v>
      </c>
      <c r="P310" s="17" t="inlineStr">
        <is>
          <t>DraftKings</t>
        </is>
      </c>
      <c r="Q31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UL @ USC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18.5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0.1106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ARK @ UTAH</t>
        </is>
      </c>
      <c r="C8" s="12" t="inlineStr">
        <is>
          <t>ATS</t>
        </is>
      </c>
      <c r="D8" s="12" t="inlineStr">
        <is>
          <t>ARK +9.5</t>
        </is>
      </c>
      <c r="E8" s="13" t="n">
        <v>-105</v>
      </c>
      <c r="F8" s="16" t="n">
        <v>23.5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0.09180000000000001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2026-09-12</t>
        </is>
      </c>
      <c r="B9" s="17" t="inlineStr">
        <is>
          <t>CLT @ MISS</t>
        </is>
      </c>
      <c r="C9" s="17" t="inlineStr">
        <is>
          <t>TOTAL</t>
        </is>
      </c>
      <c r="D9" s="17" t="inlineStr">
        <is>
          <t>Under 61.5</t>
        </is>
      </c>
      <c r="E9" s="18" t="n">
        <v>-108</v>
      </c>
      <c r="F9" s="21" t="n">
        <v>18.5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0.1108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OSU @ TEX</t>
        </is>
      </c>
      <c r="C10" s="12" t="inlineStr">
        <is>
          <t>TOTAL</t>
        </is>
      </c>
      <c r="D10" s="12" t="inlineStr">
        <is>
          <t>Over 47.5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0.1189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TTU @ ORST</t>
        </is>
      </c>
      <c r="C11" s="17" t="inlineStr">
        <is>
          <t>TOTAL</t>
        </is>
      </c>
      <c r="D11" s="17" t="inlineStr">
        <is>
          <t>Over 49.5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0.1092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2026-09-12</t>
        </is>
      </c>
      <c r="B12" s="12" t="inlineStr">
        <is>
          <t>ISU @ IOWA</t>
        </is>
      </c>
      <c r="C12" s="12" t="inlineStr">
        <is>
          <t>ATS</t>
        </is>
      </c>
      <c r="D12" s="12" t="inlineStr">
        <is>
          <t>ISU +12.5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0.1201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ISU @ IOWA</t>
        </is>
      </c>
      <c r="C13" s="17" t="inlineStr">
        <is>
          <t>ML</t>
        </is>
      </c>
      <c r="D13" s="17" t="inlineStr">
        <is>
          <t>ISU ML</t>
        </is>
      </c>
      <c r="E13" s="18" t="n">
        <v>550</v>
      </c>
      <c r="F13" s="21" t="n">
        <v>19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0.128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GASO @ CLEM</t>
        </is>
      </c>
      <c r="C14" s="12" t="inlineStr">
        <is>
          <t>TOTAL</t>
        </is>
      </c>
      <c r="D14" s="12" t="inlineStr">
        <is>
          <t>Under 57.5</t>
        </is>
      </c>
      <c r="E14" s="13" t="n">
        <v>-108</v>
      </c>
      <c r="F14" s="16" t="n">
        <v>24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0.0882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NAVY @ FAU</t>
        </is>
      </c>
      <c r="C15" s="17" t="inlineStr">
        <is>
          <t>ML</t>
        </is>
      </c>
      <c r="D15" s="17" t="inlineStr">
        <is>
          <t>FAU ML</t>
        </is>
      </c>
      <c r="E15" s="18" t="n">
        <v>195</v>
      </c>
      <c r="F15" s="21" t="n">
        <v>18.5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BEST BET</t>
        </is>
      </c>
      <c r="L15" s="19" t="n">
        <v>0.1327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SDSU @ UCLA</t>
        </is>
      </c>
      <c r="C16" s="12" t="inlineStr">
        <is>
          <t>TOTAL</t>
        </is>
      </c>
      <c r="D16" s="12" t="inlineStr">
        <is>
          <t>Over 48.5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0.1218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MTSU @ MRSH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-105</v>
      </c>
      <c r="F17" s="21" t="n">
        <v>14.5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0.07820000000000001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2026-09-12</t>
        </is>
      </c>
      <c r="B18" s="12" t="inlineStr">
        <is>
          <t>JVST @ OHIO</t>
        </is>
      </c>
      <c r="C18" s="12" t="inlineStr">
        <is>
          <t>TOTAL</t>
        </is>
      </c>
      <c r="D18" s="12" t="inlineStr">
        <is>
          <t>Over 48.5</t>
        </is>
      </c>
      <c r="E18" s="13" t="n">
        <v>-110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0.1159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UNLV @ UNT</t>
        </is>
      </c>
      <c r="C19" s="17" t="inlineStr">
        <is>
          <t>ML</t>
        </is>
      </c>
      <c r="D19" s="17" t="inlineStr">
        <is>
          <t>UNT ML</t>
        </is>
      </c>
      <c r="E19" s="18" t="n">
        <v>185</v>
      </c>
      <c r="F19" s="21" t="n">
        <v>24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0.1187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UNLV @ UNT</t>
        </is>
      </c>
      <c r="C20" s="12" t="inlineStr">
        <is>
          <t>ATS</t>
        </is>
      </c>
      <c r="D20" s="12" t="inlineStr">
        <is>
          <t>UNT +5.5</t>
        </is>
      </c>
      <c r="E20" s="13" t="n">
        <v>-105</v>
      </c>
      <c r="F20" s="16" t="n">
        <v>18.5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0.1238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UCF @ PITT</t>
        </is>
      </c>
      <c r="C21" s="17" t="inlineStr">
        <is>
          <t>ATS</t>
        </is>
      </c>
      <c r="D21" s="17" t="inlineStr">
        <is>
          <t>UCF +8.5</t>
        </is>
      </c>
      <c r="E21" s="18" t="n">
        <v>-110</v>
      </c>
      <c r="F21" s="21" t="n">
        <v>15.5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0.0569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UCF @ PITT</t>
        </is>
      </c>
      <c r="C22" s="12" t="inlineStr">
        <is>
          <t>TOTAL</t>
        </is>
      </c>
      <c r="D22" s="12" t="inlineStr">
        <is>
          <t>Over 51.5</t>
        </is>
      </c>
      <c r="E22" s="13" t="n">
        <v>-108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0.1061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CAL @ SYR</t>
        </is>
      </c>
      <c r="C23" s="17" t="inlineStr">
        <is>
          <t>ATS</t>
        </is>
      </c>
      <c r="D23" s="17" t="inlineStr">
        <is>
          <t>SYR +1.5</t>
        </is>
      </c>
      <c r="E23" s="18" t="n">
        <v>-108</v>
      </c>
      <c r="F23" s="21" t="n">
        <v>23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0.0987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EMU @ MSU</t>
        </is>
      </c>
      <c r="C24" s="12" t="inlineStr">
        <is>
          <t>ML</t>
        </is>
      </c>
      <c r="D24" s="12" t="inlineStr">
        <is>
          <t>EMU ML</t>
        </is>
      </c>
      <c r="E24" s="13" t="n">
        <v>550</v>
      </c>
      <c r="F24" s="16" t="n">
        <v>16.5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0.1106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OU @ MICH</t>
        </is>
      </c>
      <c r="C25" s="17" t="inlineStr">
        <is>
          <t>ML</t>
        </is>
      </c>
      <c r="D25" s="17" t="inlineStr">
        <is>
          <t>MICH ML</t>
        </is>
      </c>
      <c r="E25" s="18" t="n">
        <v>170</v>
      </c>
      <c r="F25" s="21" t="n">
        <v>20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0.1101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OU @ MICH</t>
        </is>
      </c>
      <c r="C26" s="12" t="inlineStr">
        <is>
          <t>TOTAL</t>
        </is>
      </c>
      <c r="D26" s="12" t="inlineStr">
        <is>
          <t>Over 46.5</t>
        </is>
      </c>
      <c r="E26" s="13" t="n">
        <v>-105</v>
      </c>
      <c r="F26" s="16" t="n">
        <v>23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0.0851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ASU @ TA&amp;M</t>
        </is>
      </c>
      <c r="C27" s="17" t="inlineStr">
        <is>
          <t>ATS</t>
        </is>
      </c>
      <c r="D27" s="17" t="inlineStr">
        <is>
          <t>ASU +14.5</t>
        </is>
      </c>
      <c r="E27" s="18" t="n">
        <v>-110</v>
      </c>
      <c r="F27" s="21" t="n">
        <v>26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0.1221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ASU @ TA&amp;M</t>
        </is>
      </c>
      <c r="C28" s="12" t="inlineStr">
        <is>
          <t>ML</t>
        </is>
      </c>
      <c r="D28" s="12" t="inlineStr">
        <is>
          <t>ASU ML</t>
        </is>
      </c>
      <c r="E28" s="13" t="n">
        <v>410</v>
      </c>
      <c r="F28" s="16" t="n">
        <v>16.5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0.1061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ASU @ TA&amp;M</t>
        </is>
      </c>
      <c r="C29" s="17" t="inlineStr">
        <is>
          <t>TOTAL</t>
        </is>
      </c>
      <c r="D29" s="17" t="inlineStr">
        <is>
          <t>Over 50.5</t>
        </is>
      </c>
      <c r="E29" s="18" t="n">
        <v>-112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0.09660000000000001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ORE @ OKST</t>
        </is>
      </c>
      <c r="C30" s="12" t="inlineStr">
        <is>
          <t>TOTAL</t>
        </is>
      </c>
      <c r="D30" s="12" t="inlineStr">
        <is>
          <t>Under 60.5</t>
        </is>
      </c>
      <c r="E30" s="13" t="n">
        <v>-112</v>
      </c>
      <c r="F30" s="16" t="n">
        <v>26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0.1106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ODU @ VT</t>
        </is>
      </c>
      <c r="C31" s="17" t="inlineStr">
        <is>
          <t>ML</t>
        </is>
      </c>
      <c r="D31" s="17" t="inlineStr">
        <is>
          <t>ODU ML</t>
        </is>
      </c>
      <c r="E31" s="18" t="n">
        <v>455</v>
      </c>
      <c r="F31" s="21" t="n">
        <v>15.5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0.1006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WAKE @ PUR</t>
        </is>
      </c>
      <c r="C32" s="12" t="inlineStr">
        <is>
          <t>ATS</t>
        </is>
      </c>
      <c r="D32" s="12" t="inlineStr">
        <is>
          <t>PUR +3.5</t>
        </is>
      </c>
      <c r="E32" s="13" t="n">
        <v>-115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0.0922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WAKE @ PUR</t>
        </is>
      </c>
      <c r="C33" s="17" t="inlineStr">
        <is>
          <t>TOTAL</t>
        </is>
      </c>
      <c r="D33" s="17" t="inlineStr">
        <is>
          <t>Over 49.5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0.1129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PSU @ TEM</t>
        </is>
      </c>
      <c r="C34" s="12" t="inlineStr">
        <is>
          <t>TOTAL</t>
        </is>
      </c>
      <c r="D34" s="12" t="inlineStr">
        <is>
          <t>Over 51.5</t>
        </is>
      </c>
      <c r="E34" s="13" t="n">
        <v>-105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0.09859999999999999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APP @ ECU</t>
        </is>
      </c>
      <c r="C35" s="17" t="inlineStr">
        <is>
          <t>ATS</t>
        </is>
      </c>
      <c r="D35" s="17" t="inlineStr">
        <is>
          <t>APP +10</t>
        </is>
      </c>
      <c r="E35" s="18" t="n">
        <v>-110</v>
      </c>
      <c r="F35" s="21" t="n">
        <v>22.5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0.0818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MIZ @ KU</t>
        </is>
      </c>
      <c r="C36" s="12" t="inlineStr">
        <is>
          <t>ATS</t>
        </is>
      </c>
      <c r="D36" s="12" t="inlineStr">
        <is>
          <t>KU +6.5</t>
        </is>
      </c>
      <c r="E36" s="13" t="n">
        <v>-105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0.1173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MIZ @ KU</t>
        </is>
      </c>
      <c r="C37" s="17" t="inlineStr">
        <is>
          <t>ML</t>
        </is>
      </c>
      <c r="D37" s="17" t="inlineStr">
        <is>
          <t>KU ML</t>
        </is>
      </c>
      <c r="E37" s="18" t="n">
        <v>205</v>
      </c>
      <c r="F37" s="21" t="n">
        <v>22.5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0.1213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2026-09-07</t>
        </is>
      </c>
      <c r="B38" s="12" t="inlineStr">
        <is>
          <t>SMU @ FSU</t>
        </is>
      </c>
      <c r="C38" s="12" t="inlineStr">
        <is>
          <t>ML</t>
        </is>
      </c>
      <c r="D38" s="12" t="inlineStr">
        <is>
          <t>FSU ML</t>
        </is>
      </c>
      <c r="E38" s="13" t="n">
        <v>130</v>
      </c>
      <c r="F38" s="16" t="n">
        <v>21.5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0.0935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2026-09-06</t>
        </is>
      </c>
      <c r="B39" s="17" t="inlineStr">
        <is>
          <t>UNLV @ HAW</t>
        </is>
      </c>
      <c r="C39" s="17" t="inlineStr">
        <is>
          <t>ATS</t>
        </is>
      </c>
      <c r="D39" s="17" t="inlineStr">
        <is>
          <t>HAW +3</t>
        </is>
      </c>
      <c r="E39" s="18" t="n">
        <v>-108</v>
      </c>
      <c r="F39" s="21" t="n">
        <v>23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0.08989999999999999</v>
      </c>
      <c r="M39" s="19" t="n">
        <v>0</v>
      </c>
      <c r="N39" s="17" t="inlineStr">
        <is>
          <t>UNLV 21 - HAW 6</t>
        </is>
      </c>
      <c r="O39" s="17" t="inlineStr">
        <is>
          <t>Draft Kings</t>
        </is>
      </c>
    </row>
    <row r="40">
      <c r="A40" s="12" t="inlineStr">
        <is>
          <t>2026-09-06</t>
        </is>
      </c>
      <c r="B40" s="12" t="inlineStr">
        <is>
          <t>UNLV @ HAW</t>
        </is>
      </c>
      <c r="C40" s="12" t="inlineStr">
        <is>
          <t>ML</t>
        </is>
      </c>
      <c r="D40" s="12" t="inlineStr">
        <is>
          <t>HAW ML</t>
        </is>
      </c>
      <c r="E40" s="13" t="n">
        <v>136</v>
      </c>
      <c r="F40" s="16" t="n">
        <v>24.5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0.1085</v>
      </c>
      <c r="M40" s="14" t="n">
        <v>0.0111</v>
      </c>
      <c r="N40" s="12" t="inlineStr">
        <is>
          <t>UNLV 21 - HAW 6</t>
        </is>
      </c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CMU @ UNM</t>
        </is>
      </c>
      <c r="C41" s="17" t="inlineStr">
        <is>
          <t>ATS</t>
        </is>
      </c>
      <c r="D41" s="17" t="inlineStr">
        <is>
          <t>CMU +10.5</t>
        </is>
      </c>
      <c r="E41" s="18" t="n">
        <v>-112</v>
      </c>
      <c r="F41" s="21" t="n">
        <v>25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0.0988</v>
      </c>
      <c r="M41" s="19" t="n">
        <v>-0.0045</v>
      </c>
      <c r="N41" s="17" t="inlineStr">
        <is>
          <t>CMU 7 - UNM 38</t>
        </is>
      </c>
      <c r="O41" s="17" t="inlineStr">
        <is>
          <t>Draft Kings</t>
        </is>
      </c>
    </row>
    <row r="42">
      <c r="A42" s="12" t="inlineStr">
        <is>
          <t>2026-09-05</t>
        </is>
      </c>
      <c r="B42" s="12" t="inlineStr">
        <is>
          <t>CLEM @ LSU</t>
        </is>
      </c>
      <c r="C42" s="12" t="inlineStr">
        <is>
          <t>ATS</t>
        </is>
      </c>
      <c r="D42" s="12" t="inlineStr">
        <is>
          <t>CLEM +10.5</t>
        </is>
      </c>
      <c r="E42" s="13" t="n">
        <v>-110</v>
      </c>
      <c r="F42" s="16" t="n">
        <v>25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0.109</v>
      </c>
      <c r="M42" s="14" t="n">
        <v>0.0236</v>
      </c>
      <c r="N42" s="12" t="inlineStr">
        <is>
          <t>CLEM 10 - LSU 51</t>
        </is>
      </c>
      <c r="O42" s="12" t="inlineStr">
        <is>
          <t>Draft Kings</t>
        </is>
      </c>
    </row>
    <row r="43">
      <c r="A43" s="17" t="inlineStr">
        <is>
          <t>2026-09-05</t>
        </is>
      </c>
      <c r="B43" s="17" t="inlineStr">
        <is>
          <t>CLEM @ LSU</t>
        </is>
      </c>
      <c r="C43" s="17" t="inlineStr">
        <is>
          <t>ML</t>
        </is>
      </c>
      <c r="D43" s="17" t="inlineStr">
        <is>
          <t>CLEM ML</t>
        </is>
      </c>
      <c r="E43" s="18" t="n">
        <v>275</v>
      </c>
      <c r="F43" s="21" t="n">
        <v>15.5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0.0896</v>
      </c>
      <c r="M43" s="19" t="n">
        <v>-0.0069</v>
      </c>
      <c r="N43" s="17" t="inlineStr">
        <is>
          <t>CLEM 10 - LSU 51</t>
        </is>
      </c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CLEM @ LSU</t>
        </is>
      </c>
      <c r="C44" s="12" t="inlineStr">
        <is>
          <t>TOTAL</t>
        </is>
      </c>
      <c r="D44" s="12" t="inlineStr">
        <is>
          <t>Over 50.5</t>
        </is>
      </c>
      <c r="E44" s="13" t="n">
        <v>-112</v>
      </c>
      <c r="F44" s="16" t="n">
        <v>25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0.0901</v>
      </c>
      <c r="M44" s="14" t="n">
        <v>-0.0345</v>
      </c>
      <c r="N44" s="12" t="inlineStr">
        <is>
          <t>CLEM 10 - LSU 51</t>
        </is>
      </c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WMU @ MICH</t>
        </is>
      </c>
      <c r="C45" s="17" t="inlineStr">
        <is>
          <t>TOTAL</t>
        </is>
      </c>
      <c r="D45" s="17" t="inlineStr">
        <is>
          <t>Over 47.5</t>
        </is>
      </c>
      <c r="E45" s="18" t="n">
        <v>-115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0.1073</v>
      </c>
      <c r="M45" s="19" t="n">
        <v>0.0443</v>
      </c>
      <c r="N45" s="17" t="inlineStr">
        <is>
          <t>WMU 12 - MICH 13</t>
        </is>
      </c>
      <c r="O45" s="17" t="inlineStr">
        <is>
          <t>Draft Kings</t>
        </is>
      </c>
    </row>
    <row r="46">
      <c r="A46" s="12" t="inlineStr">
        <is>
          <t>2026-09-05</t>
        </is>
      </c>
      <c r="B46" s="12" t="inlineStr">
        <is>
          <t>ARST @ MEM</t>
        </is>
      </c>
      <c r="C46" s="12" t="inlineStr">
        <is>
          <t>ATS</t>
        </is>
      </c>
      <c r="D46" s="12" t="inlineStr">
        <is>
          <t>ARST +11.5</t>
        </is>
      </c>
      <c r="E46" s="13" t="n">
        <v>-112</v>
      </c>
      <c r="F46" s="16" t="n">
        <v>25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0.1011</v>
      </c>
      <c r="M46" s="14" t="n">
        <v>0.0159</v>
      </c>
      <c r="N46" s="12" t="inlineStr">
        <is>
          <t>ARST 24 - MEM 42</t>
        </is>
      </c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FIU @ USF</t>
        </is>
      </c>
      <c r="C47" s="17" t="inlineStr">
        <is>
          <t>ATS</t>
        </is>
      </c>
      <c r="D47" s="17" t="inlineStr">
        <is>
          <t>FIU +14.5</t>
        </is>
      </c>
      <c r="E47" s="18" t="n">
        <v>-115</v>
      </c>
      <c r="F47" s="21" t="n">
        <v>26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0.1214</v>
      </c>
      <c r="M47" s="19" t="n">
        <v>0</v>
      </c>
      <c r="N47" s="17" t="inlineStr">
        <is>
          <t>FIU 9 - USF 19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FIU @ USF</t>
        </is>
      </c>
      <c r="C48" s="12" t="inlineStr">
        <is>
          <t>ML</t>
        </is>
      </c>
      <c r="D48" s="12" t="inlineStr">
        <is>
          <t>FIU ML</t>
        </is>
      </c>
      <c r="E48" s="13" t="n">
        <v>425</v>
      </c>
      <c r="F48" s="16" t="n">
        <v>18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0.1165</v>
      </c>
      <c r="M48" s="14" t="n">
        <v>-0.015</v>
      </c>
      <c r="N48" s="12" t="inlineStr">
        <is>
          <t>FIU 9 - USF 19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FIU @ USF</t>
        </is>
      </c>
      <c r="C49" s="17" t="inlineStr">
        <is>
          <t>TOTAL</t>
        </is>
      </c>
      <c r="D49" s="17" t="inlineStr">
        <is>
          <t>Over 53.5</t>
        </is>
      </c>
      <c r="E49" s="18" t="n">
        <v>-115</v>
      </c>
      <c r="F49" s="21" t="n">
        <v>25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0.09329999999999999</v>
      </c>
      <c r="M49" s="19" t="n">
        <v>-0.0227</v>
      </c>
      <c r="N49" s="17" t="inlineStr">
        <is>
          <t>FIU 9 - USF 19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SHSU @ TROY</t>
        </is>
      </c>
      <c r="C50" s="12" t="inlineStr">
        <is>
          <t>ML</t>
        </is>
      </c>
      <c r="D50" s="12" t="inlineStr">
        <is>
          <t>SHSU ML</t>
        </is>
      </c>
      <c r="E50" s="13" t="n">
        <v>600</v>
      </c>
      <c r="F50" s="16" t="n">
        <v>19.5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0.1337</v>
      </c>
      <c r="M50" s="14" t="n">
        <v>0.0053</v>
      </c>
      <c r="N50" s="12" t="inlineStr">
        <is>
          <t>SHSU 21 - TROY 24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WYO @ CSU</t>
        </is>
      </c>
      <c r="C51" s="17" t="inlineStr">
        <is>
          <t>TOTAL</t>
        </is>
      </c>
      <c r="D51" s="17" t="inlineStr">
        <is>
          <t>Over 47.5</t>
        </is>
      </c>
      <c r="E51" s="18" t="n">
        <v>-112</v>
      </c>
      <c r="F51" s="21" t="n">
        <v>25</v>
      </c>
      <c r="G51" s="17" t="inlineStr">
        <is>
          <t>Win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0.1091</v>
      </c>
      <c r="M51" s="19" t="n">
        <v>-0.0345</v>
      </c>
      <c r="N51" s="17" t="inlineStr">
        <is>
          <t>WYO 13 - CSU 35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OKST @ TLSA</t>
        </is>
      </c>
      <c r="C52" s="12" t="inlineStr">
        <is>
          <t>TOTAL</t>
        </is>
      </c>
      <c r="D52" s="12" t="inlineStr">
        <is>
          <t>Under 60.5</t>
        </is>
      </c>
      <c r="E52" s="13" t="n">
        <v>-102</v>
      </c>
      <c r="F52" s="16" t="n">
        <v>25</v>
      </c>
      <c r="G52" s="12" t="inlineStr">
        <is>
          <t>Win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0.1091</v>
      </c>
      <c r="M52" s="14" t="n">
        <v>0.1089</v>
      </c>
      <c r="N52" s="12" t="inlineStr">
        <is>
          <t>OKST 10 - TLSA 24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BAY @ AUB</t>
        </is>
      </c>
      <c r="C53" s="17" t="inlineStr">
        <is>
          <t>ATS</t>
        </is>
      </c>
      <c r="D53" s="17" t="inlineStr">
        <is>
          <t>BAY +7</t>
        </is>
      </c>
      <c r="E53" s="18" t="n">
        <v>-105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0.099</v>
      </c>
      <c r="M53" s="19" t="n">
        <v>0</v>
      </c>
      <c r="N53" s="17" t="inlineStr">
        <is>
          <t>BAY 16 - AUB 17</t>
        </is>
      </c>
      <c r="O53" s="17" t="inlineStr">
        <is>
          <t>DraftKings</t>
        </is>
      </c>
    </row>
    <row r="54">
      <c r="A54" s="12" t="inlineStr">
        <is>
          <t>2026-09-05</t>
        </is>
      </c>
      <c r="B54" s="12" t="inlineStr">
        <is>
          <t>BAY @ AUB</t>
        </is>
      </c>
      <c r="C54" s="12" t="inlineStr">
        <is>
          <t>ML</t>
        </is>
      </c>
      <c r="D54" s="12" t="inlineStr">
        <is>
          <t>BAY ML</t>
        </is>
      </c>
      <c r="E54" s="13" t="n">
        <v>240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0.0969</v>
      </c>
      <c r="M54" s="14" t="n">
        <v>0.0184</v>
      </c>
      <c r="N54" s="12" t="inlineStr">
        <is>
          <t>BAY 16 - AUB 17</t>
        </is>
      </c>
      <c r="O54" s="12" t="inlineStr">
        <is>
          <t>DraftKings</t>
        </is>
      </c>
    </row>
    <row r="55">
      <c r="A55" s="17" t="inlineStr">
        <is>
          <t>2026-09-05</t>
        </is>
      </c>
      <c r="B55" s="17" t="inlineStr">
        <is>
          <t>BAY @ AUB</t>
        </is>
      </c>
      <c r="C55" s="17" t="inlineStr">
        <is>
          <t>TOTAL</t>
        </is>
      </c>
      <c r="D55" s="17" t="inlineStr">
        <is>
          <t>Under 59.5</t>
        </is>
      </c>
      <c r="E55" s="18" t="n">
        <v>-115</v>
      </c>
      <c r="F55" s="21" t="n">
        <v>25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0.098</v>
      </c>
      <c r="M55" s="19" t="n">
        <v>0.0373</v>
      </c>
      <c r="N55" s="17" t="inlineStr">
        <is>
          <t>BAY 16 - AUB 17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BC @ CIN</t>
        </is>
      </c>
      <c r="C56" s="12" t="inlineStr">
        <is>
          <t>TOTAL</t>
        </is>
      </c>
      <c r="D56" s="12" t="inlineStr">
        <is>
          <t>Over 49.5</t>
        </is>
      </c>
      <c r="E56" s="13" t="n">
        <v>-115</v>
      </c>
      <c r="F56" s="16" t="n">
        <v>25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0.1042</v>
      </c>
      <c r="M56" s="14" t="n">
        <v>0.0301</v>
      </c>
      <c r="N56" s="12" t="inlineStr">
        <is>
          <t>BC 15 - CIN 34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TULN @ DUKE</t>
        </is>
      </c>
      <c r="C57" s="17" t="inlineStr">
        <is>
          <t>TOTAL</t>
        </is>
      </c>
      <c r="D57" s="17" t="inlineStr">
        <is>
          <t>Over 51.5</t>
        </is>
      </c>
      <c r="E57" s="18" t="n">
        <v>-108</v>
      </c>
      <c r="F57" s="21" t="n">
        <v>25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0.1029</v>
      </c>
      <c r="M57" s="19" t="n">
        <v>-0.0143</v>
      </c>
      <c r="N57" s="17" t="inlineStr">
        <is>
          <t>TULN 3 - DUKE 17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BOIS @ ORE</t>
        </is>
      </c>
      <c r="C58" s="12" t="inlineStr">
        <is>
          <t>TOTAL</t>
        </is>
      </c>
      <c r="D58" s="12" t="inlineStr">
        <is>
          <t>Over 51.5</t>
        </is>
      </c>
      <c r="E58" s="13" t="n">
        <v>-108</v>
      </c>
      <c r="F58" s="16" t="n">
        <v>23.5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0.0898</v>
      </c>
      <c r="M58" s="14" t="n">
        <v>0.0091</v>
      </c>
      <c r="N58" s="12" t="inlineStr">
        <is>
          <t>BOIS 27 - ORE 34</t>
        </is>
      </c>
      <c r="O58" s="12" t="inlineStr">
        <is>
          <t>Draft Kings</t>
        </is>
      </c>
    </row>
    <row r="59">
      <c r="A59" s="17" t="inlineStr">
        <is>
          <t>2026-09-05</t>
        </is>
      </c>
      <c r="B59" s="17" t="inlineStr">
        <is>
          <t>MRSH @ PSU</t>
        </is>
      </c>
      <c r="C59" s="17" t="inlineStr">
        <is>
          <t>TOTAL</t>
        </is>
      </c>
      <c r="D59" s="17" t="inlineStr">
        <is>
          <t>Over 52.5</t>
        </is>
      </c>
      <c r="E59" s="18" t="n">
        <v>-102</v>
      </c>
      <c r="F59" s="21" t="n">
        <v>24.5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0.0925</v>
      </c>
      <c r="M59" s="19" t="n">
        <v>0</v>
      </c>
      <c r="N59" s="17" t="inlineStr">
        <is>
          <t>MRSH 0 - PSU 45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M-OH @ PITT</t>
        </is>
      </c>
      <c r="C60" s="12" t="inlineStr">
        <is>
          <t>ML</t>
        </is>
      </c>
      <c r="D60" s="12" t="inlineStr">
        <is>
          <t>M-OH ML</t>
        </is>
      </c>
      <c r="E60" s="13" t="n">
        <v>550</v>
      </c>
      <c r="F60" s="16" t="n">
        <v>19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0.1283</v>
      </c>
      <c r="M60" s="14" t="n">
        <v>0</v>
      </c>
      <c r="N60" s="12" t="inlineStr">
        <is>
          <t>M-OH 14 - PITT 59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BALL @ OSU</t>
        </is>
      </c>
      <c r="C61" s="17" t="inlineStr">
        <is>
          <t>TOTAL</t>
        </is>
      </c>
      <c r="D61" s="17" t="inlineStr">
        <is>
          <t>Under 56.5</t>
        </is>
      </c>
      <c r="E61" s="18" t="n">
        <v>-105</v>
      </c>
      <c r="F61" s="21" t="n">
        <v>22.5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0.0886</v>
      </c>
      <c r="M61" s="19" t="n">
        <v>0.0161</v>
      </c>
      <c r="N61" s="17" t="inlineStr">
        <is>
          <t>BALL 3 - OSU 56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ORST @ HOU</t>
        </is>
      </c>
      <c r="C62" s="12" t="inlineStr">
        <is>
          <t>TOTAL</t>
        </is>
      </c>
      <c r="D62" s="12" t="inlineStr">
        <is>
          <t>Over 49.5</t>
        </is>
      </c>
      <c r="E62" s="13" t="n">
        <v>-110</v>
      </c>
      <c r="F62" s="16" t="n">
        <v>25</v>
      </c>
      <c r="G62" s="12" t="inlineStr">
        <is>
          <t>Win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0.0973</v>
      </c>
      <c r="M62" s="14" t="n">
        <v>0.0475</v>
      </c>
      <c r="N62" s="12" t="inlineStr">
        <is>
          <t>ORST 20 - HOU 33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UNT @ IU</t>
        </is>
      </c>
      <c r="C63" s="17" t="inlineStr">
        <is>
          <t>TOTAL</t>
        </is>
      </c>
      <c r="D63" s="17" t="inlineStr">
        <is>
          <t>Over 55.5</t>
        </is>
      </c>
      <c r="E63" s="18" t="n">
        <v>-108</v>
      </c>
      <c r="F63" s="21" t="n">
        <v>23.5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0.0898</v>
      </c>
      <c r="M63" s="19" t="n">
        <v>0.03</v>
      </c>
      <c r="N63" s="17" t="inlineStr">
        <is>
          <t>UNT 16 - IU 52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OHIO @ NEB</t>
        </is>
      </c>
      <c r="C64" s="12" t="inlineStr">
        <is>
          <t>TOTAL</t>
        </is>
      </c>
      <c r="D64" s="12" t="inlineStr">
        <is>
          <t>Over 47.5</t>
        </is>
      </c>
      <c r="E64" s="13" t="n">
        <v>-108</v>
      </c>
      <c r="F64" s="16" t="n">
        <v>25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0.1092</v>
      </c>
      <c r="M64" s="14" t="n">
        <v>-0.0254</v>
      </c>
      <c r="N64" s="12" t="inlineStr">
        <is>
          <t>OHIO 21 - NEB 49</t>
        </is>
      </c>
      <c r="O64" s="12" t="inlineStr">
        <is>
          <t>DraftKings</t>
        </is>
      </c>
    </row>
    <row r="65">
      <c r="A65" s="17" t="inlineStr">
        <is>
          <t>2026-09-05</t>
        </is>
      </c>
      <c r="B65" s="17" t="inlineStr">
        <is>
          <t>LIB @ JMU</t>
        </is>
      </c>
      <c r="C65" s="17" t="inlineStr">
        <is>
          <t>TOTAL</t>
        </is>
      </c>
      <c r="D65" s="17" t="inlineStr">
        <is>
          <t>Over 50.5</t>
        </is>
      </c>
      <c r="E65" s="18" t="n">
        <v>-112</v>
      </c>
      <c r="F65" s="21" t="n">
        <v>25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0.0982</v>
      </c>
      <c r="M65" s="19" t="n">
        <v>0</v>
      </c>
      <c r="N65" s="17" t="inlineStr">
        <is>
          <t>LIB 13 - JMU 20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MIA @ STAN</t>
        </is>
      </c>
      <c r="C66" s="12" t="inlineStr">
        <is>
          <t>TOTAL</t>
        </is>
      </c>
      <c r="D66" s="12" t="inlineStr">
        <is>
          <t>Over 48.5</t>
        </is>
      </c>
      <c r="E66" s="13" t="n">
        <v>100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0.1103</v>
      </c>
      <c r="M66" s="14" t="n">
        <v>-0.0362</v>
      </c>
      <c r="N66" s="12" t="inlineStr">
        <is>
          <t>MIA 45 - STAN 6</t>
        </is>
      </c>
      <c r="O66" s="12" t="inlineStr">
        <is>
          <t>Draft Kings</t>
        </is>
      </c>
    </row>
    <row r="67">
      <c r="A67" s="17" t="inlineStr">
        <is>
          <t>2026-09-05</t>
        </is>
      </c>
      <c r="B67" s="17" t="inlineStr">
        <is>
          <t>TOL @ MSU</t>
        </is>
      </c>
      <c r="C67" s="17" t="inlineStr">
        <is>
          <t>ATS</t>
        </is>
      </c>
      <c r="D67" s="17" t="inlineStr">
        <is>
          <t>TOL +10</t>
        </is>
      </c>
      <c r="E67" s="18" t="n">
        <v>-105</v>
      </c>
      <c r="F67" s="21" t="n">
        <v>25</v>
      </c>
      <c r="G67" s="17" t="inlineStr">
        <is>
          <t>Push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0.111</v>
      </c>
      <c r="M67" s="19" t="n">
        <v>0.0241</v>
      </c>
      <c r="N67" s="17" t="inlineStr">
        <is>
          <t>TOL 20 - MSU 30</t>
        </is>
      </c>
      <c r="O67" s="17" t="inlineStr">
        <is>
          <t>Draft Kings</t>
        </is>
      </c>
    </row>
    <row r="68">
      <c r="A68" s="12" t="inlineStr">
        <is>
          <t>2026-09-04</t>
        </is>
      </c>
      <c r="B68" s="12" t="inlineStr">
        <is>
          <t>COLO @ GT</t>
        </is>
      </c>
      <c r="C68" s="12" t="inlineStr">
        <is>
          <t>TOTAL</t>
        </is>
      </c>
      <c r="D68" s="12" t="inlineStr">
        <is>
          <t>Over 50.5</t>
        </is>
      </c>
      <c r="E68" s="13" t="n">
        <v>-115</v>
      </c>
      <c r="F68" s="16" t="n">
        <v>21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0.0784</v>
      </c>
      <c r="M68" s="14" t="n">
        <v>0.0189</v>
      </c>
      <c r="N68" s="12" t="inlineStr">
        <is>
          <t>COLO 14 - GT 13</t>
        </is>
      </c>
      <c r="O68" s="12" t="inlineStr">
        <is>
          <t>DraftKings</t>
        </is>
      </c>
    </row>
    <row r="69">
      <c r="A69" s="17" t="inlineStr">
        <is>
          <t>2026-09-03</t>
        </is>
      </c>
      <c r="B69" s="17" t="inlineStr">
        <is>
          <t>AKR @ WAKE</t>
        </is>
      </c>
      <c r="C69" s="17" t="inlineStr">
        <is>
          <t>TOTAL</t>
        </is>
      </c>
      <c r="D69" s="17" t="inlineStr">
        <is>
          <t>Over 48.5</t>
        </is>
      </c>
      <c r="E69" s="18" t="n">
        <v>-112</v>
      </c>
      <c r="F69" s="21" t="n">
        <v>24.5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0.0917</v>
      </c>
      <c r="M69" s="19" t="n">
        <v>0.0509</v>
      </c>
      <c r="N69" s="17" t="inlineStr">
        <is>
          <t>AKR 16 - WAKE 38</t>
        </is>
      </c>
      <c r="O69" s="17" t="inlineStr">
        <is>
          <t>DraftKings</t>
        </is>
      </c>
    </row>
    <row r="70">
      <c r="A70" s="12" t="inlineStr">
        <is>
          <t>2026-08-29</t>
        </is>
      </c>
      <c r="B70" s="12" t="inlineStr">
        <is>
          <t>HAW @ STAN</t>
        </is>
      </c>
      <c r="C70" s="12" t="inlineStr">
        <is>
          <t>TOTAL</t>
        </is>
      </c>
      <c r="D70" s="12" t="inlineStr">
        <is>
          <t>Over 49.5</t>
        </is>
      </c>
      <c r="E70" s="13" t="n">
        <v>-105</v>
      </c>
      <c r="F70" s="16" t="n">
        <v>21.5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0.0834</v>
      </c>
      <c r="M70" s="14" t="n">
        <v>-0.0139</v>
      </c>
      <c r="N70" s="12" t="inlineStr">
        <is>
          <t>HAW 27 - STAN 37</t>
        </is>
      </c>
      <c r="O70" s="12" t="inlineStr">
        <is>
          <t>Draft Kings</t>
        </is>
      </c>
    </row>
    <row r="71">
      <c r="A71" s="17" t="inlineStr">
        <is>
          <t>2026-08-29</t>
        </is>
      </c>
      <c r="B71" s="17" t="inlineStr">
        <is>
          <t>SAC @ EMU</t>
        </is>
      </c>
      <c r="C71" s="17" t="inlineStr">
        <is>
          <t>ATS</t>
        </is>
      </c>
      <c r="D71" s="17" t="inlineStr">
        <is>
          <t>SAC +8.5</t>
        </is>
      </c>
      <c r="E71" s="18" t="n">
        <v>-108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0.1065</v>
      </c>
      <c r="M71" s="19" t="n">
        <v>0.0046</v>
      </c>
      <c r="N71" s="17" t="inlineStr">
        <is>
          <t>SAC 17 - EMU 28</t>
        </is>
      </c>
      <c r="O71" s="17" t="inlineStr">
        <is>
          <t>DraftKings</t>
        </is>
      </c>
    </row>
    <row r="72">
      <c r="A72" s="12" t="inlineStr">
        <is>
          <t>2026-08-29</t>
        </is>
      </c>
      <c r="B72" s="12" t="inlineStr">
        <is>
          <t>SAC @ EMU</t>
        </is>
      </c>
      <c r="C72" s="12" t="inlineStr">
        <is>
          <t>ML</t>
        </is>
      </c>
      <c r="D72" s="12" t="inlineStr">
        <is>
          <t>SAC ML</t>
        </is>
      </c>
      <c r="E72" s="13" t="n">
        <v>280</v>
      </c>
      <c r="F72" s="16" t="n">
        <v>18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0.1055</v>
      </c>
      <c r="M72" s="14" t="n">
        <v>0</v>
      </c>
      <c r="N72" s="12" t="inlineStr">
        <is>
          <t>SAC 17 - EMU 28</t>
        </is>
      </c>
      <c r="O72" s="12" t="inlineStr">
        <is>
          <t>Draft Kings</t>
        </is>
      </c>
    </row>
    <row r="73">
      <c r="A73" s="17" t="inlineStr">
        <is>
          <t>2026-08-29</t>
        </is>
      </c>
      <c r="B73" s="17" t="inlineStr">
        <is>
          <t>UNC @ TCU</t>
        </is>
      </c>
      <c r="C73" s="17" t="inlineStr">
        <is>
          <t>ATS</t>
        </is>
      </c>
      <c r="D73" s="17" t="inlineStr">
        <is>
          <t>UNC +7.5</t>
        </is>
      </c>
      <c r="E73" s="18" t="n">
        <v>-108</v>
      </c>
      <c r="F73" s="21" t="n">
        <v>21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0.0801</v>
      </c>
      <c r="M73" s="19" t="n">
        <v>-0.009299999999999999</v>
      </c>
      <c r="N73" s="17" t="inlineStr">
        <is>
          <t>UNC 15 - TCU 10</t>
        </is>
      </c>
      <c r="O73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0.88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1.88</v>
      </c>
      <c r="D6" s="26" t="n">
        <v>0.15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1.52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1.51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TAR</t>
        </is>
      </c>
      <c r="C9" s="23" t="n">
        <v>1.27</v>
      </c>
      <c r="D9" s="23" t="n">
        <v>-0.28</v>
      </c>
      <c r="E9" s="23" t="n">
        <v>1.14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SJSU</t>
        </is>
      </c>
      <c r="C10" s="26" t="n">
        <v>1.26</v>
      </c>
      <c r="D10" s="26" t="n">
        <v>-0.48</v>
      </c>
      <c r="E10" s="26" t="n">
        <v>0.22</v>
      </c>
      <c r="F10" s="25" t="n">
        <v>2</v>
      </c>
      <c r="G10" s="17" t="inlineStr">
        <is>
          <t>1-0</t>
        </is>
      </c>
    </row>
    <row r="11">
      <c r="A11" s="22" t="n">
        <v>7</v>
      </c>
      <c r="B11" s="12" t="inlineStr">
        <is>
          <t>MEM</t>
        </is>
      </c>
      <c r="C11" s="23" t="n">
        <v>1.16</v>
      </c>
      <c r="D11" s="23" t="n">
        <v>0.38</v>
      </c>
      <c r="E11" s="23" t="n">
        <v>1.15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CIT</t>
        </is>
      </c>
      <c r="C12" s="26" t="n">
        <v>1</v>
      </c>
      <c r="D12" s="26" t="n">
        <v>0.51</v>
      </c>
      <c r="E12" s="26" t="n">
        <v>-0.42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WMU</t>
        </is>
      </c>
      <c r="C13" s="23" t="n">
        <v>0.95</v>
      </c>
      <c r="D13" s="23" t="n">
        <v>-1.05</v>
      </c>
      <c r="E13" s="23" t="n">
        <v>2.01</v>
      </c>
      <c r="F13" s="22" t="n">
        <v>1</v>
      </c>
      <c r="G13" s="12" t="inlineStr">
        <is>
          <t>1-0</t>
        </is>
      </c>
    </row>
    <row r="14">
      <c r="A14" s="25" t="n">
        <v>10</v>
      </c>
      <c r="B14" s="17" t="inlineStr">
        <is>
          <t>COLO</t>
        </is>
      </c>
      <c r="C14" s="26" t="n">
        <v>0.92</v>
      </c>
      <c r="D14" s="26" t="n">
        <v>-1.19</v>
      </c>
      <c r="E14" s="26" t="n">
        <v>1.03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NDSU</t>
        </is>
      </c>
      <c r="C15" s="23" t="n">
        <v>0.8</v>
      </c>
      <c r="D15" s="23" t="n">
        <v>0.55</v>
      </c>
      <c r="E15" s="23" t="n">
        <v>3.05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SAC</t>
        </is>
      </c>
      <c r="C16" s="26" t="n">
        <v>0.75</v>
      </c>
      <c r="D16" s="26" t="n">
        <v>0.48</v>
      </c>
      <c r="E16" s="26" t="n">
        <v>1.74</v>
      </c>
      <c r="F16" s="25" t="n">
        <v>2</v>
      </c>
      <c r="G16" s="17" t="inlineStr">
        <is>
          <t>0-1</t>
        </is>
      </c>
    </row>
    <row r="17">
      <c r="A17" s="22" t="n">
        <v>13</v>
      </c>
      <c r="B17" s="12" t="inlineStr">
        <is>
          <t>ALB</t>
        </is>
      </c>
      <c r="C17" s="23" t="n">
        <v>0.73</v>
      </c>
      <c r="D17" s="23" t="n">
        <v>-0.52</v>
      </c>
      <c r="E17" s="23" t="n">
        <v>0.71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SHSU</t>
        </is>
      </c>
      <c r="C18" s="26" t="n">
        <v>0.7</v>
      </c>
      <c r="D18" s="26" t="n">
        <v>-0.95</v>
      </c>
      <c r="E18" s="26" t="n">
        <v>0.17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BOIS</t>
        </is>
      </c>
      <c r="C19" s="23" t="n">
        <v>0.64</v>
      </c>
      <c r="D19" s="23" t="n">
        <v>-0.02</v>
      </c>
      <c r="E19" s="23" t="n">
        <v>0.62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LIB</t>
        </is>
      </c>
      <c r="C20" s="26" t="n">
        <v>0.6</v>
      </c>
      <c r="D20" s="26" t="n">
        <v>-0.8100000000000001</v>
      </c>
      <c r="E20" s="26" t="n">
        <v>0.95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IU</t>
        </is>
      </c>
      <c r="C21" s="23" t="n">
        <v>0.58</v>
      </c>
      <c r="D21" s="23" t="n">
        <v>1.59</v>
      </c>
      <c r="E21" s="23" t="n">
        <v>2.16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CCU</t>
        </is>
      </c>
      <c r="C22" s="26" t="n">
        <v>0.5600000000000001</v>
      </c>
      <c r="D22" s="26" t="n">
        <v>-0.62</v>
      </c>
      <c r="E22" s="26" t="n">
        <v>0.04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TOL</t>
        </is>
      </c>
      <c r="C23" s="23" t="n">
        <v>0.55</v>
      </c>
      <c r="D23" s="23" t="n">
        <v>-0.33</v>
      </c>
      <c r="E23" s="23" t="n">
        <v>1.44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0.53</v>
      </c>
      <c r="D24" s="26" t="n">
        <v>0.95</v>
      </c>
      <c r="E24" s="26" t="n">
        <v>2.51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UNLV</t>
        </is>
      </c>
      <c r="C25" s="23" t="n">
        <v>0.52</v>
      </c>
      <c r="D25" s="23" t="n">
        <v>-0.63</v>
      </c>
      <c r="E25" s="23" t="n">
        <v>1.64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0.52</v>
      </c>
      <c r="D26" s="26" t="n">
        <v>2.13</v>
      </c>
      <c r="E26" s="26" t="n">
        <v>1.29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UGA</t>
        </is>
      </c>
      <c r="C27" s="23" t="n">
        <v>0.49</v>
      </c>
      <c r="D27" s="23" t="n">
        <v>1.28</v>
      </c>
      <c r="E27" s="23" t="n">
        <v>2.05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BYU</t>
        </is>
      </c>
      <c r="C28" s="26" t="n">
        <v>0.47</v>
      </c>
      <c r="D28" s="26" t="n">
        <v>1.23</v>
      </c>
      <c r="E28" s="26" t="n">
        <v>1.71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IOWA</t>
        </is>
      </c>
      <c r="C29" s="23" t="n">
        <v>0.47</v>
      </c>
      <c r="D29" s="23" t="n">
        <v>0.14</v>
      </c>
      <c r="E29" s="23" t="n">
        <v>2.16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TA&amp;M</t>
        </is>
      </c>
      <c r="C30" s="26" t="n">
        <v>0.47</v>
      </c>
      <c r="D30" s="26" t="n">
        <v>0.73</v>
      </c>
      <c r="E30" s="26" t="n">
        <v>1.93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ARIZ</t>
        </is>
      </c>
      <c r="C31" s="23" t="n">
        <v>0.46</v>
      </c>
      <c r="D31" s="23" t="n">
        <v>-0</v>
      </c>
      <c r="E31" s="23" t="n">
        <v>1.72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FIU</t>
        </is>
      </c>
      <c r="C32" s="26" t="n">
        <v>0.46</v>
      </c>
      <c r="D32" s="26" t="n">
        <v>-0.82</v>
      </c>
      <c r="E32" s="26" t="n">
        <v>0.87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NMSU</t>
        </is>
      </c>
      <c r="C33" s="23" t="n">
        <v>0.46</v>
      </c>
      <c r="D33" s="23" t="n">
        <v>-0.23</v>
      </c>
      <c r="E33" s="23" t="n">
        <v>0.79</v>
      </c>
      <c r="F33" s="22" t="n">
        <v>2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0.46</v>
      </c>
      <c r="D34" s="26" t="n">
        <v>0.42</v>
      </c>
      <c r="E34" s="26" t="n">
        <v>1.95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0.46</v>
      </c>
      <c r="D35" s="23" t="n">
        <v>0.45</v>
      </c>
      <c r="E35" s="23" t="n">
        <v>1.19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0.45</v>
      </c>
      <c r="D36" s="26" t="n">
        <v>0.39</v>
      </c>
      <c r="E36" s="26" t="n">
        <v>1.68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0.45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0.45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0.44</v>
      </c>
      <c r="D39" s="23" t="n">
        <v>1.38</v>
      </c>
      <c r="E39" s="23" t="n">
        <v>0.95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0.43</v>
      </c>
      <c r="D40" s="26" t="n">
        <v>0.65</v>
      </c>
      <c r="E40" s="26" t="n">
        <v>1.83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ISU</t>
        </is>
      </c>
      <c r="C41" s="23" t="n">
        <v>0.43</v>
      </c>
      <c r="D41" s="23" t="n">
        <v>-0.1</v>
      </c>
      <c r="E41" s="23" t="n">
        <v>1.4</v>
      </c>
      <c r="F41" s="22" t="n">
        <v>1</v>
      </c>
      <c r="G41" s="12" t="inlineStr">
        <is>
          <t>0-1</t>
        </is>
      </c>
    </row>
    <row r="42">
      <c r="A42" s="25" t="n">
        <v>38</v>
      </c>
      <c r="B42" s="17" t="inlineStr">
        <is>
          <t>LT</t>
        </is>
      </c>
      <c r="C42" s="26" t="n">
        <v>0.43</v>
      </c>
      <c r="D42" s="26" t="n">
        <v>1.78</v>
      </c>
      <c r="E42" s="26" t="n">
        <v>1.54</v>
      </c>
      <c r="F42" s="25" t="n">
        <v>1</v>
      </c>
      <c r="G42" s="17" t="inlineStr">
        <is>
          <t>1-0</t>
        </is>
      </c>
    </row>
    <row r="43">
      <c r="A43" s="22" t="n">
        <v>39</v>
      </c>
      <c r="B43" s="12" t="inlineStr">
        <is>
          <t>MIZ</t>
        </is>
      </c>
      <c r="C43" s="23" t="n">
        <v>0.43</v>
      </c>
      <c r="D43" s="23" t="n">
        <v>0.54</v>
      </c>
      <c r="E43" s="23" t="n">
        <v>1.3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OU</t>
        </is>
      </c>
      <c r="C44" s="26" t="n">
        <v>0.43</v>
      </c>
      <c r="D44" s="26" t="n">
        <v>0.29</v>
      </c>
      <c r="E44" s="26" t="n">
        <v>2.12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0.43</v>
      </c>
      <c r="D45" s="23" t="n">
        <v>1.17</v>
      </c>
      <c r="E45" s="23" t="n">
        <v>0.9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UNM</t>
        </is>
      </c>
      <c r="C46" s="26" t="n">
        <v>0.43</v>
      </c>
      <c r="D46" s="26" t="n">
        <v>-0.12</v>
      </c>
      <c r="E46" s="26" t="n">
        <v>1.56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CONN</t>
        </is>
      </c>
      <c r="C47" s="23" t="n">
        <v>0.42</v>
      </c>
      <c r="D47" s="23" t="n">
        <v>1.2</v>
      </c>
      <c r="E47" s="23" t="n">
        <v>1.1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KENN</t>
        </is>
      </c>
      <c r="C48" s="26" t="n">
        <v>0.42</v>
      </c>
      <c r="D48" s="26" t="n">
        <v>0.34</v>
      </c>
      <c r="E48" s="26" t="n">
        <v>1.59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0.42</v>
      </c>
      <c r="D49" s="23" t="n">
        <v>1.59</v>
      </c>
      <c r="E49" s="23" t="n">
        <v>1.34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ASU</t>
        </is>
      </c>
      <c r="C50" s="26" t="n">
        <v>0.41</v>
      </c>
      <c r="D50" s="26" t="n">
        <v>1.28</v>
      </c>
      <c r="E50" s="26" t="n">
        <v>1.28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LSU</t>
        </is>
      </c>
      <c r="C51" s="23" t="n">
        <v>0.41</v>
      </c>
      <c r="D51" s="23" t="n">
        <v>0.21</v>
      </c>
      <c r="E51" s="23" t="n">
        <v>1.44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AFA</t>
        </is>
      </c>
      <c r="C52" s="26" t="n">
        <v>0.39</v>
      </c>
      <c r="D52" s="26" t="n">
        <v>-0.2</v>
      </c>
      <c r="E52" s="26" t="n">
        <v>1.36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NAVY</t>
        </is>
      </c>
      <c r="C53" s="23" t="n">
        <v>0.39</v>
      </c>
      <c r="D53" s="23" t="n">
        <v>0.25</v>
      </c>
      <c r="E53" s="23" t="n">
        <v>0.97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USM</t>
        </is>
      </c>
      <c r="C54" s="26" t="n">
        <v>0.39</v>
      </c>
      <c r="D54" s="26" t="n">
        <v>0.32</v>
      </c>
      <c r="E54" s="26" t="n">
        <v>1.22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DEL</t>
        </is>
      </c>
      <c r="C55" s="23" t="n">
        <v>0.38</v>
      </c>
      <c r="D55" s="23" t="n">
        <v>0.15</v>
      </c>
      <c r="E55" s="23" t="n">
        <v>0.84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1.28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0.46</v>
      </c>
      <c r="E57" s="23" t="n">
        <v>1.12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MINN</t>
        </is>
      </c>
      <c r="C58" s="26" t="n">
        <v>0.38</v>
      </c>
      <c r="D58" s="26" t="n">
        <v>0.41</v>
      </c>
      <c r="E58" s="26" t="n">
        <v>1.32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SC</t>
        </is>
      </c>
      <c r="C59" s="23" t="n">
        <v>0.38</v>
      </c>
      <c r="D59" s="23" t="n">
        <v>0.46</v>
      </c>
      <c r="E59" s="23" t="n">
        <v>1.66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UK</t>
        </is>
      </c>
      <c r="C60" s="26" t="n">
        <v>0.38</v>
      </c>
      <c r="D60" s="26" t="n">
        <v>-0.09</v>
      </c>
      <c r="E60" s="26" t="n">
        <v>0.89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UL</t>
        </is>
      </c>
      <c r="C61" s="23" t="n">
        <v>0.38</v>
      </c>
      <c r="D61" s="23" t="n">
        <v>-0.19</v>
      </c>
      <c r="E61" s="23" t="n">
        <v>1.06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FLA</t>
        </is>
      </c>
      <c r="C62" s="26" t="n">
        <v>0.37</v>
      </c>
      <c r="D62" s="26" t="n">
        <v>0.8100000000000001</v>
      </c>
      <c r="E62" s="26" t="n">
        <v>0.6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NEB</t>
        </is>
      </c>
      <c r="C63" s="23" t="n">
        <v>0.37</v>
      </c>
      <c r="D63" s="23" t="n">
        <v>0.39</v>
      </c>
      <c r="E63" s="23" t="n">
        <v>0.54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MD</t>
        </is>
      </c>
      <c r="C64" s="26" t="n">
        <v>0.36</v>
      </c>
      <c r="D64" s="26" t="n">
        <v>0.6899999999999999</v>
      </c>
      <c r="E64" s="26" t="n">
        <v>1.35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MSST</t>
        </is>
      </c>
      <c r="C65" s="23" t="n">
        <v>0.36</v>
      </c>
      <c r="D65" s="23" t="n">
        <v>1.08</v>
      </c>
      <c r="E65" s="23" t="n">
        <v>0.42</v>
      </c>
      <c r="F65" s="22" t="n">
        <v>1</v>
      </c>
      <c r="G65" s="12" t="inlineStr">
        <is>
          <t>1-0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1.23</v>
      </c>
      <c r="E66" s="26" t="n">
        <v>1.27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0.35</v>
      </c>
      <c r="D67" s="23" t="n">
        <v>0.32</v>
      </c>
      <c r="E67" s="23" t="n">
        <v>1.05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UVA</t>
        </is>
      </c>
      <c r="C68" s="26" t="n">
        <v>0.35</v>
      </c>
      <c r="D68" s="26" t="n">
        <v>-0.27</v>
      </c>
      <c r="E68" s="26" t="n">
        <v>1.68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NEV</t>
        </is>
      </c>
      <c r="C69" s="23" t="n">
        <v>0.34</v>
      </c>
      <c r="D69" s="23" t="n">
        <v>-0.09</v>
      </c>
      <c r="E69" s="23" t="n">
        <v>0.78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VT</t>
        </is>
      </c>
      <c r="C70" s="26" t="n">
        <v>0.33</v>
      </c>
      <c r="D70" s="26" t="n">
        <v>1.13</v>
      </c>
      <c r="E70" s="26" t="n">
        <v>1.1</v>
      </c>
      <c r="F70" s="25" t="n">
        <v>1</v>
      </c>
      <c r="G70" s="17" t="inlineStr">
        <is>
          <t>1-0</t>
        </is>
      </c>
    </row>
    <row r="71">
      <c r="A71" s="22" t="n">
        <v>67</v>
      </c>
      <c r="B71" s="12" t="inlineStr">
        <is>
          <t>USC</t>
        </is>
      </c>
      <c r="C71" s="23" t="n">
        <v>0.32</v>
      </c>
      <c r="D71" s="23" t="n">
        <v>0.65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GAST</t>
        </is>
      </c>
      <c r="C72" s="26" t="n">
        <v>0.31</v>
      </c>
      <c r="D72" s="26" t="n">
        <v>0.43</v>
      </c>
      <c r="E72" s="26" t="n">
        <v>0.43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SYR</t>
        </is>
      </c>
      <c r="C73" s="23" t="n">
        <v>0.31</v>
      </c>
      <c r="D73" s="23" t="n">
        <v>0.6899999999999999</v>
      </c>
      <c r="E73" s="23" t="n">
        <v>0.8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TULN</t>
        </is>
      </c>
      <c r="C74" s="26" t="n">
        <v>0.31</v>
      </c>
      <c r="D74" s="26" t="n">
        <v>-1.32</v>
      </c>
      <c r="E74" s="26" t="n">
        <v>1.42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RICE</t>
        </is>
      </c>
      <c r="C75" s="23" t="n">
        <v>0.3</v>
      </c>
      <c r="D75" s="23" t="n">
        <v>-1.11</v>
      </c>
      <c r="E75" s="23" t="n">
        <v>0.8100000000000001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TTU</t>
        </is>
      </c>
      <c r="C76" s="26" t="n">
        <v>0.3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ORST</t>
        </is>
      </c>
      <c r="C77" s="23" t="n">
        <v>0.25</v>
      </c>
      <c r="D77" s="23" t="n">
        <v>-1.07</v>
      </c>
      <c r="E77" s="23" t="n">
        <v>0.23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USA</t>
        </is>
      </c>
      <c r="C78" s="26" t="n">
        <v>0.23</v>
      </c>
      <c r="D78" s="26" t="n">
        <v>-0.1</v>
      </c>
      <c r="E78" s="26" t="n">
        <v>0.59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UNC</t>
        </is>
      </c>
      <c r="C79" s="23" t="n">
        <v>0.19</v>
      </c>
      <c r="D79" s="23" t="n">
        <v>-1.2</v>
      </c>
      <c r="E79" s="23" t="n">
        <v>1.52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OKST</t>
        </is>
      </c>
      <c r="C80" s="26" t="n">
        <v>0.17</v>
      </c>
      <c r="D80" s="26" t="n">
        <v>-1.8</v>
      </c>
      <c r="E80" s="26" t="n">
        <v>0.45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PUR</t>
        </is>
      </c>
      <c r="C81" s="23" t="n">
        <v>0.17</v>
      </c>
      <c r="D81" s="23" t="n">
        <v>-0.45</v>
      </c>
      <c r="E81" s="23" t="n">
        <v>0.17</v>
      </c>
      <c r="F81" s="22" t="n">
        <v>1</v>
      </c>
      <c r="G81" s="12" t="inlineStr">
        <is>
          <t>0-1</t>
        </is>
      </c>
    </row>
    <row r="82">
      <c r="A82" s="25" t="n">
        <v>78</v>
      </c>
      <c r="B82" s="17" t="inlineStr">
        <is>
          <t>TEM</t>
        </is>
      </c>
      <c r="C82" s="26" t="n">
        <v>0.17</v>
      </c>
      <c r="D82" s="26" t="n">
        <v>-0.13</v>
      </c>
      <c r="E82" s="26" t="n">
        <v>0.59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SDST</t>
        </is>
      </c>
      <c r="C83" s="23" t="n">
        <v>0.16</v>
      </c>
      <c r="D83" s="23" t="n">
        <v>-0.59</v>
      </c>
      <c r="E83" s="23" t="n">
        <v>0.1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MTSU</t>
        </is>
      </c>
      <c r="C84" s="26" t="n">
        <v>0.15</v>
      </c>
      <c r="D84" s="26" t="n">
        <v>-0.33</v>
      </c>
      <c r="E84" s="26" t="n">
        <v>0.57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ODU</t>
        </is>
      </c>
      <c r="C85" s="23" t="n">
        <v>0.15</v>
      </c>
      <c r="D85" s="23" t="n">
        <v>-0.13</v>
      </c>
      <c r="E85" s="23" t="n">
        <v>1.7</v>
      </c>
      <c r="F85" s="22" t="n">
        <v>1</v>
      </c>
      <c r="G85" s="12" t="inlineStr">
        <is>
          <t>0-1</t>
        </is>
      </c>
    </row>
    <row r="86">
      <c r="A86" s="25" t="n">
        <v>82</v>
      </c>
      <c r="B86" s="17" t="inlineStr">
        <is>
          <t>WAKE</t>
        </is>
      </c>
      <c r="C86" s="26" t="n">
        <v>0.15</v>
      </c>
      <c r="D86" s="26" t="n">
        <v>0.04</v>
      </c>
      <c r="E86" s="26" t="n">
        <v>1.03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JVST</t>
        </is>
      </c>
      <c r="C87" s="23" t="n">
        <v>0.14</v>
      </c>
      <c r="D87" s="23" t="n">
        <v>-0.39</v>
      </c>
      <c r="E87" s="23" t="n">
        <v>1.4</v>
      </c>
      <c r="F87" s="22" t="n">
        <v>2</v>
      </c>
      <c r="G87" s="12" t="inlineStr">
        <is>
          <t>1-1</t>
        </is>
      </c>
    </row>
    <row r="88">
      <c r="A88" s="25" t="n">
        <v>84</v>
      </c>
      <c r="B88" s="17" t="inlineStr">
        <is>
          <t>ARST</t>
        </is>
      </c>
      <c r="C88" s="26" t="n">
        <v>0.13</v>
      </c>
      <c r="D88" s="26" t="n">
        <v>-0.43</v>
      </c>
      <c r="E88" s="26" t="n">
        <v>-0.06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UNA</t>
        </is>
      </c>
      <c r="C89" s="23" t="n">
        <v>0.11</v>
      </c>
      <c r="D89" s="23" t="n">
        <v>-0.71</v>
      </c>
      <c r="E89" s="23" t="n">
        <v>0.17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AUB</t>
        </is>
      </c>
      <c r="C90" s="26" t="n">
        <v>0.06</v>
      </c>
      <c r="D90" s="26" t="n">
        <v>-1.14</v>
      </c>
      <c r="E90" s="26" t="n">
        <v>1.02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VAN</t>
        </is>
      </c>
      <c r="C91" s="23" t="n">
        <v>0.05</v>
      </c>
      <c r="D91" s="23" t="n">
        <v>0.06</v>
      </c>
      <c r="E91" s="23" t="n">
        <v>1.21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APSU</t>
        </is>
      </c>
      <c r="C92" s="26" t="n">
        <v>0.04</v>
      </c>
      <c r="D92" s="26" t="n">
        <v>-0.89</v>
      </c>
      <c r="E92" s="26" t="n">
        <v>0.53</v>
      </c>
      <c r="F92" s="25" t="n">
        <v>1</v>
      </c>
      <c r="G92" s="17" t="inlineStr">
        <is>
          <t>1-0</t>
        </is>
      </c>
    </row>
    <row r="93">
      <c r="A93" s="22" t="n">
        <v>89</v>
      </c>
      <c r="B93" s="12" t="inlineStr">
        <is>
          <t>CSU</t>
        </is>
      </c>
      <c r="C93" s="23" t="n">
        <v>0.02</v>
      </c>
      <c r="D93" s="23" t="n">
        <v>-0.78</v>
      </c>
      <c r="E93" s="23" t="n">
        <v>0.48</v>
      </c>
      <c r="F93" s="22" t="n">
        <v>1</v>
      </c>
      <c r="G93" s="12" t="inlineStr">
        <is>
          <t>1-0</t>
        </is>
      </c>
    </row>
    <row r="94">
      <c r="A94" s="25" t="n">
        <v>90</v>
      </c>
      <c r="B94" s="17" t="inlineStr">
        <is>
          <t>ILL</t>
        </is>
      </c>
      <c r="C94" s="26" t="n">
        <v>-0.01</v>
      </c>
      <c r="D94" s="26" t="n">
        <v>0.02</v>
      </c>
      <c r="E94" s="26" t="n">
        <v>0.58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BC</t>
        </is>
      </c>
      <c r="C95" s="23" t="n">
        <v>-0.03</v>
      </c>
      <c r="D95" s="23" t="n">
        <v>-0.96</v>
      </c>
      <c r="E95" s="23" t="n">
        <v>-0.07000000000000001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UAB</t>
        </is>
      </c>
      <c r="C96" s="26" t="n">
        <v>-0.04</v>
      </c>
      <c r="D96" s="26" t="n">
        <v>-0.44</v>
      </c>
      <c r="E96" s="26" t="n">
        <v>-0.7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CIN</t>
        </is>
      </c>
      <c r="C97" s="23" t="n">
        <v>-0.05</v>
      </c>
      <c r="D97" s="23" t="n">
        <v>-0.36</v>
      </c>
      <c r="E97" s="23" t="n">
        <v>0.66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BAY</t>
        </is>
      </c>
      <c r="C98" s="26" t="n">
        <v>-0.07000000000000001</v>
      </c>
      <c r="D98" s="26" t="n">
        <v>-0.53</v>
      </c>
      <c r="E98" s="26" t="n">
        <v>0.72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NORF</t>
        </is>
      </c>
      <c r="C99" s="23" t="n">
        <v>-0.07000000000000001</v>
      </c>
      <c r="D99" s="23" t="n">
        <v>-0.84</v>
      </c>
      <c r="E99" s="23" t="n">
        <v>0.14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FSU</t>
        </is>
      </c>
      <c r="C100" s="26" t="n">
        <v>-0.09</v>
      </c>
      <c r="D100" s="26" t="n">
        <v>-0.07000000000000001</v>
      </c>
      <c r="E100" s="26" t="n">
        <v>0.9399999999999999</v>
      </c>
      <c r="F100" s="25" t="n">
        <v>1</v>
      </c>
      <c r="G100" s="17" t="inlineStr">
        <is>
          <t>0-1</t>
        </is>
      </c>
    </row>
    <row r="101">
      <c r="A101" s="22" t="n">
        <v>97</v>
      </c>
      <c r="B101" s="12" t="inlineStr">
        <is>
          <t>AKR</t>
        </is>
      </c>
      <c r="C101" s="23" t="n">
        <v>-0.13</v>
      </c>
      <c r="D101" s="23" t="n">
        <v>-0.9</v>
      </c>
      <c r="E101" s="23" t="n">
        <v>0.09</v>
      </c>
      <c r="F101" s="22" t="n">
        <v>1</v>
      </c>
      <c r="G101" s="12" t="inlineStr">
        <is>
          <t>1-0</t>
        </is>
      </c>
    </row>
    <row r="102">
      <c r="A102" s="25" t="n">
        <v>98</v>
      </c>
      <c r="B102" s="17" t="inlineStr">
        <is>
          <t>ARK</t>
        </is>
      </c>
      <c r="C102" s="26" t="n">
        <v>-0.15</v>
      </c>
      <c r="D102" s="26" t="n">
        <v>-0.19</v>
      </c>
      <c r="E102" s="26" t="n">
        <v>0.35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WYO</t>
        </is>
      </c>
      <c r="C103" s="23" t="n">
        <v>-0.15</v>
      </c>
      <c r="D103" s="23" t="n">
        <v>-1.55</v>
      </c>
      <c r="E103" s="23" t="n">
        <v>0.62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NU</t>
        </is>
      </c>
      <c r="C104" s="26" t="n">
        <v>-0.16</v>
      </c>
      <c r="D104" s="26" t="n">
        <v>-0.61</v>
      </c>
      <c r="E104" s="26" t="n">
        <v>1.06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ACU</t>
        </is>
      </c>
      <c r="C105" s="23" t="n">
        <v>-0.17</v>
      </c>
      <c r="D105" s="23" t="n">
        <v>-0.84</v>
      </c>
      <c r="E105" s="23" t="n">
        <v>0.13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TCU</t>
        </is>
      </c>
      <c r="C106" s="26" t="n">
        <v>-0.2</v>
      </c>
      <c r="D106" s="26" t="n">
        <v>-1.2</v>
      </c>
      <c r="E106" s="26" t="n">
        <v>0.83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URI</t>
        </is>
      </c>
      <c r="C107" s="23" t="n">
        <v>-0.22</v>
      </c>
      <c r="D107" s="23" t="n">
        <v>-0.67</v>
      </c>
      <c r="E107" s="23" t="n">
        <v>-0.17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DUKE</t>
        </is>
      </c>
      <c r="C108" s="26" t="n">
        <v>-0.23</v>
      </c>
      <c r="D108" s="26" t="n">
        <v>-0.51</v>
      </c>
      <c r="E108" s="26" t="n">
        <v>1.15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MUR</t>
        </is>
      </c>
      <c r="C109" s="23" t="n">
        <v>-0.23</v>
      </c>
      <c r="D109" s="23" t="n">
        <v>-0.71</v>
      </c>
      <c r="E109" s="23" t="n">
        <v>-0.17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NCSU</t>
        </is>
      </c>
      <c r="C110" s="26" t="n">
        <v>-0.26</v>
      </c>
      <c r="D110" s="26" t="n">
        <v>-0.87</v>
      </c>
      <c r="E110" s="26" t="n">
        <v>0.32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SELA</t>
        </is>
      </c>
      <c r="C111" s="23" t="n">
        <v>-0.28</v>
      </c>
      <c r="D111" s="23" t="n">
        <v>-0.78</v>
      </c>
      <c r="E111" s="23" t="n">
        <v>-0.2</v>
      </c>
      <c r="F111" s="22" t="n">
        <v>1</v>
      </c>
      <c r="G111" s="12" t="inlineStr">
        <is>
          <t>0-1</t>
        </is>
      </c>
    </row>
    <row r="112">
      <c r="A112" s="25" t="n">
        <v>108</v>
      </c>
      <c r="B112" s="17" t="inlineStr">
        <is>
          <t>UNT</t>
        </is>
      </c>
      <c r="C112" s="26" t="n">
        <v>-0.28</v>
      </c>
      <c r="D112" s="26" t="n">
        <v>0.7</v>
      </c>
      <c r="E112" s="26" t="n">
        <v>-0.44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HOU</t>
        </is>
      </c>
      <c r="C113" s="23" t="n">
        <v>-0.29</v>
      </c>
      <c r="D113" s="23" t="n">
        <v>-0.23</v>
      </c>
      <c r="E113" s="23" t="n">
        <v>0.68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INST</t>
        </is>
      </c>
      <c r="C114" s="26" t="n">
        <v>-0.29</v>
      </c>
      <c r="D114" s="26" t="n">
        <v>-0.62</v>
      </c>
      <c r="E114" s="26" t="n">
        <v>-0.64</v>
      </c>
      <c r="F114" s="25" t="n">
        <v>1</v>
      </c>
      <c r="G114" s="17" t="inlineStr">
        <is>
          <t>1-0</t>
        </is>
      </c>
    </row>
    <row r="115">
      <c r="A115" s="22" t="n">
        <v>111</v>
      </c>
      <c r="B115" s="12" t="inlineStr">
        <is>
          <t>TLSA</t>
        </is>
      </c>
      <c r="C115" s="23" t="n">
        <v>-0.31</v>
      </c>
      <c r="D115" s="23" t="n">
        <v>-1</v>
      </c>
      <c r="E115" s="23" t="n">
        <v>0.8100000000000001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ECU</t>
        </is>
      </c>
      <c r="C116" s="26" t="n">
        <v>-0.33</v>
      </c>
      <c r="D116" s="26" t="n">
        <v>-0.62</v>
      </c>
      <c r="E116" s="26" t="n">
        <v>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TXST</t>
        </is>
      </c>
      <c r="C117" s="23" t="n">
        <v>-0.34</v>
      </c>
      <c r="D117" s="23" t="n">
        <v>-0.51</v>
      </c>
      <c r="E117" s="23" t="n">
        <v>-0.92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CLEM</t>
        </is>
      </c>
      <c r="C118" s="26" t="n">
        <v>-0.36</v>
      </c>
      <c r="D118" s="26" t="n">
        <v>-1.03</v>
      </c>
      <c r="E118" s="26" t="n">
        <v>-0.08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FRES</t>
        </is>
      </c>
      <c r="C119" s="23" t="n">
        <v>-0.36</v>
      </c>
      <c r="D119" s="23" t="n">
        <v>-1.64</v>
      </c>
      <c r="E119" s="23" t="n">
        <v>0.71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OHIO</t>
        </is>
      </c>
      <c r="C120" s="26" t="n">
        <v>-0.36</v>
      </c>
      <c r="D120" s="26" t="n">
        <v>-0.49</v>
      </c>
      <c r="E120" s="26" t="n">
        <v>-0.02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TOW</t>
        </is>
      </c>
      <c r="C121" s="23" t="n">
        <v>-0.36</v>
      </c>
      <c r="D121" s="23" t="n">
        <v>-0.58</v>
      </c>
      <c r="E121" s="23" t="n">
        <v>-0.33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USF</t>
        </is>
      </c>
      <c r="C122" s="26" t="n">
        <v>-0.37</v>
      </c>
      <c r="D122" s="26" t="n">
        <v>-0.17</v>
      </c>
      <c r="E122" s="26" t="n">
        <v>1.32</v>
      </c>
      <c r="F122" s="25" t="n">
        <v>1</v>
      </c>
      <c r="G122" s="17" t="inlineStr">
        <is>
          <t>0-1</t>
        </is>
      </c>
    </row>
    <row r="123">
      <c r="A123" s="22" t="n">
        <v>119</v>
      </c>
      <c r="B123" s="12" t="inlineStr">
        <is>
          <t>WKU</t>
        </is>
      </c>
      <c r="C123" s="23" t="n">
        <v>-0.37</v>
      </c>
      <c r="D123" s="23" t="n">
        <v>-0.63</v>
      </c>
      <c r="E123" s="23" t="n">
        <v>-0.04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IDHO</t>
        </is>
      </c>
      <c r="C124" s="26" t="n">
        <v>-0.38</v>
      </c>
      <c r="D124" s="26" t="n">
        <v>-0.66</v>
      </c>
      <c r="E124" s="26" t="n">
        <v>-1.24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FOR</t>
        </is>
      </c>
      <c r="C125" s="23" t="n">
        <v>-0.39</v>
      </c>
      <c r="D125" s="23" t="n">
        <v>-1.28</v>
      </c>
      <c r="E125" s="23" t="n">
        <v>-0.2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M-OH</t>
        </is>
      </c>
      <c r="C126" s="26" t="n">
        <v>-0.39</v>
      </c>
      <c r="D126" s="26" t="n">
        <v>-1.07</v>
      </c>
      <c r="E126" s="26" t="n">
        <v>-0.35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MRSH</t>
        </is>
      </c>
      <c r="C127" s="23" t="n">
        <v>-0.39</v>
      </c>
      <c r="D127" s="23" t="n">
        <v>-1.22</v>
      </c>
      <c r="E127" s="23" t="n">
        <v>-0.36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BRY</t>
        </is>
      </c>
      <c r="C128" s="26" t="n">
        <v>-0.4</v>
      </c>
      <c r="D128" s="26" t="n">
        <v>-1.21</v>
      </c>
      <c r="E128" s="26" t="n">
        <v>-1.06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CMU</t>
        </is>
      </c>
      <c r="C129" s="23" t="n">
        <v>-0.4</v>
      </c>
      <c r="D129" s="23" t="n">
        <v>-1.4</v>
      </c>
      <c r="E129" s="23" t="n">
        <v>0.45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MOST</t>
        </is>
      </c>
      <c r="C130" s="26" t="n">
        <v>-0.4</v>
      </c>
      <c r="D130" s="26" t="n">
        <v>-1.44</v>
      </c>
      <c r="E130" s="26" t="n">
        <v>-0.47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MRMK</t>
        </is>
      </c>
      <c r="C131" s="23" t="n">
        <v>-0.4</v>
      </c>
      <c r="D131" s="23" t="n">
        <v>-1.05</v>
      </c>
      <c r="E131" s="23" t="n">
        <v>-0.22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MVSU</t>
        </is>
      </c>
      <c r="C132" s="26" t="n">
        <v>-0.4</v>
      </c>
      <c r="D132" s="26" t="n">
        <v>-1.3</v>
      </c>
      <c r="E132" s="26" t="n">
        <v>-0.82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NAU</t>
        </is>
      </c>
      <c r="C133" s="23" t="n">
        <v>-0.4</v>
      </c>
      <c r="D133" s="23" t="n">
        <v>-0.96</v>
      </c>
      <c r="E133" s="23" t="n">
        <v>0.04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UAPB</t>
        </is>
      </c>
      <c r="C134" s="26" t="n">
        <v>-0.4</v>
      </c>
      <c r="D134" s="26" t="n">
        <v>-0.65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UNH</t>
        </is>
      </c>
      <c r="C135" s="23" t="n">
        <v>-0.4</v>
      </c>
      <c r="D135" s="23" t="n">
        <v>-1.18</v>
      </c>
      <c r="E135" s="23" t="n">
        <v>-1.53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YSU</t>
        </is>
      </c>
      <c r="C136" s="26" t="n">
        <v>-0.4</v>
      </c>
      <c r="D136" s="26" t="n">
        <v>-0.62</v>
      </c>
      <c r="E136" s="26" t="n">
        <v>-0.51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ALCN</t>
        </is>
      </c>
      <c r="C137" s="23" t="n">
        <v>-0.41</v>
      </c>
      <c r="D137" s="23" t="n">
        <v>-1.27</v>
      </c>
      <c r="E137" s="23" t="n">
        <v>-0.77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CHSO</t>
        </is>
      </c>
      <c r="C138" s="26" t="n">
        <v>-0.41</v>
      </c>
      <c r="D138" s="26" t="n">
        <v>-1.5</v>
      </c>
      <c r="E138" s="26" t="n">
        <v>0.29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LAM</t>
        </is>
      </c>
      <c r="C139" s="23" t="n">
        <v>-0.41</v>
      </c>
      <c r="D139" s="23" t="n">
        <v>-1.07</v>
      </c>
      <c r="E139" s="23" t="n">
        <v>-0.17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LIU</t>
        </is>
      </c>
      <c r="C140" s="26" t="n">
        <v>-0.41</v>
      </c>
      <c r="D140" s="26" t="n">
        <v>-1.1</v>
      </c>
      <c r="E140" s="26" t="n">
        <v>-0.78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MERC</t>
        </is>
      </c>
      <c r="C141" s="23" t="n">
        <v>-0.41</v>
      </c>
      <c r="D141" s="23" t="n">
        <v>-0.6</v>
      </c>
      <c r="E141" s="23" t="n">
        <v>-0.86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NCAT</t>
        </is>
      </c>
      <c r="C142" s="26" t="n">
        <v>-0.41</v>
      </c>
      <c r="D142" s="26" t="n">
        <v>-0.9</v>
      </c>
      <c r="E142" s="26" t="n">
        <v>-1.29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RGV</t>
        </is>
      </c>
      <c r="C143" s="23" t="n">
        <v>-0.41</v>
      </c>
      <c r="D143" s="23" t="n">
        <v>-0.52</v>
      </c>
      <c r="E143" s="23" t="n">
        <v>-0.43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SEMO</t>
        </is>
      </c>
      <c r="C144" s="26" t="n">
        <v>-0.41</v>
      </c>
      <c r="D144" s="26" t="n">
        <v>-0.83</v>
      </c>
      <c r="E144" s="26" t="n">
        <v>-0.16</v>
      </c>
      <c r="F144" s="25" t="n">
        <v>1</v>
      </c>
      <c r="G144" s="17" t="inlineStr">
        <is>
          <t>1-0</t>
        </is>
      </c>
    </row>
    <row r="145">
      <c r="A145" s="22" t="n">
        <v>141</v>
      </c>
      <c r="B145" s="12" t="inlineStr">
        <is>
          <t>TNST</t>
        </is>
      </c>
      <c r="C145" s="23" t="n">
        <v>-0.41</v>
      </c>
      <c r="D145" s="23" t="n">
        <v>-1.24</v>
      </c>
      <c r="E145" s="23" t="n">
        <v>-1.47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VMI</t>
        </is>
      </c>
      <c r="C146" s="26" t="n">
        <v>-0.41</v>
      </c>
      <c r="D146" s="26" t="n">
        <v>-1.24</v>
      </c>
      <c r="E146" s="26" t="n">
        <v>-1.93</v>
      </c>
      <c r="F146" s="25" t="n">
        <v>1</v>
      </c>
      <c r="G146" s="17" t="inlineStr">
        <is>
          <t>0-1</t>
        </is>
      </c>
    </row>
    <row r="147">
      <c r="A147" s="22" t="n">
        <v>143</v>
      </c>
      <c r="B147" s="12" t="inlineStr">
        <is>
          <t>WES</t>
        </is>
      </c>
      <c r="C147" s="23" t="n">
        <v>-0.41</v>
      </c>
      <c r="D147" s="23" t="n">
        <v>-1.29</v>
      </c>
      <c r="E147" s="23" t="n">
        <v>-0.55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BCU</t>
        </is>
      </c>
      <c r="C148" s="26" t="n">
        <v>-0.42</v>
      </c>
      <c r="D148" s="26" t="n">
        <v>-1.13</v>
      </c>
      <c r="E148" s="26" t="n">
        <v>-1.89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DUQ</t>
        </is>
      </c>
      <c r="C149" s="23" t="n">
        <v>-0.42</v>
      </c>
      <c r="D149" s="23" t="n">
        <v>-1.45</v>
      </c>
      <c r="E149" s="23" t="n">
        <v>-0.07000000000000001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EIU</t>
        </is>
      </c>
      <c r="C150" s="26" t="n">
        <v>-0.42</v>
      </c>
      <c r="D150" s="26" t="n">
        <v>-1.11</v>
      </c>
      <c r="E150" s="26" t="n">
        <v>-1.3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FUR</t>
        </is>
      </c>
      <c r="C151" s="23" t="n">
        <v>-0.42</v>
      </c>
      <c r="D151" s="23" t="n">
        <v>-0.97</v>
      </c>
      <c r="E151" s="23" t="n">
        <v>-1.04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HAMP</t>
        </is>
      </c>
      <c r="C152" s="26" t="n">
        <v>-0.42</v>
      </c>
      <c r="D152" s="26" t="n">
        <v>-1.32</v>
      </c>
      <c r="E152" s="26" t="n">
        <v>-1.34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HCU</t>
        </is>
      </c>
      <c r="C153" s="23" t="n">
        <v>-0.42</v>
      </c>
      <c r="D153" s="23" t="n">
        <v>-1.26</v>
      </c>
      <c r="E153" s="23" t="n">
        <v>0.1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LAF</t>
        </is>
      </c>
      <c r="C154" s="26" t="n">
        <v>-0.42</v>
      </c>
      <c r="D154" s="26" t="n">
        <v>-1.09</v>
      </c>
      <c r="E154" s="26" t="n">
        <v>-1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ME</t>
        </is>
      </c>
      <c r="C155" s="23" t="n">
        <v>-0.42</v>
      </c>
      <c r="D155" s="23" t="n">
        <v>-1.27</v>
      </c>
      <c r="E155" s="23" t="n">
        <v>-0.99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MORG</t>
        </is>
      </c>
      <c r="C156" s="26" t="n">
        <v>-0.42</v>
      </c>
      <c r="D156" s="26" t="n">
        <v>-1.07</v>
      </c>
      <c r="E156" s="26" t="n">
        <v>-1.82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NICH</t>
        </is>
      </c>
      <c r="C157" s="23" t="n">
        <v>-0.42</v>
      </c>
      <c r="D157" s="23" t="n">
        <v>-1.28</v>
      </c>
      <c r="E157" s="23" t="n">
        <v>-1.75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NWST</t>
        </is>
      </c>
      <c r="C158" s="26" t="n">
        <v>-0.42</v>
      </c>
      <c r="D158" s="26" t="n">
        <v>-1.19</v>
      </c>
      <c r="E158" s="26" t="n">
        <v>-2.45</v>
      </c>
      <c r="F158" s="25" t="n">
        <v>1</v>
      </c>
      <c r="G158" s="17" t="inlineStr">
        <is>
          <t>0-1</t>
        </is>
      </c>
    </row>
    <row r="159">
      <c r="A159" s="22" t="n">
        <v>155</v>
      </c>
      <c r="B159" s="12" t="inlineStr">
        <is>
          <t>UTU</t>
        </is>
      </c>
      <c r="C159" s="23" t="n">
        <v>-0.42</v>
      </c>
      <c r="D159" s="23" t="n">
        <v>-0.9399999999999999</v>
      </c>
      <c r="E159" s="23" t="n">
        <v>-1.36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EKU</t>
        </is>
      </c>
      <c r="C160" s="26" t="n">
        <v>-0.43</v>
      </c>
      <c r="D160" s="26" t="n">
        <v>-1.06</v>
      </c>
      <c r="E160" s="26" t="n">
        <v>-0.77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KENT</t>
        </is>
      </c>
      <c r="C161" s="23" t="n">
        <v>-0.43</v>
      </c>
      <c r="D161" s="23" t="n">
        <v>-1.68</v>
      </c>
      <c r="E161" s="23" t="n">
        <v>-1.1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FAU</t>
        </is>
      </c>
      <c r="C162" s="26" t="n">
        <v>-0.44</v>
      </c>
      <c r="D162" s="26" t="n">
        <v>-0.34</v>
      </c>
      <c r="E162" s="26" t="n">
        <v>-1.81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NIU</t>
        </is>
      </c>
      <c r="C163" s="23" t="n">
        <v>-0.44</v>
      </c>
      <c r="D163" s="23" t="n">
        <v>-1.96</v>
      </c>
      <c r="E163" s="23" t="n">
        <v>0.14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PRST</t>
        </is>
      </c>
      <c r="C164" s="26" t="n">
        <v>-0.44</v>
      </c>
      <c r="D164" s="26" t="n">
        <v>-0.53</v>
      </c>
      <c r="E164" s="26" t="n">
        <v>-1.09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UTEP</t>
        </is>
      </c>
      <c r="C165" s="23" t="n">
        <v>-0.45</v>
      </c>
      <c r="D165" s="23" t="n">
        <v>-1.59</v>
      </c>
      <c r="E165" s="23" t="n">
        <v>-0.79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BALL</t>
        </is>
      </c>
      <c r="C166" s="26" t="n">
        <v>-0.46</v>
      </c>
      <c r="D166" s="26" t="n">
        <v>-1.89</v>
      </c>
      <c r="E166" s="26" t="n">
        <v>-0.87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ULM</t>
        </is>
      </c>
      <c r="C167" s="23" t="n">
        <v>-0.47</v>
      </c>
      <c r="D167" s="23" t="n">
        <v>-1.45</v>
      </c>
      <c r="E167" s="23" t="n">
        <v>-1.24</v>
      </c>
      <c r="F167" s="22" t="n">
        <v>1</v>
      </c>
      <c r="G167" s="12" t="inlineStr">
        <is>
          <t>0-1</t>
        </is>
      </c>
    </row>
    <row r="168">
      <c r="A168" s="25" t="n">
        <v>164</v>
      </c>
      <c r="B168" s="17" t="inlineStr">
        <is>
          <t>JMU</t>
        </is>
      </c>
      <c r="C168" s="26" t="n">
        <v>-0.49</v>
      </c>
      <c r="D168" s="26" t="n">
        <v>-0.17</v>
      </c>
      <c r="E168" s="26" t="n">
        <v>1.47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MSU</t>
        </is>
      </c>
      <c r="C169" s="23" t="n">
        <v>-0.49</v>
      </c>
      <c r="D169" s="23" t="n">
        <v>-0.63</v>
      </c>
      <c r="E169" s="23" t="n">
        <v>0.36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ORE</t>
        </is>
      </c>
      <c r="C170" s="26" t="n">
        <v>-0.49</v>
      </c>
      <c r="D170" s="26" t="n">
        <v>0.38</v>
      </c>
      <c r="E170" s="26" t="n">
        <v>0.9399999999999999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WVU</t>
        </is>
      </c>
      <c r="C171" s="23" t="n">
        <v>-0.65</v>
      </c>
      <c r="D171" s="23" t="n">
        <v>-0.77</v>
      </c>
      <c r="E171" s="23" t="n">
        <v>0.07000000000000001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BUFF</t>
        </is>
      </c>
      <c r="C172" s="26" t="n">
        <v>-0.76</v>
      </c>
      <c r="D172" s="26" t="n">
        <v>-1.17</v>
      </c>
      <c r="E172" s="26" t="n">
        <v>0.74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TROY</t>
        </is>
      </c>
      <c r="C173" s="23" t="n">
        <v>-0.8</v>
      </c>
      <c r="D173" s="23" t="n">
        <v>-1.08</v>
      </c>
      <c r="E173" s="23" t="n">
        <v>0.82</v>
      </c>
      <c r="F173" s="22" t="n">
        <v>1</v>
      </c>
      <c r="G173" s="12" t="inlineStr">
        <is>
          <t>0-1</t>
        </is>
      </c>
    </row>
    <row r="174">
      <c r="A174" s="25" t="n">
        <v>170</v>
      </c>
      <c r="B174" s="17" t="inlineStr">
        <is>
          <t>MICH</t>
        </is>
      </c>
      <c r="C174" s="26" t="n">
        <v>-0.86</v>
      </c>
      <c r="D174" s="26" t="n">
        <v>-1.19</v>
      </c>
      <c r="E174" s="26" t="n">
        <v>1.35</v>
      </c>
      <c r="F174" s="25" t="n">
        <v>1</v>
      </c>
      <c r="G174" s="17" t="inlineStr">
        <is>
          <t>0-1</t>
        </is>
      </c>
    </row>
    <row r="175">
      <c r="A175" s="22" t="n">
        <v>171</v>
      </c>
      <c r="B175" s="12" t="inlineStr">
        <is>
          <t>GT</t>
        </is>
      </c>
      <c r="C175" s="23" t="n">
        <v>-0.96</v>
      </c>
      <c r="D175" s="23" t="n">
        <v>-1.05</v>
      </c>
      <c r="E175" s="23" t="n">
        <v>0.91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CLT</t>
        </is>
      </c>
      <c r="C176" s="26" t="n">
        <v>-1.17</v>
      </c>
      <c r="D176" s="26" t="n">
        <v>-0.8100000000000001</v>
      </c>
      <c r="E176" s="26" t="n">
        <v>-1.12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BGSU</t>
        </is>
      </c>
      <c r="C177" s="23" t="n">
        <v>-1.3</v>
      </c>
      <c r="D177" s="23" t="n">
        <v>-1.67</v>
      </c>
      <c r="E177" s="23" t="n">
        <v>0.68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HAW</t>
        </is>
      </c>
      <c r="C178" s="26" t="n">
        <v>-1.31</v>
      </c>
      <c r="D178" s="26" t="n">
        <v>-1.5</v>
      </c>
      <c r="E178" s="26" t="n">
        <v>0.42</v>
      </c>
      <c r="F178" s="25" t="n">
        <v>2</v>
      </c>
      <c r="G178" s="17" t="inlineStr">
        <is>
          <t>0-1</t>
        </is>
      </c>
    </row>
    <row r="179">
      <c r="A179" s="22" t="n">
        <v>175</v>
      </c>
      <c r="B179" s="12" t="inlineStr">
        <is>
          <t>USU</t>
        </is>
      </c>
      <c r="C179" s="23" t="n">
        <v>-1.51</v>
      </c>
      <c r="D179" s="23" t="n">
        <v>-0.93</v>
      </c>
      <c r="E179" s="23" t="n">
        <v>0.02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EMU</t>
        </is>
      </c>
      <c r="C180" s="26" t="n">
        <v>-1.55</v>
      </c>
      <c r="D180" s="26" t="n">
        <v>-1.36</v>
      </c>
      <c r="E180" s="26" t="n">
        <v>0.48</v>
      </c>
      <c r="F180" s="25" t="n">
        <v>2</v>
      </c>
      <c r="G180" s="17" t="inlineStr">
        <is>
          <t>1-1</t>
        </is>
      </c>
    </row>
    <row r="181">
      <c r="A181" s="22" t="n">
        <v>177</v>
      </c>
      <c r="B181" s="12" t="inlineStr">
        <is>
          <t>RUTG</t>
        </is>
      </c>
      <c r="C181" s="23" t="n">
        <v>-1.72</v>
      </c>
      <c r="D181" s="23" t="n">
        <v>-0.91</v>
      </c>
      <c r="E181" s="23" t="n">
        <v>-0.66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CAL</t>
        </is>
      </c>
      <c r="C182" s="26" t="n">
        <v>-1.97</v>
      </c>
      <c r="D182" s="26" t="n">
        <v>-0.86</v>
      </c>
      <c r="E182" s="26" t="n">
        <v>-0.72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STAN</t>
        </is>
      </c>
      <c r="C183" s="23" t="n">
        <v>-2.72</v>
      </c>
      <c r="D183" s="23" t="n">
        <v>-1.86</v>
      </c>
      <c r="E183" s="23" t="n">
        <v>-0.84</v>
      </c>
      <c r="F183" s="22" t="n">
        <v>2</v>
      </c>
      <c r="G183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10</v>
      </c>
      <c r="G100" s="17" t="inlineStr">
        <is>
          <t>7:48 - 2nd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-21</v>
      </c>
      <c r="J102" s="30" t="n">
        <v>46.5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55.5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50.5</v>
      </c>
      <c r="K109" s="13" t="n">
        <v>-245</v>
      </c>
      <c r="L109" s="13" t="n">
        <v>200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-238</v>
      </c>
      <c r="L110" s="18" t="n">
        <v>195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490</v>
      </c>
      <c r="L111" s="13" t="n">
        <v>-675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-19.5</v>
      </c>
      <c r="J112" s="30" t="n">
        <v>51.5</v>
      </c>
      <c r="K112" s="18" t="n">
        <v>900</v>
      </c>
      <c r="L112" s="18" t="n">
        <v>-1600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58.5</v>
      </c>
      <c r="K113" s="13" t="n">
        <v>-2400</v>
      </c>
      <c r="L113" s="13" t="n">
        <v>1200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-17.5</v>
      </c>
      <c r="J115" s="29" t="n">
        <v>51.5</v>
      </c>
      <c r="K115" s="13" t="n">
        <v>675</v>
      </c>
      <c r="L115" s="13" t="n">
        <v>-1050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4.5</v>
      </c>
      <c r="J116" s="30" t="n">
        <v>49.5</v>
      </c>
      <c r="K116" s="18" t="n">
        <v>-180</v>
      </c>
      <c r="L116" s="18" t="n">
        <v>150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22.5</v>
      </c>
      <c r="J118" s="30" t="n">
        <v>50.5</v>
      </c>
      <c r="K118" s="18" t="n">
        <v>-2400</v>
      </c>
      <c r="L118" s="18" t="n">
        <v>1200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</v>
      </c>
      <c r="J119" s="29" t="n">
        <v>50.5</v>
      </c>
      <c r="K119" s="13" t="n">
        <v>136</v>
      </c>
      <c r="L119" s="13" t="n">
        <v>-162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-9.5</v>
      </c>
      <c r="J120" s="30" t="n">
        <v>56.5</v>
      </c>
      <c r="K120" s="18" t="n">
        <v>260</v>
      </c>
      <c r="L120" s="18" t="n">
        <v>-325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-39.5</v>
      </c>
      <c r="J122" s="30" t="n">
        <v>52.5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-425</v>
      </c>
      <c r="L127" s="13" t="n">
        <v>330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-125</v>
      </c>
      <c r="L128" s="18" t="n">
        <v>105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56.5</v>
      </c>
      <c r="K130" s="18" t="n">
        <v>270</v>
      </c>
      <c r="L130" s="18" t="n">
        <v>-340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51.5</v>
      </c>
      <c r="K131" s="13" t="n">
        <v>230</v>
      </c>
      <c r="L131" s="13" t="n">
        <v>-285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-2.5</v>
      </c>
      <c r="J132" s="30" t="n">
        <v>54.5</v>
      </c>
      <c r="K132" s="18" t="n">
        <v>110</v>
      </c>
      <c r="L132" s="18" t="n">
        <v>-130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</v>
      </c>
      <c r="J133" s="29" t="n">
        <v>54.5</v>
      </c>
      <c r="K133" s="13" t="n">
        <v>220</v>
      </c>
      <c r="L133" s="13" t="n">
        <v>-270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51.5</v>
      </c>
      <c r="K134" s="18" t="n">
        <v>625</v>
      </c>
      <c r="L134" s="18" t="n">
        <v>-950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13.5</v>
      </c>
      <c r="J135" s="29" t="n">
        <v>53.5</v>
      </c>
      <c r="K135" s="13" t="n">
        <v>-600</v>
      </c>
      <c r="L135" s="13" t="n">
        <v>440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-27.5</v>
      </c>
      <c r="J136" s="30" t="n">
        <v>56.5</v>
      </c>
      <c r="K136" s="18" t="n">
        <v>1800</v>
      </c>
      <c r="L136" s="18" t="n">
        <v>-5000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1.5</v>
      </c>
      <c r="J138" s="30" t="n">
        <v>64.5</v>
      </c>
      <c r="K138" s="18" t="n">
        <v>-118</v>
      </c>
      <c r="L138" s="18" t="n">
        <v>-102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56.5</v>
      </c>
      <c r="K139" s="13" t="n">
        <v>330</v>
      </c>
      <c r="L139" s="13" t="n">
        <v>-425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5.5</v>
      </c>
      <c r="J144" s="30" t="n">
        <v>58.5</v>
      </c>
      <c r="K144" s="18" t="n">
        <v>-205</v>
      </c>
      <c r="L144" s="18" t="n">
        <v>170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800</v>
      </c>
      <c r="L149" s="13" t="n">
        <v>-1350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49.5</v>
      </c>
      <c r="K152" s="18" t="n">
        <v>295</v>
      </c>
      <c r="L152" s="18" t="n">
        <v>-375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-1.5</v>
      </c>
      <c r="J153" s="29" t="n">
        <v>50.5</v>
      </c>
      <c r="K153" s="13" t="n">
        <v>-102</v>
      </c>
      <c r="L153" s="13" t="n">
        <v>-118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13.5</v>
      </c>
      <c r="J157" s="29" t="n">
        <v>55.5</v>
      </c>
      <c r="K157" s="13" t="n">
        <v>-575</v>
      </c>
      <c r="L157" s="13" t="n">
        <v>425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14</v>
      </c>
      <c r="J162" s="30" t="n">
        <v>52.5</v>
      </c>
      <c r="K162" s="18" t="n">
        <v>-650</v>
      </c>
      <c r="L162" s="18" t="n">
        <v>470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-10.5</v>
      </c>
      <c r="J164" s="30" t="n">
        <v>51.5</v>
      </c>
      <c r="K164" s="18" t="n">
        <v>360</v>
      </c>
      <c r="L164" s="18" t="n">
        <v>-470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50.5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-10.5</v>
      </c>
      <c r="J169" s="29" t="n">
        <v>50.5</v>
      </c>
      <c r="K169" s="13" t="n">
        <v>320</v>
      </c>
      <c r="L169" s="13" t="n">
        <v>-410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-105</v>
      </c>
      <c r="L171" s="13" t="n">
        <v>-115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50.5</v>
      </c>
      <c r="K172" s="18" t="n">
        <v>-5000</v>
      </c>
      <c r="L172" s="18" t="n">
        <v>1800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500</v>
      </c>
      <c r="L173" s="13" t="n">
        <v>-700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-22.5</v>
      </c>
      <c r="J174" s="30" t="n">
        <v>56.5</v>
      </c>
      <c r="K174" s="18" t="n">
        <v>1100</v>
      </c>
      <c r="L174" s="18" t="n">
        <v>-2100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6.5</v>
      </c>
      <c r="J175" s="29" t="n">
        <v>58.5</v>
      </c>
      <c r="K175" s="13" t="n">
        <v>-238</v>
      </c>
      <c r="L175" s="13" t="n">
        <v>195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-31.5</v>
      </c>
      <c r="J176" s="30" t="n">
        <v>55.5</v>
      </c>
      <c r="K176" s="18" t="n">
        <v>3000</v>
      </c>
      <c r="L176" s="18" t="n">
        <v>-10000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-29.5</v>
      </c>
      <c r="J178" s="30" t="n">
        <v>52.5</v>
      </c>
      <c r="K178" s="18" t="n">
        <v>1800</v>
      </c>
      <c r="L178" s="18" t="n">
        <v>-5000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-46.5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6.5</v>
      </c>
      <c r="J184" s="30" t="n">
        <v>48.5</v>
      </c>
      <c r="K184" s="18" t="n">
        <v>-245</v>
      </c>
      <c r="L184" s="18" t="n">
        <v>200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-11.5</v>
      </c>
      <c r="J185" s="29" t="n">
        <v>56.5</v>
      </c>
      <c r="K185" s="13" t="n">
        <v>340</v>
      </c>
      <c r="L185" s="13" t="n">
        <v>-440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48.5</v>
      </c>
      <c r="K186" s="18" t="n">
        <v>675</v>
      </c>
      <c r="L186" s="18" t="n">
        <v>-1050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2500</v>
      </c>
      <c r="L188" s="18" t="n">
        <v>-9000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-10</v>
      </c>
      <c r="J189" s="29" t="n">
        <v>51.5</v>
      </c>
      <c r="K189" s="13" t="n">
        <v>270</v>
      </c>
      <c r="L189" s="13" t="n">
        <v>-340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466</v>
      </c>
    </row>
    <row r="5">
      <c r="A5" s="3" t="inlineStr">
        <is>
          <t>Settled</t>
        </is>
      </c>
      <c r="B5" s="39" t="n">
        <v>287</v>
      </c>
    </row>
    <row r="6">
      <c r="A6" s="3" t="inlineStr">
        <is>
          <t>Pending</t>
        </is>
      </c>
      <c r="B6" s="39" t="n">
        <v>178</v>
      </c>
    </row>
    <row r="7">
      <c r="A7" s="3" t="inlineStr">
        <is>
          <t>Brier (all settled)</t>
        </is>
      </c>
      <c r="B7" s="40" t="n">
        <v>0.2556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40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20</v>
      </c>
      <c r="C12" s="20" t="n">
        <v>0.35</v>
      </c>
      <c r="D12" s="20" t="n">
        <v>0.35</v>
      </c>
      <c r="E12" s="19" t="n">
        <v>0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101</v>
      </c>
      <c r="C14" s="20" t="n">
        <v>0.55</v>
      </c>
      <c r="D14" s="20" t="n">
        <v>0.505</v>
      </c>
      <c r="E14" s="19" t="n">
        <v>-0.04500000000000004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66</v>
      </c>
      <c r="C16" s="20" t="n">
        <v>0.75</v>
      </c>
      <c r="D16" s="20" t="n">
        <v>0.3485</v>
      </c>
      <c r="E16" s="19" t="n">
        <v>-0.4015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277</v>
      </c>
      <c r="C22" s="15" t="n">
        <v>0.3718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97</v>
      </c>
      <c r="C26" s="15" t="n">
        <v>0.3608</v>
      </c>
      <c r="D26" s="41" t="n">
        <v>0.3477</v>
      </c>
    </row>
    <row r="27">
      <c r="A27" s="17" t="inlineStr">
        <is>
          <t>ML</t>
        </is>
      </c>
      <c r="B27" s="25" t="n">
        <v>73</v>
      </c>
      <c r="C27" s="20" t="n">
        <v>0.1507</v>
      </c>
      <c r="D27" s="42" t="n">
        <v>0.1368</v>
      </c>
    </row>
    <row r="28">
      <c r="A28" s="12" t="inlineStr">
        <is>
          <t>TOTAL</t>
        </is>
      </c>
      <c r="B28" s="22" t="n">
        <v>117</v>
      </c>
      <c r="C28" s="15" t="n">
        <v>0.5214</v>
      </c>
      <c r="D28" s="41" t="n">
        <v>0.2534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287</v>
      </c>
      <c r="C32" s="15" t="n">
        <v>0.3728</v>
      </c>
      <c r="D32" s="41" t="n">
        <v>0.2556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2026-09-06T21:07:54Z</dcterms:created>
  <dcterms:modified xsi:type="dcterms:W3CDTF">2026-09-06T21:07:55Z</dcterms:modified>
</cp:coreProperties>
</file>
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84" headerRowCount="1">
  <autoFilter ref="A4:Q8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2026-08-24T18:03:18+00:00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Ledger'!$G$6:$G$8,"&lt;&gt;Pending",'Bet Ledger'!$H$6:$H$8)</f>
        <v/>
      </c>
    </row>
    <row r="6">
      <c r="A6" s="3" t="inlineStr">
        <is>
          <t>Total Staked</t>
        </is>
      </c>
      <c r="B6" s="5">
        <f>SUMIF('Bet Ledger'!$G$6:$G$8,"&lt;&gt;Pending",'Bet Ledger'!$F$6:$F$8)</f>
        <v/>
      </c>
    </row>
    <row r="7">
      <c r="A7" s="3" t="inlineStr">
        <is>
          <t>Profit / Loss</t>
        </is>
      </c>
      <c r="B7" s="5">
        <f>SUMIF('Bet Ledger'!$G$6:$G$8,"&lt;&gt;Pending",'Bet Ledger'!$H$6:$H$8)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Ledger'!$G$6:$G$8,"&lt;&gt;Pending",'Bet Ledger'!$G$6:$G$8,"&lt;&gt;")</f>
        <v/>
      </c>
    </row>
    <row r="10">
      <c r="A10" s="3" t="inlineStr">
        <is>
          <t>Wins</t>
        </is>
      </c>
      <c r="B10" s="7">
        <f>COUNTIF('Bet Ledger'!$G$6:$G$8,"Win")</f>
        <v/>
      </c>
    </row>
    <row r="11">
      <c r="A11" s="3" t="inlineStr">
        <is>
          <t>Losses</t>
        </is>
      </c>
      <c r="B11" s="7">
        <f>COUNTIF('Bet Ledger'!$G$6:$G$8,"Loss")</f>
        <v/>
      </c>
    </row>
    <row r="12">
      <c r="A12" s="3" t="inlineStr">
        <is>
          <t>Pushes</t>
        </is>
      </c>
      <c r="B12" s="7">
        <f>COUNTIF('Bet Ledger'!$G$6:$G$8,"Push")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Ledger'!$G$6:$G$8,"Pending")</f>
        <v/>
      </c>
    </row>
    <row r="15">
      <c r="A15" s="3" t="inlineStr">
        <is>
          <t>Live Plays On The Board</t>
        </is>
      </c>
      <c r="B15" s="7" t="n">
        <v>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SAC @ EMU</t>
        </is>
      </c>
      <c r="C21" s="12" t="inlineStr">
        <is>
          <t>ML</t>
        </is>
      </c>
      <c r="D21" s="12" t="inlineStr">
        <is>
          <t>SAC ML</t>
        </is>
      </c>
      <c r="E21" s="13" t="n">
        <v>280</v>
      </c>
      <c r="F21" s="14" t="n">
        <v>0.1054642923135784</v>
      </c>
      <c r="G21" s="15" t="n">
        <v>0.3686221870504205</v>
      </c>
      <c r="H21" s="16" t="n"/>
      <c r="I21" s="12" t="inlineStr">
        <is>
          <t>2026-08-29 22:30</t>
        </is>
      </c>
    </row>
    <row r="22">
      <c r="A22" s="17" t="inlineStr">
        <is>
          <t>LEAN</t>
        </is>
      </c>
      <c r="B22" s="17" t="inlineStr">
        <is>
          <t>HAW @ STAN</t>
        </is>
      </c>
      <c r="C22" s="17" t="inlineStr">
        <is>
          <t>TOTAL</t>
        </is>
      </c>
      <c r="D22" s="17" t="inlineStr">
        <is>
          <t>Over 48.5</t>
        </is>
      </c>
      <c r="E22" s="18" t="n">
        <v>-115</v>
      </c>
      <c r="F22" s="19" t="n">
        <v>0.08840272575750341</v>
      </c>
      <c r="G22" s="20" t="n">
        <v>0.6232864466877359</v>
      </c>
      <c r="H22" s="21" t="n"/>
      <c r="I22" s="17" t="inlineStr">
        <is>
          <t>2026-08-29 23:00</t>
        </is>
      </c>
    </row>
    <row r="23">
      <c r="A23" s="12" t="inlineStr">
        <is>
          <t>LEAN</t>
        </is>
      </c>
      <c r="B23" s="12" t="inlineStr">
        <is>
          <t>UNC @ TCU</t>
        </is>
      </c>
      <c r="C23" s="12" t="inlineStr">
        <is>
          <t>ATS</t>
        </is>
      </c>
      <c r="D23" s="12" t="inlineStr">
        <is>
          <t>UNC +7.5</t>
        </is>
      </c>
      <c r="E23" s="13" t="n">
        <v>-108</v>
      </c>
      <c r="F23" s="14" t="n">
        <v>0.08007721496452191</v>
      </c>
      <c r="G23" s="15" t="n">
        <v>0.5993079841952912</v>
      </c>
      <c r="H23" s="16" t="n"/>
      <c r="I23" s="12" t="inlineStr">
        <is>
          <t>2026-08-29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SAC @ EMU</t>
        </is>
      </c>
      <c r="C5" s="12" t="inlineStr">
        <is>
          <t>2026-08-29 22:30</t>
        </is>
      </c>
      <c r="D5" s="22" t="n">
        <v>1</v>
      </c>
      <c r="E5" s="12" t="inlineStr">
        <is>
          <t>ML</t>
        </is>
      </c>
      <c r="F5" s="12" t="inlineStr">
        <is>
          <t>SAC ML</t>
        </is>
      </c>
      <c r="G5" s="23" t="n"/>
      <c r="H5" s="13" t="n">
        <v>280</v>
      </c>
      <c r="I5" s="15" t="n">
        <v>0.3686221870504205</v>
      </c>
      <c r="J5" s="15" t="n">
        <v>0.2522172949002217</v>
      </c>
      <c r="K5" s="15" t="n">
        <v>0.2631578947368421</v>
      </c>
      <c r="L5" s="14" t="n">
        <v>0.1054642923135784</v>
      </c>
      <c r="M5" s="14" t="n">
        <v>0.4007643107915979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HAW @ STAN</t>
        </is>
      </c>
      <c r="C6" s="17" t="inlineStr">
        <is>
          <t>2026-08-29 23:00</t>
        </is>
      </c>
      <c r="D6" s="25" t="n">
        <v>1</v>
      </c>
      <c r="E6" s="17" t="inlineStr">
        <is>
          <t>TOTAL</t>
        </is>
      </c>
      <c r="F6" s="17" t="inlineStr">
        <is>
          <t>Over 48.5</t>
        </is>
      </c>
      <c r="G6" s="26" t="n">
        <v>48.5</v>
      </c>
      <c r="H6" s="18" t="n">
        <v>-115</v>
      </c>
      <c r="I6" s="20" t="n">
        <v>0.6232864466877359</v>
      </c>
      <c r="J6" s="20" t="n">
        <v>0.5108342361863488</v>
      </c>
      <c r="K6" s="20" t="n">
        <v>0.5348837209302325</v>
      </c>
      <c r="L6" s="19" t="n">
        <v>0.08840272575750341</v>
      </c>
      <c r="M6" s="19" t="n">
        <v>0.1652746611988105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UNC @ TCU</t>
        </is>
      </c>
      <c r="C7" s="12" t="inlineStr">
        <is>
          <t>2026-08-29 16:00</t>
        </is>
      </c>
      <c r="D7" s="22" t="n">
        <v>1</v>
      </c>
      <c r="E7" s="12" t="inlineStr">
        <is>
          <t>ATS</t>
        </is>
      </c>
      <c r="F7" s="12" t="inlineStr">
        <is>
          <t>UNC +7.5</t>
        </is>
      </c>
      <c r="G7" s="23" t="n">
        <v>-7.5</v>
      </c>
      <c r="H7" s="13" t="n">
        <v>-108</v>
      </c>
      <c r="I7" s="15" t="n">
        <v>0.5993079841952912</v>
      </c>
      <c r="J7" s="15" t="n">
        <v>0.4956702459300312</v>
      </c>
      <c r="K7" s="15" t="n">
        <v>0.5192307692307693</v>
      </c>
      <c r="L7" s="14" t="n">
        <v>0.08007721496452191</v>
      </c>
      <c r="M7" s="14" t="n">
        <v>0.1542227843761165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PASS</t>
        </is>
      </c>
      <c r="B8" s="17" t="inlineStr">
        <is>
          <t>BCU @ UCF</t>
        </is>
      </c>
      <c r="C8" s="17" t="inlineStr">
        <is>
          <t>2026-09-03 23:00</t>
        </is>
      </c>
      <c r="D8" s="25" t="n">
        <v>1</v>
      </c>
      <c r="E8" s="17" t="inlineStr">
        <is>
          <t>ATS</t>
        </is>
      </c>
      <c r="F8" s="17" t="inlineStr">
        <is>
          <t>BCU +42.5</t>
        </is>
      </c>
      <c r="G8" s="26" t="n">
        <v>-42.5</v>
      </c>
      <c r="H8" s="18" t="n">
        <v>-112</v>
      </c>
      <c r="I8" s="20" t="n">
        <v>0.7517481901856816</v>
      </c>
      <c r="J8" s="20" t="n">
        <v>0.5043297540699688</v>
      </c>
      <c r="K8" s="20" t="n">
        <v>0.5283018867924528</v>
      </c>
      <c r="L8" s="19" t="n">
        <v>0.2234463033932288</v>
      </c>
      <c r="M8" s="19" t="n">
        <v>0.4229519314228973</v>
      </c>
      <c r="N8" s="20" t="n">
        <v>0</v>
      </c>
      <c r="O8" s="27" t="n">
        <v>0.45</v>
      </c>
      <c r="P8" s="17" t="inlineStr">
        <is>
          <t>DraftKings</t>
        </is>
      </c>
      <c r="Q8" s="17" t="inlineStr">
        <is>
          <t>BCU isn't a full FBS participant this season — model doesn't rate them reliably</t>
        </is>
      </c>
    </row>
    <row r="9">
      <c r="A9" s="12" t="inlineStr">
        <is>
          <t>PASS</t>
        </is>
      </c>
      <c r="B9" s="12" t="inlineStr">
        <is>
          <t>MRMK @ DEL</t>
        </is>
      </c>
      <c r="C9" s="12" t="inlineStr">
        <is>
          <t>2026-09-03 23:00</t>
        </is>
      </c>
      <c r="D9" s="22" t="n">
        <v>1</v>
      </c>
      <c r="E9" s="12" t="inlineStr">
        <is>
          <t>ATS</t>
        </is>
      </c>
      <c r="F9" s="12" t="inlineStr">
        <is>
          <t>MRMK +28.5</t>
        </is>
      </c>
      <c r="G9" s="23" t="n">
        <v>-28.5</v>
      </c>
      <c r="H9" s="13" t="n">
        <v>-108</v>
      </c>
      <c r="I9" s="15" t="n">
        <v>0.7386849373798826</v>
      </c>
      <c r="J9" s="15" t="n">
        <v>0.4956702459300312</v>
      </c>
      <c r="K9" s="15" t="n">
        <v>0.5192307692307693</v>
      </c>
      <c r="L9" s="14" t="n">
        <v>0.2194541681491133</v>
      </c>
      <c r="M9" s="14" t="n">
        <v>0.4226524719908851</v>
      </c>
      <c r="N9" s="15" t="n">
        <v>0</v>
      </c>
      <c r="O9" s="24" t="n">
        <v>0.45</v>
      </c>
      <c r="P9" s="12" t="inlineStr">
        <is>
          <t>DraftKings</t>
        </is>
      </c>
      <c r="Q9" s="12" t="inlineStr">
        <is>
          <t>MRMK isn't a full FBS participant this season — model doesn't rate them reliably</t>
        </is>
      </c>
    </row>
    <row r="10">
      <c r="A10" s="17" t="inlineStr">
        <is>
          <t>PASS</t>
        </is>
      </c>
      <c r="B10" s="17" t="inlineStr">
        <is>
          <t>MASS @ RUTG</t>
        </is>
      </c>
      <c r="C10" s="17" t="inlineStr">
        <is>
          <t>2026-09-03 22:00</t>
        </is>
      </c>
      <c r="D10" s="25" t="n">
        <v>1</v>
      </c>
      <c r="E10" s="17" t="inlineStr">
        <is>
          <t>ATS</t>
        </is>
      </c>
      <c r="F10" s="17" t="inlineStr">
        <is>
          <t>MASS +30.5</t>
        </is>
      </c>
      <c r="G10" s="26" t="n">
        <v>-30.5</v>
      </c>
      <c r="H10" s="18" t="n">
        <v>-108</v>
      </c>
      <c r="I10" s="20" t="n">
        <v>0.7362293114467701</v>
      </c>
      <c r="J10" s="20" t="n">
        <v>0.4956702459300312</v>
      </c>
      <c r="K10" s="20" t="n">
        <v>0.5192307692307693</v>
      </c>
      <c r="L10" s="19" t="n">
        <v>0.2169985422160008</v>
      </c>
      <c r="M10" s="19" t="n">
        <v>0.4179231183419276</v>
      </c>
      <c r="N10" s="20" t="n">
        <v>0</v>
      </c>
      <c r="O10" s="27" t="n">
        <v>0.45</v>
      </c>
      <c r="P10" s="17" t="inlineStr">
        <is>
          <t>DraftKings</t>
        </is>
      </c>
      <c r="Q10" s="17" t="inlineStr">
        <is>
          <t>raw model/market disagreement exceeds the safety limit</t>
        </is>
      </c>
    </row>
    <row r="11">
      <c r="A11" s="12" t="inlineStr">
        <is>
          <t>PASS</t>
        </is>
      </c>
      <c r="B11" s="12" t="inlineStr">
        <is>
          <t>NMSU @ FSU</t>
        </is>
      </c>
      <c r="C11" s="12" t="inlineStr">
        <is>
          <t>2026-08-29 23:00</t>
        </is>
      </c>
      <c r="D11" s="22" t="n">
        <v>1</v>
      </c>
      <c r="E11" s="12" t="inlineStr">
        <is>
          <t>ATS</t>
        </is>
      </c>
      <c r="F11" s="12" t="inlineStr">
        <is>
          <t>NMSU +31.5</t>
        </is>
      </c>
      <c r="G11" s="23" t="n">
        <v>-31.5</v>
      </c>
      <c r="H11" s="13" t="n">
        <v>-115</v>
      </c>
      <c r="I11" s="15" t="n">
        <v>0.7484052544756881</v>
      </c>
      <c r="J11" s="15" t="n">
        <v>0.5108342361863488</v>
      </c>
      <c r="K11" s="15" t="n">
        <v>0.5348837209302325</v>
      </c>
      <c r="L11" s="14" t="n">
        <v>0.2135215335454556</v>
      </c>
      <c r="M11" s="14" t="n">
        <v>0.3991924322806341</v>
      </c>
      <c r="N11" s="15" t="n">
        <v>0</v>
      </c>
      <c r="O11" s="24" t="n">
        <v>0.45</v>
      </c>
      <c r="P11" s="12" t="inlineStr">
        <is>
          <t>DraftKings</t>
        </is>
      </c>
      <c r="Q11" s="12" t="inlineStr">
        <is>
          <t>raw model/market disagreement exceeds the safety limit</t>
        </is>
      </c>
    </row>
    <row r="12">
      <c r="A12" s="17" t="inlineStr">
        <is>
          <t>PASS</t>
        </is>
      </c>
      <c r="B12" s="17" t="inlineStr">
        <is>
          <t>SJSU @ USC</t>
        </is>
      </c>
      <c r="C12" s="17" t="inlineStr">
        <is>
          <t>2026-08-29 19:00</t>
        </is>
      </c>
      <c r="D12" s="25" t="n">
        <v>1</v>
      </c>
      <c r="E12" s="17" t="inlineStr">
        <is>
          <t>ATS</t>
        </is>
      </c>
      <c r="F12" s="17" t="inlineStr">
        <is>
          <t>SJSU +38.5</t>
        </is>
      </c>
      <c r="G12" s="26" t="n">
        <v>-38.5</v>
      </c>
      <c r="H12" s="18" t="n">
        <v>-120</v>
      </c>
      <c r="I12" s="20" t="n">
        <v>0.7585484812661867</v>
      </c>
      <c r="J12" s="20" t="n">
        <v>0.5217391304347826</v>
      </c>
      <c r="K12" s="20" t="n">
        <v>0.5454545454545454</v>
      </c>
      <c r="L12" s="19" t="n">
        <v>0.2130939358116413</v>
      </c>
      <c r="M12" s="19" t="n">
        <v>0.3906722156546757</v>
      </c>
      <c r="N12" s="20" t="n">
        <v>0</v>
      </c>
      <c r="O12" s="27" t="n">
        <v>0.45</v>
      </c>
      <c r="P12" s="17" t="inlineStr">
        <is>
          <t>DraftKings</t>
        </is>
      </c>
      <c r="Q12" s="17" t="inlineStr">
        <is>
          <t>raw model/market disagreement exceeds the safety limit</t>
        </is>
      </c>
    </row>
    <row r="13">
      <c r="A13" s="12" t="inlineStr">
        <is>
          <t>PASS</t>
        </is>
      </c>
      <c r="B13" s="12" t="inlineStr">
        <is>
          <t>ALB @ BUFF</t>
        </is>
      </c>
      <c r="C13" s="12" t="inlineStr">
        <is>
          <t>2026-09-03 23:00</t>
        </is>
      </c>
      <c r="D13" s="22" t="n">
        <v>1</v>
      </c>
      <c r="E13" s="12" t="inlineStr">
        <is>
          <t>ATS</t>
        </is>
      </c>
      <c r="F13" s="12" t="inlineStr">
        <is>
          <t>ALB +24.5</t>
        </is>
      </c>
      <c r="G13" s="23" t="n">
        <v>-24.5</v>
      </c>
      <c r="H13" s="13" t="n">
        <v>-112</v>
      </c>
      <c r="I13" s="15" t="n">
        <v>0.7342550223888921</v>
      </c>
      <c r="J13" s="15" t="n">
        <v>0.5043297540699688</v>
      </c>
      <c r="K13" s="15" t="n">
        <v>0.5283018867924528</v>
      </c>
      <c r="L13" s="14" t="n">
        <v>0.2059531355964392</v>
      </c>
      <c r="M13" s="14" t="n">
        <v>0.3898398638075457</v>
      </c>
      <c r="N13" s="15" t="n">
        <v>0</v>
      </c>
      <c r="O13" s="24" t="n">
        <v>0.45</v>
      </c>
      <c r="P13" s="12" t="inlineStr">
        <is>
          <t>DraftKings</t>
        </is>
      </c>
      <c r="Q13" s="12" t="inlineStr">
        <is>
          <t>ALB isn't a full FBS participant this season — model doesn't rate them reliably</t>
        </is>
      </c>
    </row>
    <row r="14">
      <c r="A14" s="17" t="inlineStr">
        <is>
          <t>PASS</t>
        </is>
      </c>
      <c r="B14" s="17" t="inlineStr">
        <is>
          <t>MRMK @ DEL</t>
        </is>
      </c>
      <c r="C14" s="17" t="inlineStr">
        <is>
          <t>2026-09-03 23:00</t>
        </is>
      </c>
      <c r="D14" s="25" t="n">
        <v>1</v>
      </c>
      <c r="E14" s="17" t="inlineStr">
        <is>
          <t>ML</t>
        </is>
      </c>
      <c r="F14" s="17" t="inlineStr">
        <is>
          <t>MRMK ML</t>
        </is>
      </c>
      <c r="G14" s="26" t="n"/>
      <c r="H14" s="18" t="n">
        <v>3000</v>
      </c>
      <c r="I14" s="20" t="n">
        <v>0.2342202661742625</v>
      </c>
      <c r="J14" s="20" t="n">
        <v>0.03155263980006248</v>
      </c>
      <c r="K14" s="20" t="n">
        <v>0.03225806451612903</v>
      </c>
      <c r="L14" s="19" t="n">
        <v>0.2019622016581335</v>
      </c>
      <c r="M14" s="19" t="n">
        <v>6.260828251402137</v>
      </c>
      <c r="N14" s="20" t="n">
        <v>0</v>
      </c>
      <c r="O14" s="27" t="n">
        <v>0.45</v>
      </c>
      <c r="P14" s="17" t="inlineStr">
        <is>
          <t>DraftKings</t>
        </is>
      </c>
      <c r="Q14" s="17" t="inlineStr">
        <is>
          <t>MRMK isn't a full FBS participant this season — model doesn't rate them reliably</t>
        </is>
      </c>
    </row>
    <row r="15">
      <c r="A15" s="12" t="inlineStr">
        <is>
          <t>PASS</t>
        </is>
      </c>
      <c r="B15" s="12" t="inlineStr">
        <is>
          <t>AKR @ WAKE</t>
        </is>
      </c>
      <c r="C15" s="12" t="inlineStr">
        <is>
          <t>2026-09-03 23:00</t>
        </is>
      </c>
      <c r="D15" s="22" t="n">
        <v>1</v>
      </c>
      <c r="E15" s="12" t="inlineStr">
        <is>
          <t>ATS</t>
        </is>
      </c>
      <c r="F15" s="12" t="inlineStr">
        <is>
          <t>AKR +23.5</t>
        </is>
      </c>
      <c r="G15" s="23" t="n">
        <v>-23.5</v>
      </c>
      <c r="H15" s="13" t="n">
        <v>-108</v>
      </c>
      <c r="I15" s="15" t="n">
        <v>0.7202139758215249</v>
      </c>
      <c r="J15" s="15" t="n">
        <v>0.4956702459300312</v>
      </c>
      <c r="K15" s="15" t="n">
        <v>0.5192307692307693</v>
      </c>
      <c r="L15" s="14" t="n">
        <v>0.2009832065907556</v>
      </c>
      <c r="M15" s="14" t="n">
        <v>0.3870787682488629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raw model/market disagreement exceeds the safety limit</t>
        </is>
      </c>
    </row>
    <row r="16">
      <c r="A16" s="17" t="inlineStr">
        <is>
          <t>PASS</t>
        </is>
      </c>
      <c r="B16" s="17" t="inlineStr">
        <is>
          <t>ALB @ BUFF</t>
        </is>
      </c>
      <c r="C16" s="17" t="inlineStr">
        <is>
          <t>2026-09-03 23:00</t>
        </is>
      </c>
      <c r="D16" s="25" t="n">
        <v>1</v>
      </c>
      <c r="E16" s="17" t="inlineStr">
        <is>
          <t>ML</t>
        </is>
      </c>
      <c r="F16" s="17" t="inlineStr">
        <is>
          <t>ALB ML</t>
        </is>
      </c>
      <c r="G16" s="26" t="n"/>
      <c r="H16" s="18" t="n">
        <v>2200</v>
      </c>
      <c r="I16" s="20" t="n">
        <v>0.2400960739565308</v>
      </c>
      <c r="J16" s="20" t="n">
        <v>0.04216553878188443</v>
      </c>
      <c r="K16" s="20" t="n">
        <v>0.04347826086956522</v>
      </c>
      <c r="L16" s="19" t="n">
        <v>0.1966178130869655</v>
      </c>
      <c r="M16" s="19" t="n">
        <v>4.522209701000207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ALB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WES @ KENN</t>
        </is>
      </c>
      <c r="C17" s="12" t="inlineStr">
        <is>
          <t>2026-09-03 23:00</t>
        </is>
      </c>
      <c r="D17" s="22" t="n">
        <v>1</v>
      </c>
      <c r="E17" s="12" t="inlineStr">
        <is>
          <t>ATS</t>
        </is>
      </c>
      <c r="F17" s="12" t="inlineStr">
        <is>
          <t>WES +22.5</t>
        </is>
      </c>
      <c r="G17" s="23" t="n">
        <v>-22.5</v>
      </c>
      <c r="H17" s="13" t="n">
        <v>-115</v>
      </c>
      <c r="I17" s="15" t="n">
        <v>0.7273466517420963</v>
      </c>
      <c r="J17" s="15" t="n">
        <v>0.5108342361863488</v>
      </c>
      <c r="K17" s="15" t="n">
        <v>0.5348837209302325</v>
      </c>
      <c r="L17" s="14" t="n">
        <v>0.1924629308118638</v>
      </c>
      <c r="M17" s="14" t="n">
        <v>0.3598220010830496</v>
      </c>
      <c r="N17" s="15" t="n">
        <v>0</v>
      </c>
      <c r="O17" s="24" t="n">
        <v>0.4</v>
      </c>
      <c r="P17" s="12" t="inlineStr">
        <is>
          <t>DraftKings</t>
        </is>
      </c>
      <c r="Q17" s="12" t="inlineStr">
        <is>
          <t>WES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WES @ KENN</t>
        </is>
      </c>
      <c r="C18" s="17" t="inlineStr">
        <is>
          <t>2026-09-03 23:00</t>
        </is>
      </c>
      <c r="D18" s="25" t="n">
        <v>1</v>
      </c>
      <c r="E18" s="17" t="inlineStr">
        <is>
          <t>ML</t>
        </is>
      </c>
      <c r="F18" s="17" t="inlineStr">
        <is>
          <t>WES ML</t>
        </is>
      </c>
      <c r="G18" s="26" t="n"/>
      <c r="H18" s="18" t="n">
        <v>1500</v>
      </c>
      <c r="I18" s="20" t="n">
        <v>0.2370117476831352</v>
      </c>
      <c r="J18" s="20" t="n">
        <v>0.06035889070146819</v>
      </c>
      <c r="K18" s="20" t="n">
        <v>0.0625</v>
      </c>
      <c r="L18" s="19" t="n">
        <v>0.1745117476831352</v>
      </c>
      <c r="M18" s="19" t="n">
        <v>2.792187962930162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WES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NMSU @ FSU</t>
        </is>
      </c>
      <c r="C19" s="12" t="inlineStr">
        <is>
          <t>2026-08-29 23:00</t>
        </is>
      </c>
      <c r="D19" s="22" t="n">
        <v>1</v>
      </c>
      <c r="E19" s="12" t="inlineStr">
        <is>
          <t>ML</t>
        </is>
      </c>
      <c r="F19" s="12" t="inlineStr">
        <is>
          <t>NMSU ML</t>
        </is>
      </c>
      <c r="G19" s="23" t="n"/>
      <c r="H19" s="13" t="n">
        <v>2000</v>
      </c>
      <c r="I19" s="15" t="n">
        <v>0.2189772153156186</v>
      </c>
      <c r="J19" s="15" t="n">
        <v>0.0461215932914046</v>
      </c>
      <c r="K19" s="15" t="n">
        <v>0.04761904761904762</v>
      </c>
      <c r="L19" s="14" t="n">
        <v>0.171358167696571</v>
      </c>
      <c r="M19" s="14" t="n">
        <v>3.598521521627991</v>
      </c>
      <c r="N19" s="15" t="n">
        <v>0</v>
      </c>
      <c r="O19" s="24" t="n">
        <v>0.45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AKR @ WAKE</t>
        </is>
      </c>
      <c r="C20" s="17" t="inlineStr">
        <is>
          <t>2026-09-03 23:00</t>
        </is>
      </c>
      <c r="D20" s="25" t="n">
        <v>1</v>
      </c>
      <c r="E20" s="17" t="inlineStr">
        <is>
          <t>ML</t>
        </is>
      </c>
      <c r="F20" s="17" t="inlineStr">
        <is>
          <t>AKR ML</t>
        </is>
      </c>
      <c r="G20" s="26" t="n"/>
      <c r="H20" s="18" t="n">
        <v>1300</v>
      </c>
      <c r="I20" s="20" t="n">
        <v>0.2310535567636653</v>
      </c>
      <c r="J20" s="20" t="n">
        <v>0.06888361045130641</v>
      </c>
      <c r="K20" s="20" t="n">
        <v>0.07142857142857142</v>
      </c>
      <c r="L20" s="19" t="n">
        <v>0.1596249853350939</v>
      </c>
      <c r="M20" s="19" t="n">
        <v>2.234749794691315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MASS @ RUTG</t>
        </is>
      </c>
      <c r="C21" s="12" t="inlineStr">
        <is>
          <t>2026-09-03 22:00</t>
        </is>
      </c>
      <c r="D21" s="22" t="n">
        <v>1</v>
      </c>
      <c r="E21" s="12" t="inlineStr">
        <is>
          <t>ML</t>
        </is>
      </c>
      <c r="F21" s="12" t="inlineStr">
        <is>
          <t>MASS ML</t>
        </is>
      </c>
      <c r="G21" s="23" t="n"/>
      <c r="H21" s="13" t="n">
        <v>2000</v>
      </c>
      <c r="I21" s="15" t="n">
        <v>0.1963076315941712</v>
      </c>
      <c r="J21" s="15" t="n">
        <v>0.0461215932914046</v>
      </c>
      <c r="K21" s="15" t="n">
        <v>0.04761904761904762</v>
      </c>
      <c r="L21" s="14" t="n">
        <v>0.1486885839751236</v>
      </c>
      <c r="M21" s="14" t="n">
        <v>3.122460263477595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JVST @ NDSU</t>
        </is>
      </c>
      <c r="C22" s="17" t="inlineStr">
        <is>
          <t>2026-08-29 21:30</t>
        </is>
      </c>
      <c r="D22" s="25" t="n">
        <v>1</v>
      </c>
      <c r="E22" s="17" t="inlineStr">
        <is>
          <t>TOTAL</t>
        </is>
      </c>
      <c r="F22" s="17" t="inlineStr">
        <is>
          <t>Over 46.5</t>
        </is>
      </c>
      <c r="G22" s="26" t="n">
        <v>46.5</v>
      </c>
      <c r="H22" s="18" t="n">
        <v>-112</v>
      </c>
      <c r="I22" s="20" t="n">
        <v>0.6574997451163023</v>
      </c>
      <c r="J22" s="20" t="n">
        <v>0.5043297540699688</v>
      </c>
      <c r="K22" s="20" t="n">
        <v>0.5283018867924528</v>
      </c>
      <c r="L22" s="19" t="n">
        <v>0.1291978583238494</v>
      </c>
      <c r="M22" s="19" t="n">
        <v>0.2445530889701435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SAC @ EMU</t>
        </is>
      </c>
      <c r="C23" s="12" t="inlineStr">
        <is>
          <t>2026-08-29 22:30</t>
        </is>
      </c>
      <c r="D23" s="22" t="n">
        <v>1</v>
      </c>
      <c r="E23" s="12" t="inlineStr">
        <is>
          <t>ATS</t>
        </is>
      </c>
      <c r="F23" s="12" t="inlineStr">
        <is>
          <t>SAC +9.5</t>
        </is>
      </c>
      <c r="G23" s="23" t="n">
        <v>-9.5</v>
      </c>
      <c r="H23" s="13" t="n">
        <v>-110</v>
      </c>
      <c r="I23" s="15" t="n">
        <v>0.6373042089106218</v>
      </c>
      <c r="J23" s="15" t="n">
        <v>0.5</v>
      </c>
      <c r="K23" s="15" t="n">
        <v>0.5238095238095238</v>
      </c>
      <c r="L23" s="14" t="n">
        <v>0.1134946851010979</v>
      </c>
      <c r="M23" s="14" t="n">
        <v>0.2166716715566417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ALB @ BUFF</t>
        </is>
      </c>
      <c r="C24" s="17" t="inlineStr">
        <is>
          <t>2026-09-03 23:00</t>
        </is>
      </c>
      <c r="D24" s="25" t="n">
        <v>1</v>
      </c>
      <c r="E24" s="17" t="inlineStr">
        <is>
          <t>TOTAL</t>
        </is>
      </c>
      <c r="F24" s="17" t="inlineStr">
        <is>
          <t>Over 48.5</t>
        </is>
      </c>
      <c r="G24" s="26" t="n">
        <v>48.5</v>
      </c>
      <c r="H24" s="18" t="n">
        <v>-105</v>
      </c>
      <c r="I24" s="20" t="n">
        <v>0.6205016550348365</v>
      </c>
      <c r="J24" s="20" t="n">
        <v>0.4891657638136511</v>
      </c>
      <c r="K24" s="20" t="n">
        <v>0.5121951219512195</v>
      </c>
      <c r="L24" s="19" t="n">
        <v>0.1083065330836169</v>
      </c>
      <c r="M24" s="19" t="n">
        <v>0.2114556122108712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ALB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WES @ KENN</t>
        </is>
      </c>
      <c r="C25" s="12" t="inlineStr">
        <is>
          <t>2026-09-03 23:00</t>
        </is>
      </c>
      <c r="D25" s="22" t="n">
        <v>1</v>
      </c>
      <c r="E25" s="12" t="inlineStr">
        <is>
          <t>TOTAL</t>
        </is>
      </c>
      <c r="F25" s="12" t="inlineStr">
        <is>
          <t>Over 51.5</t>
        </is>
      </c>
      <c r="G25" s="23" t="n">
        <v>51.5</v>
      </c>
      <c r="H25" s="13" t="n">
        <v>-108</v>
      </c>
      <c r="I25" s="15" t="n">
        <v>0.5971070144741464</v>
      </c>
      <c r="J25" s="15" t="n">
        <v>0.4956702459300312</v>
      </c>
      <c r="K25" s="15" t="n">
        <v>0.5192307692307693</v>
      </c>
      <c r="L25" s="14" t="n">
        <v>0.07787624524337711</v>
      </c>
      <c r="M25" s="14" t="n">
        <v>0.1499838797279857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WES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SAC @ EMU</t>
        </is>
      </c>
      <c r="C26" s="17" t="inlineStr">
        <is>
          <t>2026-08-29 22:30</t>
        </is>
      </c>
      <c r="D26" s="25" t="n">
        <v>1</v>
      </c>
      <c r="E26" s="17" t="inlineStr">
        <is>
          <t>TOTAL</t>
        </is>
      </c>
      <c r="F26" s="17" t="inlineStr">
        <is>
          <t>Over 52.5</t>
        </is>
      </c>
      <c r="G26" s="26" t="n">
        <v>52.5</v>
      </c>
      <c r="H26" s="18" t="n">
        <v>-108</v>
      </c>
      <c r="I26" s="20" t="n">
        <v>0.595359506876733</v>
      </c>
      <c r="J26" s="20" t="n">
        <v>0.4956702459300312</v>
      </c>
      <c r="K26" s="20" t="n">
        <v>0.5192307692307693</v>
      </c>
      <c r="L26" s="19" t="n">
        <v>0.07612873764596373</v>
      </c>
      <c r="M26" s="19" t="n">
        <v>0.1466183095403747</v>
      </c>
      <c r="N26" s="20" t="n">
        <v>0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PASS</t>
        </is>
      </c>
      <c r="B27" s="12" t="inlineStr">
        <is>
          <t>AKR @ WAKE</t>
        </is>
      </c>
      <c r="C27" s="12" t="inlineStr">
        <is>
          <t>2026-09-03 23:00</t>
        </is>
      </c>
      <c r="D27" s="22" t="n">
        <v>1</v>
      </c>
      <c r="E27" s="12" t="inlineStr">
        <is>
          <t>TOTAL</t>
        </is>
      </c>
      <c r="F27" s="12" t="inlineStr">
        <is>
          <t>Over 49.5</t>
        </is>
      </c>
      <c r="G27" s="23" t="n">
        <v>49.5</v>
      </c>
      <c r="H27" s="13" t="n">
        <v>-112</v>
      </c>
      <c r="I27" s="15" t="n">
        <v>0.603175208172005</v>
      </c>
      <c r="J27" s="15" t="n">
        <v>0.5043297540699688</v>
      </c>
      <c r="K27" s="15" t="n">
        <v>0.5283018867924528</v>
      </c>
      <c r="L27" s="14" t="n">
        <v>0.07487332137955216</v>
      </c>
      <c r="M27" s="14" t="n">
        <v>0.1417245011827237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PASS</t>
        </is>
      </c>
      <c r="B28" s="17" t="inlineStr">
        <is>
          <t>UNC @ TCU</t>
        </is>
      </c>
      <c r="C28" s="17" t="inlineStr">
        <is>
          <t>2026-08-29 16:00</t>
        </is>
      </c>
      <c r="D28" s="25" t="n">
        <v>1</v>
      </c>
      <c r="E28" s="17" t="inlineStr">
        <is>
          <t>ML</t>
        </is>
      </c>
      <c r="F28" s="17" t="inlineStr">
        <is>
          <t>UNC ML</t>
        </is>
      </c>
      <c r="G28" s="26" t="n"/>
      <c r="H28" s="18" t="n">
        <v>240</v>
      </c>
      <c r="I28" s="20" t="n">
        <v>0.3660199960886052</v>
      </c>
      <c r="J28" s="20" t="n">
        <v>0.2820294784580499</v>
      </c>
      <c r="K28" s="20" t="n">
        <v>0.2941176470588235</v>
      </c>
      <c r="L28" s="19" t="n">
        <v>0.07190234902978171</v>
      </c>
      <c r="M28" s="19" t="n">
        <v>0.2444679867012578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PASS</t>
        </is>
      </c>
      <c r="B29" s="12" t="inlineStr">
        <is>
          <t>BCU @ UCF</t>
        </is>
      </c>
      <c r="C29" s="12" t="inlineStr">
        <is>
          <t>2026-09-03 23:00</t>
        </is>
      </c>
      <c r="D29" s="22" t="n">
        <v>1</v>
      </c>
      <c r="E29" s="12" t="inlineStr">
        <is>
          <t>TOTAL</t>
        </is>
      </c>
      <c r="F29" s="12" t="inlineStr">
        <is>
          <t>Under 59.5</t>
        </is>
      </c>
      <c r="G29" s="23" t="n">
        <v>59.5</v>
      </c>
      <c r="H29" s="13" t="n">
        <v>-108</v>
      </c>
      <c r="I29" s="15" t="n">
        <v>0.5828840668418837</v>
      </c>
      <c r="J29" s="15" t="n">
        <v>0.4956702459300312</v>
      </c>
      <c r="K29" s="15" t="n">
        <v>0.5192307692307693</v>
      </c>
      <c r="L29" s="14" t="n">
        <v>0.06365329761111438</v>
      </c>
      <c r="M29" s="14" t="n">
        <v>0.1225915361399241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BCU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HAW @ STAN</t>
        </is>
      </c>
      <c r="C30" s="17" t="inlineStr">
        <is>
          <t>2026-08-29 23:00</t>
        </is>
      </c>
      <c r="D30" s="25" t="n">
        <v>1</v>
      </c>
      <c r="E30" s="17" t="inlineStr">
        <is>
          <t>ML</t>
        </is>
      </c>
      <c r="F30" s="17" t="inlineStr">
        <is>
          <t>HAW ML</t>
        </is>
      </c>
      <c r="G30" s="26" t="n"/>
      <c r="H30" s="18" t="n">
        <v>180</v>
      </c>
      <c r="I30" s="20" t="n">
        <v>0.414495505906456</v>
      </c>
      <c r="J30" s="20" t="n">
        <v>0.3425247738043947</v>
      </c>
      <c r="K30" s="20" t="n">
        <v>0.3571428571428572</v>
      </c>
      <c r="L30" s="19" t="n">
        <v>0.05735264876359886</v>
      </c>
      <c r="M30" s="19" t="n">
        <v>0.1605874165380767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PASS</t>
        </is>
      </c>
      <c r="B31" s="12" t="inlineStr">
        <is>
          <t>HAW @ STAN</t>
        </is>
      </c>
      <c r="C31" s="12" t="inlineStr">
        <is>
          <t>2026-08-29 23:00</t>
        </is>
      </c>
      <c r="D31" s="22" t="n">
        <v>1</v>
      </c>
      <c r="E31" s="12" t="inlineStr">
        <is>
          <t>ATS</t>
        </is>
      </c>
      <c r="F31" s="12" t="inlineStr">
        <is>
          <t>HAW +5.5</t>
        </is>
      </c>
      <c r="G31" s="23" t="n">
        <v>-5.5</v>
      </c>
      <c r="H31" s="13" t="n">
        <v>-112</v>
      </c>
      <c r="I31" s="15" t="n">
        <v>0.5838108250777737</v>
      </c>
      <c r="J31" s="15" t="n">
        <v>0.5043297540699688</v>
      </c>
      <c r="K31" s="15" t="n">
        <v>0.5283018867924528</v>
      </c>
      <c r="L31" s="14" t="n">
        <v>0.05550893828532089</v>
      </c>
      <c r="M31" s="14" t="n">
        <v>0.1050704903257859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PASS</t>
        </is>
      </c>
      <c r="B32" s="17" t="inlineStr">
        <is>
          <t>MASS @ RUTG</t>
        </is>
      </c>
      <c r="C32" s="17" t="inlineStr">
        <is>
          <t>2026-09-03 22:00</t>
        </is>
      </c>
      <c r="D32" s="25" t="n">
        <v>1</v>
      </c>
      <c r="E32" s="17" t="inlineStr">
        <is>
          <t>TOTAL</t>
        </is>
      </c>
      <c r="F32" s="17" t="inlineStr">
        <is>
          <t>Over 53.5</t>
        </is>
      </c>
      <c r="G32" s="26" t="n">
        <v>53.5</v>
      </c>
      <c r="H32" s="18" t="n">
        <v>-110</v>
      </c>
      <c r="I32" s="20" t="n">
        <v>0.5740430549239717</v>
      </c>
      <c r="J32" s="20" t="n">
        <v>0.5</v>
      </c>
      <c r="K32" s="20" t="n">
        <v>0.5238095238095238</v>
      </c>
      <c r="L32" s="19" t="n">
        <v>0.05023353111444784</v>
      </c>
      <c r="M32" s="19" t="n">
        <v>0.09590037758212777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PASS</t>
        </is>
      </c>
      <c r="B33" s="12" t="inlineStr">
        <is>
          <t>MEM @ UNLV</t>
        </is>
      </c>
      <c r="C33" s="12" t="inlineStr">
        <is>
          <t>2026-08-30 02:00</t>
        </is>
      </c>
      <c r="D33" s="22" t="n">
        <v>1</v>
      </c>
      <c r="E33" s="12" t="inlineStr">
        <is>
          <t>ML</t>
        </is>
      </c>
      <c r="F33" s="12" t="inlineStr">
        <is>
          <t>MEM ML</t>
        </is>
      </c>
      <c r="G33" s="23" t="n"/>
      <c r="H33" s="13" t="n">
        <v>185</v>
      </c>
      <c r="I33" s="15" t="n">
        <v>0.3799494426906008</v>
      </c>
      <c r="J33" s="15" t="n">
        <v>0.3363518758085381</v>
      </c>
      <c r="K33" s="15" t="n">
        <v>0.3508771929824561</v>
      </c>
      <c r="L33" s="14" t="n">
        <v>0.0290722497081447</v>
      </c>
      <c r="M33" s="14" t="n">
        <v>0.08285591166821238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PASS</t>
        </is>
      </c>
      <c r="B34" s="17" t="inlineStr">
        <is>
          <t>MEM @ UNLV</t>
        </is>
      </c>
      <c r="C34" s="17" t="inlineStr">
        <is>
          <t>2026-08-30 02:00</t>
        </is>
      </c>
      <c r="D34" s="25" t="n">
        <v>1</v>
      </c>
      <c r="E34" s="17" t="inlineStr">
        <is>
          <t>ATS</t>
        </is>
      </c>
      <c r="F34" s="17" t="inlineStr">
        <is>
          <t>MEM +5.5</t>
        </is>
      </c>
      <c r="G34" s="26" t="n">
        <v>-5.5</v>
      </c>
      <c r="H34" s="18" t="n">
        <v>-112</v>
      </c>
      <c r="I34" s="20" t="n">
        <v>0.5540130817463144</v>
      </c>
      <c r="J34" s="20" t="n">
        <v>0.5043297540699688</v>
      </c>
      <c r="K34" s="20" t="n">
        <v>0.5283018867924528</v>
      </c>
      <c r="L34" s="19" t="n">
        <v>0.02571119495386154</v>
      </c>
      <c r="M34" s="19" t="n">
        <v>0.04866761901980932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PASS</t>
        </is>
      </c>
      <c r="B35" s="12" t="inlineStr">
        <is>
          <t>SJSU @ USC</t>
        </is>
      </c>
      <c r="C35" s="12" t="inlineStr">
        <is>
          <t>2026-08-29 19:00</t>
        </is>
      </c>
      <c r="D35" s="22" t="n">
        <v>1</v>
      </c>
      <c r="E35" s="12" t="inlineStr">
        <is>
          <t>TOTAL</t>
        </is>
      </c>
      <c r="F35" s="12" t="inlineStr">
        <is>
          <t>Under 59.5</t>
        </is>
      </c>
      <c r="G35" s="23" t="n">
        <v>59.5</v>
      </c>
      <c r="H35" s="13" t="n">
        <v>-108</v>
      </c>
      <c r="I35" s="15" t="n">
        <v>0.5413851965860426</v>
      </c>
      <c r="J35" s="15" t="n">
        <v>0.4956702459300312</v>
      </c>
      <c r="K35" s="15" t="n">
        <v>0.5192307692307693</v>
      </c>
      <c r="L35" s="14" t="n">
        <v>0.02215442735527329</v>
      </c>
      <c r="M35" s="14" t="n">
        <v>0.04266778601756349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PASS</t>
        </is>
      </c>
      <c r="B36" s="17" t="inlineStr">
        <is>
          <t>NCSU @ UVA</t>
        </is>
      </c>
      <c r="C36" s="17" t="inlineStr">
        <is>
          <t>2026-08-29 19:30</t>
        </is>
      </c>
      <c r="D36" s="25" t="n">
        <v>1</v>
      </c>
      <c r="E36" s="17" t="inlineStr">
        <is>
          <t>ATS</t>
        </is>
      </c>
      <c r="F36" s="17" t="inlineStr">
        <is>
          <t>NCSU +5.5</t>
        </is>
      </c>
      <c r="G36" s="26" t="n">
        <v>-5.5</v>
      </c>
      <c r="H36" s="18" t="n">
        <v>-108</v>
      </c>
      <c r="I36" s="20" t="n">
        <v>0.5412896688794703</v>
      </c>
      <c r="J36" s="20" t="n">
        <v>0.4956702459300312</v>
      </c>
      <c r="K36" s="20" t="n">
        <v>0.5192307692307693</v>
      </c>
      <c r="L36" s="19" t="n">
        <v>0.022058899648701</v>
      </c>
      <c r="M36" s="19" t="n">
        <v>0.04248380673083174</v>
      </c>
      <c r="N36" s="20" t="n">
        <v>0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PASS</t>
        </is>
      </c>
      <c r="B37" s="12" t="inlineStr">
        <is>
          <t>NCSU @ UVA</t>
        </is>
      </c>
      <c r="C37" s="12" t="inlineStr">
        <is>
          <t>2026-08-29 19:30</t>
        </is>
      </c>
      <c r="D37" s="22" t="n">
        <v>1</v>
      </c>
      <c r="E37" s="12" t="inlineStr">
        <is>
          <t>ML</t>
        </is>
      </c>
      <c r="F37" s="12" t="inlineStr">
        <is>
          <t>NCSU ML</t>
        </is>
      </c>
      <c r="G37" s="23" t="n"/>
      <c r="H37" s="13" t="n">
        <v>180</v>
      </c>
      <c r="I37" s="15" t="n">
        <v>0.3745807138274095</v>
      </c>
      <c r="J37" s="15" t="n">
        <v>0.3425247738043947</v>
      </c>
      <c r="K37" s="15" t="n">
        <v>0.3571428571428572</v>
      </c>
      <c r="L37" s="14" t="n">
        <v>0.01743785668455239</v>
      </c>
      <c r="M37" s="14" t="n">
        <v>0.04882599871674664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PASS</t>
        </is>
      </c>
      <c r="B38" s="17" t="inlineStr">
        <is>
          <t>MRMK @ DEL</t>
        </is>
      </c>
      <c r="C38" s="17" t="inlineStr">
        <is>
          <t>2026-09-03 23:00</t>
        </is>
      </c>
      <c r="D38" s="25" t="n">
        <v>1</v>
      </c>
      <c r="E38" s="17" t="inlineStr">
        <is>
          <t>TOTAL</t>
        </is>
      </c>
      <c r="F38" s="17" t="inlineStr">
        <is>
          <t>Over 55.5</t>
        </is>
      </c>
      <c r="G38" s="26" t="n">
        <v>55.5</v>
      </c>
      <c r="H38" s="18" t="n">
        <v>-112</v>
      </c>
      <c r="I38" s="20" t="n">
        <v>0.5437650474945759</v>
      </c>
      <c r="J38" s="20" t="n">
        <v>0.5043297540699688</v>
      </c>
      <c r="K38" s="20" t="n">
        <v>0.5283018867924528</v>
      </c>
      <c r="L38" s="19" t="n">
        <v>0.01546316070212306</v>
      </c>
      <c r="M38" s="19" t="n">
        <v>0.02926955418616145</v>
      </c>
      <c r="N38" s="20" t="n">
        <v>0</v>
      </c>
      <c r="O38" s="27" t="n">
        <v>0.45</v>
      </c>
      <c r="P38" s="17" t="inlineStr">
        <is>
          <t>DraftKings</t>
        </is>
      </c>
      <c r="Q38" s="17" t="inlineStr">
        <is>
          <t>MRMK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JVST @ NDSU</t>
        </is>
      </c>
      <c r="C39" s="12" t="inlineStr">
        <is>
          <t>2026-08-29 21:30</t>
        </is>
      </c>
      <c r="D39" s="22" t="n">
        <v>1</v>
      </c>
      <c r="E39" s="12" t="inlineStr">
        <is>
          <t>ATS</t>
        </is>
      </c>
      <c r="F39" s="12" t="inlineStr">
        <is>
          <t>JVST +7</t>
        </is>
      </c>
      <c r="G39" s="23" t="n">
        <v>-7</v>
      </c>
      <c r="H39" s="13" t="n">
        <v>-115</v>
      </c>
      <c r="I39" s="15" t="n">
        <v>0.5499855318495314</v>
      </c>
      <c r="J39" s="15" t="n">
        <v>0.5108342361863488</v>
      </c>
      <c r="K39" s="15" t="n">
        <v>0.5348837209302325</v>
      </c>
      <c r="L39" s="14" t="n">
        <v>0.01510181091929885</v>
      </c>
      <c r="M39" s="14" t="n">
        <v>0.02680803788623665</v>
      </c>
      <c r="N39" s="15" t="n">
        <v>0.0505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PASS</t>
        </is>
      </c>
      <c r="B40" s="17" t="inlineStr">
        <is>
          <t>UNC @ TCU</t>
        </is>
      </c>
      <c r="C40" s="17" t="inlineStr">
        <is>
          <t>2026-08-29 16:00</t>
        </is>
      </c>
      <c r="D40" s="25" t="n">
        <v>1</v>
      </c>
      <c r="E40" s="17" t="inlineStr">
        <is>
          <t>TOTAL</t>
        </is>
      </c>
      <c r="F40" s="17" t="inlineStr">
        <is>
          <t>Over 47.5</t>
        </is>
      </c>
      <c r="G40" s="26" t="n">
        <v>47.5</v>
      </c>
      <c r="H40" s="18" t="n">
        <v>-112</v>
      </c>
      <c r="I40" s="20" t="n">
        <v>0.5398532027364953</v>
      </c>
      <c r="J40" s="20" t="n">
        <v>0.5043297540699688</v>
      </c>
      <c r="K40" s="20" t="n">
        <v>0.5283018867924528</v>
      </c>
      <c r="L40" s="19" t="n">
        <v>0.01155131594404246</v>
      </c>
      <c r="M40" s="19" t="n">
        <v>0.02186499089408034</v>
      </c>
      <c r="N40" s="20" t="n">
        <v>0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PASS</t>
        </is>
      </c>
      <c r="B41" s="12" t="inlineStr">
        <is>
          <t>JVST @ NDSU</t>
        </is>
      </c>
      <c r="C41" s="12" t="inlineStr">
        <is>
          <t>2026-08-29 21:30</t>
        </is>
      </c>
      <c r="D41" s="22" t="n">
        <v>1</v>
      </c>
      <c r="E41" s="12" t="inlineStr">
        <is>
          <t>ML</t>
        </is>
      </c>
      <c r="F41" s="12" t="inlineStr">
        <is>
          <t>JVST ML</t>
        </is>
      </c>
      <c r="G41" s="23" t="n"/>
      <c r="H41" s="13" t="n">
        <v>210</v>
      </c>
      <c r="I41" s="15" t="n">
        <v>0.3308036085807733</v>
      </c>
      <c r="J41" s="15" t="n">
        <v>0.3092071169459319</v>
      </c>
      <c r="K41" s="15" t="n">
        <v>0.3225806451612903</v>
      </c>
      <c r="L41" s="14" t="n">
        <v>0.008222963419482976</v>
      </c>
      <c r="M41" s="14" t="n">
        <v>0.02549118660039718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PASS</t>
        </is>
      </c>
      <c r="B42" s="17" t="inlineStr">
        <is>
          <t>NMSU @ FSU</t>
        </is>
      </c>
      <c r="C42" s="17" t="inlineStr">
        <is>
          <t>2026-08-29 23:00</t>
        </is>
      </c>
      <c r="D42" s="25" t="n">
        <v>1</v>
      </c>
      <c r="E42" s="17" t="inlineStr">
        <is>
          <t>TOTAL</t>
        </is>
      </c>
      <c r="F42" s="17" t="inlineStr">
        <is>
          <t>Over 53.5</t>
        </is>
      </c>
      <c r="G42" s="26" t="n">
        <v>53.5</v>
      </c>
      <c r="H42" s="18" t="n">
        <v>-110</v>
      </c>
      <c r="I42" s="20" t="n">
        <v>0.5298211883282545</v>
      </c>
      <c r="J42" s="20" t="n">
        <v>0.5</v>
      </c>
      <c r="K42" s="20" t="n">
        <v>0.5238095238095238</v>
      </c>
      <c r="L42" s="19" t="n">
        <v>0.006011664518730697</v>
      </c>
      <c r="M42" s="19" t="n">
        <v>0.01147681408121326</v>
      </c>
      <c r="N42" s="20" t="n">
        <v>0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PASS</t>
        </is>
      </c>
      <c r="B43" s="12" t="inlineStr">
        <is>
          <t>NCSU @ UVA</t>
        </is>
      </c>
      <c r="C43" s="12" t="inlineStr">
        <is>
          <t>2026-08-29 19:30</t>
        </is>
      </c>
      <c r="D43" s="22" t="n">
        <v>1</v>
      </c>
      <c r="E43" s="12" t="inlineStr">
        <is>
          <t>TOTAL</t>
        </is>
      </c>
      <c r="F43" s="12" t="inlineStr">
        <is>
          <t>Over 53.5</t>
        </is>
      </c>
      <c r="G43" s="23" t="n">
        <v>53.5</v>
      </c>
      <c r="H43" s="13" t="n">
        <v>-108</v>
      </c>
      <c r="I43" s="15" t="n">
        <v>0.5177573237293587</v>
      </c>
      <c r="J43" s="15" t="n">
        <v>0.4956702459300312</v>
      </c>
      <c r="K43" s="15" t="n">
        <v>0.5192307692307693</v>
      </c>
      <c r="L43" s="14" t="n">
        <v>-0.001473445501410597</v>
      </c>
      <c r="M43" s="14" t="n">
        <v>-0.00283774689160543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PASS</t>
        </is>
      </c>
      <c r="B44" s="17" t="inlineStr">
        <is>
          <t>MEM @ UNLV</t>
        </is>
      </c>
      <c r="C44" s="17" t="inlineStr">
        <is>
          <t>2026-08-30 02:00</t>
        </is>
      </c>
      <c r="D44" s="25" t="n">
        <v>1</v>
      </c>
      <c r="E44" s="17" t="inlineStr">
        <is>
          <t>TOTAL</t>
        </is>
      </c>
      <c r="F44" s="17" t="inlineStr">
        <is>
          <t>Over 57.5</t>
        </is>
      </c>
      <c r="G44" s="26" t="n">
        <v>57.5</v>
      </c>
      <c r="H44" s="18" t="n">
        <v>-108</v>
      </c>
      <c r="I44" s="20" t="n">
        <v>0.50780868060465</v>
      </c>
      <c r="J44" s="20" t="n">
        <v>0.4956702459300312</v>
      </c>
      <c r="K44" s="20" t="n">
        <v>0.5192307692307693</v>
      </c>
      <c r="L44" s="19" t="n">
        <v>-0.01142208862611926</v>
      </c>
      <c r="M44" s="19" t="n">
        <v>-0.02199809661326657</v>
      </c>
      <c r="N44" s="20" t="n">
        <v>0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PASS</t>
        </is>
      </c>
      <c r="B45" s="12" t="inlineStr">
        <is>
          <t>MEM @ UNLV</t>
        </is>
      </c>
      <c r="C45" s="12" t="inlineStr">
        <is>
          <t>2026-08-30 02:00</t>
        </is>
      </c>
      <c r="D45" s="22" t="n">
        <v>1</v>
      </c>
      <c r="E45" s="12" t="inlineStr">
        <is>
          <t>TOTAL</t>
        </is>
      </c>
      <c r="F45" s="12" t="inlineStr">
        <is>
          <t>Under 57.5</t>
        </is>
      </c>
      <c r="G45" s="23" t="n">
        <v>57.5</v>
      </c>
      <c r="H45" s="13" t="n">
        <v>-112</v>
      </c>
      <c r="I45" s="15" t="n">
        <v>0.49219131939535</v>
      </c>
      <c r="J45" s="15" t="n">
        <v>0.5043297540699688</v>
      </c>
      <c r="K45" s="15" t="n">
        <v>0.5283018867924528</v>
      </c>
      <c r="L45" s="14" t="n">
        <v>-0.03611056739710283</v>
      </c>
      <c r="M45" s="14" t="n">
        <v>-0.06835214543023038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PASS</t>
        </is>
      </c>
      <c r="B46" s="17" t="inlineStr">
        <is>
          <t>NCSU @ UVA</t>
        </is>
      </c>
      <c r="C46" s="17" t="inlineStr">
        <is>
          <t>2026-08-29 19:30</t>
        </is>
      </c>
      <c r="D46" s="25" t="n">
        <v>1</v>
      </c>
      <c r="E46" s="17" t="inlineStr">
        <is>
          <t>TOTAL</t>
        </is>
      </c>
      <c r="F46" s="17" t="inlineStr">
        <is>
          <t>Under 53.5</t>
        </is>
      </c>
      <c r="G46" s="26" t="n">
        <v>53.5</v>
      </c>
      <c r="H46" s="18" t="n">
        <v>-112</v>
      </c>
      <c r="I46" s="20" t="n">
        <v>0.4822426762706413</v>
      </c>
      <c r="J46" s="20" t="n">
        <v>0.5043297540699688</v>
      </c>
      <c r="K46" s="20" t="n">
        <v>0.5283018867924528</v>
      </c>
      <c r="L46" s="19" t="n">
        <v>-0.0460592105218115</v>
      </c>
      <c r="M46" s="19" t="n">
        <v>-0.08718350563057181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PASS</t>
        </is>
      </c>
      <c r="B47" s="12" t="inlineStr">
        <is>
          <t>JVST @ NDSU</t>
        </is>
      </c>
      <c r="C47" s="12" t="inlineStr">
        <is>
          <t>2026-08-29 21:30</t>
        </is>
      </c>
      <c r="D47" s="22" t="n">
        <v>1</v>
      </c>
      <c r="E47" s="12" t="inlineStr">
        <is>
          <t>ML</t>
        </is>
      </c>
      <c r="F47" s="12" t="inlineStr">
        <is>
          <t>NDSU ML</t>
        </is>
      </c>
      <c r="G47" s="23" t="n"/>
      <c r="H47" s="13" t="n">
        <v>-258</v>
      </c>
      <c r="I47" s="15" t="n">
        <v>0.6691963914192267</v>
      </c>
      <c r="J47" s="15" t="n">
        <v>0.6907928830540681</v>
      </c>
      <c r="K47" s="15" t="n">
        <v>0.7206703910614525</v>
      </c>
      <c r="L47" s="14" t="n">
        <v>-0.05147399964222577</v>
      </c>
      <c r="M47" s="14" t="n">
        <v>-0.07142516229425128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NMSU @ FSU</t>
        </is>
      </c>
      <c r="C48" s="17" t="inlineStr">
        <is>
          <t>2026-08-29 23:00</t>
        </is>
      </c>
      <c r="D48" s="25" t="n">
        <v>1</v>
      </c>
      <c r="E48" s="17" t="inlineStr">
        <is>
          <t>TOTAL</t>
        </is>
      </c>
      <c r="F48" s="17" t="inlineStr">
        <is>
          <t>Under 53.5</t>
        </is>
      </c>
      <c r="G48" s="26" t="n">
        <v>53.5</v>
      </c>
      <c r="H48" s="18" t="n">
        <v>-110</v>
      </c>
      <c r="I48" s="20" t="n">
        <v>0.4701788116717455</v>
      </c>
      <c r="J48" s="20" t="n">
        <v>0.5</v>
      </c>
      <c r="K48" s="20" t="n">
        <v>0.5238095238095238</v>
      </c>
      <c r="L48" s="19" t="n">
        <v>-0.05363071213777837</v>
      </c>
      <c r="M48" s="19" t="n">
        <v>-0.1023859049903041</v>
      </c>
      <c r="N48" s="20" t="n">
        <v>0</v>
      </c>
      <c r="O48" s="27" t="n">
        <v>0.45</v>
      </c>
      <c r="P48" s="17" t="inlineStr">
        <is>
          <t>DraftKings</t>
        </is>
      </c>
      <c r="Q48" s="17" t="n"/>
    </row>
    <row r="49">
      <c r="A49" s="12" t="inlineStr">
        <is>
          <t>PASS</t>
        </is>
      </c>
      <c r="B49" s="12" t="inlineStr">
        <is>
          <t>UNC @ TCU</t>
        </is>
      </c>
      <c r="C49" s="12" t="inlineStr">
        <is>
          <t>2026-08-29 16:00</t>
        </is>
      </c>
      <c r="D49" s="22" t="n">
        <v>1</v>
      </c>
      <c r="E49" s="12" t="inlineStr">
        <is>
          <t>TOTAL</t>
        </is>
      </c>
      <c r="F49" s="12" t="inlineStr">
        <is>
          <t>Under 47.5</t>
        </is>
      </c>
      <c r="G49" s="23" t="n">
        <v>47.5</v>
      </c>
      <c r="H49" s="13" t="n">
        <v>-108</v>
      </c>
      <c r="I49" s="15" t="n">
        <v>0.4601467972635047</v>
      </c>
      <c r="J49" s="15" t="n">
        <v>0.4956702459300312</v>
      </c>
      <c r="K49" s="15" t="n">
        <v>0.5192307692307693</v>
      </c>
      <c r="L49" s="14" t="n">
        <v>-0.05908397196726456</v>
      </c>
      <c r="M49" s="14" t="n">
        <v>-0.1137913534184353</v>
      </c>
      <c r="N49" s="15" t="n">
        <v>0</v>
      </c>
      <c r="O49" s="24" t="n">
        <v>0.45</v>
      </c>
      <c r="P49" s="12" t="inlineStr">
        <is>
          <t>DraftKings</t>
        </is>
      </c>
      <c r="Q49" s="12" t="n"/>
    </row>
    <row r="50">
      <c r="A50" s="17" t="inlineStr">
        <is>
          <t>PASS</t>
        </is>
      </c>
      <c r="B50" s="17" t="inlineStr">
        <is>
          <t>NCSU @ UVA</t>
        </is>
      </c>
      <c r="C50" s="17" t="inlineStr">
        <is>
          <t>2026-08-29 19:30</t>
        </is>
      </c>
      <c r="D50" s="25" t="n">
        <v>1</v>
      </c>
      <c r="E50" s="17" t="inlineStr">
        <is>
          <t>ML</t>
        </is>
      </c>
      <c r="F50" s="17" t="inlineStr">
        <is>
          <t>UVA ML</t>
        </is>
      </c>
      <c r="G50" s="26" t="n"/>
      <c r="H50" s="18" t="n">
        <v>-218</v>
      </c>
      <c r="I50" s="20" t="n">
        <v>0.6254192861725905</v>
      </c>
      <c r="J50" s="20" t="n">
        <v>0.6574752261956054</v>
      </c>
      <c r="K50" s="20" t="n">
        <v>0.6855345911949685</v>
      </c>
      <c r="L50" s="19" t="n">
        <v>-0.06011530502237805</v>
      </c>
      <c r="M50" s="19" t="n">
        <v>-0.08769113301429471</v>
      </c>
      <c r="N50" s="20" t="n">
        <v>0</v>
      </c>
      <c r="O50" s="27" t="n">
        <v>0.45</v>
      </c>
      <c r="P50" s="17" t="inlineStr">
        <is>
          <t>DraftKings</t>
        </is>
      </c>
      <c r="Q50" s="17" t="n"/>
    </row>
    <row r="51">
      <c r="A51" s="12" t="inlineStr">
        <is>
          <t>PASS</t>
        </is>
      </c>
      <c r="B51" s="12" t="inlineStr">
        <is>
          <t>JVST @ NDSU</t>
        </is>
      </c>
      <c r="C51" s="12" t="inlineStr">
        <is>
          <t>2026-08-29 21:30</t>
        </is>
      </c>
      <c r="D51" s="22" t="n">
        <v>1</v>
      </c>
      <c r="E51" s="12" t="inlineStr">
        <is>
          <t>ATS</t>
        </is>
      </c>
      <c r="F51" s="12" t="inlineStr">
        <is>
          <t>NDSU -7</t>
        </is>
      </c>
      <c r="G51" s="23" t="n">
        <v>-7</v>
      </c>
      <c r="H51" s="13" t="n">
        <v>-105</v>
      </c>
      <c r="I51" s="15" t="n">
        <v>0.4500144681504686</v>
      </c>
      <c r="J51" s="15" t="n">
        <v>0.4891657638136511</v>
      </c>
      <c r="K51" s="15" t="n">
        <v>0.5121951219512195</v>
      </c>
      <c r="L51" s="14" t="n">
        <v>-0.06218065380075088</v>
      </c>
      <c r="M51" s="14" t="n">
        <v>-0.1152697169483107</v>
      </c>
      <c r="N51" s="15" t="n">
        <v>0.0505</v>
      </c>
      <c r="O51" s="24" t="n">
        <v>0.45</v>
      </c>
      <c r="P51" s="12" t="inlineStr">
        <is>
          <t>DraftKings</t>
        </is>
      </c>
      <c r="Q51" s="12" t="n"/>
    </row>
    <row r="52">
      <c r="A52" s="17" t="inlineStr">
        <is>
          <t>PASS</t>
        </is>
      </c>
      <c r="B52" s="17" t="inlineStr">
        <is>
          <t>MRMK @ DEL</t>
        </is>
      </c>
      <c r="C52" s="17" t="inlineStr">
        <is>
          <t>2026-09-03 23:00</t>
        </is>
      </c>
      <c r="D52" s="25" t="n">
        <v>1</v>
      </c>
      <c r="E52" s="17" t="inlineStr">
        <is>
          <t>TOTAL</t>
        </is>
      </c>
      <c r="F52" s="17" t="inlineStr">
        <is>
          <t>Under 55.5</t>
        </is>
      </c>
      <c r="G52" s="26" t="n">
        <v>55.5</v>
      </c>
      <c r="H52" s="18" t="n">
        <v>-108</v>
      </c>
      <c r="I52" s="20" t="n">
        <v>0.4562349525054241</v>
      </c>
      <c r="J52" s="20" t="n">
        <v>0.4956702459300312</v>
      </c>
      <c r="K52" s="20" t="n">
        <v>0.5192307692307693</v>
      </c>
      <c r="L52" s="19" t="n">
        <v>-0.06299581672534516</v>
      </c>
      <c r="M52" s="19" t="n">
        <v>-0.1213252766562202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MRMK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NCSU @ UVA</t>
        </is>
      </c>
      <c r="C53" s="12" t="inlineStr">
        <is>
          <t>2026-08-29 19:30</t>
        </is>
      </c>
      <c r="D53" s="22" t="n">
        <v>1</v>
      </c>
      <c r="E53" s="12" t="inlineStr">
        <is>
          <t>ATS</t>
        </is>
      </c>
      <c r="F53" s="12" t="inlineStr">
        <is>
          <t>UVA -5.5</t>
        </is>
      </c>
      <c r="G53" s="23" t="n">
        <v>-5.5</v>
      </c>
      <c r="H53" s="13" t="n">
        <v>-112</v>
      </c>
      <c r="I53" s="15" t="n">
        <v>0.4587103311205297</v>
      </c>
      <c r="J53" s="15" t="n">
        <v>0.5043297540699688</v>
      </c>
      <c r="K53" s="15" t="n">
        <v>0.5283018867924528</v>
      </c>
      <c r="L53" s="14" t="n">
        <v>-0.0695915556719231</v>
      </c>
      <c r="M53" s="14" t="n">
        <v>-0.1317268732361402</v>
      </c>
      <c r="N53" s="15" t="n">
        <v>0</v>
      </c>
      <c r="O53" s="24" t="n">
        <v>0.45</v>
      </c>
      <c r="P53" s="12" t="inlineStr">
        <is>
          <t>DraftKings</t>
        </is>
      </c>
      <c r="Q53" s="12" t="n"/>
    </row>
    <row r="54">
      <c r="A54" s="17" t="inlineStr">
        <is>
          <t>PASS</t>
        </is>
      </c>
      <c r="B54" s="17" t="inlineStr">
        <is>
          <t>SJSU @ USC</t>
        </is>
      </c>
      <c r="C54" s="17" t="inlineStr">
        <is>
          <t>2026-08-29 19:00</t>
        </is>
      </c>
      <c r="D54" s="25" t="n">
        <v>1</v>
      </c>
      <c r="E54" s="17" t="inlineStr">
        <is>
          <t>TOTAL</t>
        </is>
      </c>
      <c r="F54" s="17" t="inlineStr">
        <is>
          <t>Over 59.5</t>
        </is>
      </c>
      <c r="G54" s="26" t="n">
        <v>59.5</v>
      </c>
      <c r="H54" s="18" t="n">
        <v>-112</v>
      </c>
      <c r="I54" s="20" t="n">
        <v>0.4586148034139574</v>
      </c>
      <c r="J54" s="20" t="n">
        <v>0.5043297540699688</v>
      </c>
      <c r="K54" s="20" t="n">
        <v>0.5283018867924528</v>
      </c>
      <c r="L54" s="19" t="n">
        <v>-0.06968708337849544</v>
      </c>
      <c r="M54" s="19" t="n">
        <v>-0.1319076935378664</v>
      </c>
      <c r="N54" s="20" t="n">
        <v>0</v>
      </c>
      <c r="O54" s="27" t="n">
        <v>0.45</v>
      </c>
      <c r="P54" s="17" t="inlineStr">
        <is>
          <t>DraftKings</t>
        </is>
      </c>
      <c r="Q54" s="17" t="n"/>
    </row>
    <row r="55">
      <c r="A55" s="12" t="inlineStr">
        <is>
          <t>PASS</t>
        </is>
      </c>
      <c r="B55" s="12" t="inlineStr">
        <is>
          <t>MEM @ UNLV</t>
        </is>
      </c>
      <c r="C55" s="12" t="inlineStr">
        <is>
          <t>2026-08-30 02:00</t>
        </is>
      </c>
      <c r="D55" s="22" t="n">
        <v>1</v>
      </c>
      <c r="E55" s="12" t="inlineStr">
        <is>
          <t>ML</t>
        </is>
      </c>
      <c r="F55" s="12" t="inlineStr">
        <is>
          <t>UNLV ML</t>
        </is>
      </c>
      <c r="G55" s="23" t="n"/>
      <c r="H55" s="13" t="n">
        <v>-225</v>
      </c>
      <c r="I55" s="15" t="n">
        <v>0.6200505573093992</v>
      </c>
      <c r="J55" s="15" t="n">
        <v>0.6636481241914618</v>
      </c>
      <c r="K55" s="15" t="n">
        <v>0.6923076923076923</v>
      </c>
      <c r="L55" s="14" t="n">
        <v>-0.07225713499829312</v>
      </c>
      <c r="M55" s="14" t="n">
        <v>-0.1043714172197567</v>
      </c>
      <c r="N55" s="15" t="n">
        <v>0</v>
      </c>
      <c r="O55" s="24" t="n">
        <v>0.45</v>
      </c>
      <c r="P55" s="12" t="inlineStr">
        <is>
          <t>DraftKings</t>
        </is>
      </c>
      <c r="Q55" s="12" t="n"/>
    </row>
    <row r="56">
      <c r="A56" s="17" t="inlineStr">
        <is>
          <t>PASS</t>
        </is>
      </c>
      <c r="B56" s="17" t="inlineStr">
        <is>
          <t>MEM @ UNLV</t>
        </is>
      </c>
      <c r="C56" s="17" t="inlineStr">
        <is>
          <t>2026-08-30 02:00</t>
        </is>
      </c>
      <c r="D56" s="25" t="n">
        <v>1</v>
      </c>
      <c r="E56" s="17" t="inlineStr">
        <is>
          <t>ATS</t>
        </is>
      </c>
      <c r="F56" s="17" t="inlineStr">
        <is>
          <t>UNLV -5.5</t>
        </is>
      </c>
      <c r="G56" s="26" t="n">
        <v>-5.5</v>
      </c>
      <c r="H56" s="18" t="n">
        <v>-108</v>
      </c>
      <c r="I56" s="20" t="n">
        <v>0.4459869182536856</v>
      </c>
      <c r="J56" s="20" t="n">
        <v>0.4956702459300312</v>
      </c>
      <c r="K56" s="20" t="n">
        <v>0.5192307692307693</v>
      </c>
      <c r="L56" s="19" t="n">
        <v>-0.07324385097708364</v>
      </c>
      <c r="M56" s="19" t="n">
        <v>-0.1410622315114202</v>
      </c>
      <c r="N56" s="20" t="n">
        <v>0</v>
      </c>
      <c r="O56" s="27" t="n">
        <v>0.45</v>
      </c>
      <c r="P56" s="17" t="inlineStr">
        <is>
          <t>DraftKings</t>
        </is>
      </c>
      <c r="Q56" s="17" t="n"/>
    </row>
    <row r="57">
      <c r="A57" s="12" t="inlineStr">
        <is>
          <t>PASS</t>
        </is>
      </c>
      <c r="B57" s="12" t="inlineStr">
        <is>
          <t>MASS @ RUTG</t>
        </is>
      </c>
      <c r="C57" s="12" t="inlineStr">
        <is>
          <t>2026-09-03 22:00</t>
        </is>
      </c>
      <c r="D57" s="22" t="n">
        <v>1</v>
      </c>
      <c r="E57" s="12" t="inlineStr">
        <is>
          <t>TOTAL</t>
        </is>
      </c>
      <c r="F57" s="12" t="inlineStr">
        <is>
          <t>Under 53.5</t>
        </is>
      </c>
      <c r="G57" s="23" t="n">
        <v>53.5</v>
      </c>
      <c r="H57" s="13" t="n">
        <v>-110</v>
      </c>
      <c r="I57" s="15" t="n">
        <v>0.4259569450760283</v>
      </c>
      <c r="J57" s="15" t="n">
        <v>0.5</v>
      </c>
      <c r="K57" s="15" t="n">
        <v>0.5238095238095238</v>
      </c>
      <c r="L57" s="14" t="n">
        <v>-0.09785257873349551</v>
      </c>
      <c r="M57" s="14" t="n">
        <v>-0.1868094684912186</v>
      </c>
      <c r="N57" s="15" t="n">
        <v>0</v>
      </c>
      <c r="O57" s="24" t="n">
        <v>0.45</v>
      </c>
      <c r="P57" s="12" t="inlineStr">
        <is>
          <t>DraftKings</t>
        </is>
      </c>
      <c r="Q57" s="12" t="n"/>
    </row>
    <row r="58">
      <c r="A58" s="17" t="inlineStr">
        <is>
          <t>PASS</t>
        </is>
      </c>
      <c r="B58" s="17" t="inlineStr">
        <is>
          <t>HAW @ STAN</t>
        </is>
      </c>
      <c r="C58" s="17" t="inlineStr">
        <is>
          <t>2026-08-29 23:00</t>
        </is>
      </c>
      <c r="D58" s="25" t="n">
        <v>1</v>
      </c>
      <c r="E58" s="17" t="inlineStr">
        <is>
          <t>ML</t>
        </is>
      </c>
      <c r="F58" s="17" t="inlineStr">
        <is>
          <t>STAN ML</t>
        </is>
      </c>
      <c r="G58" s="26" t="n"/>
      <c r="H58" s="18" t="n">
        <v>-218</v>
      </c>
      <c r="I58" s="20" t="n">
        <v>0.585504494093544</v>
      </c>
      <c r="J58" s="20" t="n">
        <v>0.6574752261956054</v>
      </c>
      <c r="K58" s="20" t="n">
        <v>0.6855345911949685</v>
      </c>
      <c r="L58" s="19" t="n">
        <v>-0.1000300971014245</v>
      </c>
      <c r="M58" s="19" t="n">
        <v>-0.1459154627442799</v>
      </c>
      <c r="N58" s="20" t="n">
        <v>0</v>
      </c>
      <c r="O58" s="27" t="n">
        <v>0.45</v>
      </c>
      <c r="P58" s="17" t="inlineStr">
        <is>
          <t>DraftKings</t>
        </is>
      </c>
      <c r="Q58" s="17" t="n"/>
    </row>
    <row r="59">
      <c r="A59" s="12" t="inlineStr">
        <is>
          <t>PASS</t>
        </is>
      </c>
      <c r="B59" s="12" t="inlineStr">
        <is>
          <t>HAW @ STAN</t>
        </is>
      </c>
      <c r="C59" s="12" t="inlineStr">
        <is>
          <t>2026-08-29 23:00</t>
        </is>
      </c>
      <c r="D59" s="22" t="n">
        <v>1</v>
      </c>
      <c r="E59" s="12" t="inlineStr">
        <is>
          <t>ATS</t>
        </is>
      </c>
      <c r="F59" s="12" t="inlineStr">
        <is>
          <t>STAN -5.5</t>
        </is>
      </c>
      <c r="G59" s="23" t="n">
        <v>-5.5</v>
      </c>
      <c r="H59" s="13" t="n">
        <v>-108</v>
      </c>
      <c r="I59" s="15" t="n">
        <v>0.4161891749222263</v>
      </c>
      <c r="J59" s="15" t="n">
        <v>0.4956702459300312</v>
      </c>
      <c r="K59" s="15" t="n">
        <v>0.5192307692307693</v>
      </c>
      <c r="L59" s="14" t="n">
        <v>-0.103041594308543</v>
      </c>
      <c r="M59" s="14" t="n">
        <v>-0.1984504779275642</v>
      </c>
      <c r="N59" s="15" t="n">
        <v>0</v>
      </c>
      <c r="O59" s="24" t="n">
        <v>0.45</v>
      </c>
      <c r="P59" s="12" t="inlineStr">
        <is>
          <t>DraftKings</t>
        </is>
      </c>
      <c r="Q59" s="12" t="n"/>
    </row>
    <row r="60">
      <c r="A60" s="17" t="inlineStr">
        <is>
          <t>PASS</t>
        </is>
      </c>
      <c r="B60" s="17" t="inlineStr">
        <is>
          <t>BCU @ UCF</t>
        </is>
      </c>
      <c r="C60" s="17" t="inlineStr">
        <is>
          <t>2026-09-03 23:00</t>
        </is>
      </c>
      <c r="D60" s="25" t="n">
        <v>1</v>
      </c>
      <c r="E60" s="17" t="inlineStr">
        <is>
          <t>TOTAL</t>
        </is>
      </c>
      <c r="F60" s="17" t="inlineStr">
        <is>
          <t>Over 59.5</t>
        </is>
      </c>
      <c r="G60" s="26" t="n">
        <v>59.5</v>
      </c>
      <c r="H60" s="18" t="n">
        <v>-112</v>
      </c>
      <c r="I60" s="20" t="n">
        <v>0.4171159331581163</v>
      </c>
      <c r="J60" s="20" t="n">
        <v>0.5043297540699688</v>
      </c>
      <c r="K60" s="20" t="n">
        <v>0.5283018867924528</v>
      </c>
      <c r="L60" s="19" t="n">
        <v>-0.1111859536343365</v>
      </c>
      <c r="M60" s="19" t="n">
        <v>-0.2104591265221369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BCU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UNC @ TCU</t>
        </is>
      </c>
      <c r="C61" s="12" t="inlineStr">
        <is>
          <t>2026-08-29 16:00</t>
        </is>
      </c>
      <c r="D61" s="22" t="n">
        <v>1</v>
      </c>
      <c r="E61" s="12" t="inlineStr">
        <is>
          <t>ML</t>
        </is>
      </c>
      <c r="F61" s="12" t="inlineStr">
        <is>
          <t>TCU ML</t>
        </is>
      </c>
      <c r="G61" s="23" t="n"/>
      <c r="H61" s="13" t="n">
        <v>-298</v>
      </c>
      <c r="I61" s="15" t="n">
        <v>0.6339800039113948</v>
      </c>
      <c r="J61" s="15" t="n">
        <v>0.7179705215419501</v>
      </c>
      <c r="K61" s="15" t="n">
        <v>0.7487437185929648</v>
      </c>
      <c r="L61" s="14" t="n">
        <v>-0.1147637146815701</v>
      </c>
      <c r="M61" s="14" t="n">
        <v>-0.1532750283331037</v>
      </c>
      <c r="N61" s="15" t="n">
        <v>0</v>
      </c>
      <c r="O61" s="24" t="n">
        <v>0.45</v>
      </c>
      <c r="P61" s="12" t="inlineStr">
        <is>
          <t>DraftKings</t>
        </is>
      </c>
      <c r="Q61" s="12" t="n"/>
    </row>
    <row r="62">
      <c r="A62" s="17" t="inlineStr">
        <is>
          <t>PASS</t>
        </is>
      </c>
      <c r="B62" s="17" t="inlineStr">
        <is>
          <t>AKR @ WAKE</t>
        </is>
      </c>
      <c r="C62" s="17" t="inlineStr">
        <is>
          <t>2026-09-03 23:00</t>
        </is>
      </c>
      <c r="D62" s="25" t="n">
        <v>1</v>
      </c>
      <c r="E62" s="17" t="inlineStr">
        <is>
          <t>TOTAL</t>
        </is>
      </c>
      <c r="F62" s="17" t="inlineStr">
        <is>
          <t>Under 49.5</t>
        </is>
      </c>
      <c r="G62" s="26" t="n">
        <v>49.5</v>
      </c>
      <c r="H62" s="18" t="n">
        <v>-108</v>
      </c>
      <c r="I62" s="20" t="n">
        <v>0.396824791827995</v>
      </c>
      <c r="J62" s="20" t="n">
        <v>0.4956702459300312</v>
      </c>
      <c r="K62" s="20" t="n">
        <v>0.5192307692307693</v>
      </c>
      <c r="L62" s="19" t="n">
        <v>-0.1224059774027743</v>
      </c>
      <c r="M62" s="19" t="n">
        <v>-0.2357448453683059</v>
      </c>
      <c r="N62" s="20" t="n">
        <v>0</v>
      </c>
      <c r="O62" s="27" t="n">
        <v>0.45</v>
      </c>
      <c r="P62" s="17" t="inlineStr">
        <is>
          <t>DraftKings</t>
        </is>
      </c>
      <c r="Q62" s="17" t="n"/>
    </row>
    <row r="63">
      <c r="A63" s="12" t="inlineStr">
        <is>
          <t>PASS</t>
        </is>
      </c>
      <c r="B63" s="12" t="inlineStr">
        <is>
          <t>SAC @ EMU</t>
        </is>
      </c>
      <c r="C63" s="12" t="inlineStr">
        <is>
          <t>2026-08-29 22:30</t>
        </is>
      </c>
      <c r="D63" s="22" t="n">
        <v>1</v>
      </c>
      <c r="E63" s="12" t="inlineStr">
        <is>
          <t>TOTAL</t>
        </is>
      </c>
      <c r="F63" s="12" t="inlineStr">
        <is>
          <t>Under 52.5</t>
        </is>
      </c>
      <c r="G63" s="23" t="n">
        <v>52.5</v>
      </c>
      <c r="H63" s="13" t="n">
        <v>-112</v>
      </c>
      <c r="I63" s="15" t="n">
        <v>0.404640493123267</v>
      </c>
      <c r="J63" s="15" t="n">
        <v>0.5043297540699688</v>
      </c>
      <c r="K63" s="15" t="n">
        <v>0.5283018867924528</v>
      </c>
      <c r="L63" s="14" t="n">
        <v>-0.1236613936691858</v>
      </c>
      <c r="M63" s="14" t="n">
        <v>-0.2340733523023875</v>
      </c>
      <c r="N63" s="15" t="n">
        <v>0</v>
      </c>
      <c r="O63" s="24" t="n">
        <v>0.45</v>
      </c>
      <c r="P63" s="12" t="inlineStr">
        <is>
          <t>DraftKings</t>
        </is>
      </c>
      <c r="Q63" s="12" t="n"/>
    </row>
    <row r="64">
      <c r="A64" s="17" t="inlineStr">
        <is>
          <t>PASS</t>
        </is>
      </c>
      <c r="B64" s="17" t="inlineStr">
        <is>
          <t>WES @ KENN</t>
        </is>
      </c>
      <c r="C64" s="17" t="inlineStr">
        <is>
          <t>2026-09-03 23:00</t>
        </is>
      </c>
      <c r="D64" s="25" t="n">
        <v>1</v>
      </c>
      <c r="E64" s="17" t="inlineStr">
        <is>
          <t>TOTAL</t>
        </is>
      </c>
      <c r="F64" s="17" t="inlineStr">
        <is>
          <t>Under 51.5</t>
        </is>
      </c>
      <c r="G64" s="26" t="n">
        <v>51.5</v>
      </c>
      <c r="H64" s="18" t="n">
        <v>-112</v>
      </c>
      <c r="I64" s="20" t="n">
        <v>0.4028929855258536</v>
      </c>
      <c r="J64" s="20" t="n">
        <v>0.5043297540699688</v>
      </c>
      <c r="K64" s="20" t="n">
        <v>0.5283018867924528</v>
      </c>
      <c r="L64" s="19" t="n">
        <v>-0.1254089012665992</v>
      </c>
      <c r="M64" s="19" t="n">
        <v>-0.2373811345403485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WES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UNC @ TCU</t>
        </is>
      </c>
      <c r="C65" s="12" t="inlineStr">
        <is>
          <t>2026-08-29 16:00</t>
        </is>
      </c>
      <c r="D65" s="22" t="n">
        <v>1</v>
      </c>
      <c r="E65" s="12" t="inlineStr">
        <is>
          <t>ATS</t>
        </is>
      </c>
      <c r="F65" s="12" t="inlineStr">
        <is>
          <t>TCU -7.5</t>
        </is>
      </c>
      <c r="G65" s="23" t="n">
        <v>-7.5</v>
      </c>
      <c r="H65" s="13" t="n">
        <v>-112</v>
      </c>
      <c r="I65" s="15" t="n">
        <v>0.4006920158047088</v>
      </c>
      <c r="J65" s="15" t="n">
        <v>0.5043297540699688</v>
      </c>
      <c r="K65" s="15" t="n">
        <v>0.5283018867924528</v>
      </c>
      <c r="L65" s="14" t="n">
        <v>-0.127609870987744</v>
      </c>
      <c r="M65" s="14" t="n">
        <v>-0.2415472557982298</v>
      </c>
      <c r="N65" s="15" t="n">
        <v>0</v>
      </c>
      <c r="O65" s="24" t="n">
        <v>0.45</v>
      </c>
      <c r="P65" s="12" t="inlineStr">
        <is>
          <t>DraftKings</t>
        </is>
      </c>
      <c r="Q65" s="12" t="n"/>
    </row>
    <row r="66">
      <c r="A66" s="17" t="inlineStr">
        <is>
          <t>PASS</t>
        </is>
      </c>
      <c r="B66" s="17" t="inlineStr">
        <is>
          <t>HAW @ STAN</t>
        </is>
      </c>
      <c r="C66" s="17" t="inlineStr">
        <is>
          <t>2026-08-29 23:00</t>
        </is>
      </c>
      <c r="D66" s="25" t="n">
        <v>1</v>
      </c>
      <c r="E66" s="17" t="inlineStr">
        <is>
          <t>TOTAL</t>
        </is>
      </c>
      <c r="F66" s="17" t="inlineStr">
        <is>
          <t>Under 48.5</t>
        </is>
      </c>
      <c r="G66" s="26" t="n">
        <v>48.5</v>
      </c>
      <c r="H66" s="18" t="n">
        <v>-105</v>
      </c>
      <c r="I66" s="20" t="n">
        <v>0.3767135533122641</v>
      </c>
      <c r="J66" s="20" t="n">
        <v>0.4891657638136511</v>
      </c>
      <c r="K66" s="20" t="n">
        <v>0.5121951219512195</v>
      </c>
      <c r="L66" s="19" t="n">
        <v>-0.1354815686389554</v>
      </c>
      <c r="M66" s="19" t="n">
        <v>-0.2645116340093892</v>
      </c>
      <c r="N66" s="20" t="n">
        <v>0</v>
      </c>
      <c r="O66" s="27" t="n">
        <v>0.45</v>
      </c>
      <c r="P66" s="17" t="inlineStr">
        <is>
          <t>DraftKings</t>
        </is>
      </c>
      <c r="Q66" s="17" t="n"/>
    </row>
    <row r="67">
      <c r="A67" s="12" t="inlineStr">
        <is>
          <t>PASS</t>
        </is>
      </c>
      <c r="B67" s="12" t="inlineStr">
        <is>
          <t>SAC @ EMU</t>
        </is>
      </c>
      <c r="C67" s="12" t="inlineStr">
        <is>
          <t>2026-08-29 22:30</t>
        </is>
      </c>
      <c r="D67" s="22" t="n">
        <v>1</v>
      </c>
      <c r="E67" s="12" t="inlineStr">
        <is>
          <t>ML</t>
        </is>
      </c>
      <c r="F67" s="12" t="inlineStr">
        <is>
          <t>EMU ML</t>
        </is>
      </c>
      <c r="G67" s="23" t="n"/>
      <c r="H67" s="13" t="n">
        <v>-355</v>
      </c>
      <c r="I67" s="15" t="n">
        <v>0.6313778129495795</v>
      </c>
      <c r="J67" s="15" t="n">
        <v>0.7477827050997783</v>
      </c>
      <c r="K67" s="15" t="n">
        <v>0.7802197802197802</v>
      </c>
      <c r="L67" s="14" t="n">
        <v>-0.1488419672702007</v>
      </c>
      <c r="M67" s="14" t="n">
        <v>-0.1907692819942009</v>
      </c>
      <c r="N67" s="15" t="n">
        <v>0</v>
      </c>
      <c r="O67" s="24" t="n">
        <v>0.45</v>
      </c>
      <c r="P67" s="12" t="inlineStr">
        <is>
          <t>DraftKings</t>
        </is>
      </c>
      <c r="Q67" s="12" t="n"/>
    </row>
    <row r="68">
      <c r="A68" s="17" t="inlineStr">
        <is>
          <t>PASS</t>
        </is>
      </c>
      <c r="B68" s="17" t="inlineStr">
        <is>
          <t>ALB @ BUFF</t>
        </is>
      </c>
      <c r="C68" s="17" t="inlineStr">
        <is>
          <t>2026-09-03 23:00</t>
        </is>
      </c>
      <c r="D68" s="25" t="n">
        <v>1</v>
      </c>
      <c r="E68" s="17" t="inlineStr">
        <is>
          <t>TOTAL</t>
        </is>
      </c>
      <c r="F68" s="17" t="inlineStr">
        <is>
          <t>Under 48.5</t>
        </is>
      </c>
      <c r="G68" s="26" t="n">
        <v>48.5</v>
      </c>
      <c r="H68" s="18" t="n">
        <v>-115</v>
      </c>
      <c r="I68" s="20" t="n">
        <v>0.3794983449651635</v>
      </c>
      <c r="J68" s="20" t="n">
        <v>0.5108342361863488</v>
      </c>
      <c r="K68" s="20" t="n">
        <v>0.5348837209302325</v>
      </c>
      <c r="L68" s="19" t="n">
        <v>-0.155385375965069</v>
      </c>
      <c r="M68" s="19" t="n">
        <v>-0.2905030941955639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ALB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SAC @ EMU</t>
        </is>
      </c>
      <c r="C69" s="12" t="inlineStr">
        <is>
          <t>2026-08-29 22:30</t>
        </is>
      </c>
      <c r="D69" s="22" t="n">
        <v>1</v>
      </c>
      <c r="E69" s="12" t="inlineStr">
        <is>
          <t>ATS</t>
        </is>
      </c>
      <c r="F69" s="12" t="inlineStr">
        <is>
          <t>EMU -9.5</t>
        </is>
      </c>
      <c r="G69" s="23" t="n">
        <v>-9.5</v>
      </c>
      <c r="H69" s="13" t="n">
        <v>-110</v>
      </c>
      <c r="I69" s="15" t="n">
        <v>0.3626957910893782</v>
      </c>
      <c r="J69" s="15" t="n">
        <v>0.5</v>
      </c>
      <c r="K69" s="15" t="n">
        <v>0.5238095238095238</v>
      </c>
      <c r="L69" s="14" t="n">
        <v>-0.1611137327201456</v>
      </c>
      <c r="M69" s="14" t="n">
        <v>-0.3075807624657325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JVST @ NDSU</t>
        </is>
      </c>
      <c r="C70" s="17" t="inlineStr">
        <is>
          <t>2026-08-29 21:30</t>
        </is>
      </c>
      <c r="D70" s="25" t="n">
        <v>1</v>
      </c>
      <c r="E70" s="17" t="inlineStr">
        <is>
          <t>TOTAL</t>
        </is>
      </c>
      <c r="F70" s="17" t="inlineStr">
        <is>
          <t>Under 46.5</t>
        </is>
      </c>
      <c r="G70" s="26" t="n">
        <v>46.5</v>
      </c>
      <c r="H70" s="18" t="n">
        <v>-108</v>
      </c>
      <c r="I70" s="20" t="n">
        <v>0.3425002548836977</v>
      </c>
      <c r="J70" s="20" t="n">
        <v>0.4956702459300312</v>
      </c>
      <c r="K70" s="20" t="n">
        <v>0.5192307692307693</v>
      </c>
      <c r="L70" s="19" t="n">
        <v>-0.1767305143470715</v>
      </c>
      <c r="M70" s="19" t="n">
        <v>-0.3403698794832488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MASS @ RUTG</t>
        </is>
      </c>
      <c r="C71" s="12" t="inlineStr">
        <is>
          <t>2026-09-03 22:00</t>
        </is>
      </c>
      <c r="D71" s="22" t="n">
        <v>1</v>
      </c>
      <c r="E71" s="12" t="inlineStr">
        <is>
          <t>ML</t>
        </is>
      </c>
      <c r="F71" s="12" t="inlineStr">
        <is>
          <t>RUTG ML</t>
        </is>
      </c>
      <c r="G71" s="23" t="n"/>
      <c r="H71" s="13" t="n">
        <v>-6500</v>
      </c>
      <c r="I71" s="15" t="n">
        <v>0.8036923684058288</v>
      </c>
      <c r="J71" s="15" t="n">
        <v>0.9538784067085954</v>
      </c>
      <c r="K71" s="15" t="n">
        <v>0.9848484848484849</v>
      </c>
      <c r="L71" s="14" t="n">
        <v>-0.1811561164426561</v>
      </c>
      <c r="M71" s="14" t="n">
        <v>-0.183943133618697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price outside allowed range</t>
        </is>
      </c>
    </row>
    <row r="72">
      <c r="A72" s="17" t="inlineStr">
        <is>
          <t>PASS</t>
        </is>
      </c>
      <c r="B72" s="17" t="inlineStr">
        <is>
          <t>AKR @ WAKE</t>
        </is>
      </c>
      <c r="C72" s="17" t="inlineStr">
        <is>
          <t>2026-09-03 23:00</t>
        </is>
      </c>
      <c r="D72" s="25" t="n">
        <v>1</v>
      </c>
      <c r="E72" s="17" t="inlineStr">
        <is>
          <t>ML</t>
        </is>
      </c>
      <c r="F72" s="17" t="inlineStr">
        <is>
          <t>WAKE ML</t>
        </is>
      </c>
      <c r="G72" s="26" t="n"/>
      <c r="H72" s="18" t="n">
        <v>-2800</v>
      </c>
      <c r="I72" s="20" t="n">
        <v>0.7689464432363347</v>
      </c>
      <c r="J72" s="20" t="n">
        <v>0.9311163895486935</v>
      </c>
      <c r="K72" s="20" t="n">
        <v>0.9655172413793104</v>
      </c>
      <c r="L72" s="19" t="n">
        <v>-0.1965707981429757</v>
      </c>
      <c r="M72" s="19" t="n">
        <v>-0.203591183790939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NMSU @ FSU</t>
        </is>
      </c>
      <c r="C73" s="12" t="inlineStr">
        <is>
          <t>2026-08-29 23:00</t>
        </is>
      </c>
      <c r="D73" s="22" t="n">
        <v>1</v>
      </c>
      <c r="E73" s="12" t="inlineStr">
        <is>
          <t>ML</t>
        </is>
      </c>
      <c r="F73" s="12" t="inlineStr">
        <is>
          <t>FSU ML</t>
        </is>
      </c>
      <c r="G73" s="23" t="n"/>
      <c r="H73" s="13" t="n">
        <v>-6500</v>
      </c>
      <c r="I73" s="15" t="n">
        <v>0.7810227846843814</v>
      </c>
      <c r="J73" s="15" t="n">
        <v>0.9538784067085954</v>
      </c>
      <c r="K73" s="15" t="n">
        <v>0.9848484848484849</v>
      </c>
      <c r="L73" s="14" t="n">
        <v>-0.2038257001641035</v>
      </c>
      <c r="M73" s="14" t="n">
        <v>-0.2069614801666282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WES @ KENN</t>
        </is>
      </c>
      <c r="C74" s="17" t="inlineStr">
        <is>
          <t>2026-09-03 23:00</t>
        </is>
      </c>
      <c r="D74" s="25" t="n">
        <v>1</v>
      </c>
      <c r="E74" s="17" t="inlineStr">
        <is>
          <t>ML</t>
        </is>
      </c>
      <c r="F74" s="17" t="inlineStr">
        <is>
          <t>KENN ML</t>
        </is>
      </c>
      <c r="G74" s="26" t="n"/>
      <c r="H74" s="18" t="n">
        <v>-3600</v>
      </c>
      <c r="I74" s="20" t="n">
        <v>0.7629882523168648</v>
      </c>
      <c r="J74" s="20" t="n">
        <v>0.9396411092985318</v>
      </c>
      <c r="K74" s="20" t="n">
        <v>0.972972972972973</v>
      </c>
      <c r="L74" s="19" t="n">
        <v>-0.2099847206561082</v>
      </c>
      <c r="M74" s="19" t="n">
        <v>-0.2158176295632223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WES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MRMK @ DEL</t>
        </is>
      </c>
      <c r="C75" s="12" t="inlineStr">
        <is>
          <t>2026-09-03 23:00</t>
        </is>
      </c>
      <c r="D75" s="22" t="n">
        <v>1</v>
      </c>
      <c r="E75" s="12" t="inlineStr">
        <is>
          <t>ML</t>
        </is>
      </c>
      <c r="F75" s="12" t="inlineStr">
        <is>
          <t>DEL ML</t>
        </is>
      </c>
      <c r="G75" s="23" t="n"/>
      <c r="H75" s="13" t="n">
        <v>-10000</v>
      </c>
      <c r="I75" s="15" t="n">
        <v>0.7657797338257375</v>
      </c>
      <c r="J75" s="15" t="n">
        <v>0.9684473601999376</v>
      </c>
      <c r="K75" s="15" t="n">
        <v>0.9900990099009901</v>
      </c>
      <c r="L75" s="14" t="n">
        <v>-0.2243192760752526</v>
      </c>
      <c r="M75" s="14" t="n">
        <v>-0.2265624688360051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MRMK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ALB @ BUFF</t>
        </is>
      </c>
      <c r="C76" s="17" t="inlineStr">
        <is>
          <t>2026-09-03 23:00</t>
        </is>
      </c>
      <c r="D76" s="25" t="n">
        <v>1</v>
      </c>
      <c r="E76" s="17" t="inlineStr">
        <is>
          <t>ML</t>
        </is>
      </c>
      <c r="F76" s="17" t="inlineStr">
        <is>
          <t>BUFF ML</t>
        </is>
      </c>
      <c r="G76" s="26" t="n"/>
      <c r="H76" s="18" t="n">
        <v>-8000</v>
      </c>
      <c r="I76" s="20" t="n">
        <v>0.7599039260434692</v>
      </c>
      <c r="J76" s="20" t="n">
        <v>0.9578344612181156</v>
      </c>
      <c r="K76" s="20" t="n">
        <v>0.9876543209876543</v>
      </c>
      <c r="L76" s="19" t="n">
        <v>-0.227750394944185</v>
      </c>
      <c r="M76" s="19" t="n">
        <v>-0.2305972748809874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ALB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WES @ KENN</t>
        </is>
      </c>
      <c r="C77" s="12" t="inlineStr">
        <is>
          <t>2026-09-03 23:00</t>
        </is>
      </c>
      <c r="D77" s="22" t="n">
        <v>1</v>
      </c>
      <c r="E77" s="12" t="inlineStr">
        <is>
          <t>ATS</t>
        </is>
      </c>
      <c r="F77" s="12" t="inlineStr">
        <is>
          <t>KENN -22.5</t>
        </is>
      </c>
      <c r="G77" s="23" t="n">
        <v>-22.5</v>
      </c>
      <c r="H77" s="13" t="n">
        <v>-105</v>
      </c>
      <c r="I77" s="15" t="n">
        <v>0.2726533482579036</v>
      </c>
      <c r="J77" s="15" t="n">
        <v>0.4891657638136511</v>
      </c>
      <c r="K77" s="15" t="n">
        <v>0.5121951219512195</v>
      </c>
      <c r="L77" s="14" t="n">
        <v>-0.2395417736933159</v>
      </c>
      <c r="M77" s="14" t="n">
        <v>-0.4676767962583787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WES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AKR @ WAKE</t>
        </is>
      </c>
      <c r="C78" s="17" t="inlineStr">
        <is>
          <t>2026-09-03 23:00</t>
        </is>
      </c>
      <c r="D78" s="25" t="n">
        <v>1</v>
      </c>
      <c r="E78" s="17" t="inlineStr">
        <is>
          <t>ATS</t>
        </is>
      </c>
      <c r="F78" s="17" t="inlineStr">
        <is>
          <t>WAKE -23.5</t>
        </is>
      </c>
      <c r="G78" s="26" t="n">
        <v>-23.5</v>
      </c>
      <c r="H78" s="18" t="n">
        <v>-112</v>
      </c>
      <c r="I78" s="20" t="n">
        <v>0.279786024178475</v>
      </c>
      <c r="J78" s="20" t="n">
        <v>0.5043297540699688</v>
      </c>
      <c r="K78" s="20" t="n">
        <v>0.5283018867924528</v>
      </c>
      <c r="L78" s="19" t="n">
        <v>-0.2485158626139778</v>
      </c>
      <c r="M78" s="19" t="n">
        <v>-0.4704050256621722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ALB @ BUFF</t>
        </is>
      </c>
      <c r="C79" s="12" t="inlineStr">
        <is>
          <t>2026-09-03 23:00</t>
        </is>
      </c>
      <c r="D79" s="22" t="n">
        <v>1</v>
      </c>
      <c r="E79" s="12" t="inlineStr">
        <is>
          <t>ATS</t>
        </is>
      </c>
      <c r="F79" s="12" t="inlineStr">
        <is>
          <t>BUFF -24.5</t>
        </is>
      </c>
      <c r="G79" s="23" t="n">
        <v>-24.5</v>
      </c>
      <c r="H79" s="13" t="n">
        <v>-108</v>
      </c>
      <c r="I79" s="15" t="n">
        <v>0.2657449776111079</v>
      </c>
      <c r="J79" s="15" t="n">
        <v>0.4956702459300312</v>
      </c>
      <c r="K79" s="15" t="n">
        <v>0.5192307692307693</v>
      </c>
      <c r="L79" s="14" t="n">
        <v>-0.2534857916196613</v>
      </c>
      <c r="M79" s="14" t="n">
        <v>-0.4881948579341625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ALB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SJSU @ USC</t>
        </is>
      </c>
      <c r="C80" s="17" t="inlineStr">
        <is>
          <t>2026-08-29 19:00</t>
        </is>
      </c>
      <c r="D80" s="25" t="n">
        <v>1</v>
      </c>
      <c r="E80" s="17" t="inlineStr">
        <is>
          <t>ATS</t>
        </is>
      </c>
      <c r="F80" s="17" t="inlineStr">
        <is>
          <t>USC -38.5</t>
        </is>
      </c>
      <c r="G80" s="26" t="n">
        <v>-38.5</v>
      </c>
      <c r="H80" s="18" t="n">
        <v>100</v>
      </c>
      <c r="I80" s="20" t="n">
        <v>0.2414515187338134</v>
      </c>
      <c r="J80" s="20" t="n">
        <v>0.4782608695652174</v>
      </c>
      <c r="K80" s="20" t="n">
        <v>0.5</v>
      </c>
      <c r="L80" s="19" t="n">
        <v>-0.2585484812661866</v>
      </c>
      <c r="M80" s="19" t="n">
        <v>-0.5170969625323734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NMSU @ FSU</t>
        </is>
      </c>
      <c r="C81" s="12" t="inlineStr">
        <is>
          <t>2026-08-29 23:00</t>
        </is>
      </c>
      <c r="D81" s="22" t="n">
        <v>1</v>
      </c>
      <c r="E81" s="12" t="inlineStr">
        <is>
          <t>ATS</t>
        </is>
      </c>
      <c r="F81" s="12" t="inlineStr">
        <is>
          <t>FSU -31.5</t>
        </is>
      </c>
      <c r="G81" s="23" t="n">
        <v>-31.5</v>
      </c>
      <c r="H81" s="13" t="n">
        <v>-105</v>
      </c>
      <c r="I81" s="15" t="n">
        <v>0.2515947455243119</v>
      </c>
      <c r="J81" s="15" t="n">
        <v>0.4891657638136511</v>
      </c>
      <c r="K81" s="15" t="n">
        <v>0.5121951219512195</v>
      </c>
      <c r="L81" s="14" t="n">
        <v>-0.2606003764269076</v>
      </c>
      <c r="M81" s="14" t="n">
        <v>-0.5087912111192006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MASS @ RUTG</t>
        </is>
      </c>
      <c r="C82" s="17" t="inlineStr">
        <is>
          <t>2026-09-03 22:00</t>
        </is>
      </c>
      <c r="D82" s="25" t="n">
        <v>1</v>
      </c>
      <c r="E82" s="17" t="inlineStr">
        <is>
          <t>ATS</t>
        </is>
      </c>
      <c r="F82" s="17" t="inlineStr">
        <is>
          <t>RUTG -30.5</t>
        </is>
      </c>
      <c r="G82" s="26" t="n">
        <v>-30.5</v>
      </c>
      <c r="H82" s="18" t="n">
        <v>-112</v>
      </c>
      <c r="I82" s="20" t="n">
        <v>0.2637706885532299</v>
      </c>
      <c r="J82" s="20" t="n">
        <v>0.5043297540699688</v>
      </c>
      <c r="K82" s="20" t="n">
        <v>0.5283018867924528</v>
      </c>
      <c r="L82" s="19" t="n">
        <v>-0.2645311982392229</v>
      </c>
      <c r="M82" s="19" t="n">
        <v>-0.5007197680956719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MRMK @ DEL</t>
        </is>
      </c>
      <c r="C83" s="12" t="inlineStr">
        <is>
          <t>2026-09-03 23:00</t>
        </is>
      </c>
      <c r="D83" s="22" t="n">
        <v>1</v>
      </c>
      <c r="E83" s="12" t="inlineStr">
        <is>
          <t>ATS</t>
        </is>
      </c>
      <c r="F83" s="12" t="inlineStr">
        <is>
          <t>DEL -28.5</t>
        </is>
      </c>
      <c r="G83" s="23" t="n">
        <v>-28.5</v>
      </c>
      <c r="H83" s="13" t="n">
        <v>-112</v>
      </c>
      <c r="I83" s="15" t="n">
        <v>0.2613150626201174</v>
      </c>
      <c r="J83" s="15" t="n">
        <v>0.5043297540699688</v>
      </c>
      <c r="K83" s="15" t="n">
        <v>0.5283018867924528</v>
      </c>
      <c r="L83" s="14" t="n">
        <v>-0.2669868241723354</v>
      </c>
      <c r="M83" s="14" t="n">
        <v>-0.5053679171833493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MRMK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BCU @ UCF</t>
        </is>
      </c>
      <c r="C84" s="17" t="inlineStr">
        <is>
          <t>2026-09-03 23:00</t>
        </is>
      </c>
      <c r="D84" s="25" t="n">
        <v>1</v>
      </c>
      <c r="E84" s="17" t="inlineStr">
        <is>
          <t>ATS</t>
        </is>
      </c>
      <c r="F84" s="17" t="inlineStr">
        <is>
          <t>UCF -42.5</t>
        </is>
      </c>
      <c r="G84" s="26" t="n">
        <v>-42.5</v>
      </c>
      <c r="H84" s="18" t="n">
        <v>-108</v>
      </c>
      <c r="I84" s="20" t="n">
        <v>0.2482518098143184</v>
      </c>
      <c r="J84" s="20" t="n">
        <v>0.4956702459300312</v>
      </c>
      <c r="K84" s="20" t="n">
        <v>0.5192307692307693</v>
      </c>
      <c r="L84" s="19" t="n">
        <v>-0.2709789594164509</v>
      </c>
      <c r="M84" s="19" t="n">
        <v>-0.521885403320572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BCU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2026-08-29</t>
        </is>
      </c>
      <c r="B6" s="12" t="inlineStr">
        <is>
          <t>HAW @ STAN</t>
        </is>
      </c>
      <c r="C6" s="12" t="inlineStr">
        <is>
          <t>TOTAL</t>
        </is>
      </c>
      <c r="D6" s="12" t="inlineStr">
        <is>
          <t>Over 49.5</t>
        </is>
      </c>
      <c r="E6" s="13" t="n">
        <v>-105</v>
      </c>
      <c r="F6" s="16" t="n">
        <v>21.5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0.0834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2026-08-29</t>
        </is>
      </c>
      <c r="B7" s="17" t="inlineStr">
        <is>
          <t>SAC @ EMU</t>
        </is>
      </c>
      <c r="C7" s="17" t="inlineStr">
        <is>
          <t>ML</t>
        </is>
      </c>
      <c r="D7" s="17" t="inlineStr">
        <is>
          <t>SAC ML</t>
        </is>
      </c>
      <c r="E7" s="18" t="n">
        <v>280</v>
      </c>
      <c r="F7" s="21" t="n">
        <v>18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0.1055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2026-08-29</t>
        </is>
      </c>
      <c r="B8" s="12" t="inlineStr">
        <is>
          <t>UNC @ TCU</t>
        </is>
      </c>
      <c r="C8" s="12" t="inlineStr">
        <is>
          <t>ATS</t>
        </is>
      </c>
      <c r="D8" s="12" t="inlineStr">
        <is>
          <t>UNC +7.5</t>
        </is>
      </c>
      <c r="E8" s="13" t="n">
        <v>-108</v>
      </c>
      <c r="F8" s="16" t="n">
        <v>21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0.0801</v>
      </c>
      <c r="M8" s="14" t="n"/>
      <c r="N8" s="12" t="n"/>
      <c r="O8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>
        <v>240</v>
      </c>
      <c r="L5" s="13" t="n">
        <v>-298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59.5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>
        <v>180</v>
      </c>
      <c r="L7" s="13" t="n">
        <v>-218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210</v>
      </c>
      <c r="L8" s="18" t="n">
        <v>-258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52.5</v>
      </c>
      <c r="K9" s="13" t="n">
        <v>280</v>
      </c>
      <c r="L9" s="13" t="n">
        <v>-355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48.5</v>
      </c>
      <c r="K10" s="18" t="n">
        <v>180</v>
      </c>
      <c r="L10" s="18" t="n">
        <v>-218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2000</v>
      </c>
      <c r="L11" s="13" t="n">
        <v>-6500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>
        <v>185</v>
      </c>
      <c r="L12" s="18" t="n">
        <v>-225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>
        <v>1300</v>
      </c>
      <c r="L15" s="13" t="n">
        <v>-2800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2200</v>
      </c>
      <c r="L18" s="18" t="n">
        <v>-8000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3000</v>
      </c>
      <c r="L22" s="18" t="n">
        <v>-10000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/>
      <c r="J24" s="30" t="n"/>
      <c r="K24" s="18" t="n"/>
      <c r="L24" s="18" t="n"/>
      <c r="M24" s="17" t="n"/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/>
      <c r="J25" s="29" t="n"/>
      <c r="K25" s="13" t="n"/>
      <c r="L25" s="13" t="n"/>
      <c r="M25" s="12" t="n"/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/>
      <c r="J26" s="30" t="n"/>
      <c r="K26" s="18" t="n"/>
      <c r="L26" s="18" t="n"/>
      <c r="M26" s="17" t="n"/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/>
      <c r="J46" s="30" t="n"/>
      <c r="K46" s="18" t="n"/>
      <c r="L46" s="18" t="n"/>
      <c r="M46" s="17" t="n"/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/>
      <c r="J47" s="29" t="n"/>
      <c r="K47" s="13" t="n"/>
      <c r="L47" s="13" t="n"/>
      <c r="M47" s="12" t="n"/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/>
      <c r="J66" s="30" t="n"/>
      <c r="K66" s="18" t="n"/>
      <c r="L66" s="18" t="n"/>
      <c r="M66" s="17" t="n"/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/>
      <c r="J67" s="29" t="n"/>
      <c r="K67" s="13" t="n"/>
      <c r="L67" s="13" t="n"/>
      <c r="M67" s="12" t="n"/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/>
      <c r="J68" s="30" t="n"/>
      <c r="K68" s="18" t="n"/>
      <c r="L68" s="18" t="n"/>
      <c r="M68" s="17" t="n"/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/>
      <c r="J69" s="29" t="n"/>
      <c r="K69" s="13" t="n"/>
      <c r="L69" s="13" t="n"/>
      <c r="M69" s="12" t="n"/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/>
      <c r="J70" s="30" t="n"/>
      <c r="K70" s="18" t="n"/>
      <c r="L70" s="18" t="n"/>
      <c r="M70" s="17" t="n"/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/>
      <c r="J71" s="29" t="n"/>
      <c r="K71" s="13" t="n"/>
      <c r="L71" s="13" t="n"/>
      <c r="M71" s="12" t="n"/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/>
      <c r="J72" s="30" t="n"/>
      <c r="K72" s="18" t="n"/>
      <c r="L72" s="18" t="n"/>
      <c r="M72" s="17" t="n"/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/>
      <c r="J73" s="29" t="n"/>
      <c r="K73" s="13" t="n"/>
      <c r="L73" s="13" t="n"/>
      <c r="M73" s="12" t="n"/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/>
      <c r="J74" s="30" t="n"/>
      <c r="K74" s="18" t="n"/>
      <c r="L74" s="18" t="n"/>
      <c r="M74" s="17" t="n"/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/>
      <c r="J75" s="29" t="n"/>
      <c r="K75" s="13" t="n"/>
      <c r="L75" s="13" t="n"/>
      <c r="M75" s="12" t="n"/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/>
      <c r="J76" s="30" t="n"/>
      <c r="K76" s="18" t="n"/>
      <c r="L76" s="18" t="n"/>
      <c r="M76" s="17" t="n"/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/>
      <c r="J77" s="29" t="n"/>
      <c r="K77" s="13" t="n"/>
      <c r="L77" s="13" t="n"/>
      <c r="M77" s="12" t="n"/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/>
      <c r="J78" s="30" t="n"/>
      <c r="K78" s="18" t="n"/>
      <c r="L78" s="18" t="n"/>
      <c r="M78" s="17" t="n"/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/>
      <c r="J79" s="29" t="n"/>
      <c r="K79" s="13" t="n"/>
      <c r="L79" s="13" t="n"/>
      <c r="M79" s="12" t="n"/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/>
      <c r="J80" s="30" t="n"/>
      <c r="K80" s="18" t="n"/>
      <c r="L80" s="18" t="n"/>
      <c r="M80" s="17" t="n"/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/>
      <c r="J81" s="29" t="n"/>
      <c r="K81" s="13" t="n"/>
      <c r="L81" s="13" t="n"/>
      <c r="M81" s="12" t="n"/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/>
      <c r="J82" s="30" t="n"/>
      <c r="K82" s="18" t="n"/>
      <c r="L82" s="18" t="n"/>
      <c r="M82" s="17" t="n"/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/>
      <c r="J83" s="29" t="n"/>
      <c r="K83" s="13" t="n"/>
      <c r="L83" s="13" t="n"/>
      <c r="M83" s="12" t="n"/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40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40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2026-08-24T18:03:18Z</dcterms:created>
  <dcterms:modified xsi:type="dcterms:W3CDTF">2026-08-24T18:03:19Z</dcterms:modified>
</cp:coreProperties>
</file>
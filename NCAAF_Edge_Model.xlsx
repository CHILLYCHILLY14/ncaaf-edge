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8" headerRowCount="1">
  <autoFilter ref="A4:G28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2026-09-04T03:04:27+00:00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Ledger'!$G$6:$G$41,"&lt;&gt;Pending",'Bet Ledger'!$H$6:$H$41)</f>
        <v/>
      </c>
    </row>
    <row r="6">
      <c r="A6" s="3" t="inlineStr">
        <is>
          <t>Total Staked</t>
        </is>
      </c>
      <c r="B6" s="5">
        <f>SUMIF('Bet Ledger'!$G$6:$G$41,"&lt;&gt;Pending",'Bet Ledger'!$F$6:$F$41)</f>
        <v/>
      </c>
    </row>
    <row r="7">
      <c r="A7" s="3" t="inlineStr">
        <is>
          <t>Profit / Loss</t>
        </is>
      </c>
      <c r="B7" s="5">
        <f>SUMIF('Bet Ledger'!$G$6:$G$41,"&lt;&gt;Pending",'Bet Ledger'!$H$6:$H$41)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Ledger'!$G$6:$G$41,"&lt;&gt;Pending",'Bet Ledger'!$G$6:$G$41,"&lt;&gt;")</f>
        <v/>
      </c>
    </row>
    <row r="10">
      <c r="A10" s="3" t="inlineStr">
        <is>
          <t>Wins</t>
        </is>
      </c>
      <c r="B10" s="7">
        <f>COUNTIF('Bet Ledger'!$G$6:$G$41,"Win")</f>
        <v/>
      </c>
    </row>
    <row r="11">
      <c r="A11" s="3" t="inlineStr">
        <is>
          <t>Losses</t>
        </is>
      </c>
      <c r="B11" s="7">
        <f>COUNTIF('Bet Ledger'!$G$6:$G$41,"Loss")</f>
        <v/>
      </c>
    </row>
    <row r="12">
      <c r="A12" s="3" t="inlineStr">
        <is>
          <t>Pushes</t>
        </is>
      </c>
      <c r="B12" s="7">
        <f>COUNTIF('Bet Ledger'!$G$6:$G$41,"Push")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Ledger'!$G$6:$G$41,"Pending")</f>
        <v/>
      </c>
    </row>
    <row r="15">
      <c r="A15" s="3" t="inlineStr">
        <is>
          <t>Live Plays On The Board</t>
        </is>
      </c>
      <c r="B15" s="7" t="n">
        <v>13</v>
      </c>
    </row>
    <row r="16">
      <c r="A16" s="3" t="inlineStr">
        <is>
          <t>Solved Home Field (pts)</t>
        </is>
      </c>
      <c r="B16" s="9" t="n">
        <v>3.24</v>
      </c>
    </row>
    <row r="17">
      <c r="A17" s="3" t="inlineStr">
        <is>
          <t>Brier Score</t>
        </is>
      </c>
      <c r="B17" s="10" t="n">
        <v>0.1992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-105</v>
      </c>
      <c r="F21" s="14" t="n">
        <v>0.09784332199889434</v>
      </c>
      <c r="G21" s="15" t="n">
        <v>0.6100384439501139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575</v>
      </c>
      <c r="F22" s="19" t="n">
        <v>0.1266191716699667</v>
      </c>
      <c r="G22" s="20" t="n">
        <v>0.2747673198181149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MIA @ STAN</t>
        </is>
      </c>
      <c r="C23" s="12" t="inlineStr">
        <is>
          <t>TOTAL</t>
        </is>
      </c>
      <c r="D23" s="12" t="inlineStr">
        <is>
          <t>Over 48.5</t>
        </is>
      </c>
      <c r="E23" s="13" t="n">
        <v>100</v>
      </c>
      <c r="F23" s="14" t="n">
        <v>0.1243522454367827</v>
      </c>
      <c r="G23" s="15" t="n">
        <v>0.6243522454367827</v>
      </c>
      <c r="H23" s="16" t="n"/>
      <c r="I23" s="12" t="inlineStr">
        <is>
          <t>2026-09-05 01:00</t>
        </is>
      </c>
    </row>
    <row r="24">
      <c r="A24" s="17" t="inlineStr">
        <is>
          <t>LEAN</t>
        </is>
      </c>
      <c r="B24" s="17" t="inlineStr">
        <is>
          <t>M-OH @ PITT</t>
        </is>
      </c>
      <c r="C24" s="17" t="inlineStr">
        <is>
          <t>ML</t>
        </is>
      </c>
      <c r="D24" s="17" t="inlineStr">
        <is>
          <t>M-OH ML</t>
        </is>
      </c>
      <c r="E24" s="18" t="n">
        <v>550</v>
      </c>
      <c r="F24" s="19" t="n">
        <v>0.1236636203920621</v>
      </c>
      <c r="G24" s="20" t="n">
        <v>0.277509774238216</v>
      </c>
      <c r="H24" s="21" t="n"/>
      <c r="I24" s="17" t="inlineStr">
        <is>
          <t>2026-09-05 16:30</t>
        </is>
      </c>
    </row>
    <row r="25">
      <c r="A25" s="12" t="inlineStr">
        <is>
          <t>LEAN</t>
        </is>
      </c>
      <c r="B25" s="12" t="inlineStr">
        <is>
          <t>ISU @ IOWA</t>
        </is>
      </c>
      <c r="C25" s="12" t="inlineStr">
        <is>
          <t>ATS</t>
        </is>
      </c>
      <c r="D25" s="12" t="inlineStr">
        <is>
          <t>ISU +12.5</t>
        </is>
      </c>
      <c r="E25" s="13" t="n">
        <v>-110</v>
      </c>
      <c r="F25" s="14" t="n">
        <v>0.1201028828739352</v>
      </c>
      <c r="G25" s="15" t="n">
        <v>0.6439124066834591</v>
      </c>
      <c r="H25" s="16" t="n"/>
      <c r="I25" s="12" t="inlineStr">
        <is>
          <t>2026-09-12 23:30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490</v>
      </c>
      <c r="F26" s="19" t="n">
        <v>0.1156980985771572</v>
      </c>
      <c r="G26" s="20" t="n">
        <v>0.285189624000886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MIZ @ KU</t>
        </is>
      </c>
      <c r="C27" s="12" t="inlineStr">
        <is>
          <t>ML</t>
        </is>
      </c>
      <c r="D27" s="12" t="inlineStr">
        <is>
          <t>KU ML</t>
        </is>
      </c>
      <c r="E27" s="13" t="n">
        <v>185</v>
      </c>
      <c r="F27" s="14" t="n">
        <v>0.1135594624868755</v>
      </c>
      <c r="G27" s="15" t="n">
        <v>0.4644366554693317</v>
      </c>
      <c r="H27" s="16" t="n"/>
      <c r="I27" s="12" t="inlineStr">
        <is>
          <t>2026-09-12 00:00</t>
        </is>
      </c>
    </row>
    <row r="28">
      <c r="A28" s="17" t="inlineStr">
        <is>
          <t>LEAN</t>
        </is>
      </c>
      <c r="B28" s="17" t="inlineStr">
        <is>
          <t>BC @ CIN</t>
        </is>
      </c>
      <c r="C28" s="17" t="inlineStr">
        <is>
          <t>TOTAL</t>
        </is>
      </c>
      <c r="D28" s="17" t="inlineStr">
        <is>
          <t>Over 50.5</t>
        </is>
      </c>
      <c r="E28" s="18" t="n">
        <v>-105</v>
      </c>
      <c r="F28" s="19" t="n">
        <v>0.1067178374035724</v>
      </c>
      <c r="G28" s="20" t="n">
        <v>0.618912959354792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ASU @ TA&amp;M</t>
        </is>
      </c>
      <c r="C29" s="12" t="inlineStr">
        <is>
          <t>ML</t>
        </is>
      </c>
      <c r="D29" s="12" t="inlineStr">
        <is>
          <t>ASU ML</t>
        </is>
      </c>
      <c r="E29" s="13" t="n">
        <v>425</v>
      </c>
      <c r="F29" s="14" t="n">
        <v>0.1046336503343814</v>
      </c>
      <c r="G29" s="15" t="n">
        <v>0.2951098408105719</v>
      </c>
      <c r="H29" s="16" t="n"/>
      <c r="I29" s="12" t="inlineStr">
        <is>
          <t>2026-09-12 16:00</t>
        </is>
      </c>
    </row>
    <row r="30">
      <c r="A30" s="17" t="inlineStr">
        <is>
          <t>LEAN</t>
        </is>
      </c>
      <c r="B30" s="17" t="inlineStr">
        <is>
          <t>ORST @ HOU</t>
        </is>
      </c>
      <c r="C30" s="17" t="inlineStr">
        <is>
          <t>TOTAL</t>
        </is>
      </c>
      <c r="D30" s="17" t="inlineStr">
        <is>
          <t>Over 49.5</t>
        </is>
      </c>
      <c r="E30" s="18" t="n">
        <v>-112</v>
      </c>
      <c r="F30" s="19" t="n">
        <v>0.1013596786304041</v>
      </c>
      <c r="G30" s="20" t="n">
        <v>0.6296615654228569</v>
      </c>
      <c r="H30" s="21" t="n"/>
      <c r="I30" s="17" t="inlineStr">
        <is>
          <t>2026-09-05 16:00</t>
        </is>
      </c>
    </row>
    <row r="31">
      <c r="A31" s="12" t="inlineStr">
        <is>
          <t>LEAN</t>
        </is>
      </c>
      <c r="B31" s="12" t="inlineStr">
        <is>
          <t>ARST @ MEM</t>
        </is>
      </c>
      <c r="C31" s="12" t="inlineStr">
        <is>
          <t>ATS</t>
        </is>
      </c>
      <c r="D31" s="12" t="inlineStr">
        <is>
          <t>ARST +11.5</t>
        </is>
      </c>
      <c r="E31" s="13" t="n">
        <v>-110</v>
      </c>
      <c r="F31" s="14" t="n">
        <v>0.0997349718057724</v>
      </c>
      <c r="G31" s="15" t="n">
        <v>0.6235444956152962</v>
      </c>
      <c r="H31" s="16" t="n"/>
      <c r="I31" s="12" t="inlineStr">
        <is>
          <t>2026-09-05 23:00</t>
        </is>
      </c>
    </row>
    <row r="32">
      <c r="A32" s="17" t="inlineStr">
        <is>
          <t>LEAN</t>
        </is>
      </c>
      <c r="B32" s="17" t="inlineStr">
        <is>
          <t>TULN @ DUKE</t>
        </is>
      </c>
      <c r="C32" s="17" t="inlineStr">
        <is>
          <t>TOTAL</t>
        </is>
      </c>
      <c r="D32" s="17" t="inlineStr">
        <is>
          <t>Over 51.5</t>
        </is>
      </c>
      <c r="E32" s="18" t="n">
        <v>-102</v>
      </c>
      <c r="F32" s="19" t="n">
        <v>0.09928256958863946</v>
      </c>
      <c r="G32" s="20" t="n">
        <v>0.6042330646381444</v>
      </c>
      <c r="H32" s="21" t="n"/>
      <c r="I32" s="17" t="inlineStr">
        <is>
          <t>2026-09-05 19:30</t>
        </is>
      </c>
    </row>
    <row r="33">
      <c r="A33" s="12" t="inlineStr">
        <is>
          <t>LEAN</t>
        </is>
      </c>
      <c r="B33" s="12" t="inlineStr">
        <is>
          <t>LIB @ JMU</t>
        </is>
      </c>
      <c r="C33" s="12" t="inlineStr">
        <is>
          <t>TOTAL</t>
        </is>
      </c>
      <c r="D33" s="12" t="inlineStr">
        <is>
          <t>Over 50.5</t>
        </is>
      </c>
      <c r="E33" s="13" t="n">
        <v>-112</v>
      </c>
      <c r="F33" s="14" t="n">
        <v>0.09819306769049796</v>
      </c>
      <c r="G33" s="15" t="n">
        <v>0.6264949544829508</v>
      </c>
      <c r="H33" s="16" t="n"/>
      <c r="I33" s="12" t="inlineStr">
        <is>
          <t>2026-09-05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-105</v>
      </c>
      <c r="I5" s="15" t="n">
        <v>0.6100384439501139</v>
      </c>
      <c r="J5" s="15" t="n">
        <v>0.4891657638136511</v>
      </c>
      <c r="K5" s="15" t="n">
        <v>0.5121951219512195</v>
      </c>
      <c r="L5" s="14" t="n">
        <v>0.09784332199889434</v>
      </c>
      <c r="M5" s="14" t="n">
        <v>0.1812407387934948</v>
      </c>
      <c r="N5" s="15" t="n">
        <v>0.0512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575</v>
      </c>
      <c r="I6" s="20" t="n">
        <v>0.2747673198181149</v>
      </c>
      <c r="J6" s="20" t="n">
        <v>0.1420560747663552</v>
      </c>
      <c r="K6" s="20" t="n">
        <v>0.1481481481481481</v>
      </c>
      <c r="L6" s="19" t="n">
        <v>0.1266191716699667</v>
      </c>
      <c r="M6" s="19" t="n">
        <v>0.8546794087722753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MIA @ STAN</t>
        </is>
      </c>
      <c r="C7" s="12" t="inlineStr">
        <is>
          <t>2026-09-05 01:00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100</v>
      </c>
      <c r="I7" s="15" t="n">
        <v>0.6243522454367827</v>
      </c>
      <c r="J7" s="15" t="n">
        <v>0.4782608695652174</v>
      </c>
      <c r="K7" s="15" t="n">
        <v>0.5</v>
      </c>
      <c r="L7" s="14" t="n">
        <v>0.1243522454367827</v>
      </c>
      <c r="M7" s="14" t="n">
        <v>0.2487044908735654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M-OH @ PITT</t>
        </is>
      </c>
      <c r="C8" s="17" t="inlineStr">
        <is>
          <t>2026-09-05 16:30</t>
        </is>
      </c>
      <c r="D8" s="25" t="n">
        <v>1</v>
      </c>
      <c r="E8" s="17" t="inlineStr">
        <is>
          <t>ML</t>
        </is>
      </c>
      <c r="F8" s="17" t="inlineStr">
        <is>
          <t>M-OH ML</t>
        </is>
      </c>
      <c r="G8" s="26" t="n"/>
      <c r="H8" s="18" t="n">
        <v>550</v>
      </c>
      <c r="I8" s="20" t="n">
        <v>0.277509774238216</v>
      </c>
      <c r="J8" s="20" t="n">
        <v>0.1475409836065574</v>
      </c>
      <c r="K8" s="20" t="n">
        <v>0.1538461538461539</v>
      </c>
      <c r="L8" s="19" t="n">
        <v>0.1236636203920621</v>
      </c>
      <c r="M8" s="19" t="n">
        <v>0.8038135325484039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ISU @ IOWA</t>
        </is>
      </c>
      <c r="C9" s="12" t="inlineStr">
        <is>
          <t>2026-09-12 23:30</t>
        </is>
      </c>
      <c r="D9" s="22" t="n">
        <v>2</v>
      </c>
      <c r="E9" s="12" t="inlineStr">
        <is>
          <t>ATS</t>
        </is>
      </c>
      <c r="F9" s="12" t="inlineStr">
        <is>
          <t>ISU +12.5</t>
        </is>
      </c>
      <c r="G9" s="23" t="n">
        <v>-12.5</v>
      </c>
      <c r="H9" s="13" t="n">
        <v>-110</v>
      </c>
      <c r="I9" s="15" t="n">
        <v>0.6439124066834591</v>
      </c>
      <c r="J9" s="15" t="n">
        <v>0.5</v>
      </c>
      <c r="K9" s="15" t="n">
        <v>0.5238095238095238</v>
      </c>
      <c r="L9" s="14" t="n">
        <v>0.1201028828739352</v>
      </c>
      <c r="M9" s="14" t="n">
        <v>0.22928732185024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490</v>
      </c>
      <c r="I10" s="20" t="n">
        <v>0.285189624000886</v>
      </c>
      <c r="J10" s="20" t="n">
        <v>0.162900683131897</v>
      </c>
      <c r="K10" s="20" t="n">
        <v>0.1694915254237288</v>
      </c>
      <c r="L10" s="19" t="n">
        <v>0.1156980985771572</v>
      </c>
      <c r="M10" s="19" t="n">
        <v>0.6826187816052274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MIZ @ KU</t>
        </is>
      </c>
      <c r="C11" s="12" t="inlineStr">
        <is>
          <t>2026-09-12 00:00</t>
        </is>
      </c>
      <c r="D11" s="22" t="n">
        <v>2</v>
      </c>
      <c r="E11" s="12" t="inlineStr">
        <is>
          <t>ML</t>
        </is>
      </c>
      <c r="F11" s="12" t="inlineStr">
        <is>
          <t>KU ML</t>
        </is>
      </c>
      <c r="G11" s="23" t="n"/>
      <c r="H11" s="13" t="n">
        <v>185</v>
      </c>
      <c r="I11" s="15" t="n">
        <v>0.4644366554693317</v>
      </c>
      <c r="J11" s="15" t="n">
        <v>0.3363518758085381</v>
      </c>
      <c r="K11" s="15" t="n">
        <v>0.3508771929824561</v>
      </c>
      <c r="L11" s="14" t="n">
        <v>0.1135594624868755</v>
      </c>
      <c r="M11" s="14" t="n">
        <v>0.3236444680875953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BC @ CIN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Over 50.5</t>
        </is>
      </c>
      <c r="G12" s="26" t="n">
        <v>50.5</v>
      </c>
      <c r="H12" s="18" t="n">
        <v>-105</v>
      </c>
      <c r="I12" s="20" t="n">
        <v>0.618912959354792</v>
      </c>
      <c r="J12" s="20" t="n">
        <v>0.4891657638136511</v>
      </c>
      <c r="K12" s="20" t="n">
        <v>0.5121951219512195</v>
      </c>
      <c r="L12" s="19" t="n">
        <v>0.1067178374035724</v>
      </c>
      <c r="M12" s="19" t="n">
        <v>0.2083538730260224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ASU @ TA&amp;M</t>
        </is>
      </c>
      <c r="C13" s="12" t="inlineStr">
        <is>
          <t>2026-09-12 16:00</t>
        </is>
      </c>
      <c r="D13" s="22" t="n">
        <v>2</v>
      </c>
      <c r="E13" s="12" t="inlineStr">
        <is>
          <t>ML</t>
        </is>
      </c>
      <c r="F13" s="12" t="inlineStr">
        <is>
          <t>ASU ML</t>
        </is>
      </c>
      <c r="G13" s="23" t="n"/>
      <c r="H13" s="13" t="n">
        <v>425</v>
      </c>
      <c r="I13" s="15" t="n">
        <v>0.2951098408105719</v>
      </c>
      <c r="J13" s="15" t="n">
        <v>0.182741116751269</v>
      </c>
      <c r="K13" s="15" t="n">
        <v>0.1904761904761905</v>
      </c>
      <c r="L13" s="14" t="n">
        <v>0.1046336503343814</v>
      </c>
      <c r="M13" s="14" t="n">
        <v>0.5493266642555024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ORST @ HOU</t>
        </is>
      </c>
      <c r="C14" s="17" t="inlineStr">
        <is>
          <t>2026-09-05 16:00</t>
        </is>
      </c>
      <c r="D14" s="25" t="n">
        <v>1</v>
      </c>
      <c r="E14" s="17" t="inlineStr">
        <is>
          <t>TOTAL</t>
        </is>
      </c>
      <c r="F14" s="17" t="inlineStr">
        <is>
          <t>Over 49.5</t>
        </is>
      </c>
      <c r="G14" s="26" t="n">
        <v>49.5</v>
      </c>
      <c r="H14" s="18" t="n">
        <v>-112</v>
      </c>
      <c r="I14" s="20" t="n">
        <v>0.6296615654228569</v>
      </c>
      <c r="J14" s="20" t="n">
        <v>0.5043297540699688</v>
      </c>
      <c r="K14" s="20" t="n">
        <v>0.5283018867924528</v>
      </c>
      <c r="L14" s="19" t="n">
        <v>0.1013596786304041</v>
      </c>
      <c r="M14" s="19" t="n">
        <v>0.1918593916932648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ARST @ MEM</t>
        </is>
      </c>
      <c r="C15" s="12" t="inlineStr">
        <is>
          <t>2026-09-05 23:00</t>
        </is>
      </c>
      <c r="D15" s="22" t="n">
        <v>1</v>
      </c>
      <c r="E15" s="12" t="inlineStr">
        <is>
          <t>ATS</t>
        </is>
      </c>
      <c r="F15" s="12" t="inlineStr">
        <is>
          <t>ARST +11.5</t>
        </is>
      </c>
      <c r="G15" s="23" t="n">
        <v>-11.5</v>
      </c>
      <c r="H15" s="13" t="n">
        <v>-110</v>
      </c>
      <c r="I15" s="15" t="n">
        <v>0.6235444956152962</v>
      </c>
      <c r="J15" s="15" t="n">
        <v>0.5</v>
      </c>
      <c r="K15" s="15" t="n">
        <v>0.5238095238095238</v>
      </c>
      <c r="L15" s="14" t="n">
        <v>0.0997349718057724</v>
      </c>
      <c r="M15" s="14" t="n">
        <v>0.1904031279928383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TULN @ DUKE</t>
        </is>
      </c>
      <c r="C16" s="17" t="inlineStr">
        <is>
          <t>2026-09-05 19:30</t>
        </is>
      </c>
      <c r="D16" s="25" t="n">
        <v>1</v>
      </c>
      <c r="E16" s="17" t="inlineStr">
        <is>
          <t>TOTAL</t>
        </is>
      </c>
      <c r="F16" s="17" t="inlineStr">
        <is>
          <t>Over 51.5</t>
        </is>
      </c>
      <c r="G16" s="26" t="n">
        <v>51.5</v>
      </c>
      <c r="H16" s="18" t="n">
        <v>-102</v>
      </c>
      <c r="I16" s="20" t="n">
        <v>0.6042330646381444</v>
      </c>
      <c r="J16" s="20" t="n">
        <v>0.4826358742837298</v>
      </c>
      <c r="K16" s="20" t="n">
        <v>0.504950495049505</v>
      </c>
      <c r="L16" s="19" t="n">
        <v>0.09928256958863946</v>
      </c>
      <c r="M16" s="19" t="n">
        <v>0.1966184221265214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LIB @ JMU</t>
        </is>
      </c>
      <c r="C17" s="12" t="inlineStr">
        <is>
          <t>2026-09-05 16:00</t>
        </is>
      </c>
      <c r="D17" s="22" t="n">
        <v>1</v>
      </c>
      <c r="E17" s="12" t="inlineStr">
        <is>
          <t>TOTAL</t>
        </is>
      </c>
      <c r="F17" s="12" t="inlineStr">
        <is>
          <t>Over 50.5</t>
        </is>
      </c>
      <c r="G17" s="23" t="n">
        <v>50.5</v>
      </c>
      <c r="H17" s="13" t="n">
        <v>-112</v>
      </c>
      <c r="I17" s="15" t="n">
        <v>0.6264949544829508</v>
      </c>
      <c r="J17" s="15" t="n">
        <v>0.5043297540699688</v>
      </c>
      <c r="K17" s="15" t="n">
        <v>0.5283018867924528</v>
      </c>
      <c r="L17" s="14" t="n">
        <v>0.09819306769049796</v>
      </c>
      <c r="M17" s="14" t="n">
        <v>0.1858654495570139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PASS</t>
        </is>
      </c>
      <c r="B18" s="17" t="inlineStr">
        <is>
          <t>MIA @ STAN</t>
        </is>
      </c>
      <c r="C18" s="17" t="inlineStr">
        <is>
          <t>2026-09-05 01:00</t>
        </is>
      </c>
      <c r="D18" s="25" t="n">
        <v>1</v>
      </c>
      <c r="E18" s="17" t="inlineStr">
        <is>
          <t>ML</t>
        </is>
      </c>
      <c r="F18" s="17" t="inlineStr">
        <is>
          <t>STAN ML</t>
        </is>
      </c>
      <c r="G18" s="26" t="n"/>
      <c r="H18" s="18" t="n">
        <v>1400</v>
      </c>
      <c r="I18" s="20" t="n">
        <v>0.3249088680910238</v>
      </c>
      <c r="J18" s="20" t="n">
        <v>0.06432748538011696</v>
      </c>
      <c r="K18" s="20" t="n">
        <v>0.06666666666666667</v>
      </c>
      <c r="L18" s="19" t="n">
        <v>0.2582422014243572</v>
      </c>
      <c r="M18" s="19" t="n">
        <v>3.873633021365357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LIU @ KU</t>
        </is>
      </c>
      <c r="C19" s="12" t="inlineStr">
        <is>
          <t>2026-09-05 00:00</t>
        </is>
      </c>
      <c r="D19" s="22" t="n">
        <v>1</v>
      </c>
      <c r="E19" s="12" t="inlineStr">
        <is>
          <t>ATS</t>
        </is>
      </c>
      <c r="F19" s="12" t="inlineStr">
        <is>
          <t>LIU +41.5</t>
        </is>
      </c>
      <c r="G19" s="23" t="n">
        <v>-41.5</v>
      </c>
      <c r="H19" s="13" t="n">
        <v>102</v>
      </c>
      <c r="I19" s="15" t="n">
        <v>0.7362700662966257</v>
      </c>
      <c r="J19" s="15" t="n">
        <v>0.4739134147382802</v>
      </c>
      <c r="K19" s="15" t="n">
        <v>0.495049504950495</v>
      </c>
      <c r="L19" s="14" t="n">
        <v>0.2412205613461307</v>
      </c>
      <c r="M19" s="14" t="n">
        <v>0.4872655339191839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LIU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FUR @ TENN</t>
        </is>
      </c>
      <c r="C20" s="17" t="inlineStr">
        <is>
          <t>2026-09-05 19:30</t>
        </is>
      </c>
      <c r="D20" s="25" t="n">
        <v>1</v>
      </c>
      <c r="E20" s="17" t="inlineStr">
        <is>
          <t>ATS</t>
        </is>
      </c>
      <c r="F20" s="17" t="inlineStr">
        <is>
          <t>FUR +46.5</t>
        </is>
      </c>
      <c r="G20" s="26" t="n">
        <v>-46.5</v>
      </c>
      <c r="H20" s="18" t="n">
        <v>-102</v>
      </c>
      <c r="I20" s="20" t="n">
        <v>0.7411330553984974</v>
      </c>
      <c r="J20" s="20" t="n">
        <v>0.4826358742837298</v>
      </c>
      <c r="K20" s="20" t="n">
        <v>0.504950495049505</v>
      </c>
      <c r="L20" s="19" t="n">
        <v>0.2361825603489924</v>
      </c>
      <c r="M20" s="19" t="n">
        <v>0.4677340901029067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FUR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ORE @ OKST</t>
        </is>
      </c>
      <c r="C21" s="12" t="inlineStr">
        <is>
          <t>2026-09-12 16:00</t>
        </is>
      </c>
      <c r="D21" s="22" t="n">
        <v>2</v>
      </c>
      <c r="E21" s="12" t="inlineStr">
        <is>
          <t>ML</t>
        </is>
      </c>
      <c r="F21" s="12" t="inlineStr">
        <is>
          <t>OKST ML</t>
        </is>
      </c>
      <c r="G21" s="23" t="n"/>
      <c r="H21" s="13" t="n">
        <v>750</v>
      </c>
      <c r="I21" s="15" t="n">
        <v>0.3527824566954974</v>
      </c>
      <c r="J21" s="15" t="n">
        <v>0.1130434782608696</v>
      </c>
      <c r="K21" s="15" t="n">
        <v>0.1176470588235294</v>
      </c>
      <c r="L21" s="14" t="n">
        <v>0.235135397871968</v>
      </c>
      <c r="M21" s="14" t="n">
        <v>1.998650881911728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NWST @ LT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NWST +44.5</t>
        </is>
      </c>
      <c r="G22" s="26" t="n">
        <v>-44.5</v>
      </c>
      <c r="H22" s="18" t="n">
        <v>-105</v>
      </c>
      <c r="I22" s="20" t="n">
        <v>0.7442651610729487</v>
      </c>
      <c r="J22" s="20" t="n">
        <v>0.4891657638136511</v>
      </c>
      <c r="K22" s="20" t="n">
        <v>0.5121951219512195</v>
      </c>
      <c r="L22" s="19" t="n">
        <v>0.2320700391217292</v>
      </c>
      <c r="M22" s="19" t="n">
        <v>0.4530891239995665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NWST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MORG @ ASU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MORG +43.5</t>
        </is>
      </c>
      <c r="G23" s="23" t="n">
        <v>-43.5</v>
      </c>
      <c r="H23" s="13" t="n">
        <v>-105</v>
      </c>
      <c r="I23" s="15" t="n">
        <v>0.7441698289287902</v>
      </c>
      <c r="J23" s="15" t="n">
        <v>0.4891657638136511</v>
      </c>
      <c r="K23" s="15" t="n">
        <v>0.5121951219512195</v>
      </c>
      <c r="L23" s="14" t="n">
        <v>0.2319747069775707</v>
      </c>
      <c r="M23" s="14" t="n">
        <v>0.4529029993371618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MORG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NORF @ ODU</t>
        </is>
      </c>
      <c r="C24" s="17" t="inlineStr">
        <is>
          <t>2026-09-05 22:00</t>
        </is>
      </c>
      <c r="D24" s="25" t="n">
        <v>1</v>
      </c>
      <c r="E24" s="17" t="inlineStr">
        <is>
          <t>ATS</t>
        </is>
      </c>
      <c r="F24" s="17" t="inlineStr">
        <is>
          <t>NORF +40.5</t>
        </is>
      </c>
      <c r="G24" s="26" t="n">
        <v>-40.5</v>
      </c>
      <c r="H24" s="18" t="n">
        <v>-105</v>
      </c>
      <c r="I24" s="20" t="n">
        <v>0.743704855256501</v>
      </c>
      <c r="J24" s="20" t="n">
        <v>0.4891657638136511</v>
      </c>
      <c r="K24" s="20" t="n">
        <v>0.5121951219512195</v>
      </c>
      <c r="L24" s="19" t="n">
        <v>0.2315097333052815</v>
      </c>
      <c r="M24" s="19" t="n">
        <v>0.4519951935960257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NORF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NICH @ KSU</t>
        </is>
      </c>
      <c r="C25" s="12" t="inlineStr">
        <is>
          <t>2026-09-05 23:00</t>
        </is>
      </c>
      <c r="D25" s="22" t="n">
        <v>1</v>
      </c>
      <c r="E25" s="12" t="inlineStr">
        <is>
          <t>ATS</t>
        </is>
      </c>
      <c r="F25" s="12" t="inlineStr">
        <is>
          <t>NICH +40.5</t>
        </is>
      </c>
      <c r="G25" s="23" t="n">
        <v>-40.5</v>
      </c>
      <c r="H25" s="13" t="n">
        <v>-105</v>
      </c>
      <c r="I25" s="15" t="n">
        <v>0.743704855256501</v>
      </c>
      <c r="J25" s="15" t="n">
        <v>0.4891657638136511</v>
      </c>
      <c r="K25" s="15" t="n">
        <v>0.5121951219512195</v>
      </c>
      <c r="L25" s="14" t="n">
        <v>0.2315097333052815</v>
      </c>
      <c r="M25" s="14" t="n">
        <v>0.4519951935960257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NICH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PRST @ SDSU</t>
        </is>
      </c>
      <c r="C26" s="17" t="inlineStr">
        <is>
          <t>2026-09-06 01:30</t>
        </is>
      </c>
      <c r="D26" s="25" t="n">
        <v>1</v>
      </c>
      <c r="E26" s="17" t="inlineStr">
        <is>
          <t>ATS</t>
        </is>
      </c>
      <c r="F26" s="17" t="inlineStr">
        <is>
          <t>PRST +40.5</t>
        </is>
      </c>
      <c r="G26" s="26" t="n">
        <v>-40.5</v>
      </c>
      <c r="H26" s="18" t="n">
        <v>-105</v>
      </c>
      <c r="I26" s="20" t="n">
        <v>0.743704855256501</v>
      </c>
      <c r="J26" s="20" t="n">
        <v>0.4891657638136511</v>
      </c>
      <c r="K26" s="20" t="n">
        <v>0.5121951219512195</v>
      </c>
      <c r="L26" s="19" t="n">
        <v>0.2315097333052815</v>
      </c>
      <c r="M26" s="19" t="n">
        <v>0.4519951935960257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PRST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VMI @ VT</t>
        </is>
      </c>
      <c r="C27" s="12" t="inlineStr">
        <is>
          <t>2026-09-05 23:30</t>
        </is>
      </c>
      <c r="D27" s="22" t="n">
        <v>1</v>
      </c>
      <c r="E27" s="12" t="inlineStr">
        <is>
          <t>ATS</t>
        </is>
      </c>
      <c r="F27" s="12" t="inlineStr">
        <is>
          <t>VMI +55.5</t>
        </is>
      </c>
      <c r="G27" s="23" t="n">
        <v>-55.5</v>
      </c>
      <c r="H27" s="13" t="n">
        <v>-108</v>
      </c>
      <c r="I27" s="15" t="n">
        <v>0.7478228962313324</v>
      </c>
      <c r="J27" s="15" t="n">
        <v>0.4956702459300312</v>
      </c>
      <c r="K27" s="15" t="n">
        <v>0.5192307692307693</v>
      </c>
      <c r="L27" s="14" t="n">
        <v>0.2285921270005631</v>
      </c>
      <c r="M27" s="14" t="n">
        <v>0.4402515038529364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VMI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ACU @ TTU</t>
        </is>
      </c>
      <c r="C28" s="17" t="inlineStr">
        <is>
          <t>2026-09-05 23:00</t>
        </is>
      </c>
      <c r="D28" s="25" t="n">
        <v>1</v>
      </c>
      <c r="E28" s="17" t="inlineStr">
        <is>
          <t>ATS</t>
        </is>
      </c>
      <c r="F28" s="17" t="inlineStr">
        <is>
          <t>ACU +42.5</t>
        </is>
      </c>
      <c r="G28" s="26" t="n">
        <v>-42.5</v>
      </c>
      <c r="H28" s="18" t="n">
        <v>-108</v>
      </c>
      <c r="I28" s="20" t="n">
        <v>0.7473010940206759</v>
      </c>
      <c r="J28" s="20" t="n">
        <v>0.4956702459300312</v>
      </c>
      <c r="K28" s="20" t="n">
        <v>0.5192307692307693</v>
      </c>
      <c r="L28" s="19" t="n">
        <v>0.2280703247899066</v>
      </c>
      <c r="M28" s="19" t="n">
        <v>0.4392465514472278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ACU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DUQ @ AFA</t>
        </is>
      </c>
      <c r="C29" s="12" t="inlineStr">
        <is>
          <t>2026-09-05 17:00</t>
        </is>
      </c>
      <c r="D29" s="22" t="n">
        <v>1</v>
      </c>
      <c r="E29" s="12" t="inlineStr">
        <is>
          <t>ATS</t>
        </is>
      </c>
      <c r="F29" s="12" t="inlineStr">
        <is>
          <t>DUQ +28.5</t>
        </is>
      </c>
      <c r="G29" s="23" t="n">
        <v>-28.5</v>
      </c>
      <c r="H29" s="13" t="n">
        <v>100</v>
      </c>
      <c r="I29" s="15" t="n">
        <v>0.728060884864221</v>
      </c>
      <c r="J29" s="15" t="n">
        <v>0.4782608695652174</v>
      </c>
      <c r="K29" s="15" t="n">
        <v>0.5</v>
      </c>
      <c r="L29" s="14" t="n">
        <v>0.228060884864221</v>
      </c>
      <c r="M29" s="14" t="n">
        <v>0.4561217697284421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DUQ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BRY @ ARMY</t>
        </is>
      </c>
      <c r="C30" s="17" t="inlineStr">
        <is>
          <t>2026-09-05 16:00</t>
        </is>
      </c>
      <c r="D30" s="25" t="n">
        <v>1</v>
      </c>
      <c r="E30" s="17" t="inlineStr">
        <is>
          <t>ATS</t>
        </is>
      </c>
      <c r="F30" s="17" t="inlineStr">
        <is>
          <t>BRY +36.5</t>
        </is>
      </c>
      <c r="G30" s="26" t="n">
        <v>-36.5</v>
      </c>
      <c r="H30" s="18" t="n">
        <v>-108</v>
      </c>
      <c r="I30" s="20" t="n">
        <v>0.7456123554363301</v>
      </c>
      <c r="J30" s="20" t="n">
        <v>0.4956702459300312</v>
      </c>
      <c r="K30" s="20" t="n">
        <v>0.5192307692307693</v>
      </c>
      <c r="L30" s="19" t="n">
        <v>0.2263815862055608</v>
      </c>
      <c r="M30" s="19" t="n">
        <v>0.4359941660255247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BRY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UTU @ BYU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UTU +51.5</t>
        </is>
      </c>
      <c r="G31" s="23" t="n">
        <v>-51.5</v>
      </c>
      <c r="H31" s="13" t="n">
        <v>-110</v>
      </c>
      <c r="I31" s="15" t="n">
        <v>0.7499567049839799</v>
      </c>
      <c r="J31" s="15" t="n">
        <v>0.5</v>
      </c>
      <c r="K31" s="15" t="n">
        <v>0.5238095238095238</v>
      </c>
      <c r="L31" s="14" t="n">
        <v>0.2261471811744561</v>
      </c>
      <c r="M31" s="14" t="n">
        <v>0.431735527696689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UTU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TNST @ UGA</t>
        </is>
      </c>
      <c r="C32" s="17" t="inlineStr">
        <is>
          <t>2026-09-05 19:00</t>
        </is>
      </c>
      <c r="D32" s="25" t="n">
        <v>1</v>
      </c>
      <c r="E32" s="17" t="inlineStr">
        <is>
          <t>ATS</t>
        </is>
      </c>
      <c r="F32" s="17" t="inlineStr">
        <is>
          <t>TNST +46.5</t>
        </is>
      </c>
      <c r="G32" s="26" t="n">
        <v>-46.5</v>
      </c>
      <c r="H32" s="18" t="n">
        <v>-110</v>
      </c>
      <c r="I32" s="20" t="n">
        <v>0.7498151182566324</v>
      </c>
      <c r="J32" s="20" t="n">
        <v>0.5</v>
      </c>
      <c r="K32" s="20" t="n">
        <v>0.5238095238095238</v>
      </c>
      <c r="L32" s="19" t="n">
        <v>0.2260055944471085</v>
      </c>
      <c r="M32" s="19" t="n">
        <v>0.4314652257626619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TNST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HAMP @ MD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HAMP +45.5</t>
        </is>
      </c>
      <c r="G33" s="23" t="n">
        <v>-45.5</v>
      </c>
      <c r="H33" s="13" t="n">
        <v>-110</v>
      </c>
      <c r="I33" s="15" t="n">
        <v>0.7497569601158874</v>
      </c>
      <c r="J33" s="15" t="n">
        <v>0.5</v>
      </c>
      <c r="K33" s="15" t="n">
        <v>0.5238095238095238</v>
      </c>
      <c r="L33" s="14" t="n">
        <v>0.2259474363063636</v>
      </c>
      <c r="M33" s="14" t="n">
        <v>0.4313541965848761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HAMP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KENT @ SC</t>
        </is>
      </c>
      <c r="C34" s="17" t="inlineStr">
        <is>
          <t>2026-09-05 16:45</t>
        </is>
      </c>
      <c r="D34" s="25" t="n">
        <v>1</v>
      </c>
      <c r="E34" s="17" t="inlineStr">
        <is>
          <t>ATS</t>
        </is>
      </c>
      <c r="F34" s="17" t="inlineStr">
        <is>
          <t>KENT +35.5</t>
        </is>
      </c>
      <c r="G34" s="26" t="n">
        <v>-35.5</v>
      </c>
      <c r="H34" s="18" t="n">
        <v>-108</v>
      </c>
      <c r="I34" s="20" t="n">
        <v>0.7450691511911167</v>
      </c>
      <c r="J34" s="20" t="n">
        <v>0.4956702459300312</v>
      </c>
      <c r="K34" s="20" t="n">
        <v>0.5192307692307693</v>
      </c>
      <c r="L34" s="19" t="n">
        <v>0.2258383819603474</v>
      </c>
      <c r="M34" s="19" t="n">
        <v>0.4349479948865953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UNA @ ARK</t>
        </is>
      </c>
      <c r="C35" s="12" t="inlineStr">
        <is>
          <t>2026-09-05 20:15</t>
        </is>
      </c>
      <c r="D35" s="22" t="n">
        <v>1</v>
      </c>
      <c r="E35" s="12" t="inlineStr">
        <is>
          <t>ATS</t>
        </is>
      </c>
      <c r="F35" s="12" t="inlineStr">
        <is>
          <t>UNA +40.5</t>
        </is>
      </c>
      <c r="G35" s="23" t="n">
        <v>-40.5</v>
      </c>
      <c r="H35" s="13" t="n">
        <v>-110</v>
      </c>
      <c r="I35" s="15" t="n">
        <v>0.7491219733496755</v>
      </c>
      <c r="J35" s="15" t="n">
        <v>0.5</v>
      </c>
      <c r="K35" s="15" t="n">
        <v>0.5238095238095238</v>
      </c>
      <c r="L35" s="14" t="n">
        <v>0.2253124495401516</v>
      </c>
      <c r="M35" s="14" t="n">
        <v>0.4301419491221078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UNA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MOST @ TA&amp;M</t>
        </is>
      </c>
      <c r="C36" s="17" t="inlineStr">
        <is>
          <t>2026-09-05 23:00</t>
        </is>
      </c>
      <c r="D36" s="25" t="n">
        <v>1</v>
      </c>
      <c r="E36" s="17" t="inlineStr">
        <is>
          <t>ATS</t>
        </is>
      </c>
      <c r="F36" s="17" t="inlineStr">
        <is>
          <t>MOST +40.5</t>
        </is>
      </c>
      <c r="G36" s="26" t="n">
        <v>-40.5</v>
      </c>
      <c r="H36" s="18" t="n">
        <v>-110</v>
      </c>
      <c r="I36" s="20" t="n">
        <v>0.7491219733496755</v>
      </c>
      <c r="J36" s="20" t="n">
        <v>0.5</v>
      </c>
      <c r="K36" s="20" t="n">
        <v>0.5238095238095238</v>
      </c>
      <c r="L36" s="19" t="n">
        <v>0.2253124495401516</v>
      </c>
      <c r="M36" s="19" t="n">
        <v>0.4301419491221078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TOW @ NAVY</t>
        </is>
      </c>
      <c r="C37" s="12" t="inlineStr">
        <is>
          <t>2026-09-05 19:30</t>
        </is>
      </c>
      <c r="D37" s="22" t="n">
        <v>1</v>
      </c>
      <c r="E37" s="12" t="inlineStr">
        <is>
          <t>ATS</t>
        </is>
      </c>
      <c r="F37" s="12" t="inlineStr">
        <is>
          <t>TOW +30.5</t>
        </is>
      </c>
      <c r="G37" s="23" t="n">
        <v>-30.5</v>
      </c>
      <c r="H37" s="13" t="n">
        <v>-105</v>
      </c>
      <c r="I37" s="15" t="n">
        <v>0.7369010368632541</v>
      </c>
      <c r="J37" s="15" t="n">
        <v>0.4891657638136511</v>
      </c>
      <c r="K37" s="15" t="n">
        <v>0.5121951219512195</v>
      </c>
      <c r="L37" s="14" t="n">
        <v>0.2247059149120346</v>
      </c>
      <c r="M37" s="14" t="n">
        <v>0.4387115481615914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TOW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UNH @ SYR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UNH +33.5</t>
        </is>
      </c>
      <c r="G38" s="26" t="n">
        <v>-33.5</v>
      </c>
      <c r="H38" s="18" t="n">
        <v>-108</v>
      </c>
      <c r="I38" s="20" t="n">
        <v>0.7436206624754996</v>
      </c>
      <c r="J38" s="20" t="n">
        <v>0.4956702459300312</v>
      </c>
      <c r="K38" s="20" t="n">
        <v>0.5192307692307693</v>
      </c>
      <c r="L38" s="19" t="n">
        <v>0.2243898932447304</v>
      </c>
      <c r="M38" s="19" t="n">
        <v>0.4321583129157771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UNH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BALL @ OSU</t>
        </is>
      </c>
      <c r="C39" s="12" t="inlineStr">
        <is>
          <t>2026-09-05 16:30</t>
        </is>
      </c>
      <c r="D39" s="22" t="n">
        <v>1</v>
      </c>
      <c r="E39" s="12" t="inlineStr">
        <is>
          <t>ATS</t>
        </is>
      </c>
      <c r="F39" s="12" t="inlineStr">
        <is>
          <t>BALL +50.5</t>
        </is>
      </c>
      <c r="G39" s="23" t="n">
        <v>-50.5</v>
      </c>
      <c r="H39" s="13" t="n">
        <v>-112</v>
      </c>
      <c r="I39" s="15" t="n">
        <v>0.7521063391374162</v>
      </c>
      <c r="J39" s="15" t="n">
        <v>0.5043297540699688</v>
      </c>
      <c r="K39" s="15" t="n">
        <v>0.5283018867924528</v>
      </c>
      <c r="L39" s="14" t="n">
        <v>0.2238044523449634</v>
      </c>
      <c r="M39" s="14" t="n">
        <v>0.4236298562243949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INST @ PUR</t>
        </is>
      </c>
      <c r="C40" s="17" t="inlineStr">
        <is>
          <t>2026-09-04 23:00</t>
        </is>
      </c>
      <c r="D40" s="25" t="n">
        <v>1</v>
      </c>
      <c r="E40" s="17" t="inlineStr">
        <is>
          <t>ATS</t>
        </is>
      </c>
      <c r="F40" s="17" t="inlineStr">
        <is>
          <t>INST +35.5</t>
        </is>
      </c>
      <c r="G40" s="26" t="n">
        <v>-35.5</v>
      </c>
      <c r="H40" s="18" t="n">
        <v>-110</v>
      </c>
      <c r="I40" s="20" t="n">
        <v>0.7472340282261011</v>
      </c>
      <c r="J40" s="20" t="n">
        <v>0.5</v>
      </c>
      <c r="K40" s="20" t="n">
        <v>0.5238095238095238</v>
      </c>
      <c r="L40" s="19" t="n">
        <v>0.2234245044165772</v>
      </c>
      <c r="M40" s="19" t="n">
        <v>0.4265376902498293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INST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NCAT @ GAST</t>
        </is>
      </c>
      <c r="C41" s="12" t="inlineStr">
        <is>
          <t>2026-09-04 23:00</t>
        </is>
      </c>
      <c r="D41" s="22" t="n">
        <v>1</v>
      </c>
      <c r="E41" s="12" t="inlineStr">
        <is>
          <t>ATS</t>
        </is>
      </c>
      <c r="F41" s="12" t="inlineStr">
        <is>
          <t>NCAT +29.5</t>
        </is>
      </c>
      <c r="G41" s="23" t="n">
        <v>-29.5</v>
      </c>
      <c r="H41" s="13" t="n">
        <v>-105</v>
      </c>
      <c r="I41" s="15" t="n">
        <v>0.7353385195863857</v>
      </c>
      <c r="J41" s="15" t="n">
        <v>0.4891657638136511</v>
      </c>
      <c r="K41" s="15" t="n">
        <v>0.5121951219512195</v>
      </c>
      <c r="L41" s="14" t="n">
        <v>0.2231433976351662</v>
      </c>
      <c r="M41" s="14" t="n">
        <v>0.4356609191924674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NCAT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SEMO @ ISU</t>
        </is>
      </c>
      <c r="C42" s="17" t="inlineStr">
        <is>
          <t>2026-09-05 17:00</t>
        </is>
      </c>
      <c r="D42" s="25" t="n">
        <v>1</v>
      </c>
      <c r="E42" s="17" t="inlineStr">
        <is>
          <t>ATS</t>
        </is>
      </c>
      <c r="F42" s="17" t="inlineStr">
        <is>
          <t>SEMO +29.5</t>
        </is>
      </c>
      <c r="G42" s="26" t="n">
        <v>-29.5</v>
      </c>
      <c r="H42" s="18" t="n">
        <v>-105</v>
      </c>
      <c r="I42" s="20" t="n">
        <v>0.7353385195863857</v>
      </c>
      <c r="J42" s="20" t="n">
        <v>0.4891657638136511</v>
      </c>
      <c r="K42" s="20" t="n">
        <v>0.5121951219512195</v>
      </c>
      <c r="L42" s="19" t="n">
        <v>0.2231433976351662</v>
      </c>
      <c r="M42" s="19" t="n">
        <v>0.4356609191924674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SEMO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FOR @ NDSU</t>
        </is>
      </c>
      <c r="C43" s="12" t="inlineStr">
        <is>
          <t>2026-09-05 19:30</t>
        </is>
      </c>
      <c r="D43" s="22" t="n">
        <v>1</v>
      </c>
      <c r="E43" s="12" t="inlineStr">
        <is>
          <t>ATS</t>
        </is>
      </c>
      <c r="F43" s="12" t="inlineStr">
        <is>
          <t>FOR +41.5</t>
        </is>
      </c>
      <c r="G43" s="23" t="n">
        <v>-41.5</v>
      </c>
      <c r="H43" s="13" t="n">
        <v>-112</v>
      </c>
      <c r="I43" s="15" t="n">
        <v>0.7513675281219975</v>
      </c>
      <c r="J43" s="15" t="n">
        <v>0.5043297540699688</v>
      </c>
      <c r="K43" s="15" t="n">
        <v>0.5283018867924528</v>
      </c>
      <c r="L43" s="14" t="n">
        <v>0.2230656413295447</v>
      </c>
      <c r="M43" s="14" t="n">
        <v>0.422231392516638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FOR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UNT @ IU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UNT +40.5</t>
        </is>
      </c>
      <c r="G44" s="26" t="n">
        <v>-40.5</v>
      </c>
      <c r="H44" s="18" t="n">
        <v>-112</v>
      </c>
      <c r="I44" s="20" t="n">
        <v>0.7512868503846598</v>
      </c>
      <c r="J44" s="20" t="n">
        <v>0.5043297540699688</v>
      </c>
      <c r="K44" s="20" t="n">
        <v>0.5283018867924528</v>
      </c>
      <c r="L44" s="19" t="n">
        <v>0.222984963592207</v>
      </c>
      <c r="M44" s="19" t="n">
        <v>0.4220786810852489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MVSU @ SAC</t>
        </is>
      </c>
      <c r="C45" s="12" t="inlineStr">
        <is>
          <t>2026-09-06 02:00</t>
        </is>
      </c>
      <c r="D45" s="22" t="n">
        <v>1</v>
      </c>
      <c r="E45" s="12" t="inlineStr">
        <is>
          <t>ATS</t>
        </is>
      </c>
      <c r="F45" s="12" t="inlineStr">
        <is>
          <t>MVSU +37.5</t>
        </is>
      </c>
      <c r="G45" s="23" t="n">
        <v>-37.5</v>
      </c>
      <c r="H45" s="13" t="n">
        <v>-112</v>
      </c>
      <c r="I45" s="15" t="n">
        <v>0.7503052757809884</v>
      </c>
      <c r="J45" s="15" t="n">
        <v>0.5043297540699688</v>
      </c>
      <c r="K45" s="15" t="n">
        <v>0.5283018867924528</v>
      </c>
      <c r="L45" s="14" t="n">
        <v>0.2220033889885356</v>
      </c>
      <c r="M45" s="14" t="n">
        <v>0.4202207005854423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MVSU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UTEP @ OU</t>
        </is>
      </c>
      <c r="C46" s="17" t="inlineStr">
        <is>
          <t>2026-09-05 00:00</t>
        </is>
      </c>
      <c r="D46" s="25" t="n">
        <v>1</v>
      </c>
      <c r="E46" s="17" t="inlineStr">
        <is>
          <t>ATS</t>
        </is>
      </c>
      <c r="F46" s="17" t="inlineStr">
        <is>
          <t>UTEP +40.5</t>
        </is>
      </c>
      <c r="G46" s="26" t="n">
        <v>-40.5</v>
      </c>
      <c r="H46" s="18" t="n">
        <v>-112</v>
      </c>
      <c r="I46" s="20" t="n">
        <v>0.7501894370559093</v>
      </c>
      <c r="J46" s="20" t="n">
        <v>0.502134927412468</v>
      </c>
      <c r="K46" s="20" t="n">
        <v>0.5283018867924528</v>
      </c>
      <c r="L46" s="19" t="n">
        <v>0.2218875502634565</v>
      </c>
      <c r="M46" s="19" t="n">
        <v>0.4200014344272569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MERC @ NMSU</t>
        </is>
      </c>
      <c r="C47" s="12" t="inlineStr">
        <is>
          <t>2026-09-06 01:00</t>
        </is>
      </c>
      <c r="D47" s="22" t="n">
        <v>1</v>
      </c>
      <c r="E47" s="12" t="inlineStr">
        <is>
          <t>ATS</t>
        </is>
      </c>
      <c r="F47" s="12" t="inlineStr">
        <is>
          <t>MERC +28.5</t>
        </is>
      </c>
      <c r="G47" s="23" t="n">
        <v>-28.5</v>
      </c>
      <c r="H47" s="13" t="n">
        <v>-108</v>
      </c>
      <c r="I47" s="15" t="n">
        <v>0.7370229906242181</v>
      </c>
      <c r="J47" s="15" t="n">
        <v>0.4956702459300312</v>
      </c>
      <c r="K47" s="15" t="n">
        <v>0.5192307692307693</v>
      </c>
      <c r="L47" s="14" t="n">
        <v>0.2177922213934488</v>
      </c>
      <c r="M47" s="14" t="n">
        <v>0.4194516856466423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MERC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NAU @ ARIZ</t>
        </is>
      </c>
      <c r="C48" s="17" t="inlineStr">
        <is>
          <t>2026-09-06 01:30</t>
        </is>
      </c>
      <c r="D48" s="25" t="n">
        <v>1</v>
      </c>
      <c r="E48" s="17" t="inlineStr">
        <is>
          <t>ATS</t>
        </is>
      </c>
      <c r="F48" s="17" t="inlineStr">
        <is>
          <t>NAU +31.5</t>
        </is>
      </c>
      <c r="G48" s="26" t="n">
        <v>-31.5</v>
      </c>
      <c r="H48" s="18" t="n">
        <v>-112</v>
      </c>
      <c r="I48" s="20" t="n">
        <v>0.7458792770729681</v>
      </c>
      <c r="J48" s="20" t="n">
        <v>0.5043297540699688</v>
      </c>
      <c r="K48" s="20" t="n">
        <v>0.5283018867924528</v>
      </c>
      <c r="L48" s="19" t="n">
        <v>0.2175773902805153</v>
      </c>
      <c r="M48" s="19" t="n">
        <v>0.4118429173166895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NAU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TXST @ TEX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TXST +29.5</t>
        </is>
      </c>
      <c r="G49" s="23" t="n">
        <v>-29.5</v>
      </c>
      <c r="H49" s="13" t="n">
        <v>-110</v>
      </c>
      <c r="I49" s="15" t="n">
        <v>0.7407556376795602</v>
      </c>
      <c r="J49" s="15" t="n">
        <v>0.5</v>
      </c>
      <c r="K49" s="15" t="n">
        <v>0.5238095238095238</v>
      </c>
      <c r="L49" s="14" t="n">
        <v>0.2169461138700364</v>
      </c>
      <c r="M49" s="14" t="n">
        <v>0.4141698537518878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RGV @ UTSA</t>
        </is>
      </c>
      <c r="C50" s="17" t="inlineStr">
        <is>
          <t>2026-09-05 19:30</t>
        </is>
      </c>
      <c r="D50" s="25" t="n">
        <v>1</v>
      </c>
      <c r="E50" s="17" t="inlineStr">
        <is>
          <t>ATS</t>
        </is>
      </c>
      <c r="F50" s="17" t="inlineStr">
        <is>
          <t>RGV +28.5</t>
        </is>
      </c>
      <c r="G50" s="26" t="n">
        <v>-28.5</v>
      </c>
      <c r="H50" s="18" t="n">
        <v>-110</v>
      </c>
      <c r="I50" s="20" t="n">
        <v>0.7389304500816123</v>
      </c>
      <c r="J50" s="20" t="n">
        <v>0.5</v>
      </c>
      <c r="K50" s="20" t="n">
        <v>0.5238095238095238</v>
      </c>
      <c r="L50" s="19" t="n">
        <v>0.2151209262720885</v>
      </c>
      <c r="M50" s="19" t="n">
        <v>0.4106854047012599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RGV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WMU @ MICH</t>
        </is>
      </c>
      <c r="C51" s="12" t="inlineStr">
        <is>
          <t>2026-09-05 23:30</t>
        </is>
      </c>
      <c r="D51" s="22" t="n">
        <v>1</v>
      </c>
      <c r="E51" s="12" t="inlineStr">
        <is>
          <t>ATS</t>
        </is>
      </c>
      <c r="F51" s="12" t="inlineStr">
        <is>
          <t>WMU +27.5</t>
        </is>
      </c>
      <c r="G51" s="23" t="n">
        <v>-27.5</v>
      </c>
      <c r="H51" s="13" t="n">
        <v>-108</v>
      </c>
      <c r="I51" s="15" t="n">
        <v>0.7343282211220727</v>
      </c>
      <c r="J51" s="15" t="n">
        <v>0.4956702459300312</v>
      </c>
      <c r="K51" s="15" t="n">
        <v>0.5192307692307693</v>
      </c>
      <c r="L51" s="14" t="n">
        <v>0.2150974518913035</v>
      </c>
      <c r="M51" s="14" t="n">
        <v>0.4142617591980661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NIU @ IOWA</t>
        </is>
      </c>
      <c r="C52" s="17" t="inlineStr">
        <is>
          <t>2026-09-05 20:15</t>
        </is>
      </c>
      <c r="D52" s="25" t="n">
        <v>1</v>
      </c>
      <c r="E52" s="17" t="inlineStr">
        <is>
          <t>ATS</t>
        </is>
      </c>
      <c r="F52" s="17" t="inlineStr">
        <is>
          <t>NIU +31.5</t>
        </is>
      </c>
      <c r="G52" s="26" t="n">
        <v>-31.5</v>
      </c>
      <c r="H52" s="18" t="n">
        <v>-115</v>
      </c>
      <c r="I52" s="20" t="n">
        <v>0.7491315181311581</v>
      </c>
      <c r="J52" s="20" t="n">
        <v>0.5108342361863488</v>
      </c>
      <c r="K52" s="20" t="n">
        <v>0.5348837209302325</v>
      </c>
      <c r="L52" s="19" t="n">
        <v>0.2142477972009256</v>
      </c>
      <c r="M52" s="19" t="n">
        <v>0.4005502295495563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MIA @ STAN</t>
        </is>
      </c>
      <c r="C53" s="12" t="inlineStr">
        <is>
          <t>2026-09-05 01:00</t>
        </is>
      </c>
      <c r="D53" s="22" t="n">
        <v>1</v>
      </c>
      <c r="E53" s="12" t="inlineStr">
        <is>
          <t>ATS</t>
        </is>
      </c>
      <c r="F53" s="12" t="inlineStr">
        <is>
          <t>STAN +24.5</t>
        </is>
      </c>
      <c r="G53" s="23" t="n">
        <v>24.5</v>
      </c>
      <c r="H53" s="13" t="n">
        <v>-115</v>
      </c>
      <c r="I53" s="15" t="n">
        <v>0.7482330019825489</v>
      </c>
      <c r="J53" s="15" t="n">
        <v>0.5108342361863488</v>
      </c>
      <c r="K53" s="15" t="n">
        <v>0.5348837209302325</v>
      </c>
      <c r="L53" s="14" t="n">
        <v>0.2133492810523164</v>
      </c>
      <c r="M53" s="14" t="n">
        <v>0.3988703950108523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FAU @ FLA</t>
        </is>
      </c>
      <c r="C54" s="17" t="inlineStr">
        <is>
          <t>2026-09-05 23:45</t>
        </is>
      </c>
      <c r="D54" s="25" t="n">
        <v>1</v>
      </c>
      <c r="E54" s="17" t="inlineStr">
        <is>
          <t>ATS</t>
        </is>
      </c>
      <c r="F54" s="17" t="inlineStr">
        <is>
          <t>FAU +26.5</t>
        </is>
      </c>
      <c r="G54" s="26" t="n">
        <v>-26.5</v>
      </c>
      <c r="H54" s="18" t="n">
        <v>-108</v>
      </c>
      <c r="I54" s="20" t="n">
        <v>0.7320039482841461</v>
      </c>
      <c r="J54" s="20" t="n">
        <v>0.4956702459300312</v>
      </c>
      <c r="K54" s="20" t="n">
        <v>0.5192307692307693</v>
      </c>
      <c r="L54" s="19" t="n">
        <v>0.2127731790533768</v>
      </c>
      <c r="M54" s="19" t="n">
        <v>0.4097853818805777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ORE @ OKST</t>
        </is>
      </c>
      <c r="C55" s="12" t="inlineStr">
        <is>
          <t>2026-09-12 16:00</t>
        </is>
      </c>
      <c r="D55" s="22" t="n">
        <v>2</v>
      </c>
      <c r="E55" s="12" t="inlineStr">
        <is>
          <t>ATS</t>
        </is>
      </c>
      <c r="F55" s="12" t="inlineStr">
        <is>
          <t>OKST +18.5</t>
        </is>
      </c>
      <c r="G55" s="23" t="n">
        <v>18.5</v>
      </c>
      <c r="H55" s="13" t="n">
        <v>-105</v>
      </c>
      <c r="I55" s="15" t="n">
        <v>0.7248071604996498</v>
      </c>
      <c r="J55" s="15" t="n">
        <v>0.4891657638136511</v>
      </c>
      <c r="K55" s="15" t="n">
        <v>0.5121951219512195</v>
      </c>
      <c r="L55" s="14" t="n">
        <v>0.2126120385484302</v>
      </c>
      <c r="M55" s="14" t="n">
        <v>0.41509969430884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MRSH @ PSU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MRSH +23.5</t>
        </is>
      </c>
      <c r="G56" s="26" t="n">
        <v>-23.5</v>
      </c>
      <c r="H56" s="18" t="n">
        <v>-102</v>
      </c>
      <c r="I56" s="20" t="n">
        <v>0.7157796348561005</v>
      </c>
      <c r="J56" s="20" t="n">
        <v>0.4826358742837298</v>
      </c>
      <c r="K56" s="20" t="n">
        <v>0.504950495049505</v>
      </c>
      <c r="L56" s="19" t="n">
        <v>0.2108291398065956</v>
      </c>
      <c r="M56" s="19" t="n">
        <v>0.4175243749111011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ULM @ MSST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ULM +28.5</t>
        </is>
      </c>
      <c r="G57" s="23" t="n">
        <v>-28.5</v>
      </c>
      <c r="H57" s="13" t="n">
        <v>-115</v>
      </c>
      <c r="I57" s="15" t="n">
        <v>0.7443475681747868</v>
      </c>
      <c r="J57" s="15" t="n">
        <v>0.5108342361863488</v>
      </c>
      <c r="K57" s="15" t="n">
        <v>0.5348837209302325</v>
      </c>
      <c r="L57" s="14" t="n">
        <v>0.2094638472445542</v>
      </c>
      <c r="M57" s="14" t="n">
        <v>0.3916063231093838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WIS @ ND</t>
        </is>
      </c>
      <c r="C58" s="17" t="inlineStr">
        <is>
          <t>2026-09-06 23:30</t>
        </is>
      </c>
      <c r="D58" s="25" t="n">
        <v>1</v>
      </c>
      <c r="E58" s="17" t="inlineStr">
        <is>
          <t>ATS</t>
        </is>
      </c>
      <c r="F58" s="17" t="inlineStr">
        <is>
          <t>WIS +20.5</t>
        </is>
      </c>
      <c r="G58" s="26" t="n">
        <v>-20.5</v>
      </c>
      <c r="H58" s="18" t="n">
        <v>-105</v>
      </c>
      <c r="I58" s="20" t="n">
        <v>0.7198027099861445</v>
      </c>
      <c r="J58" s="20" t="n">
        <v>0.4891657638136511</v>
      </c>
      <c r="K58" s="20" t="n">
        <v>0.5121951219512195</v>
      </c>
      <c r="L58" s="19" t="n">
        <v>0.207607588034925</v>
      </c>
      <c r="M58" s="19" t="n">
        <v>0.4053291004491392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OHIO @ NEB</t>
        </is>
      </c>
      <c r="C59" s="12" t="inlineStr">
        <is>
          <t>2026-09-05 16:00</t>
        </is>
      </c>
      <c r="D59" s="22" t="n">
        <v>1</v>
      </c>
      <c r="E59" s="12" t="inlineStr">
        <is>
          <t>ATS</t>
        </is>
      </c>
      <c r="F59" s="12" t="inlineStr">
        <is>
          <t>OHIO +23.5</t>
        </is>
      </c>
      <c r="G59" s="23" t="n">
        <v>-23.5</v>
      </c>
      <c r="H59" s="13" t="n">
        <v>-105</v>
      </c>
      <c r="I59" s="15" t="n">
        <v>0.7190445796210612</v>
      </c>
      <c r="J59" s="15" t="n">
        <v>0.4891657638136511</v>
      </c>
      <c r="K59" s="15" t="n">
        <v>0.5121951219512195</v>
      </c>
      <c r="L59" s="14" t="n">
        <v>0.2068494576698416</v>
      </c>
      <c r="M59" s="14" t="n">
        <v>0.4038489411649289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BOIS @ ORE</t>
        </is>
      </c>
      <c r="C60" s="17" t="inlineStr">
        <is>
          <t>2026-09-05 19:30</t>
        </is>
      </c>
      <c r="D60" s="25" t="n">
        <v>1</v>
      </c>
      <c r="E60" s="17" t="inlineStr">
        <is>
          <t>ATS</t>
        </is>
      </c>
      <c r="F60" s="17" t="inlineStr">
        <is>
          <t>BOIS +24.5</t>
        </is>
      </c>
      <c r="G60" s="26" t="n">
        <v>-24.5</v>
      </c>
      <c r="H60" s="18" t="n">
        <v>-110</v>
      </c>
      <c r="I60" s="20" t="n">
        <v>0.7286387691936811</v>
      </c>
      <c r="J60" s="20" t="n">
        <v>0.5</v>
      </c>
      <c r="K60" s="20" t="n">
        <v>0.5238095238095238</v>
      </c>
      <c r="L60" s="19" t="n">
        <v>0.2048292453841573</v>
      </c>
      <c r="M60" s="19" t="n">
        <v>0.3910376502788457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ECU @ ALA</t>
        </is>
      </c>
      <c r="C61" s="12" t="inlineStr">
        <is>
          <t>2026-09-05 16:00</t>
        </is>
      </c>
      <c r="D61" s="22" t="n">
        <v>1</v>
      </c>
      <c r="E61" s="12" t="inlineStr">
        <is>
          <t>ATS</t>
        </is>
      </c>
      <c r="F61" s="12" t="inlineStr">
        <is>
          <t>ECU +28.5</t>
        </is>
      </c>
      <c r="G61" s="23" t="n">
        <v>-28.5</v>
      </c>
      <c r="H61" s="13" t="n">
        <v>-120</v>
      </c>
      <c r="I61" s="15" t="n">
        <v>0.7498000152990036</v>
      </c>
      <c r="J61" s="15" t="n">
        <v>0.5217391304347826</v>
      </c>
      <c r="K61" s="15" t="n">
        <v>0.5454545454545454</v>
      </c>
      <c r="L61" s="14" t="n">
        <v>0.2043454698444582</v>
      </c>
      <c r="M61" s="14" t="n">
        <v>0.3746333613815068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APSU @ VAN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APSU +29.5</t>
        </is>
      </c>
      <c r="G62" s="26" t="n">
        <v>-29.5</v>
      </c>
      <c r="H62" s="18" t="n">
        <v>-122</v>
      </c>
      <c r="I62" s="20" t="n">
        <v>0.7537989303104201</v>
      </c>
      <c r="J62" s="20" t="n">
        <v>0.5260865852617197</v>
      </c>
      <c r="K62" s="20" t="n">
        <v>0.5495495495495496</v>
      </c>
      <c r="L62" s="19" t="n">
        <v>0.2042493807608705</v>
      </c>
      <c r="M62" s="19" t="n">
        <v>0.3716669059746989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APSU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EKU @ JVST</t>
        </is>
      </c>
      <c r="C63" s="12" t="inlineStr">
        <is>
          <t>2026-09-05 23:00</t>
        </is>
      </c>
      <c r="D63" s="22" t="n">
        <v>1</v>
      </c>
      <c r="E63" s="12" t="inlineStr">
        <is>
          <t>ATS</t>
        </is>
      </c>
      <c r="F63" s="12" t="inlineStr">
        <is>
          <t>EKU +20.5</t>
        </is>
      </c>
      <c r="G63" s="23" t="n">
        <v>-20.5</v>
      </c>
      <c r="H63" s="13" t="n">
        <v>100</v>
      </c>
      <c r="I63" s="15" t="n">
        <v>0.7021661159513405</v>
      </c>
      <c r="J63" s="15" t="n">
        <v>0.4782608695652174</v>
      </c>
      <c r="K63" s="15" t="n">
        <v>0.5</v>
      </c>
      <c r="L63" s="14" t="n">
        <v>0.2021661159513405</v>
      </c>
      <c r="M63" s="14" t="n">
        <v>0.404332231902681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EKU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MUR @ MTSU</t>
        </is>
      </c>
      <c r="C64" s="17" t="inlineStr">
        <is>
          <t>2026-09-05 23:00</t>
        </is>
      </c>
      <c r="D64" s="25" t="n">
        <v>1</v>
      </c>
      <c r="E64" s="17" t="inlineStr">
        <is>
          <t>ATS</t>
        </is>
      </c>
      <c r="F64" s="17" t="inlineStr">
        <is>
          <t>MUR +20.5</t>
        </is>
      </c>
      <c r="G64" s="26" t="n">
        <v>-20.5</v>
      </c>
      <c r="H64" s="18" t="n">
        <v>102</v>
      </c>
      <c r="I64" s="20" t="n">
        <v>0.6971347620763804</v>
      </c>
      <c r="J64" s="20" t="n">
        <v>0.4739134147382802</v>
      </c>
      <c r="K64" s="20" t="n">
        <v>0.495049504950495</v>
      </c>
      <c r="L64" s="19" t="n">
        <v>0.2020852571258853</v>
      </c>
      <c r="M64" s="19" t="n">
        <v>0.4082122193942883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MUR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CHSO @ GASO</t>
        </is>
      </c>
      <c r="C65" s="12" t="inlineStr">
        <is>
          <t>2026-09-05 23:00</t>
        </is>
      </c>
      <c r="D65" s="22" t="n">
        <v>1</v>
      </c>
      <c r="E65" s="12" t="inlineStr">
        <is>
          <t>ATS</t>
        </is>
      </c>
      <c r="F65" s="12" t="inlineStr">
        <is>
          <t>CHSO +25.5</t>
        </is>
      </c>
      <c r="G65" s="23" t="n">
        <v>-25.5</v>
      </c>
      <c r="H65" s="13" t="n">
        <v>-115</v>
      </c>
      <c r="I65" s="15" t="n">
        <v>0.7367783332014732</v>
      </c>
      <c r="J65" s="15" t="n">
        <v>0.5108342361863488</v>
      </c>
      <c r="K65" s="15" t="n">
        <v>0.5348837209302325</v>
      </c>
      <c r="L65" s="14" t="n">
        <v>0.2018946122712407</v>
      </c>
      <c r="M65" s="14" t="n">
        <v>0.377455144681015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CHSO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WIS @ ND</t>
        </is>
      </c>
      <c r="C66" s="17" t="inlineStr">
        <is>
          <t>2026-09-06 23:30</t>
        </is>
      </c>
      <c r="D66" s="25" t="n">
        <v>1</v>
      </c>
      <c r="E66" s="17" t="inlineStr">
        <is>
          <t>ML</t>
        </is>
      </c>
      <c r="F66" s="17" t="inlineStr">
        <is>
          <t>WIS ML</t>
        </is>
      </c>
      <c r="G66" s="26" t="n"/>
      <c r="H66" s="18" t="n">
        <v>950</v>
      </c>
      <c r="I66" s="20" t="n">
        <v>0.2958715596330275</v>
      </c>
      <c r="J66" s="20" t="n">
        <v>0.09174311926605505</v>
      </c>
      <c r="K66" s="20" t="n">
        <v>0.09523809523809523</v>
      </c>
      <c r="L66" s="19" t="n">
        <v>0.2006334643949322</v>
      </c>
      <c r="M66" s="19" t="n">
        <v>2.106651376146788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WSU @ WASH</t>
        </is>
      </c>
      <c r="C67" s="12" t="inlineStr">
        <is>
          <t>2026-09-06 20:00</t>
        </is>
      </c>
      <c r="D67" s="22" t="n">
        <v>1</v>
      </c>
      <c r="E67" s="12" t="inlineStr">
        <is>
          <t>ATS</t>
        </is>
      </c>
      <c r="F67" s="12" t="inlineStr">
        <is>
          <t>WSU +23.5</t>
        </is>
      </c>
      <c r="G67" s="23" t="n">
        <v>-23.5</v>
      </c>
      <c r="H67" s="13" t="n">
        <v>-112</v>
      </c>
      <c r="I67" s="15" t="n">
        <v>0.72662657474922</v>
      </c>
      <c r="J67" s="15" t="n">
        <v>0.5043297540699688</v>
      </c>
      <c r="K67" s="15" t="n">
        <v>0.5283018867924528</v>
      </c>
      <c r="L67" s="14" t="n">
        <v>0.1983246879567672</v>
      </c>
      <c r="M67" s="14" t="n">
        <v>0.3754003022038807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YSU @ UK</t>
        </is>
      </c>
      <c r="C68" s="17" t="inlineStr">
        <is>
          <t>2026-09-05 17:00</t>
        </is>
      </c>
      <c r="D68" s="25" t="n">
        <v>1</v>
      </c>
      <c r="E68" s="17" t="inlineStr">
        <is>
          <t>ATS</t>
        </is>
      </c>
      <c r="F68" s="17" t="inlineStr">
        <is>
          <t>YSU +22.5</t>
        </is>
      </c>
      <c r="G68" s="26" t="n">
        <v>-22.5</v>
      </c>
      <c r="H68" s="18" t="n">
        <v>-110</v>
      </c>
      <c r="I68" s="20" t="n">
        <v>0.7209810751243373</v>
      </c>
      <c r="J68" s="20" t="n">
        <v>0.5</v>
      </c>
      <c r="K68" s="20" t="n">
        <v>0.5238095238095238</v>
      </c>
      <c r="L68" s="19" t="n">
        <v>0.1971715513148135</v>
      </c>
      <c r="M68" s="19" t="n">
        <v>0.3764184161464622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YSU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OKST @ TLSA</t>
        </is>
      </c>
      <c r="C69" s="12" t="inlineStr">
        <is>
          <t>2026-09-05 19:45</t>
        </is>
      </c>
      <c r="D69" s="22" t="n">
        <v>1</v>
      </c>
      <c r="E69" s="12" t="inlineStr">
        <is>
          <t>ML</t>
        </is>
      </c>
      <c r="F69" s="12" t="inlineStr">
        <is>
          <t>TLSA ML</t>
        </is>
      </c>
      <c r="G69" s="23" t="n"/>
      <c r="H69" s="13" t="n">
        <v>425</v>
      </c>
      <c r="I69" s="15" t="n">
        <v>0.3876312759406971</v>
      </c>
      <c r="J69" s="15" t="n">
        <v>0.182741116751269</v>
      </c>
      <c r="K69" s="15" t="n">
        <v>0.1904761904761905</v>
      </c>
      <c r="L69" s="14" t="n">
        <v>0.1971550854645067</v>
      </c>
      <c r="M69" s="14" t="n">
        <v>1.03506419868866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HCU @ RICE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HCU +22.5</t>
        </is>
      </c>
      <c r="G70" s="26" t="n">
        <v>-22.5</v>
      </c>
      <c r="H70" s="18" t="n">
        <v>-112</v>
      </c>
      <c r="I70" s="20" t="n">
        <v>0.7231459521593216</v>
      </c>
      <c r="J70" s="20" t="n">
        <v>0.5043297540699688</v>
      </c>
      <c r="K70" s="20" t="n">
        <v>0.5283018867924528</v>
      </c>
      <c r="L70" s="19" t="n">
        <v>0.1948440653668688</v>
      </c>
      <c r="M70" s="19" t="n">
        <v>0.3688119808730016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HCU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KENT @ SC</t>
        </is>
      </c>
      <c r="C71" s="12" t="inlineStr">
        <is>
          <t>2026-09-05 16:45</t>
        </is>
      </c>
      <c r="D71" s="22" t="n">
        <v>1</v>
      </c>
      <c r="E71" s="12" t="inlineStr">
        <is>
          <t>ML</t>
        </is>
      </c>
      <c r="F71" s="12" t="inlineStr">
        <is>
          <t>KENT ML</t>
        </is>
      </c>
      <c r="G71" s="23" t="n"/>
      <c r="H71" s="13" t="n">
        <v>5000</v>
      </c>
      <c r="I71" s="15" t="n">
        <v>0.213364097342343</v>
      </c>
      <c r="J71" s="15" t="n">
        <v>0.01924962981481125</v>
      </c>
      <c r="K71" s="15" t="n">
        <v>0.0196078431372549</v>
      </c>
      <c r="L71" s="14" t="n">
        <v>0.1937562542050881</v>
      </c>
      <c r="M71" s="14" t="n">
        <v>9.88156896445949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NIU @ IOWA</t>
        </is>
      </c>
      <c r="C72" s="17" t="inlineStr">
        <is>
          <t>2026-09-05 20:15</t>
        </is>
      </c>
      <c r="D72" s="25" t="n">
        <v>1</v>
      </c>
      <c r="E72" s="17" t="inlineStr">
        <is>
          <t>ML</t>
        </is>
      </c>
      <c r="F72" s="17" t="inlineStr">
        <is>
          <t>NIU ML</t>
        </is>
      </c>
      <c r="G72" s="26" t="n"/>
      <c r="H72" s="18" t="n">
        <v>5000</v>
      </c>
      <c r="I72" s="20" t="n">
        <v>0.213364097342343</v>
      </c>
      <c r="J72" s="20" t="n">
        <v>0.01924962981481125</v>
      </c>
      <c r="K72" s="20" t="n">
        <v>0.0196078431372549</v>
      </c>
      <c r="L72" s="19" t="n">
        <v>0.1937562542050881</v>
      </c>
      <c r="M72" s="19" t="n">
        <v>9.88156896445949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ML</t>
        </is>
      </c>
      <c r="F73" s="12" t="inlineStr">
        <is>
          <t>TOW ML</t>
        </is>
      </c>
      <c r="G73" s="23" t="n"/>
      <c r="H73" s="13" t="n">
        <v>4000</v>
      </c>
      <c r="I73" s="15" t="n">
        <v>0.2156672858633455</v>
      </c>
      <c r="J73" s="15" t="n">
        <v>0.02385600685681634</v>
      </c>
      <c r="K73" s="15" t="n">
        <v>0.02439024390243903</v>
      </c>
      <c r="L73" s="14" t="n">
        <v>0.1912770419609065</v>
      </c>
      <c r="M73" s="14" t="n">
        <v>7.842358720397165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CCU @ WVU</t>
        </is>
      </c>
      <c r="C74" s="17" t="inlineStr">
        <is>
          <t>2026-09-05 16:00</t>
        </is>
      </c>
      <c r="D74" s="25" t="n">
        <v>1</v>
      </c>
      <c r="E74" s="17" t="inlineStr">
        <is>
          <t>ATS</t>
        </is>
      </c>
      <c r="F74" s="17" t="inlineStr">
        <is>
          <t>CCU +21</t>
        </is>
      </c>
      <c r="G74" s="26" t="n">
        <v>-21</v>
      </c>
      <c r="H74" s="18" t="n">
        <v>-112</v>
      </c>
      <c r="I74" s="20" t="n">
        <v>0.7187843747612891</v>
      </c>
      <c r="J74" s="20" t="n">
        <v>0.5043297540699688</v>
      </c>
      <c r="K74" s="20" t="n">
        <v>0.5283018867924528</v>
      </c>
      <c r="L74" s="19" t="n">
        <v>0.1904824879688363</v>
      </c>
      <c r="M74" s="19" t="n">
        <v>0.3555788452452758</v>
      </c>
      <c r="N74" s="20" t="n">
        <v>0.0138</v>
      </c>
      <c r="O74" s="27" t="n">
        <v>0.4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SEMO @ ISU</t>
        </is>
      </c>
      <c r="C75" s="12" t="inlineStr">
        <is>
          <t>2026-09-05 17:00</t>
        </is>
      </c>
      <c r="D75" s="22" t="n">
        <v>1</v>
      </c>
      <c r="E75" s="12" t="inlineStr">
        <is>
          <t>ML</t>
        </is>
      </c>
      <c r="F75" s="12" t="inlineStr">
        <is>
          <t>SEMO ML</t>
        </is>
      </c>
      <c r="G75" s="23" t="n"/>
      <c r="H75" s="13" t="n">
        <v>3500</v>
      </c>
      <c r="I75" s="15" t="n">
        <v>0.2173185284827688</v>
      </c>
      <c r="J75" s="15" t="n">
        <v>0.02715849209566274</v>
      </c>
      <c r="K75" s="15" t="n">
        <v>0.02777777777777778</v>
      </c>
      <c r="L75" s="14" t="n">
        <v>0.189540750704991</v>
      </c>
      <c r="M75" s="14" t="n">
        <v>6.823467025379676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SEMO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FRES @ USC</t>
        </is>
      </c>
      <c r="C76" s="17" t="inlineStr">
        <is>
          <t>2026-09-05 01:00</t>
        </is>
      </c>
      <c r="D76" s="25" t="n">
        <v>1</v>
      </c>
      <c r="E76" s="17" t="inlineStr">
        <is>
          <t>ATS</t>
        </is>
      </c>
      <c r="F76" s="17" t="inlineStr">
        <is>
          <t>FRES +22.5</t>
        </is>
      </c>
      <c r="G76" s="26" t="n">
        <v>-22.5</v>
      </c>
      <c r="H76" s="18" t="n">
        <v>-118</v>
      </c>
      <c r="I76" s="20" t="n">
        <v>0.7293119163053526</v>
      </c>
      <c r="J76" s="20" t="n">
        <v>0.5173641257162701</v>
      </c>
      <c r="K76" s="20" t="n">
        <v>0.5412844036697247</v>
      </c>
      <c r="L76" s="19" t="n">
        <v>0.1880275126356279</v>
      </c>
      <c r="M76" s="19" t="n">
        <v>0.3473728623268378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ORST @ HOU</t>
        </is>
      </c>
      <c r="C77" s="12" t="inlineStr">
        <is>
          <t>2026-09-05 16:00</t>
        </is>
      </c>
      <c r="D77" s="22" t="n">
        <v>1</v>
      </c>
      <c r="E77" s="12" t="inlineStr">
        <is>
          <t>ATS</t>
        </is>
      </c>
      <c r="F77" s="12" t="inlineStr">
        <is>
          <t>ORST +21</t>
        </is>
      </c>
      <c r="G77" s="23" t="n">
        <v>-21</v>
      </c>
      <c r="H77" s="13" t="n">
        <v>-115</v>
      </c>
      <c r="I77" s="15" t="n">
        <v>0.7220366158194791</v>
      </c>
      <c r="J77" s="15" t="n">
        <v>0.5108342361863488</v>
      </c>
      <c r="K77" s="15" t="n">
        <v>0.5348837209302325</v>
      </c>
      <c r="L77" s="14" t="n">
        <v>0.1871528948892466</v>
      </c>
      <c r="M77" s="14" t="n">
        <v>0.3450644277825387</v>
      </c>
      <c r="N77" s="15" t="n">
        <v>0.0138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ISU @ IOWA</t>
        </is>
      </c>
      <c r="C78" s="17" t="inlineStr">
        <is>
          <t>2026-09-12 23:30</t>
        </is>
      </c>
      <c r="D78" s="25" t="n">
        <v>2</v>
      </c>
      <c r="E78" s="17" t="inlineStr">
        <is>
          <t>TOTAL</t>
        </is>
      </c>
      <c r="F78" s="17" t="inlineStr">
        <is>
          <t>Over 41.5</t>
        </is>
      </c>
      <c r="G78" s="26" t="n">
        <v>41.5</v>
      </c>
      <c r="H78" s="18" t="n">
        <v>-112</v>
      </c>
      <c r="I78" s="20" t="n">
        <v>0.7147404805992408</v>
      </c>
      <c r="J78" s="20" t="n">
        <v>0.5043297540699688</v>
      </c>
      <c r="K78" s="20" t="n">
        <v>0.5283018867924528</v>
      </c>
      <c r="L78" s="19" t="n">
        <v>0.186438593806788</v>
      </c>
      <c r="M78" s="19" t="n">
        <v>0.35290162399142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CIT @ CLT</t>
        </is>
      </c>
      <c r="C79" s="12" t="inlineStr">
        <is>
          <t>2026-09-05 19:30</t>
        </is>
      </c>
      <c r="D79" s="22" t="n">
        <v>1</v>
      </c>
      <c r="E79" s="12" t="inlineStr">
        <is>
          <t>ATS</t>
        </is>
      </c>
      <c r="F79" s="12" t="inlineStr">
        <is>
          <t>CIT +20.5</t>
        </is>
      </c>
      <c r="G79" s="23" t="n">
        <v>-20.5</v>
      </c>
      <c r="H79" s="13" t="n">
        <v>-112</v>
      </c>
      <c r="I79" s="15" t="n">
        <v>0.7123429317422245</v>
      </c>
      <c r="J79" s="15" t="n">
        <v>0.5043297540699688</v>
      </c>
      <c r="K79" s="15" t="n">
        <v>0.5283018867924528</v>
      </c>
      <c r="L79" s="14" t="n">
        <v>0.1840410449497717</v>
      </c>
      <c r="M79" s="14" t="n">
        <v>0.3483634065120678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CIT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LAM @ UL</t>
        </is>
      </c>
      <c r="C80" s="17" t="inlineStr">
        <is>
          <t>2026-09-06 00:00</t>
        </is>
      </c>
      <c r="D80" s="25" t="n">
        <v>1</v>
      </c>
      <c r="E80" s="17" t="inlineStr">
        <is>
          <t>ATS</t>
        </is>
      </c>
      <c r="F80" s="17" t="inlineStr">
        <is>
          <t>LAM +20.5</t>
        </is>
      </c>
      <c r="G80" s="26" t="n">
        <v>-20.5</v>
      </c>
      <c r="H80" s="18" t="n">
        <v>-112</v>
      </c>
      <c r="I80" s="20" t="n">
        <v>0.7123429317422245</v>
      </c>
      <c r="J80" s="20" t="n">
        <v>0.5043297540699688</v>
      </c>
      <c r="K80" s="20" t="n">
        <v>0.5283018867924528</v>
      </c>
      <c r="L80" s="19" t="n">
        <v>0.1840410449497717</v>
      </c>
      <c r="M80" s="19" t="n">
        <v>0.3483634065120678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LAM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TXST @ TEX</t>
        </is>
      </c>
      <c r="C81" s="12" t="inlineStr">
        <is>
          <t>2026-09-05 19:30</t>
        </is>
      </c>
      <c r="D81" s="22" t="n">
        <v>1</v>
      </c>
      <c r="E81" s="12" t="inlineStr">
        <is>
          <t>ML</t>
        </is>
      </c>
      <c r="F81" s="12" t="inlineStr">
        <is>
          <t>TXST ML</t>
        </is>
      </c>
      <c r="G81" s="23" t="n"/>
      <c r="H81" s="13" t="n">
        <v>2500</v>
      </c>
      <c r="I81" s="15" t="n">
        <v>0.2224558599750444</v>
      </c>
      <c r="J81" s="15" t="n">
        <v>0.0374331550802139</v>
      </c>
      <c r="K81" s="15" t="n">
        <v>0.03846153846153846</v>
      </c>
      <c r="L81" s="14" t="n">
        <v>0.1839943215135059</v>
      </c>
      <c r="M81" s="14" t="n">
        <v>4.783852359351153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RGV @ UTSA</t>
        </is>
      </c>
      <c r="C82" s="17" t="inlineStr">
        <is>
          <t>2026-09-05 19:30</t>
        </is>
      </c>
      <c r="D82" s="25" t="n">
        <v>1</v>
      </c>
      <c r="E82" s="17" t="inlineStr">
        <is>
          <t>ML</t>
        </is>
      </c>
      <c r="F82" s="17" t="inlineStr">
        <is>
          <t>RGV ML</t>
        </is>
      </c>
      <c r="G82" s="26" t="n"/>
      <c r="H82" s="18" t="n">
        <v>2500</v>
      </c>
      <c r="I82" s="20" t="n">
        <v>0.2224558599750444</v>
      </c>
      <c r="J82" s="20" t="n">
        <v>0.0374331550802139</v>
      </c>
      <c r="K82" s="20" t="n">
        <v>0.03846153846153846</v>
      </c>
      <c r="L82" s="19" t="n">
        <v>0.1839943215135059</v>
      </c>
      <c r="M82" s="19" t="n">
        <v>4.783852359351153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RGV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ME @ APP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ME +19.5</t>
        </is>
      </c>
      <c r="G83" s="23" t="n">
        <v>-19.5</v>
      </c>
      <c r="H83" s="13" t="n">
        <v>-108</v>
      </c>
      <c r="I83" s="15" t="n">
        <v>0.7026337669883173</v>
      </c>
      <c r="J83" s="15" t="n">
        <v>0.4956702459300312</v>
      </c>
      <c r="K83" s="15" t="n">
        <v>0.5192307692307693</v>
      </c>
      <c r="L83" s="14" t="n">
        <v>0.183402997757548</v>
      </c>
      <c r="M83" s="14" t="n">
        <v>0.3532205882737963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ME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MERC @ NMSU</t>
        </is>
      </c>
      <c r="C84" s="17" t="inlineStr">
        <is>
          <t>2026-09-06 01:00</t>
        </is>
      </c>
      <c r="D84" s="25" t="n">
        <v>1</v>
      </c>
      <c r="E84" s="17" t="inlineStr">
        <is>
          <t>ML</t>
        </is>
      </c>
      <c r="F84" s="17" t="inlineStr">
        <is>
          <t>MERC ML</t>
        </is>
      </c>
      <c r="G84" s="26" t="n"/>
      <c r="H84" s="18" t="n">
        <v>2200</v>
      </c>
      <c r="I84" s="20" t="n">
        <v>0.2266484868804384</v>
      </c>
      <c r="J84" s="20" t="n">
        <v>0.04216553878188443</v>
      </c>
      <c r="K84" s="20" t="n">
        <v>0.04347826086956522</v>
      </c>
      <c r="L84" s="19" t="n">
        <v>0.1831702260108732</v>
      </c>
      <c r="M84" s="19" t="n">
        <v>4.212915198250083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MERC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ECU @ ALA</t>
        </is>
      </c>
      <c r="C85" s="12" t="inlineStr">
        <is>
          <t>2026-09-05 16:00</t>
        </is>
      </c>
      <c r="D85" s="22" t="n">
        <v>1</v>
      </c>
      <c r="E85" s="12" t="inlineStr">
        <is>
          <t>ML</t>
        </is>
      </c>
      <c r="F85" s="12" t="inlineStr">
        <is>
          <t>ECU ML</t>
        </is>
      </c>
      <c r="G85" s="23" t="n"/>
      <c r="H85" s="13" t="n">
        <v>2200</v>
      </c>
      <c r="I85" s="15" t="n">
        <v>0.2248220518258797</v>
      </c>
      <c r="J85" s="15" t="n">
        <v>0.04216553878188443</v>
      </c>
      <c r="K85" s="15" t="n">
        <v>0.04347826086956522</v>
      </c>
      <c r="L85" s="14" t="n">
        <v>0.1813437909563144</v>
      </c>
      <c r="M85" s="14" t="n">
        <v>4.170907191995232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DUQ @ AFA</t>
        </is>
      </c>
      <c r="C86" s="17" t="inlineStr">
        <is>
          <t>2026-09-05 17:00</t>
        </is>
      </c>
      <c r="D86" s="25" t="n">
        <v>1</v>
      </c>
      <c r="E86" s="17" t="inlineStr">
        <is>
          <t>ML</t>
        </is>
      </c>
      <c r="F86" s="17" t="inlineStr">
        <is>
          <t>DUQ ML</t>
        </is>
      </c>
      <c r="G86" s="26" t="n"/>
      <c r="H86" s="18" t="n">
        <v>2200</v>
      </c>
      <c r="I86" s="20" t="n">
        <v>0.2248220518258797</v>
      </c>
      <c r="J86" s="20" t="n">
        <v>0.04216553878188443</v>
      </c>
      <c r="K86" s="20" t="n">
        <v>0.04347826086956522</v>
      </c>
      <c r="L86" s="19" t="n">
        <v>0.1813437909563144</v>
      </c>
      <c r="M86" s="19" t="n">
        <v>4.170907191995232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DUQ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NAU @ ARIZ</t>
        </is>
      </c>
      <c r="C87" s="12" t="inlineStr">
        <is>
          <t>2026-09-06 01:30</t>
        </is>
      </c>
      <c r="D87" s="22" t="n">
        <v>1</v>
      </c>
      <c r="E87" s="12" t="inlineStr">
        <is>
          <t>ML</t>
        </is>
      </c>
      <c r="F87" s="12" t="inlineStr">
        <is>
          <t>NAU ML</t>
        </is>
      </c>
      <c r="G87" s="23" t="n"/>
      <c r="H87" s="13" t="n">
        <v>2200</v>
      </c>
      <c r="I87" s="15" t="n">
        <v>0.2248220518258797</v>
      </c>
      <c r="J87" s="15" t="n">
        <v>0.04216553878188443</v>
      </c>
      <c r="K87" s="15" t="n">
        <v>0.04347826086956522</v>
      </c>
      <c r="L87" s="14" t="n">
        <v>0.1813437909563144</v>
      </c>
      <c r="M87" s="14" t="n">
        <v>4.170907191995232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NAU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OKST @ TLSA</t>
        </is>
      </c>
      <c r="C88" s="17" t="inlineStr">
        <is>
          <t>2026-09-05 19:45</t>
        </is>
      </c>
      <c r="D88" s="25" t="n">
        <v>1</v>
      </c>
      <c r="E88" s="17" t="inlineStr">
        <is>
          <t>ATS</t>
        </is>
      </c>
      <c r="F88" s="17" t="inlineStr">
        <is>
          <t>TLSA +13.5</t>
        </is>
      </c>
      <c r="G88" s="26" t="n">
        <v>13.5</v>
      </c>
      <c r="H88" s="18" t="n">
        <v>-110</v>
      </c>
      <c r="I88" s="20" t="n">
        <v>0.7048338826331098</v>
      </c>
      <c r="J88" s="20" t="n">
        <v>0.5</v>
      </c>
      <c r="K88" s="20" t="n">
        <v>0.5238095238095238</v>
      </c>
      <c r="L88" s="19" t="n">
        <v>0.1810243588235859</v>
      </c>
      <c r="M88" s="19" t="n">
        <v>0.3455919577541187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LAF @ CONN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LAF +19.5</t>
        </is>
      </c>
      <c r="G89" s="23" t="n">
        <v>-19.5</v>
      </c>
      <c r="H89" s="13" t="n">
        <v>-110</v>
      </c>
      <c r="I89" s="15" t="n">
        <v>0.7047986440233016</v>
      </c>
      <c r="J89" s="15" t="n">
        <v>0.5</v>
      </c>
      <c r="K89" s="15" t="n">
        <v>0.5238095238095238</v>
      </c>
      <c r="L89" s="14" t="n">
        <v>0.1809891202137778</v>
      </c>
      <c r="M89" s="14" t="n">
        <v>0.345524684044485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LAF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NCAT @ GAST</t>
        </is>
      </c>
      <c r="C90" s="17" t="inlineStr">
        <is>
          <t>2026-09-04 23:00</t>
        </is>
      </c>
      <c r="D90" s="25" t="n">
        <v>1</v>
      </c>
      <c r="E90" s="17" t="inlineStr">
        <is>
          <t>ML</t>
        </is>
      </c>
      <c r="F90" s="17" t="inlineStr">
        <is>
          <t>NCAT ML</t>
        </is>
      </c>
      <c r="G90" s="26" t="n"/>
      <c r="H90" s="18" t="n">
        <v>2000</v>
      </c>
      <c r="I90" s="20" t="n">
        <v>0.2268000790806397</v>
      </c>
      <c r="J90" s="20" t="n">
        <v>0.0461215932914046</v>
      </c>
      <c r="K90" s="20" t="n">
        <v>0.04761904761904762</v>
      </c>
      <c r="L90" s="19" t="n">
        <v>0.1791810314615921</v>
      </c>
      <c r="M90" s="19" t="n">
        <v>3.762801660693434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NCAT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WMU @ MICH</t>
        </is>
      </c>
      <c r="C91" s="12" t="inlineStr">
        <is>
          <t>2026-09-05 23:30</t>
        </is>
      </c>
      <c r="D91" s="22" t="n">
        <v>1</v>
      </c>
      <c r="E91" s="12" t="inlineStr">
        <is>
          <t>ML</t>
        </is>
      </c>
      <c r="F91" s="12" t="inlineStr">
        <is>
          <t>WMU ML</t>
        </is>
      </c>
      <c r="G91" s="23" t="n"/>
      <c r="H91" s="13" t="n">
        <v>2000</v>
      </c>
      <c r="I91" s="15" t="n">
        <v>0.2268000790806397</v>
      </c>
      <c r="J91" s="15" t="n">
        <v>0.0461215932914046</v>
      </c>
      <c r="K91" s="15" t="n">
        <v>0.04761904761904762</v>
      </c>
      <c r="L91" s="14" t="n">
        <v>0.1791810314615921</v>
      </c>
      <c r="M91" s="14" t="n">
        <v>3.762801660693434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price outside allowed range</t>
        </is>
      </c>
    </row>
    <row r="92">
      <c r="A92" s="17" t="inlineStr">
        <is>
          <t>PASS</t>
        </is>
      </c>
      <c r="B92" s="17" t="inlineStr">
        <is>
          <t>ALCN @ USM</t>
        </is>
      </c>
      <c r="C92" s="17" t="inlineStr">
        <is>
          <t>2026-09-05 21:00</t>
        </is>
      </c>
      <c r="D92" s="25" t="n">
        <v>1</v>
      </c>
      <c r="E92" s="17" t="inlineStr">
        <is>
          <t>ATS</t>
        </is>
      </c>
      <c r="F92" s="17" t="inlineStr">
        <is>
          <t>ALCN +20.5</t>
        </is>
      </c>
      <c r="G92" s="26" t="n">
        <v>-20.5</v>
      </c>
      <c r="H92" s="18" t="n">
        <v>-118</v>
      </c>
      <c r="I92" s="20" t="n">
        <v>0.7188601175653753</v>
      </c>
      <c r="J92" s="20" t="n">
        <v>0.5173641257162701</v>
      </c>
      <c r="K92" s="20" t="n">
        <v>0.5412844036697247</v>
      </c>
      <c r="L92" s="19" t="n">
        <v>0.1775757138956505</v>
      </c>
      <c r="M92" s="19" t="n">
        <v>0.3280636070275577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ALCN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APSU @ VAN</t>
        </is>
      </c>
      <c r="C93" s="12" t="inlineStr">
        <is>
          <t>2026-09-05 23:00</t>
        </is>
      </c>
      <c r="D93" s="22" t="n">
        <v>1</v>
      </c>
      <c r="E93" s="12" t="inlineStr">
        <is>
          <t>ML</t>
        </is>
      </c>
      <c r="F93" s="12" t="inlineStr">
        <is>
          <t>APSU ML</t>
        </is>
      </c>
      <c r="G93" s="23" t="n"/>
      <c r="H93" s="13" t="n">
        <v>1700</v>
      </c>
      <c r="I93" s="15" t="n">
        <v>0.2306084413134419</v>
      </c>
      <c r="J93" s="15" t="n">
        <v>0.05373831775700934</v>
      </c>
      <c r="K93" s="15" t="n">
        <v>0.05555555555555555</v>
      </c>
      <c r="L93" s="14" t="n">
        <v>0.1750528857578864</v>
      </c>
      <c r="M93" s="14" t="n">
        <v>3.150951943641955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APSU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CHSO @ GASO</t>
        </is>
      </c>
      <c r="C94" s="17" t="inlineStr">
        <is>
          <t>2026-09-05 23:00</t>
        </is>
      </c>
      <c r="D94" s="25" t="n">
        <v>1</v>
      </c>
      <c r="E94" s="17" t="inlineStr">
        <is>
          <t>ML</t>
        </is>
      </c>
      <c r="F94" s="17" t="inlineStr">
        <is>
          <t>CHSO ML</t>
        </is>
      </c>
      <c r="G94" s="26" t="n"/>
      <c r="H94" s="18" t="n">
        <v>1700</v>
      </c>
      <c r="I94" s="20" t="n">
        <v>0.2306084413134419</v>
      </c>
      <c r="J94" s="20" t="n">
        <v>0.05373831775700934</v>
      </c>
      <c r="K94" s="20" t="n">
        <v>0.05555555555555555</v>
      </c>
      <c r="L94" s="19" t="n">
        <v>0.1750528857578864</v>
      </c>
      <c r="M94" s="19" t="n">
        <v>3.150951943641955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CHSO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ULM @ MSST</t>
        </is>
      </c>
      <c r="C95" s="12" t="inlineStr">
        <is>
          <t>2026-09-05 23:30</t>
        </is>
      </c>
      <c r="D95" s="22" t="n">
        <v>1</v>
      </c>
      <c r="E95" s="12" t="inlineStr">
        <is>
          <t>ML</t>
        </is>
      </c>
      <c r="F95" s="12" t="inlineStr">
        <is>
          <t>ULM ML</t>
        </is>
      </c>
      <c r="G95" s="23" t="n"/>
      <c r="H95" s="13" t="n">
        <v>1600</v>
      </c>
      <c r="I95" s="15" t="n">
        <v>0.2321720147511648</v>
      </c>
      <c r="J95" s="15" t="n">
        <v>0.05686546463245493</v>
      </c>
      <c r="K95" s="15" t="n">
        <v>0.05882352941176471</v>
      </c>
      <c r="L95" s="14" t="n">
        <v>0.1733484853394001</v>
      </c>
      <c r="M95" s="14" t="n">
        <v>2.946924250769801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YSU @ UK</t>
        </is>
      </c>
      <c r="C96" s="17" t="inlineStr">
        <is>
          <t>2026-09-05 17:00</t>
        </is>
      </c>
      <c r="D96" s="25" t="n">
        <v>1</v>
      </c>
      <c r="E96" s="17" t="inlineStr">
        <is>
          <t>ML</t>
        </is>
      </c>
      <c r="F96" s="17" t="inlineStr">
        <is>
          <t>YSU ML</t>
        </is>
      </c>
      <c r="G96" s="26" t="n"/>
      <c r="H96" s="18" t="n">
        <v>1500</v>
      </c>
      <c r="I96" s="20" t="n">
        <v>0.2339187277856715</v>
      </c>
      <c r="J96" s="20" t="n">
        <v>0.06035889070146819</v>
      </c>
      <c r="K96" s="20" t="n">
        <v>0.0625</v>
      </c>
      <c r="L96" s="19" t="n">
        <v>0.1714187277856715</v>
      </c>
      <c r="M96" s="19" t="n">
        <v>2.742699644570743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YSU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HCU @ RICE</t>
        </is>
      </c>
      <c r="C97" s="12" t="inlineStr">
        <is>
          <t>2026-09-05 23:00</t>
        </is>
      </c>
      <c r="D97" s="22" t="n">
        <v>1</v>
      </c>
      <c r="E97" s="12" t="inlineStr">
        <is>
          <t>ML</t>
        </is>
      </c>
      <c r="F97" s="12" t="inlineStr">
        <is>
          <t>HCU ML</t>
        </is>
      </c>
      <c r="G97" s="23" t="n"/>
      <c r="H97" s="13" t="n">
        <v>1500</v>
      </c>
      <c r="I97" s="15" t="n">
        <v>0.2339187277856715</v>
      </c>
      <c r="J97" s="15" t="n">
        <v>0.06035889070146819</v>
      </c>
      <c r="K97" s="15" t="n">
        <v>0.0625</v>
      </c>
      <c r="L97" s="14" t="n">
        <v>0.1714187277856715</v>
      </c>
      <c r="M97" s="14" t="n">
        <v>2.742699644570743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HCU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MRSH @ PSU</t>
        </is>
      </c>
      <c r="C98" s="17" t="inlineStr">
        <is>
          <t>2026-09-05 19:30</t>
        </is>
      </c>
      <c r="D98" s="25" t="n">
        <v>1</v>
      </c>
      <c r="E98" s="17" t="inlineStr">
        <is>
          <t>ML</t>
        </is>
      </c>
      <c r="F98" s="17" t="inlineStr">
        <is>
          <t>MRSH ML</t>
        </is>
      </c>
      <c r="G98" s="26" t="n"/>
      <c r="H98" s="18" t="n">
        <v>1400</v>
      </c>
      <c r="I98" s="20" t="n">
        <v>0.2359030251249958</v>
      </c>
      <c r="J98" s="20" t="n">
        <v>0.06432748538011696</v>
      </c>
      <c r="K98" s="20" t="n">
        <v>0.06666666666666667</v>
      </c>
      <c r="L98" s="19" t="n">
        <v>0.1692363584583292</v>
      </c>
      <c r="M98" s="19" t="n">
        <v>2.538545376874938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FAU @ FLA</t>
        </is>
      </c>
      <c r="C99" s="12" t="inlineStr">
        <is>
          <t>2026-09-05 23:45</t>
        </is>
      </c>
      <c r="D99" s="22" t="n">
        <v>1</v>
      </c>
      <c r="E99" s="12" t="inlineStr">
        <is>
          <t>ML</t>
        </is>
      </c>
      <c r="F99" s="12" t="inlineStr">
        <is>
          <t>FAU ML</t>
        </is>
      </c>
      <c r="G99" s="23" t="n"/>
      <c r="H99" s="13" t="n">
        <v>1400</v>
      </c>
      <c r="I99" s="15" t="n">
        <v>0.2359030251249958</v>
      </c>
      <c r="J99" s="15" t="n">
        <v>0.06432748538011696</v>
      </c>
      <c r="K99" s="15" t="n">
        <v>0.06666666666666667</v>
      </c>
      <c r="L99" s="14" t="n">
        <v>0.1692363584583292</v>
      </c>
      <c r="M99" s="14" t="n">
        <v>2.538545376874938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EKU @ JVST</t>
        </is>
      </c>
      <c r="C100" s="17" t="inlineStr">
        <is>
          <t>2026-09-05 23:00</t>
        </is>
      </c>
      <c r="D100" s="25" t="n">
        <v>1</v>
      </c>
      <c r="E100" s="17" t="inlineStr">
        <is>
          <t>ML</t>
        </is>
      </c>
      <c r="F100" s="17" t="inlineStr">
        <is>
          <t>EKU ML</t>
        </is>
      </c>
      <c r="G100" s="26" t="n"/>
      <c r="H100" s="18" t="n">
        <v>1100</v>
      </c>
      <c r="I100" s="20" t="n">
        <v>0.2513535807704885</v>
      </c>
      <c r="J100" s="20" t="n">
        <v>0.08029197080291971</v>
      </c>
      <c r="K100" s="20" t="n">
        <v>0.08333333333333333</v>
      </c>
      <c r="L100" s="19" t="n">
        <v>0.1680202474371552</v>
      </c>
      <c r="M100" s="19" t="n">
        <v>2.016242969245862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EKU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OHIO @ NEB</t>
        </is>
      </c>
      <c r="C101" s="12" t="inlineStr">
        <is>
          <t>2026-09-05 16:00</t>
        </is>
      </c>
      <c r="D101" s="22" t="n">
        <v>1</v>
      </c>
      <c r="E101" s="12" t="inlineStr">
        <is>
          <t>ML</t>
        </is>
      </c>
      <c r="F101" s="12" t="inlineStr">
        <is>
          <t>OHIO ML</t>
        </is>
      </c>
      <c r="G101" s="23" t="n"/>
      <c r="H101" s="13" t="n">
        <v>1300</v>
      </c>
      <c r="I101" s="15" t="n">
        <v>0.2381810876605907</v>
      </c>
      <c r="J101" s="15" t="n">
        <v>0.06888361045130641</v>
      </c>
      <c r="K101" s="15" t="n">
        <v>0.07142857142857142</v>
      </c>
      <c r="L101" s="14" t="n">
        <v>0.1667525162320192</v>
      </c>
      <c r="M101" s="14" t="n">
        <v>2.334535227248269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BOIS @ ORE</t>
        </is>
      </c>
      <c r="C102" s="17" t="inlineStr">
        <is>
          <t>2026-09-05 19:30</t>
        </is>
      </c>
      <c r="D102" s="25" t="n">
        <v>1</v>
      </c>
      <c r="E102" s="17" t="inlineStr">
        <is>
          <t>ML</t>
        </is>
      </c>
      <c r="F102" s="17" t="inlineStr">
        <is>
          <t>BOIS ML</t>
        </is>
      </c>
      <c r="G102" s="26" t="n"/>
      <c r="H102" s="18" t="n">
        <v>1200</v>
      </c>
      <c r="I102" s="20" t="n">
        <v>0.2408312705655011</v>
      </c>
      <c r="J102" s="20" t="n">
        <v>0.0741839762611276</v>
      </c>
      <c r="K102" s="20" t="n">
        <v>0.07692307692307693</v>
      </c>
      <c r="L102" s="19" t="n">
        <v>0.1639081936424242</v>
      </c>
      <c r="M102" s="19" t="n">
        <v>2.130806517351515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ALA @ UK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UK +10.5</t>
        </is>
      </c>
      <c r="G103" s="23" t="n">
        <v>10.5</v>
      </c>
      <c r="H103" s="13" t="n">
        <v>-110</v>
      </c>
      <c r="I103" s="15" t="n">
        <v>0.6857678241383566</v>
      </c>
      <c r="J103" s="15" t="n">
        <v>0.5</v>
      </c>
      <c r="K103" s="15" t="n">
        <v>0.5238095238095238</v>
      </c>
      <c r="L103" s="14" t="n">
        <v>0.1619583003288327</v>
      </c>
      <c r="M103" s="14" t="n">
        <v>0.3091931188095899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WSU @ WASH</t>
        </is>
      </c>
      <c r="C104" s="17" t="inlineStr">
        <is>
          <t>2026-09-06 20:00</t>
        </is>
      </c>
      <c r="D104" s="25" t="n">
        <v>1</v>
      </c>
      <c r="E104" s="17" t="inlineStr">
        <is>
          <t>ML</t>
        </is>
      </c>
      <c r="F104" s="17" t="inlineStr">
        <is>
          <t>WSU ML</t>
        </is>
      </c>
      <c r="G104" s="26" t="n"/>
      <c r="H104" s="18" t="n">
        <v>1100</v>
      </c>
      <c r="I104" s="20" t="n">
        <v>0.2438852678363972</v>
      </c>
      <c r="J104" s="20" t="n">
        <v>0.08029197080291971</v>
      </c>
      <c r="K104" s="20" t="n">
        <v>0.08333333333333333</v>
      </c>
      <c r="L104" s="19" t="n">
        <v>0.1605519345030639</v>
      </c>
      <c r="M104" s="19" t="n">
        <v>1.926623214036766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NIU @ IOWA</t>
        </is>
      </c>
      <c r="C105" s="12" t="inlineStr">
        <is>
          <t>2026-09-05 20:15</t>
        </is>
      </c>
      <c r="D105" s="22" t="n">
        <v>1</v>
      </c>
      <c r="E105" s="12" t="inlineStr">
        <is>
          <t>TOTAL</t>
        </is>
      </c>
      <c r="F105" s="12" t="inlineStr">
        <is>
          <t>Over 44.5</t>
        </is>
      </c>
      <c r="G105" s="23" t="n">
        <v>44.5</v>
      </c>
      <c r="H105" s="13" t="n">
        <v>-110</v>
      </c>
      <c r="I105" s="15" t="n">
        <v>0.6833000981107871</v>
      </c>
      <c r="J105" s="15" t="n">
        <v>0.5</v>
      </c>
      <c r="K105" s="15" t="n">
        <v>0.5238095238095238</v>
      </c>
      <c r="L105" s="14" t="n">
        <v>0.1594905743012632</v>
      </c>
      <c r="M105" s="14" t="n">
        <v>0.3044820054842299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FRES @ USC</t>
        </is>
      </c>
      <c r="C106" s="17" t="inlineStr">
        <is>
          <t>2026-09-05 01:00</t>
        </is>
      </c>
      <c r="D106" s="25" t="n">
        <v>1</v>
      </c>
      <c r="E106" s="17" t="inlineStr">
        <is>
          <t>ML</t>
        </is>
      </c>
      <c r="F106" s="17" t="inlineStr">
        <is>
          <t>FRES ML</t>
        </is>
      </c>
      <c r="G106" s="26" t="n"/>
      <c r="H106" s="18" t="n">
        <v>1100</v>
      </c>
      <c r="I106" s="20" t="n">
        <v>0.2427631702643642</v>
      </c>
      <c r="J106" s="20" t="n">
        <v>0.08029197080291971</v>
      </c>
      <c r="K106" s="20" t="n">
        <v>0.08333333333333333</v>
      </c>
      <c r="L106" s="19" t="n">
        <v>0.1594298369310309</v>
      </c>
      <c r="M106" s="19" t="n">
        <v>1.91315804317237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0.6825929382878856</v>
      </c>
      <c r="J107" s="15" t="n">
        <v>0.5</v>
      </c>
      <c r="K107" s="15" t="n">
        <v>0.5238095238095238</v>
      </c>
      <c r="L107" s="14" t="n">
        <v>0.1587834144783618</v>
      </c>
      <c r="M107" s="14" t="n">
        <v>0.3031319730950544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MUR @ MTSU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MUR ML</t>
        </is>
      </c>
      <c r="G108" s="26" t="n"/>
      <c r="H108" s="18" t="n">
        <v>1000</v>
      </c>
      <c r="I108" s="20" t="n">
        <v>0.2475180842782554</v>
      </c>
      <c r="J108" s="20" t="n">
        <v>0.08755760368663595</v>
      </c>
      <c r="K108" s="20" t="n">
        <v>0.09090909090909091</v>
      </c>
      <c r="L108" s="19" t="n">
        <v>0.1566089933691645</v>
      </c>
      <c r="M108" s="19" t="n">
        <v>1.722698927060809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MUR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M-OH @ PITT</t>
        </is>
      </c>
      <c r="C109" s="12" t="inlineStr">
        <is>
          <t>2026-09-05 16:30</t>
        </is>
      </c>
      <c r="D109" s="22" t="n">
        <v>1</v>
      </c>
      <c r="E109" s="12" t="inlineStr">
        <is>
          <t>ATS</t>
        </is>
      </c>
      <c r="F109" s="12" t="inlineStr">
        <is>
          <t>M-OH +16.5</t>
        </is>
      </c>
      <c r="G109" s="23" t="n">
        <v>-16.5</v>
      </c>
      <c r="H109" s="13" t="n">
        <v>-112</v>
      </c>
      <c r="I109" s="15" t="n">
        <v>0.6847578153228699</v>
      </c>
      <c r="J109" s="15" t="n">
        <v>0.5043297540699688</v>
      </c>
      <c r="K109" s="15" t="n">
        <v>0.5283018867924528</v>
      </c>
      <c r="L109" s="14" t="n">
        <v>0.1564559285304171</v>
      </c>
      <c r="M109" s="14" t="n">
        <v>0.2961487218611466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ORST @ HOU</t>
        </is>
      </c>
      <c r="C110" s="17" t="inlineStr">
        <is>
          <t>2026-09-05 16:00</t>
        </is>
      </c>
      <c r="D110" s="25" t="n">
        <v>1</v>
      </c>
      <c r="E110" s="17" t="inlineStr">
        <is>
          <t>ML</t>
        </is>
      </c>
      <c r="F110" s="17" t="inlineStr">
        <is>
          <t>ORST ML</t>
        </is>
      </c>
      <c r="G110" s="26" t="n"/>
      <c r="H110" s="18" t="n">
        <v>950</v>
      </c>
      <c r="I110" s="20" t="n">
        <v>0.2496108420679648</v>
      </c>
      <c r="J110" s="20" t="n">
        <v>0.09174311926605505</v>
      </c>
      <c r="K110" s="20" t="n">
        <v>0.09523809523809523</v>
      </c>
      <c r="L110" s="19" t="n">
        <v>0.1543727468298696</v>
      </c>
      <c r="M110" s="19" t="n">
        <v>1.620913841713631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CIT @ CLT</t>
        </is>
      </c>
      <c r="C111" s="12" t="inlineStr">
        <is>
          <t>2026-09-05 19:30</t>
        </is>
      </c>
      <c r="D111" s="22" t="n">
        <v>1</v>
      </c>
      <c r="E111" s="12" t="inlineStr">
        <is>
          <t>ML</t>
        </is>
      </c>
      <c r="F111" s="12" t="inlineStr">
        <is>
          <t>CIT ML</t>
        </is>
      </c>
      <c r="G111" s="23" t="n"/>
      <c r="H111" s="13" t="n">
        <v>950</v>
      </c>
      <c r="I111" s="15" t="n">
        <v>0.2496108420679648</v>
      </c>
      <c r="J111" s="15" t="n">
        <v>0.09174311926605505</v>
      </c>
      <c r="K111" s="15" t="n">
        <v>0.09523809523809523</v>
      </c>
      <c r="L111" s="14" t="n">
        <v>0.1543727468298696</v>
      </c>
      <c r="M111" s="14" t="n">
        <v>1.620913841713631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CIT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CIT @ CLT</t>
        </is>
      </c>
      <c r="C112" s="17" t="inlineStr">
        <is>
          <t>2026-09-05 19:30</t>
        </is>
      </c>
      <c r="D112" s="25" t="n">
        <v>1</v>
      </c>
      <c r="E112" s="17" t="inlineStr">
        <is>
          <t>TOTAL</t>
        </is>
      </c>
      <c r="F112" s="17" t="inlineStr">
        <is>
          <t>Over 46.5</t>
        </is>
      </c>
      <c r="G112" s="26" t="n">
        <v>46.5</v>
      </c>
      <c r="H112" s="18" t="n">
        <v>-108</v>
      </c>
      <c r="I112" s="20" t="n">
        <v>0.6709534293634443</v>
      </c>
      <c r="J112" s="20" t="n">
        <v>0.4956702459300312</v>
      </c>
      <c r="K112" s="20" t="n">
        <v>0.5192307692307693</v>
      </c>
      <c r="L112" s="19" t="n">
        <v>0.151722660132675</v>
      </c>
      <c r="M112" s="19" t="n">
        <v>0.2922066046999668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CIT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CCU @ WVU</t>
        </is>
      </c>
      <c r="C113" s="12" t="inlineStr">
        <is>
          <t>2026-09-05 16:00</t>
        </is>
      </c>
      <c r="D113" s="22" t="n">
        <v>1</v>
      </c>
      <c r="E113" s="12" t="inlineStr">
        <is>
          <t>ML</t>
        </is>
      </c>
      <c r="F113" s="12" t="inlineStr">
        <is>
          <t>CCU ML</t>
        </is>
      </c>
      <c r="G113" s="23" t="n"/>
      <c r="H113" s="13" t="n">
        <v>850</v>
      </c>
      <c r="I113" s="15" t="n">
        <v>0.2543102449145458</v>
      </c>
      <c r="J113" s="15" t="n">
        <v>0.101141924959217</v>
      </c>
      <c r="K113" s="15" t="n">
        <v>0.1052631578947368</v>
      </c>
      <c r="L113" s="14" t="n">
        <v>0.149047087019809</v>
      </c>
      <c r="M113" s="14" t="n">
        <v>1.415947326688185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CMU @ UNM</t>
        </is>
      </c>
      <c r="C114" s="17" t="inlineStr">
        <is>
          <t>2026-09-06 02:00</t>
        </is>
      </c>
      <c r="D114" s="25" t="n">
        <v>1</v>
      </c>
      <c r="E114" s="17" t="inlineStr">
        <is>
          <t>TOTAL</t>
        </is>
      </c>
      <c r="F114" s="17" t="inlineStr">
        <is>
          <t>Over 45.5</t>
        </is>
      </c>
      <c r="G114" s="26" t="n">
        <v>45.5</v>
      </c>
      <c r="H114" s="18" t="n">
        <v>-112</v>
      </c>
      <c r="I114" s="20" t="n">
        <v>0.6764627735809325</v>
      </c>
      <c r="J114" s="20" t="n">
        <v>0.5043297540699688</v>
      </c>
      <c r="K114" s="20" t="n">
        <v>0.5283018867924528</v>
      </c>
      <c r="L114" s="19" t="n">
        <v>0.1481608867884797</v>
      </c>
      <c r="M114" s="19" t="n">
        <v>0.2804473928496223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LAF @ CONN</t>
        </is>
      </c>
      <c r="C115" s="12" t="inlineStr">
        <is>
          <t>2026-09-05 16:00</t>
        </is>
      </c>
      <c r="D115" s="22" t="n">
        <v>1</v>
      </c>
      <c r="E115" s="12" t="inlineStr">
        <is>
          <t>ML</t>
        </is>
      </c>
      <c r="F115" s="12" t="inlineStr">
        <is>
          <t>LAF ML</t>
        </is>
      </c>
      <c r="G115" s="23" t="n"/>
      <c r="H115" s="13" t="n">
        <v>800</v>
      </c>
      <c r="I115" s="15" t="n">
        <v>0.2570481059643491</v>
      </c>
      <c r="J115" s="15" t="n">
        <v>0.1066176470588235</v>
      </c>
      <c r="K115" s="15" t="n">
        <v>0.1111111111111111</v>
      </c>
      <c r="L115" s="14" t="n">
        <v>0.145936994853238</v>
      </c>
      <c r="M115" s="14" t="n">
        <v>1.313432953679142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LAF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OHIO @ NEB</t>
        </is>
      </c>
      <c r="C116" s="17" t="inlineStr">
        <is>
          <t>2026-09-05 16:00</t>
        </is>
      </c>
      <c r="D116" s="25" t="n">
        <v>1</v>
      </c>
      <c r="E116" s="17" t="inlineStr">
        <is>
          <t>TOTAL</t>
        </is>
      </c>
      <c r="F116" s="17" t="inlineStr">
        <is>
          <t>Over 46.5</t>
        </is>
      </c>
      <c r="G116" s="26" t="n">
        <v>46.5</v>
      </c>
      <c r="H116" s="18" t="n">
        <v>-110</v>
      </c>
      <c r="I116" s="20" t="n">
        <v>0.6695069081021292</v>
      </c>
      <c r="J116" s="20" t="n">
        <v>0.5</v>
      </c>
      <c r="K116" s="20" t="n">
        <v>0.5238095238095238</v>
      </c>
      <c r="L116" s="19" t="n">
        <v>0.1456973842926054</v>
      </c>
      <c r="M116" s="19" t="n">
        <v>0.2781495518313376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URI @ TEM</t>
        </is>
      </c>
      <c r="C117" s="12" t="inlineStr">
        <is>
          <t>2026-09-05 18:00</t>
        </is>
      </c>
      <c r="D117" s="22" t="n">
        <v>1</v>
      </c>
      <c r="E117" s="12" t="inlineStr">
        <is>
          <t>ATS</t>
        </is>
      </c>
      <c r="F117" s="12" t="inlineStr">
        <is>
          <t>URI +14.5</t>
        </is>
      </c>
      <c r="G117" s="23" t="n">
        <v>-14.5</v>
      </c>
      <c r="H117" s="13" t="n">
        <v>-110</v>
      </c>
      <c r="I117" s="15" t="n">
        <v>0.6679961392094821</v>
      </c>
      <c r="J117" s="15" t="n">
        <v>0.5</v>
      </c>
      <c r="K117" s="15" t="n">
        <v>0.5238095238095238</v>
      </c>
      <c r="L117" s="14" t="n">
        <v>0.1441866153999583</v>
      </c>
      <c r="M117" s="14" t="n">
        <v>0.2752653566726476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URI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FIU @ USF</t>
        </is>
      </c>
      <c r="C118" s="17" t="inlineStr">
        <is>
          <t>2026-09-05 23:00</t>
        </is>
      </c>
      <c r="D118" s="25" t="n">
        <v>1</v>
      </c>
      <c r="E118" s="17" t="inlineStr">
        <is>
          <t>ATS</t>
        </is>
      </c>
      <c r="F118" s="17" t="inlineStr">
        <is>
          <t>FIU +14.5</t>
        </is>
      </c>
      <c r="G118" s="26" t="n">
        <v>-14.5</v>
      </c>
      <c r="H118" s="18" t="n">
        <v>-110</v>
      </c>
      <c r="I118" s="20" t="n">
        <v>0.6679961392094821</v>
      </c>
      <c r="J118" s="20" t="n">
        <v>0.5</v>
      </c>
      <c r="K118" s="20" t="n">
        <v>0.5238095238095238</v>
      </c>
      <c r="L118" s="19" t="n">
        <v>0.1441866153999583</v>
      </c>
      <c r="M118" s="19" t="n">
        <v>0.2752653566726476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ASU @ TA&amp;M</t>
        </is>
      </c>
      <c r="C119" s="12" t="inlineStr">
        <is>
          <t>2026-09-12 16:00</t>
        </is>
      </c>
      <c r="D119" s="22" t="n">
        <v>2</v>
      </c>
      <c r="E119" s="12" t="inlineStr">
        <is>
          <t>ATS</t>
        </is>
      </c>
      <c r="F119" s="12" t="inlineStr">
        <is>
          <t>ASU +14.5</t>
        </is>
      </c>
      <c r="G119" s="23" t="n">
        <v>-14.5</v>
      </c>
      <c r="H119" s="13" t="n">
        <v>-110</v>
      </c>
      <c r="I119" s="15" t="n">
        <v>0.6679961392094821</v>
      </c>
      <c r="J119" s="15" t="n">
        <v>0.5</v>
      </c>
      <c r="K119" s="15" t="n">
        <v>0.5238095238095238</v>
      </c>
      <c r="L119" s="14" t="n">
        <v>0.1441866153999583</v>
      </c>
      <c r="M119" s="14" t="n">
        <v>0.2752653566726476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ALCN @ USM</t>
        </is>
      </c>
      <c r="C120" s="17" t="inlineStr">
        <is>
          <t>2026-09-05 21:00</t>
        </is>
      </c>
      <c r="D120" s="25" t="n">
        <v>1</v>
      </c>
      <c r="E120" s="17" t="inlineStr">
        <is>
          <t>ML</t>
        </is>
      </c>
      <c r="F120" s="17" t="inlineStr">
        <is>
          <t>ALCN ML</t>
        </is>
      </c>
      <c r="G120" s="26" t="n"/>
      <c r="H120" s="18" t="n">
        <v>750</v>
      </c>
      <c r="I120" s="20" t="n">
        <v>0.2602610215653722</v>
      </c>
      <c r="J120" s="20" t="n">
        <v>0.1130434782608696</v>
      </c>
      <c r="K120" s="20" t="n">
        <v>0.1176470588235294</v>
      </c>
      <c r="L120" s="19" t="n">
        <v>0.1426139627418428</v>
      </c>
      <c r="M120" s="19" t="n">
        <v>1.212218683305664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ALCN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LAM @ UL</t>
        </is>
      </c>
      <c r="C121" s="12" t="inlineStr">
        <is>
          <t>2026-09-06 00:00</t>
        </is>
      </c>
      <c r="D121" s="22" t="n">
        <v>1</v>
      </c>
      <c r="E121" s="12" t="inlineStr">
        <is>
          <t>ML</t>
        </is>
      </c>
      <c r="F121" s="12" t="inlineStr">
        <is>
          <t>LAM ML</t>
        </is>
      </c>
      <c r="G121" s="23" t="n"/>
      <c r="H121" s="13" t="n">
        <v>750</v>
      </c>
      <c r="I121" s="15" t="n">
        <v>0.2602610215653722</v>
      </c>
      <c r="J121" s="15" t="n">
        <v>0.1130434782608696</v>
      </c>
      <c r="K121" s="15" t="n">
        <v>0.1176470588235294</v>
      </c>
      <c r="L121" s="14" t="n">
        <v>0.1426139627418428</v>
      </c>
      <c r="M121" s="14" t="n">
        <v>1.212218683305664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LAM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TENN @ GT</t>
        </is>
      </c>
      <c r="C122" s="17" t="inlineStr">
        <is>
          <t>2026-09-12 23:00</t>
        </is>
      </c>
      <c r="D122" s="25" t="n">
        <v>2</v>
      </c>
      <c r="E122" s="17" t="inlineStr">
        <is>
          <t>ATS</t>
        </is>
      </c>
      <c r="F122" s="17" t="inlineStr">
        <is>
          <t>GT +8.5</t>
        </is>
      </c>
      <c r="G122" s="26" t="n">
        <v>8.5</v>
      </c>
      <c r="H122" s="18" t="n">
        <v>-110</v>
      </c>
      <c r="I122" s="20" t="n">
        <v>0.6662614142484681</v>
      </c>
      <c r="J122" s="20" t="n">
        <v>0.5</v>
      </c>
      <c r="K122" s="20" t="n">
        <v>0.5238095238095238</v>
      </c>
      <c r="L122" s="19" t="n">
        <v>0.1424518904389442</v>
      </c>
      <c r="M122" s="19" t="n">
        <v>0.2719536090198027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SDST @ NU</t>
        </is>
      </c>
      <c r="C123" s="12" t="inlineStr">
        <is>
          <t>2026-09-06 00:00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-110</v>
      </c>
      <c r="I123" s="15" t="n">
        <v>0.6657865587739058</v>
      </c>
      <c r="J123" s="15" t="n">
        <v>0.5</v>
      </c>
      <c r="K123" s="15" t="n">
        <v>0.5238095238095238</v>
      </c>
      <c r="L123" s="14" t="n">
        <v>0.141977034964382</v>
      </c>
      <c r="M123" s="14" t="n">
        <v>0.2710470667501839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SDST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OU @ MICH</t>
        </is>
      </c>
      <c r="C124" s="17" t="inlineStr">
        <is>
          <t>2026-09-12 16:00</t>
        </is>
      </c>
      <c r="D124" s="25" t="n">
        <v>2</v>
      </c>
      <c r="E124" s="17" t="inlineStr">
        <is>
          <t>TOTAL</t>
        </is>
      </c>
      <c r="F124" s="17" t="inlineStr">
        <is>
          <t>Over 46.5</t>
        </is>
      </c>
      <c r="G124" s="26" t="n">
        <v>46.5</v>
      </c>
      <c r="H124" s="18" t="n">
        <v>-105</v>
      </c>
      <c r="I124" s="20" t="n">
        <v>0.6539272811007384</v>
      </c>
      <c r="J124" s="20" t="n">
        <v>0.4891657638136511</v>
      </c>
      <c r="K124" s="20" t="n">
        <v>0.5121951219512195</v>
      </c>
      <c r="L124" s="19" t="n">
        <v>0.1417321591495189</v>
      </c>
      <c r="M124" s="19" t="n">
        <v>0.2767151678633464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ODU @ VT</t>
        </is>
      </c>
      <c r="C125" s="12" t="inlineStr">
        <is>
          <t>2026-09-12 16:00</t>
        </is>
      </c>
      <c r="D125" s="22" t="n">
        <v>2</v>
      </c>
      <c r="E125" s="12" t="inlineStr">
        <is>
          <t>ATS</t>
        </is>
      </c>
      <c r="F125" s="12" t="inlineStr">
        <is>
          <t>ODU +14</t>
        </is>
      </c>
      <c r="G125" s="23" t="n">
        <v>-14</v>
      </c>
      <c r="H125" s="13" t="n">
        <v>-110</v>
      </c>
      <c r="I125" s="15" t="n">
        <v>0.6655005280565149</v>
      </c>
      <c r="J125" s="15" t="n">
        <v>0.5</v>
      </c>
      <c r="K125" s="15" t="n">
        <v>0.5238095238095238</v>
      </c>
      <c r="L125" s="14" t="n">
        <v>0.1416910042469911</v>
      </c>
      <c r="M125" s="14" t="n">
        <v>0.2625120193343957</v>
      </c>
      <c r="N125" s="15" t="n">
        <v>0.0295</v>
      </c>
      <c r="O125" s="24" t="n">
        <v>0.4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ME @ APP</t>
        </is>
      </c>
      <c r="C126" s="17" t="inlineStr">
        <is>
          <t>2026-09-05 19:30</t>
        </is>
      </c>
      <c r="D126" s="25" t="n">
        <v>1</v>
      </c>
      <c r="E126" s="17" t="inlineStr">
        <is>
          <t>ML</t>
        </is>
      </c>
      <c r="F126" s="17" t="inlineStr">
        <is>
          <t>ME ML</t>
        </is>
      </c>
      <c r="G126" s="26" t="n"/>
      <c r="H126" s="18" t="n">
        <v>700</v>
      </c>
      <c r="I126" s="20" t="n">
        <v>0.2637392824349374</v>
      </c>
      <c r="J126" s="20" t="n">
        <v>0.12</v>
      </c>
      <c r="K126" s="20" t="n">
        <v>0.125</v>
      </c>
      <c r="L126" s="19" t="n">
        <v>0.1387392824349374</v>
      </c>
      <c r="M126" s="19" t="n">
        <v>1.109914259479499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ME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HCU @ RICE</t>
        </is>
      </c>
      <c r="C127" s="12" t="inlineStr">
        <is>
          <t>2026-09-05 23:00</t>
        </is>
      </c>
      <c r="D127" s="22" t="n">
        <v>1</v>
      </c>
      <c r="E127" s="12" t="inlineStr">
        <is>
          <t>TOTAL</t>
        </is>
      </c>
      <c r="F127" s="12" t="inlineStr">
        <is>
          <t>Over 47.5</t>
        </is>
      </c>
      <c r="G127" s="23" t="n">
        <v>47.5</v>
      </c>
      <c r="H127" s="13" t="n">
        <v>-112</v>
      </c>
      <c r="I127" s="15" t="n">
        <v>0.6666871290136605</v>
      </c>
      <c r="J127" s="15" t="n">
        <v>0.5043297540699688</v>
      </c>
      <c r="K127" s="15" t="n">
        <v>0.5283018867924528</v>
      </c>
      <c r="L127" s="14" t="n">
        <v>0.1383852422212076</v>
      </c>
      <c r="M127" s="14" t="n">
        <v>0.2619434942044286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HCU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TOL @ MSU</t>
        </is>
      </c>
      <c r="C128" s="17" t="inlineStr">
        <is>
          <t>2026-09-05 00:00</t>
        </is>
      </c>
      <c r="D128" s="25" t="n">
        <v>1</v>
      </c>
      <c r="E128" s="17" t="inlineStr">
        <is>
          <t>TOTAL</t>
        </is>
      </c>
      <c r="F128" s="17" t="inlineStr">
        <is>
          <t>Over 46.5</t>
        </is>
      </c>
      <c r="G128" s="26" t="n">
        <v>46.5</v>
      </c>
      <c r="H128" s="18" t="n">
        <v>-115</v>
      </c>
      <c r="I128" s="20" t="n">
        <v>0.6712036768670803</v>
      </c>
      <c r="J128" s="20" t="n">
        <v>0.5108342361863488</v>
      </c>
      <c r="K128" s="20" t="n">
        <v>0.5348837209302325</v>
      </c>
      <c r="L128" s="19" t="n">
        <v>0.1363199559368478</v>
      </c>
      <c r="M128" s="19" t="n">
        <v>0.2548590480558456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WYO @ CSU</t>
        </is>
      </c>
      <c r="C129" s="12" t="inlineStr">
        <is>
          <t>2026-09-05 22:00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0.6580198645224653</v>
      </c>
      <c r="J129" s="15" t="n">
        <v>0.5</v>
      </c>
      <c r="K129" s="15" t="n">
        <v>0.5238095238095238</v>
      </c>
      <c r="L129" s="14" t="n">
        <v>0.1342103407129415</v>
      </c>
      <c r="M129" s="14" t="n">
        <v>0.2562197413610702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IDST @ USU</t>
        </is>
      </c>
      <c r="C130" s="17" t="inlineStr">
        <is>
          <t>2026-09-05 23:00</t>
        </is>
      </c>
      <c r="D130" s="25" t="n">
        <v>1</v>
      </c>
      <c r="E130" s="17" t="inlineStr">
        <is>
          <t>ATS</t>
        </is>
      </c>
      <c r="F130" s="17" t="inlineStr">
        <is>
          <t>IDST +14</t>
        </is>
      </c>
      <c r="G130" s="26" t="n">
        <v>-14</v>
      </c>
      <c r="H130" s="18" t="n">
        <v>-118</v>
      </c>
      <c r="I130" s="20" t="n">
        <v>0.67418259091465</v>
      </c>
      <c r="J130" s="20" t="n">
        <v>0.5173641257162701</v>
      </c>
      <c r="K130" s="20" t="n">
        <v>0.5412844036697247</v>
      </c>
      <c r="L130" s="19" t="n">
        <v>0.1328981872449253</v>
      </c>
      <c r="M130" s="19" t="n">
        <v>0.238272459750871</v>
      </c>
      <c r="N130" s="20" t="n">
        <v>0.0295</v>
      </c>
      <c r="O130" s="27" t="n">
        <v>0.4</v>
      </c>
      <c r="P130" s="17" t="inlineStr">
        <is>
          <t>DraftKings</t>
        </is>
      </c>
      <c r="Q130" s="17" t="inlineStr">
        <is>
          <t>IDST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FUR @ TENN</t>
        </is>
      </c>
      <c r="C131" s="12" t="inlineStr">
        <is>
          <t>2026-09-05 19:30</t>
        </is>
      </c>
      <c r="D131" s="22" t="n">
        <v>1</v>
      </c>
      <c r="E131" s="12" t="inlineStr">
        <is>
          <t>TOTAL</t>
        </is>
      </c>
      <c r="F131" s="12" t="inlineStr">
        <is>
          <t>Under 66.5</t>
        </is>
      </c>
      <c r="G131" s="23" t="n">
        <v>66.5</v>
      </c>
      <c r="H131" s="13" t="n">
        <v>-108</v>
      </c>
      <c r="I131" s="15" t="n">
        <v>0.6504372762788044</v>
      </c>
      <c r="J131" s="15" t="n">
        <v>0.4956702459300312</v>
      </c>
      <c r="K131" s="15" t="n">
        <v>0.5192307692307693</v>
      </c>
      <c r="L131" s="14" t="n">
        <v>0.1312065070480352</v>
      </c>
      <c r="M131" s="14" t="n">
        <v>0.2526940135739938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FUR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M-OH @ PITT</t>
        </is>
      </c>
      <c r="C132" s="17" t="inlineStr">
        <is>
          <t>2026-09-05 16:30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-112</v>
      </c>
      <c r="I132" s="20" t="n">
        <v>0.6574997429987659</v>
      </c>
      <c r="J132" s="20" t="n">
        <v>0.5043297540699688</v>
      </c>
      <c r="K132" s="20" t="n">
        <v>0.5283018867924528</v>
      </c>
      <c r="L132" s="19" t="n">
        <v>0.1291978562063131</v>
      </c>
      <c r="M132" s="19" t="n">
        <v>0.2445530849619497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LAM @ UL</t>
        </is>
      </c>
      <c r="C133" s="12" t="inlineStr">
        <is>
          <t>2026-09-06 00:00</t>
        </is>
      </c>
      <c r="D133" s="22" t="n">
        <v>1</v>
      </c>
      <c r="E133" s="12" t="inlineStr">
        <is>
          <t>TOTAL</t>
        </is>
      </c>
      <c r="F133" s="12" t="inlineStr">
        <is>
          <t>Over 48.5</t>
        </is>
      </c>
      <c r="G133" s="23" t="n">
        <v>48.5</v>
      </c>
      <c r="H133" s="13" t="n">
        <v>-110</v>
      </c>
      <c r="I133" s="15" t="n">
        <v>0.6526021552334991</v>
      </c>
      <c r="J133" s="15" t="n">
        <v>0.5</v>
      </c>
      <c r="K133" s="15" t="n">
        <v>0.5238095238095238</v>
      </c>
      <c r="L133" s="14" t="n">
        <v>0.1287926314239752</v>
      </c>
      <c r="M133" s="14" t="n">
        <v>0.2458768418094074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LAM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OSU @ TEX</t>
        </is>
      </c>
      <c r="C134" s="17" t="inlineStr">
        <is>
          <t>2026-09-12 23:30</t>
        </is>
      </c>
      <c r="D134" s="25" t="n">
        <v>2</v>
      </c>
      <c r="E134" s="17" t="inlineStr">
        <is>
          <t>TOTAL</t>
        </is>
      </c>
      <c r="F134" s="17" t="inlineStr">
        <is>
          <t>Over 47.5</t>
        </is>
      </c>
      <c r="G134" s="26" t="n">
        <v>47.5</v>
      </c>
      <c r="H134" s="18" t="n">
        <v>-110</v>
      </c>
      <c r="I134" s="20" t="n">
        <v>0.6484142231975982</v>
      </c>
      <c r="J134" s="20" t="n">
        <v>0.5</v>
      </c>
      <c r="K134" s="20" t="n">
        <v>0.5238095238095238</v>
      </c>
      <c r="L134" s="19" t="n">
        <v>0.1246046993880744</v>
      </c>
      <c r="M134" s="19" t="n">
        <v>0.2378816988317785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SELA @ USA</t>
        </is>
      </c>
      <c r="C135" s="12" t="inlineStr">
        <is>
          <t>2026-09-05 23:00</t>
        </is>
      </c>
      <c r="D135" s="22" t="n">
        <v>1</v>
      </c>
      <c r="E135" s="12" t="inlineStr">
        <is>
          <t>ATS</t>
        </is>
      </c>
      <c r="F135" s="12" t="inlineStr">
        <is>
          <t>SELA +12.5</t>
        </is>
      </c>
      <c r="G135" s="23" t="n">
        <v>-12.5</v>
      </c>
      <c r="H135" s="13" t="n">
        <v>-108</v>
      </c>
      <c r="I135" s="15" t="n">
        <v>0.6417475296484747</v>
      </c>
      <c r="J135" s="15" t="n">
        <v>0.4956702459300312</v>
      </c>
      <c r="K135" s="15" t="n">
        <v>0.5192307692307693</v>
      </c>
      <c r="L135" s="14" t="n">
        <v>0.1225167604177054</v>
      </c>
      <c r="M135" s="14" t="n">
        <v>0.2359582052489143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SELA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SDST @ NU</t>
        </is>
      </c>
      <c r="C136" s="17" t="inlineStr">
        <is>
          <t>2026-09-06 00:00</t>
        </is>
      </c>
      <c r="D136" s="25" t="n">
        <v>1</v>
      </c>
      <c r="E136" s="17" t="inlineStr">
        <is>
          <t>ATS</t>
        </is>
      </c>
      <c r="F136" s="17" t="inlineStr">
        <is>
          <t>SDST +12.5</t>
        </is>
      </c>
      <c r="G136" s="26" t="n">
        <v>-12.5</v>
      </c>
      <c r="H136" s="18" t="n">
        <v>-108</v>
      </c>
      <c r="I136" s="20" t="n">
        <v>0.6417475296484747</v>
      </c>
      <c r="J136" s="20" t="n">
        <v>0.4956702459300312</v>
      </c>
      <c r="K136" s="20" t="n">
        <v>0.5192307692307693</v>
      </c>
      <c r="L136" s="19" t="n">
        <v>0.1225167604177054</v>
      </c>
      <c r="M136" s="19" t="n">
        <v>0.2359582052489143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SDST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MIZ @ KU</t>
        </is>
      </c>
      <c r="C137" s="12" t="inlineStr">
        <is>
          <t>2026-09-12 00:00</t>
        </is>
      </c>
      <c r="D137" s="22" t="n">
        <v>2</v>
      </c>
      <c r="E137" s="12" t="inlineStr">
        <is>
          <t>ATS</t>
        </is>
      </c>
      <c r="F137" s="12" t="inlineStr">
        <is>
          <t>KU +6.5</t>
        </is>
      </c>
      <c r="G137" s="23" t="n">
        <v>6.5</v>
      </c>
      <c r="H137" s="13" t="n">
        <v>-105</v>
      </c>
      <c r="I137" s="15" t="n">
        <v>0.6328632703073438</v>
      </c>
      <c r="J137" s="15" t="n">
        <v>0.4891657638136511</v>
      </c>
      <c r="K137" s="15" t="n">
        <v>0.5121951219512195</v>
      </c>
      <c r="L137" s="14" t="n">
        <v>0.1206681483561243</v>
      </c>
      <c r="M137" s="14" t="n">
        <v>0.235590194409576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model and market are too far apart for a reliable early-season play</t>
        </is>
      </c>
    </row>
    <row r="138">
      <c r="A138" s="17" t="inlineStr">
        <is>
          <t>PASS</t>
        </is>
      </c>
      <c r="B138" s="17" t="inlineStr">
        <is>
          <t>TAR @ BGSU</t>
        </is>
      </c>
      <c r="C138" s="17" t="inlineStr">
        <is>
          <t>2026-09-05 16:00</t>
        </is>
      </c>
      <c r="D138" s="25" t="n">
        <v>1</v>
      </c>
      <c r="E138" s="17" t="inlineStr">
        <is>
          <t>TOTAL</t>
        </is>
      </c>
      <c r="F138" s="17" t="inlineStr">
        <is>
          <t>Over 48.5</t>
        </is>
      </c>
      <c r="G138" s="26" t="n">
        <v>48.5</v>
      </c>
      <c r="H138" s="18" t="n">
        <v>-112</v>
      </c>
      <c r="I138" s="20" t="n">
        <v>0.646285495264597</v>
      </c>
      <c r="J138" s="20" t="n">
        <v>0.5043297540699688</v>
      </c>
      <c r="K138" s="20" t="n">
        <v>0.5283018867924528</v>
      </c>
      <c r="L138" s="19" t="n">
        <v>0.1179836084721442</v>
      </c>
      <c r="M138" s="19" t="n">
        <v>0.2233261160365586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TAR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URI @ TEM</t>
        </is>
      </c>
      <c r="C139" s="12" t="inlineStr">
        <is>
          <t>2026-09-05 18:00</t>
        </is>
      </c>
      <c r="D139" s="22" t="n">
        <v>1</v>
      </c>
      <c r="E139" s="12" t="inlineStr">
        <is>
          <t>ML</t>
        </is>
      </c>
      <c r="F139" s="12" t="inlineStr">
        <is>
          <t>URI ML</t>
        </is>
      </c>
      <c r="G139" s="23" t="n"/>
      <c r="H139" s="13" t="n">
        <v>500</v>
      </c>
      <c r="I139" s="15" t="n">
        <v>0.2837392824349374</v>
      </c>
      <c r="J139" s="15" t="n">
        <v>0.16</v>
      </c>
      <c r="K139" s="15" t="n">
        <v>0.1666666666666667</v>
      </c>
      <c r="L139" s="14" t="n">
        <v>0.1170726157682707</v>
      </c>
      <c r="M139" s="14" t="n">
        <v>0.7024356946096244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URI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ISU @ IOWA</t>
        </is>
      </c>
      <c r="C140" s="17" t="inlineStr">
        <is>
          <t>2026-09-12 23:30</t>
        </is>
      </c>
      <c r="D140" s="25" t="n">
        <v>2</v>
      </c>
      <c r="E140" s="17" t="inlineStr">
        <is>
          <t>ML</t>
        </is>
      </c>
      <c r="F140" s="17" t="inlineStr">
        <is>
          <t>ISU ML</t>
        </is>
      </c>
      <c r="G140" s="26" t="n"/>
      <c r="H140" s="18" t="n">
        <v>455</v>
      </c>
      <c r="I140" s="20" t="n">
        <v>0.2901774344468599</v>
      </c>
      <c r="J140" s="20" t="n">
        <v>0.172876304023845</v>
      </c>
      <c r="K140" s="20" t="n">
        <v>0.1801801801801802</v>
      </c>
      <c r="L140" s="19" t="n">
        <v>0.1099972542666798</v>
      </c>
      <c r="M140" s="19" t="n">
        <v>0.6104847611800728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correlated with a stronger play on the same game</t>
        </is>
      </c>
    </row>
    <row r="141">
      <c r="A141" s="12" t="inlineStr">
        <is>
          <t>PASS</t>
        </is>
      </c>
      <c r="B141" s="12" t="inlineStr">
        <is>
          <t>TOW @ NAVY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49.5</t>
        </is>
      </c>
      <c r="G141" s="23" t="n">
        <v>49.5</v>
      </c>
      <c r="H141" s="13" t="n">
        <v>-115</v>
      </c>
      <c r="I141" s="15" t="n">
        <v>0.6436508284173913</v>
      </c>
      <c r="J141" s="15" t="n">
        <v>0.5108342361863488</v>
      </c>
      <c r="K141" s="15" t="n">
        <v>0.5348837209302325</v>
      </c>
      <c r="L141" s="14" t="n">
        <v>0.1087671074871588</v>
      </c>
      <c r="M141" s="14" t="n">
        <v>0.2033472009542532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TOW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SELA @ USA</t>
        </is>
      </c>
      <c r="C142" s="17" t="inlineStr">
        <is>
          <t>2026-09-05 23:00</t>
        </is>
      </c>
      <c r="D142" s="25" t="n">
        <v>1</v>
      </c>
      <c r="E142" s="17" t="inlineStr">
        <is>
          <t>ML</t>
        </is>
      </c>
      <c r="F142" s="17" t="inlineStr">
        <is>
          <t>SELA ML</t>
        </is>
      </c>
      <c r="G142" s="26" t="n"/>
      <c r="H142" s="18" t="n">
        <v>440</v>
      </c>
      <c r="I142" s="20" t="n">
        <v>0.2925717697445821</v>
      </c>
      <c r="J142" s="20" t="n">
        <v>0.1776649746192893</v>
      </c>
      <c r="K142" s="20" t="n">
        <v>0.1851851851851852</v>
      </c>
      <c r="L142" s="19" t="n">
        <v>0.1073865845593969</v>
      </c>
      <c r="M142" s="19" t="n">
        <v>0.5798875566207434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SELA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IDST @ USU</t>
        </is>
      </c>
      <c r="C143" s="12" t="inlineStr">
        <is>
          <t>2026-09-05 23:00</t>
        </is>
      </c>
      <c r="D143" s="22" t="n">
        <v>1</v>
      </c>
      <c r="E143" s="12" t="inlineStr">
        <is>
          <t>ML</t>
        </is>
      </c>
      <c r="F143" s="12" t="inlineStr">
        <is>
          <t>IDST ML</t>
        </is>
      </c>
      <c r="G143" s="23" t="n"/>
      <c r="H143" s="13" t="n">
        <v>425</v>
      </c>
      <c r="I143" s="15" t="n">
        <v>0.2951098408105719</v>
      </c>
      <c r="J143" s="15" t="n">
        <v>0.182741116751269</v>
      </c>
      <c r="K143" s="15" t="n">
        <v>0.1904761904761905</v>
      </c>
      <c r="L143" s="14" t="n">
        <v>0.1046336503343814</v>
      </c>
      <c r="M143" s="14" t="n">
        <v>0.5493266642555024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IDST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ALCN @ USM</t>
        </is>
      </c>
      <c r="C144" s="17" t="inlineStr">
        <is>
          <t>2026-09-05 21:00</t>
        </is>
      </c>
      <c r="D144" s="25" t="n">
        <v>1</v>
      </c>
      <c r="E144" s="17" t="inlineStr">
        <is>
          <t>TOTAL</t>
        </is>
      </c>
      <c r="F144" s="17" t="inlineStr">
        <is>
          <t>Over 50.5</t>
        </is>
      </c>
      <c r="G144" s="26" t="n">
        <v>50.5</v>
      </c>
      <c r="H144" s="18" t="n">
        <v>-110</v>
      </c>
      <c r="I144" s="20" t="n">
        <v>0.6243300774479664</v>
      </c>
      <c r="J144" s="20" t="n">
        <v>0.5</v>
      </c>
      <c r="K144" s="20" t="n">
        <v>0.5238095238095238</v>
      </c>
      <c r="L144" s="19" t="n">
        <v>0.1005205536384426</v>
      </c>
      <c r="M144" s="19" t="n">
        <v>0.1919028751279359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ALCN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CMU @ UNM</t>
        </is>
      </c>
      <c r="C145" s="12" t="inlineStr">
        <is>
          <t>2026-09-06 02:00</t>
        </is>
      </c>
      <c r="D145" s="22" t="n">
        <v>1</v>
      </c>
      <c r="E145" s="12" t="inlineStr">
        <is>
          <t>ATS</t>
        </is>
      </c>
      <c r="F145" s="12" t="inlineStr">
        <is>
          <t>CMU +10.5</t>
        </is>
      </c>
      <c r="G145" s="23" t="n">
        <v>-10.5</v>
      </c>
      <c r="H145" s="13" t="n">
        <v>-112</v>
      </c>
      <c r="I145" s="15" t="n">
        <v>0.6253056321623843</v>
      </c>
      <c r="J145" s="15" t="n">
        <v>0.5043297540699688</v>
      </c>
      <c r="K145" s="15" t="n">
        <v>0.5283018867924528</v>
      </c>
      <c r="L145" s="14" t="n">
        <v>0.0970037453699315</v>
      </c>
      <c r="M145" s="14" t="n">
        <v>0.1836142323073703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outside the top 10 plays for this week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ML</t>
        </is>
      </c>
      <c r="F146" s="17" t="inlineStr">
        <is>
          <t>BAY ML</t>
        </is>
      </c>
      <c r="G146" s="26" t="n"/>
      <c r="H146" s="18" t="n">
        <v>240</v>
      </c>
      <c r="I146" s="20" t="n">
        <v>0.391014739229025</v>
      </c>
      <c r="J146" s="20" t="n">
        <v>0.2820294784580499</v>
      </c>
      <c r="K146" s="20" t="n">
        <v>0.2941176470588235</v>
      </c>
      <c r="L146" s="19" t="n">
        <v>0.09689709217020143</v>
      </c>
      <c r="M146" s="19" t="n">
        <v>0.3294501133786848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BAY @ AUB</t>
        </is>
      </c>
      <c r="C147" s="12" t="inlineStr">
        <is>
          <t>2026-09-05 19:30</t>
        </is>
      </c>
      <c r="D147" s="22" t="n">
        <v>1</v>
      </c>
      <c r="E147" s="12" t="inlineStr">
        <is>
          <t>ATS</t>
        </is>
      </c>
      <c r="F147" s="12" t="inlineStr">
        <is>
          <t>BAY +7.5</t>
        </is>
      </c>
      <c r="G147" s="23" t="n">
        <v>-7.5</v>
      </c>
      <c r="H147" s="13" t="n">
        <v>-112</v>
      </c>
      <c r="I147" s="15" t="n">
        <v>0.6246074234488621</v>
      </c>
      <c r="J147" s="15" t="n">
        <v>0.5043297540699688</v>
      </c>
      <c r="K147" s="15" t="n">
        <v>0.5283018867924528</v>
      </c>
      <c r="L147" s="14" t="n">
        <v>0.09630553665640929</v>
      </c>
      <c r="M147" s="14" t="n">
        <v>0.1822926229567746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URI @ TEM</t>
        </is>
      </c>
      <c r="C148" s="17" t="inlineStr">
        <is>
          <t>2026-09-05 18:00</t>
        </is>
      </c>
      <c r="D148" s="25" t="n">
        <v>1</v>
      </c>
      <c r="E148" s="17" t="inlineStr">
        <is>
          <t>TOTAL</t>
        </is>
      </c>
      <c r="F148" s="17" t="inlineStr">
        <is>
          <t>Over 51.5</t>
        </is>
      </c>
      <c r="G148" s="26" t="n">
        <v>51.5</v>
      </c>
      <c r="H148" s="18" t="n">
        <v>-102</v>
      </c>
      <c r="I148" s="20" t="n">
        <v>0.6008800582821032</v>
      </c>
      <c r="J148" s="20" t="n">
        <v>0.4826358742837298</v>
      </c>
      <c r="K148" s="20" t="n">
        <v>0.504950495049505</v>
      </c>
      <c r="L148" s="19" t="n">
        <v>0.09592956323259827</v>
      </c>
      <c r="M148" s="19" t="n">
        <v>0.1899781546371064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URI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SDST @ NU</t>
        </is>
      </c>
      <c r="C149" s="12" t="inlineStr">
        <is>
          <t>2026-09-06 00:00</t>
        </is>
      </c>
      <c r="D149" s="22" t="n">
        <v>1</v>
      </c>
      <c r="E149" s="12" t="inlineStr">
        <is>
          <t>ML</t>
        </is>
      </c>
      <c r="F149" s="12" t="inlineStr">
        <is>
          <t>SDST ML</t>
        </is>
      </c>
      <c r="G149" s="23" t="n"/>
      <c r="H149" s="13" t="n">
        <v>380</v>
      </c>
      <c r="I149" s="15" t="n">
        <v>0.3037392824349374</v>
      </c>
      <c r="J149" s="15" t="n">
        <v>0.2</v>
      </c>
      <c r="K149" s="15" t="n">
        <v>0.2083333333333333</v>
      </c>
      <c r="L149" s="14" t="n">
        <v>0.09540594910160408</v>
      </c>
      <c r="M149" s="14" t="n">
        <v>0.4579485556876997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SDST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BAY @ AUB</t>
        </is>
      </c>
      <c r="C150" s="17" t="inlineStr">
        <is>
          <t>2026-09-05 19:30</t>
        </is>
      </c>
      <c r="D150" s="25" t="n">
        <v>1</v>
      </c>
      <c r="E150" s="17" t="inlineStr">
        <is>
          <t>TOTAL</t>
        </is>
      </c>
      <c r="F150" s="17" t="inlineStr">
        <is>
          <t>Under 59.5</t>
        </is>
      </c>
      <c r="G150" s="26" t="n">
        <v>59.5</v>
      </c>
      <c r="H150" s="18" t="n">
        <v>-115</v>
      </c>
      <c r="I150" s="20" t="n">
        <v>0.6297471879821821</v>
      </c>
      <c r="J150" s="20" t="n">
        <v>0.5108342361863488</v>
      </c>
      <c r="K150" s="20" t="n">
        <v>0.5348837209302325</v>
      </c>
      <c r="L150" s="19" t="n">
        <v>0.09486346705194959</v>
      </c>
      <c r="M150" s="19" t="n">
        <v>0.1773534384014708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TOL @ MSU</t>
        </is>
      </c>
      <c r="C151" s="12" t="inlineStr">
        <is>
          <t>2026-09-05 00:00</t>
        </is>
      </c>
      <c r="D151" s="22" t="n">
        <v>1</v>
      </c>
      <c r="E151" s="12" t="inlineStr">
        <is>
          <t>ATS</t>
        </is>
      </c>
      <c r="F151" s="12" t="inlineStr">
        <is>
          <t>TOL +10</t>
        </is>
      </c>
      <c r="G151" s="23" t="n">
        <v>-10</v>
      </c>
      <c r="H151" s="13" t="n">
        <v>-112</v>
      </c>
      <c r="I151" s="15" t="n">
        <v>0.6206768550777271</v>
      </c>
      <c r="J151" s="15" t="n">
        <v>0.5043297540699688</v>
      </c>
      <c r="K151" s="15" t="n">
        <v>0.5283018867924528</v>
      </c>
      <c r="L151" s="14" t="n">
        <v>0.09237496828527425</v>
      </c>
      <c r="M151" s="14" t="n">
        <v>0.1686972761609394</v>
      </c>
      <c r="N151" s="15" t="n">
        <v>0.0352</v>
      </c>
      <c r="O151" s="24" t="n">
        <v>0.4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CLEM @ LSU</t>
        </is>
      </c>
      <c r="C152" s="17" t="inlineStr">
        <is>
          <t>2026-09-05 23:30</t>
        </is>
      </c>
      <c r="D152" s="25" t="n">
        <v>1</v>
      </c>
      <c r="E152" s="17" t="inlineStr">
        <is>
          <t>ATS</t>
        </is>
      </c>
      <c r="F152" s="17" t="inlineStr">
        <is>
          <t>CLEM +10</t>
        </is>
      </c>
      <c r="G152" s="26" t="n">
        <v>-10</v>
      </c>
      <c r="H152" s="18" t="n">
        <v>-112</v>
      </c>
      <c r="I152" s="20" t="n">
        <v>0.6206768550777271</v>
      </c>
      <c r="J152" s="20" t="n">
        <v>0.5043297540699688</v>
      </c>
      <c r="K152" s="20" t="n">
        <v>0.5283018867924528</v>
      </c>
      <c r="L152" s="19" t="n">
        <v>0.09237496828527425</v>
      </c>
      <c r="M152" s="19" t="n">
        <v>0.1686972761609394</v>
      </c>
      <c r="N152" s="20" t="n">
        <v>0.0352</v>
      </c>
      <c r="O152" s="27" t="n">
        <v>0.4</v>
      </c>
      <c r="P152" s="17" t="inlineStr">
        <is>
          <t>DraftKings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FIU @ USF</t>
        </is>
      </c>
      <c r="C153" s="12" t="inlineStr">
        <is>
          <t>2026-09-05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-115</v>
      </c>
      <c r="I153" s="15" t="n">
        <v>0.6265378323456943</v>
      </c>
      <c r="J153" s="15" t="n">
        <v>0.5108342361863488</v>
      </c>
      <c r="K153" s="15" t="n">
        <v>0.5348837209302325</v>
      </c>
      <c r="L153" s="14" t="n">
        <v>0.09165411141546176</v>
      </c>
      <c r="M153" s="14" t="n">
        <v>0.1713533387332544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UNLV @ HAW</t>
        </is>
      </c>
      <c r="C154" s="17" t="inlineStr">
        <is>
          <t>2026-09-06 02:00</t>
        </is>
      </c>
      <c r="D154" s="25" t="n">
        <v>1</v>
      </c>
      <c r="E154" s="17" t="inlineStr">
        <is>
          <t>ML</t>
        </is>
      </c>
      <c r="F154" s="17" t="inlineStr">
        <is>
          <t>HAW ML</t>
        </is>
      </c>
      <c r="G154" s="26" t="n"/>
      <c r="H154" s="18" t="n">
        <v>130</v>
      </c>
      <c r="I154" s="20" t="n">
        <v>0.5263473613564216</v>
      </c>
      <c r="J154" s="20" t="n">
        <v>0.4170073589533933</v>
      </c>
      <c r="K154" s="20" t="n">
        <v>0.4347826086956522</v>
      </c>
      <c r="L154" s="19" t="n">
        <v>0.09156475266076941</v>
      </c>
      <c r="M154" s="19" t="n">
        <v>0.2105989311197696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WMU @ MICH</t>
        </is>
      </c>
      <c r="C155" s="12" t="inlineStr">
        <is>
          <t>2026-09-05 23:30</t>
        </is>
      </c>
      <c r="D155" s="22" t="n">
        <v>1</v>
      </c>
      <c r="E155" s="12" t="inlineStr">
        <is>
          <t>TOTAL</t>
        </is>
      </c>
      <c r="F155" s="12" t="inlineStr">
        <is>
          <t>Over 49.5</t>
        </is>
      </c>
      <c r="G155" s="23" t="n">
        <v>49.5</v>
      </c>
      <c r="H155" s="13" t="n">
        <v>-112</v>
      </c>
      <c r="I155" s="15" t="n">
        <v>0.6167415529470466</v>
      </c>
      <c r="J155" s="15" t="n">
        <v>0.5043297540699688</v>
      </c>
      <c r="K155" s="15" t="n">
        <v>0.5283018867924528</v>
      </c>
      <c r="L155" s="14" t="n">
        <v>0.08843966615459375</v>
      </c>
      <c r="M155" s="14" t="n">
        <v>0.1674036537926239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PRST @ SDSU</t>
        </is>
      </c>
      <c r="C156" s="17" t="inlineStr">
        <is>
          <t>2026-09-06 01:30</t>
        </is>
      </c>
      <c r="D156" s="25" t="n">
        <v>1</v>
      </c>
      <c r="E156" s="17" t="inlineStr">
        <is>
          <t>TOTAL</t>
        </is>
      </c>
      <c r="F156" s="17" t="inlineStr">
        <is>
          <t>Under 61.5</t>
        </is>
      </c>
      <c r="G156" s="26" t="n">
        <v>61.5</v>
      </c>
      <c r="H156" s="18" t="n">
        <v>100</v>
      </c>
      <c r="I156" s="20" t="n">
        <v>0.5884023234561958</v>
      </c>
      <c r="J156" s="20" t="n">
        <v>0.4782608695652174</v>
      </c>
      <c r="K156" s="20" t="n">
        <v>0.5</v>
      </c>
      <c r="L156" s="19" t="n">
        <v>0.08840232345619581</v>
      </c>
      <c r="M156" s="19" t="n">
        <v>0.1768046469123916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PRST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LOU @ MISS</t>
        </is>
      </c>
      <c r="C157" s="12" t="inlineStr">
        <is>
          <t>2026-09-06 23:30</t>
        </is>
      </c>
      <c r="D157" s="22" t="n">
        <v>1</v>
      </c>
      <c r="E157" s="12" t="inlineStr">
        <is>
          <t>ML</t>
        </is>
      </c>
      <c r="F157" s="12" t="inlineStr">
        <is>
          <t>LOU ML</t>
        </is>
      </c>
      <c r="G157" s="23" t="n"/>
      <c r="H157" s="13" t="n">
        <v>220</v>
      </c>
      <c r="I157" s="15" t="n">
        <v>0.3999189627228525</v>
      </c>
      <c r="J157" s="15" t="n">
        <v>0.299837925445705</v>
      </c>
      <c r="K157" s="15" t="n">
        <v>0.3125</v>
      </c>
      <c r="L157" s="14" t="n">
        <v>0.08741896272285254</v>
      </c>
      <c r="M157" s="14" t="n">
        <v>0.2797406807131282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LOU @ MISS</t>
        </is>
      </c>
      <c r="C158" s="17" t="inlineStr">
        <is>
          <t>2026-09-06 23:30</t>
        </is>
      </c>
      <c r="D158" s="25" t="n">
        <v>1</v>
      </c>
      <c r="E158" s="17" t="inlineStr">
        <is>
          <t>ATS</t>
        </is>
      </c>
      <c r="F158" s="17" t="inlineStr">
        <is>
          <t>LOU +6.5</t>
        </is>
      </c>
      <c r="G158" s="26" t="n">
        <v>-6.5</v>
      </c>
      <c r="H158" s="18" t="n">
        <v>-102</v>
      </c>
      <c r="I158" s="20" t="n">
        <v>0.591904244002925</v>
      </c>
      <c r="J158" s="20" t="n">
        <v>0.4826358742837298</v>
      </c>
      <c r="K158" s="20" t="n">
        <v>0.504950495049505</v>
      </c>
      <c r="L158" s="19" t="n">
        <v>0.08695374895342001</v>
      </c>
      <c r="M158" s="19" t="n">
        <v>0.1722025224371652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CHSO @ GASO</t>
        </is>
      </c>
      <c r="C159" s="12" t="inlineStr">
        <is>
          <t>2026-09-05 23:00</t>
        </is>
      </c>
      <c r="D159" s="22" t="n">
        <v>1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-108</v>
      </c>
      <c r="I159" s="15" t="n">
        <v>0.6057060023101252</v>
      </c>
      <c r="J159" s="15" t="n">
        <v>0.4956702459300312</v>
      </c>
      <c r="K159" s="15" t="n">
        <v>0.5192307692307693</v>
      </c>
      <c r="L159" s="14" t="n">
        <v>0.0864752330793559</v>
      </c>
      <c r="M159" s="14" t="n">
        <v>0.1665448933380189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CHSO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CMU @ UNM</t>
        </is>
      </c>
      <c r="C160" s="17" t="inlineStr">
        <is>
          <t>2026-09-06 02:00</t>
        </is>
      </c>
      <c r="D160" s="25" t="n">
        <v>1</v>
      </c>
      <c r="E160" s="17" t="inlineStr">
        <is>
          <t>ML</t>
        </is>
      </c>
      <c r="F160" s="17" t="inlineStr">
        <is>
          <t>CMU ML</t>
        </is>
      </c>
      <c r="G160" s="26" t="n"/>
      <c r="H160" s="18" t="n">
        <v>340</v>
      </c>
      <c r="I160" s="20" t="n">
        <v>0.3127861321926111</v>
      </c>
      <c r="J160" s="20" t="n">
        <v>0.2180936995153474</v>
      </c>
      <c r="K160" s="20" t="n">
        <v>0.2272727272727273</v>
      </c>
      <c r="L160" s="19" t="n">
        <v>0.08551340491988382</v>
      </c>
      <c r="M160" s="19" t="n">
        <v>0.3762589816474888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ARK @ UTAH</t>
        </is>
      </c>
      <c r="C161" s="12" t="inlineStr">
        <is>
          <t>2026-09-13 02:15</t>
        </is>
      </c>
      <c r="D161" s="22" t="n">
        <v>2</v>
      </c>
      <c r="E161" s="12" t="inlineStr">
        <is>
          <t>ATS</t>
        </is>
      </c>
      <c r="F161" s="12" t="inlineStr">
        <is>
          <t>ARK +9.5</t>
        </is>
      </c>
      <c r="G161" s="23" t="n">
        <v>-9.5</v>
      </c>
      <c r="H161" s="13" t="n">
        <v>-108</v>
      </c>
      <c r="I161" s="15" t="n">
        <v>0.6033743619400092</v>
      </c>
      <c r="J161" s="15" t="n">
        <v>0.4956702459300312</v>
      </c>
      <c r="K161" s="15" t="n">
        <v>0.5192307692307693</v>
      </c>
      <c r="L161" s="14" t="n">
        <v>0.08414359270923988</v>
      </c>
      <c r="M161" s="14" t="n">
        <v>0.162054326699277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YSU @ UK</t>
        </is>
      </c>
      <c r="C162" s="17" t="inlineStr">
        <is>
          <t>2026-09-05 17:00</t>
        </is>
      </c>
      <c r="D162" s="25" t="n">
        <v>1</v>
      </c>
      <c r="E162" s="17" t="inlineStr">
        <is>
          <t>TOTAL</t>
        </is>
      </c>
      <c r="F162" s="17" t="inlineStr">
        <is>
          <t>Under 62.5</t>
        </is>
      </c>
      <c r="G162" s="26" t="n">
        <v>62.5</v>
      </c>
      <c r="H162" s="18" t="n">
        <v>-110</v>
      </c>
      <c r="I162" s="20" t="n">
        <v>0.606169959791966</v>
      </c>
      <c r="J162" s="20" t="n">
        <v>0.5</v>
      </c>
      <c r="K162" s="20" t="n">
        <v>0.5238095238095238</v>
      </c>
      <c r="L162" s="19" t="n">
        <v>0.08236043598244214</v>
      </c>
      <c r="M162" s="19" t="n">
        <v>0.1572335596028441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YSU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SDSU @ UCLA</t>
        </is>
      </c>
      <c r="C163" s="12" t="inlineStr">
        <is>
          <t>2026-09-12 23:15</t>
        </is>
      </c>
      <c r="D163" s="22" t="n">
        <v>2</v>
      </c>
      <c r="E163" s="12" t="inlineStr">
        <is>
          <t>ATS</t>
        </is>
      </c>
      <c r="F163" s="12" t="inlineStr">
        <is>
          <t>SDSU +9.5</t>
        </is>
      </c>
      <c r="G163" s="23" t="n">
        <v>-9.5</v>
      </c>
      <c r="H163" s="13" t="n">
        <v>-110</v>
      </c>
      <c r="I163" s="15" t="n">
        <v>0.6055392389749936</v>
      </c>
      <c r="J163" s="15" t="n">
        <v>0.5</v>
      </c>
      <c r="K163" s="15" t="n">
        <v>0.5238095238095238</v>
      </c>
      <c r="L163" s="14" t="n">
        <v>0.08172971516546979</v>
      </c>
      <c r="M163" s="14" t="n">
        <v>0.1560294562249879</v>
      </c>
      <c r="N163" s="15" t="n">
        <v>0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VMI @ VT</t>
        </is>
      </c>
      <c r="C164" s="17" t="inlineStr">
        <is>
          <t>2026-09-05 23:30</t>
        </is>
      </c>
      <c r="D164" s="25" t="n">
        <v>1</v>
      </c>
      <c r="E164" s="17" t="inlineStr">
        <is>
          <t>TOTAL</t>
        </is>
      </c>
      <c r="F164" s="17" t="inlineStr">
        <is>
          <t>Under 62.5</t>
        </is>
      </c>
      <c r="G164" s="26" t="n">
        <v>62.5</v>
      </c>
      <c r="H164" s="18" t="n">
        <v>-112</v>
      </c>
      <c r="I164" s="20" t="n">
        <v>0.6083348368269504</v>
      </c>
      <c r="J164" s="20" t="n">
        <v>0.5043297540699688</v>
      </c>
      <c r="K164" s="20" t="n">
        <v>0.5283018867924528</v>
      </c>
      <c r="L164" s="19" t="n">
        <v>0.08003295003449762</v>
      </c>
      <c r="M164" s="19" t="n">
        <v>0.1514909411367276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VMI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LAF @ CONN</t>
        </is>
      </c>
      <c r="C165" s="12" t="inlineStr">
        <is>
          <t>2026-09-05 16:00</t>
        </is>
      </c>
      <c r="D165" s="22" t="n">
        <v>1</v>
      </c>
      <c r="E165" s="12" t="inlineStr">
        <is>
          <t>TOTAL</t>
        </is>
      </c>
      <c r="F165" s="12" t="inlineStr">
        <is>
          <t>Over 52.5</t>
        </is>
      </c>
      <c r="G165" s="23" t="n">
        <v>52.5</v>
      </c>
      <c r="H165" s="13" t="n">
        <v>-105</v>
      </c>
      <c r="I165" s="15" t="n">
        <v>0.592107265818543</v>
      </c>
      <c r="J165" s="15" t="n">
        <v>0.4891657638136511</v>
      </c>
      <c r="K165" s="15" t="n">
        <v>0.5121951219512195</v>
      </c>
      <c r="L165" s="14" t="n">
        <v>0.07991214386732348</v>
      </c>
      <c r="M165" s="14" t="n">
        <v>0.1560189475504887</v>
      </c>
      <c r="N165" s="15" t="n">
        <v>0</v>
      </c>
      <c r="O165" s="24" t="n">
        <v>0.4</v>
      </c>
      <c r="P165" s="12" t="inlineStr">
        <is>
          <t>DraftKings</t>
        </is>
      </c>
      <c r="Q165" s="12" t="inlineStr">
        <is>
          <t>LAF isn't a full FBS participant this season — model doesn't rate them reliably</t>
        </is>
      </c>
    </row>
    <row r="166">
      <c r="A166" s="17" t="inlineStr">
        <is>
          <t>PASS</t>
        </is>
      </c>
      <c r="B166" s="17" t="inlineStr">
        <is>
          <t>TOL @ MSU</t>
        </is>
      </c>
      <c r="C166" s="17" t="inlineStr">
        <is>
          <t>2026-09-05 00:00</t>
        </is>
      </c>
      <c r="D166" s="25" t="n">
        <v>1</v>
      </c>
      <c r="E166" s="17" t="inlineStr">
        <is>
          <t>ML</t>
        </is>
      </c>
      <c r="F166" s="17" t="inlineStr">
        <is>
          <t>TOL ML</t>
        </is>
      </c>
      <c r="G166" s="26" t="n"/>
      <c r="H166" s="18" t="n">
        <v>320</v>
      </c>
      <c r="I166" s="20" t="n">
        <v>0.3179865942628943</v>
      </c>
      <c r="J166" s="20" t="n">
        <v>0.2284946236559139</v>
      </c>
      <c r="K166" s="20" t="n">
        <v>0.2380952380952381</v>
      </c>
      <c r="L166" s="19" t="n">
        <v>0.07989135616765625</v>
      </c>
      <c r="M166" s="19" t="n">
        <v>0.3355436959041562</v>
      </c>
      <c r="N166" s="20" t="n">
        <v>0</v>
      </c>
      <c r="O166" s="27" t="n">
        <v>0.4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BOIS @ ORE</t>
        </is>
      </c>
      <c r="C167" s="12" t="inlineStr">
        <is>
          <t>2026-09-05 19:30</t>
        </is>
      </c>
      <c r="D167" s="22" t="n">
        <v>1</v>
      </c>
      <c r="E167" s="12" t="inlineStr">
        <is>
          <t>TOTAL</t>
        </is>
      </c>
      <c r="F167" s="12" t="inlineStr">
        <is>
          <t>Over 51.5</t>
        </is>
      </c>
      <c r="G167" s="23" t="n">
        <v>51.5</v>
      </c>
      <c r="H167" s="13" t="n">
        <v>-108</v>
      </c>
      <c r="I167" s="15" t="n">
        <v>0.5988454502930474</v>
      </c>
      <c r="J167" s="15" t="n">
        <v>0.4956702459300312</v>
      </c>
      <c r="K167" s="15" t="n">
        <v>0.5192307692307693</v>
      </c>
      <c r="L167" s="14" t="n">
        <v>0.07961468106227809</v>
      </c>
      <c r="M167" s="14" t="n">
        <v>0.1533319783421654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NCAT @ GAST</t>
        </is>
      </c>
      <c r="C168" s="17" t="inlineStr">
        <is>
          <t>2026-09-04 23:00</t>
        </is>
      </c>
      <c r="D168" s="25" t="n">
        <v>1</v>
      </c>
      <c r="E168" s="17" t="inlineStr">
        <is>
          <t>TOTAL</t>
        </is>
      </c>
      <c r="F168" s="17" t="inlineStr">
        <is>
          <t>Under 62.5</t>
        </is>
      </c>
      <c r="G168" s="26" t="n">
        <v>62.5</v>
      </c>
      <c r="H168" s="18" t="n">
        <v>-108</v>
      </c>
      <c r="I168" s="20" t="n">
        <v>0.5971070120848503</v>
      </c>
      <c r="J168" s="20" t="n">
        <v>0.4956702459300312</v>
      </c>
      <c r="K168" s="20" t="n">
        <v>0.5192307692307693</v>
      </c>
      <c r="L168" s="19" t="n">
        <v>0.07787624285408101</v>
      </c>
      <c r="M168" s="19" t="n">
        <v>0.1499838751263785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NCAT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BRY @ ARMY</t>
        </is>
      </c>
      <c r="C169" s="12" t="inlineStr">
        <is>
          <t>2026-09-05 16:00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-102</v>
      </c>
      <c r="I169" s="15" t="n">
        <v>0.5817641918481604</v>
      </c>
      <c r="J169" s="15" t="n">
        <v>0.4826358742837298</v>
      </c>
      <c r="K169" s="15" t="n">
        <v>0.504950495049505</v>
      </c>
      <c r="L169" s="14" t="n">
        <v>0.07681369679865546</v>
      </c>
      <c r="M169" s="14" t="n">
        <v>0.1521212426796903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BRY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UNA @ ARK</t>
        </is>
      </c>
      <c r="C170" s="17" t="inlineStr">
        <is>
          <t>2026-09-05 20:15</t>
        </is>
      </c>
      <c r="D170" s="25" t="n">
        <v>1</v>
      </c>
      <c r="E170" s="17" t="inlineStr">
        <is>
          <t>TOTAL</t>
        </is>
      </c>
      <c r="F170" s="17" t="inlineStr">
        <is>
          <t>Under 63.5</t>
        </is>
      </c>
      <c r="G170" s="26" t="n">
        <v>63.5</v>
      </c>
      <c r="H170" s="18" t="n">
        <v>-115</v>
      </c>
      <c r="I170" s="20" t="n">
        <v>0.6115870781865793</v>
      </c>
      <c r="J170" s="20" t="n">
        <v>0.5108342361863488</v>
      </c>
      <c r="K170" s="20" t="n">
        <v>0.5348837209302325</v>
      </c>
      <c r="L170" s="19" t="n">
        <v>0.0767033572563468</v>
      </c>
      <c r="M170" s="19" t="n">
        <v>0.1434019287836047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UNA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IDST @ USU</t>
        </is>
      </c>
      <c r="C171" s="12" t="inlineStr">
        <is>
          <t>2026-09-05 23:00</t>
        </is>
      </c>
      <c r="D171" s="22" t="n">
        <v>1</v>
      </c>
      <c r="E171" s="12" t="inlineStr">
        <is>
          <t>TOTAL</t>
        </is>
      </c>
      <c r="F171" s="12" t="inlineStr">
        <is>
          <t>Under 62.5</t>
        </is>
      </c>
      <c r="G171" s="23" t="n">
        <v>62.5</v>
      </c>
      <c r="H171" s="13" t="n">
        <v>-108</v>
      </c>
      <c r="I171" s="15" t="n">
        <v>0.5953595052779205</v>
      </c>
      <c r="J171" s="15" t="n">
        <v>0.4956702459300312</v>
      </c>
      <c r="K171" s="15" t="n">
        <v>0.5192307692307693</v>
      </c>
      <c r="L171" s="14" t="n">
        <v>0.0761287360471512</v>
      </c>
      <c r="M171" s="14" t="n">
        <v>0.1466183064611802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IDST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FRES @ USC</t>
        </is>
      </c>
      <c r="C172" s="17" t="inlineStr">
        <is>
          <t>2026-09-05 01:00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-112</v>
      </c>
      <c r="I172" s="20" t="n">
        <v>0.6031752043630162</v>
      </c>
      <c r="J172" s="20" t="n">
        <v>0.5043297540699688</v>
      </c>
      <c r="K172" s="20" t="n">
        <v>0.5283018867924528</v>
      </c>
      <c r="L172" s="19" t="n">
        <v>0.07487331757056337</v>
      </c>
      <c r="M172" s="19" t="n">
        <v>0.141724493972852</v>
      </c>
      <c r="N172" s="20" t="n">
        <v>0</v>
      </c>
      <c r="O172" s="27" t="n">
        <v>0.4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ASU @ TA&amp;M</t>
        </is>
      </c>
      <c r="C173" s="12" t="inlineStr">
        <is>
          <t>2026-09-12 16:00</t>
        </is>
      </c>
      <c r="D173" s="22" t="n">
        <v>2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-108</v>
      </c>
      <c r="I173" s="15" t="n">
        <v>0.5936030585668666</v>
      </c>
      <c r="J173" s="15" t="n">
        <v>0.4956702459300312</v>
      </c>
      <c r="K173" s="15" t="n">
        <v>0.5192307692307693</v>
      </c>
      <c r="L173" s="14" t="n">
        <v>0.0743722893360973</v>
      </c>
      <c r="M173" s="14" t="n">
        <v>0.1432355202028542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ARST @ MEM</t>
        </is>
      </c>
      <c r="C174" s="17" t="inlineStr">
        <is>
          <t>2026-09-05 23:00</t>
        </is>
      </c>
      <c r="D174" s="25" t="n">
        <v>1</v>
      </c>
      <c r="E174" s="17" t="inlineStr">
        <is>
          <t>ML</t>
        </is>
      </c>
      <c r="F174" s="17" t="inlineStr">
        <is>
          <t>ARST ML</t>
        </is>
      </c>
      <c r="G174" s="26" t="n"/>
      <c r="H174" s="18" t="n">
        <v>350</v>
      </c>
      <c r="I174" s="20" t="n">
        <v>0.2963167744151559</v>
      </c>
      <c r="J174" s="20" t="n">
        <v>0.2132564841498559</v>
      </c>
      <c r="K174" s="20" t="n">
        <v>0.2222222222222222</v>
      </c>
      <c r="L174" s="19" t="n">
        <v>0.0740945521929337</v>
      </c>
      <c r="M174" s="19" t="n">
        <v>0.3334254848682016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ARK @ UTAH</t>
        </is>
      </c>
      <c r="C175" s="12" t="inlineStr">
        <is>
          <t>2026-09-13 02:15</t>
        </is>
      </c>
      <c r="D175" s="22" t="n">
        <v>2</v>
      </c>
      <c r="E175" s="12" t="inlineStr">
        <is>
          <t>ML</t>
        </is>
      </c>
      <c r="F175" s="12" t="inlineStr">
        <is>
          <t>ARK ML</t>
        </is>
      </c>
      <c r="G175" s="23" t="n"/>
      <c r="H175" s="13" t="n">
        <v>300</v>
      </c>
      <c r="I175" s="15" t="n">
        <v>0.3237392824349373</v>
      </c>
      <c r="J175" s="15" t="n">
        <v>0.24</v>
      </c>
      <c r="K175" s="15" t="n">
        <v>0.25</v>
      </c>
      <c r="L175" s="14" t="n">
        <v>0.07373928243493733</v>
      </c>
      <c r="M175" s="14" t="n">
        <v>0.2949571297397493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MRSH @ PSU</t>
        </is>
      </c>
      <c r="C176" s="17" t="inlineStr">
        <is>
          <t>2026-09-05 19:30</t>
        </is>
      </c>
      <c r="D176" s="25" t="n">
        <v>1</v>
      </c>
      <c r="E176" s="17" t="inlineStr">
        <is>
          <t>TOTAL</t>
        </is>
      </c>
      <c r="F176" s="17" t="inlineStr">
        <is>
          <t>Over 52.5</t>
        </is>
      </c>
      <c r="G176" s="26" t="n">
        <v>52.5</v>
      </c>
      <c r="H176" s="18" t="n">
        <v>-102</v>
      </c>
      <c r="I176" s="20" t="n">
        <v>0.5781741554946792</v>
      </c>
      <c r="J176" s="20" t="n">
        <v>0.4826358742837298</v>
      </c>
      <c r="K176" s="20" t="n">
        <v>0.504950495049505</v>
      </c>
      <c r="L176" s="19" t="n">
        <v>0.07322366044517425</v>
      </c>
      <c r="M176" s="19" t="n">
        <v>0.145011562842404</v>
      </c>
      <c r="N176" s="20" t="n">
        <v>0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CLEM @ LSU</t>
        </is>
      </c>
      <c r="C177" s="12" t="inlineStr">
        <is>
          <t>2026-09-05 23:30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-112</v>
      </c>
      <c r="I177" s="15" t="n">
        <v>0.6014367699996835</v>
      </c>
      <c r="J177" s="15" t="n">
        <v>0.5043297540699688</v>
      </c>
      <c r="K177" s="15" t="n">
        <v>0.5283018867924528</v>
      </c>
      <c r="L177" s="14" t="n">
        <v>0.07313488320723072</v>
      </c>
      <c r="M177" s="14" t="n">
        <v>0.1384338860708295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CLEM @ LSU</t>
        </is>
      </c>
      <c r="C178" s="17" t="inlineStr">
        <is>
          <t>2026-09-05 23:30</t>
        </is>
      </c>
      <c r="D178" s="25" t="n">
        <v>1</v>
      </c>
      <c r="E178" s="17" t="inlineStr">
        <is>
          <t>ML</t>
        </is>
      </c>
      <c r="F178" s="17" t="inlineStr">
        <is>
          <t>CLEM ML</t>
        </is>
      </c>
      <c r="G178" s="26" t="n"/>
      <c r="H178" s="18" t="n">
        <v>295</v>
      </c>
      <c r="I178" s="20" t="n">
        <v>0.3251450332336594</v>
      </c>
      <c r="J178" s="20" t="n">
        <v>0.2428115015974441</v>
      </c>
      <c r="K178" s="20" t="n">
        <v>0.2531645569620253</v>
      </c>
      <c r="L178" s="19" t="n">
        <v>0.07198047627163406</v>
      </c>
      <c r="M178" s="19" t="n">
        <v>0.2843228812729547</v>
      </c>
      <c r="N178" s="20" t="n">
        <v>0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WIS @ ND</t>
        </is>
      </c>
      <c r="C179" s="12" t="inlineStr">
        <is>
          <t>2026-09-06 23:30</t>
        </is>
      </c>
      <c r="D179" s="22" t="n">
        <v>1</v>
      </c>
      <c r="E179" s="12" t="inlineStr">
        <is>
          <t>TOTAL</t>
        </is>
      </c>
      <c r="F179" s="12" t="inlineStr">
        <is>
          <t>Over 46.5</t>
        </is>
      </c>
      <c r="G179" s="23" t="n">
        <v>46.5</v>
      </c>
      <c r="H179" s="13" t="n">
        <v>-112</v>
      </c>
      <c r="I179" s="15" t="n">
        <v>0.5996892923088866</v>
      </c>
      <c r="J179" s="15" t="n">
        <v>0.5043297540699688</v>
      </c>
      <c r="K179" s="15" t="n">
        <v>0.5283018867924528</v>
      </c>
      <c r="L179" s="14" t="n">
        <v>0.07138740551643374</v>
      </c>
      <c r="M179" s="14" t="n">
        <v>0.135126160441821</v>
      </c>
      <c r="N179" s="15" t="n">
        <v>0</v>
      </c>
      <c r="O179" s="24" t="n">
        <v>0.4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DUKE @ ILL</t>
        </is>
      </c>
      <c r="C180" s="17" t="inlineStr">
        <is>
          <t>2026-09-12 19:30</t>
        </is>
      </c>
      <c r="D180" s="25" t="n">
        <v>2</v>
      </c>
      <c r="E180" s="17" t="inlineStr">
        <is>
          <t>ATS</t>
        </is>
      </c>
      <c r="F180" s="17" t="inlineStr">
        <is>
          <t>DUKE +8.5</t>
        </is>
      </c>
      <c r="G180" s="26" t="n">
        <v>-8.5</v>
      </c>
      <c r="H180" s="18" t="n">
        <v>-110</v>
      </c>
      <c r="I180" s="20" t="n">
        <v>0.5949333329631319</v>
      </c>
      <c r="J180" s="20" t="n">
        <v>0.5</v>
      </c>
      <c r="K180" s="20" t="n">
        <v>0.5238095238095238</v>
      </c>
      <c r="L180" s="19" t="n">
        <v>0.07112380915360805</v>
      </c>
      <c r="M180" s="19" t="n">
        <v>0.13578181747507</v>
      </c>
      <c r="N180" s="20" t="n">
        <v>0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SELA @ USA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-108</v>
      </c>
      <c r="I181" s="15" t="n">
        <v>0.5882813766040852</v>
      </c>
      <c r="J181" s="15" t="n">
        <v>0.4956702459300312</v>
      </c>
      <c r="K181" s="15" t="n">
        <v>0.5192307692307693</v>
      </c>
      <c r="L181" s="14" t="n">
        <v>0.06905060737331592</v>
      </c>
      <c r="M181" s="14" t="n">
        <v>0.1329863549412011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SELA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UTU @ BYU</t>
        </is>
      </c>
      <c r="C182" s="17" t="inlineStr">
        <is>
          <t>2026-09-06 00:00</t>
        </is>
      </c>
      <c r="D182" s="25" t="n">
        <v>1</v>
      </c>
      <c r="E182" s="17" t="inlineStr">
        <is>
          <t>TOTAL</t>
        </is>
      </c>
      <c r="F182" s="17" t="inlineStr">
        <is>
          <t>Under 61.5</t>
        </is>
      </c>
      <c r="G182" s="26" t="n">
        <v>61.5</v>
      </c>
      <c r="H182" s="18" t="n">
        <v>-110</v>
      </c>
      <c r="I182" s="20" t="n">
        <v>0.592228732920984</v>
      </c>
      <c r="J182" s="20" t="n">
        <v>0.5</v>
      </c>
      <c r="K182" s="20" t="n">
        <v>0.5238095238095238</v>
      </c>
      <c r="L182" s="19" t="n">
        <v>0.06841920911146016</v>
      </c>
      <c r="M182" s="19" t="n">
        <v>0.1306184901218785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UTU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WSU @ WASH</t>
        </is>
      </c>
      <c r="C183" s="12" t="inlineStr">
        <is>
          <t>2026-09-06 20:00</t>
        </is>
      </c>
      <c r="D183" s="22" t="n">
        <v>1</v>
      </c>
      <c r="E183" s="12" t="inlineStr">
        <is>
          <t>TOTAL</t>
        </is>
      </c>
      <c r="F183" s="12" t="inlineStr">
        <is>
          <t>Over 51.5</t>
        </is>
      </c>
      <c r="G183" s="23" t="n">
        <v>51.5</v>
      </c>
      <c r="H183" s="13" t="n">
        <v>-105</v>
      </c>
      <c r="I183" s="15" t="n">
        <v>0.5796318307895493</v>
      </c>
      <c r="J183" s="15" t="n">
        <v>0.4891657638136511</v>
      </c>
      <c r="K183" s="15" t="n">
        <v>0.5121951219512195</v>
      </c>
      <c r="L183" s="14" t="n">
        <v>0.06743670883832975</v>
      </c>
      <c r="M183" s="14" t="n">
        <v>0.1316621458272152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SMU @ FSU</t>
        </is>
      </c>
      <c r="C184" s="17" t="inlineStr">
        <is>
          <t>2026-09-07 23:30</t>
        </is>
      </c>
      <c r="D184" s="25" t="n">
        <v>1</v>
      </c>
      <c r="E184" s="17" t="inlineStr">
        <is>
          <t>ATS</t>
        </is>
      </c>
      <c r="F184" s="17" t="inlineStr">
        <is>
          <t>FSU +3</t>
        </is>
      </c>
      <c r="G184" s="26" t="n">
        <v>3</v>
      </c>
      <c r="H184" s="18" t="n">
        <v>-115</v>
      </c>
      <c r="I184" s="20" t="n">
        <v>0.6023034430136633</v>
      </c>
      <c r="J184" s="20" t="n">
        <v>0.5108342361863488</v>
      </c>
      <c r="K184" s="20" t="n">
        <v>0.5348837209302325</v>
      </c>
      <c r="L184" s="19" t="n">
        <v>0.06741972208343083</v>
      </c>
      <c r="M184" s="19" t="n">
        <v>0.119211265942709</v>
      </c>
      <c r="N184" s="20" t="n">
        <v>0.0542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UTEP @ OU</t>
        </is>
      </c>
      <c r="C185" s="12" t="inlineStr">
        <is>
          <t>2026-09-05 00:00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-110</v>
      </c>
      <c r="I185" s="15" t="n">
        <v>0.5904462547062955</v>
      </c>
      <c r="J185" s="15" t="n">
        <v>0.5</v>
      </c>
      <c r="K185" s="15" t="n">
        <v>0.5238095238095238</v>
      </c>
      <c r="L185" s="14" t="n">
        <v>0.06663673089677169</v>
      </c>
      <c r="M185" s="14" t="n">
        <v>0.1272155771665643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SMU @ FSU</t>
        </is>
      </c>
      <c r="C186" s="17" t="inlineStr">
        <is>
          <t>2026-09-07 23:30</t>
        </is>
      </c>
      <c r="D186" s="25" t="n">
        <v>1</v>
      </c>
      <c r="E186" s="17" t="inlineStr">
        <is>
          <t>ML</t>
        </is>
      </c>
      <c r="F186" s="17" t="inlineStr">
        <is>
          <t>FSU ML</t>
        </is>
      </c>
      <c r="G186" s="26" t="n"/>
      <c r="H186" s="18" t="n">
        <v>124</v>
      </c>
      <c r="I186" s="20" t="n">
        <v>0.5119135008786784</v>
      </c>
      <c r="J186" s="20" t="n">
        <v>0.4279403644395361</v>
      </c>
      <c r="K186" s="20" t="n">
        <v>0.4464285714285715</v>
      </c>
      <c r="L186" s="19" t="n">
        <v>0.06548492945010692</v>
      </c>
      <c r="M186" s="19" t="n">
        <v>0.1466862419682397</v>
      </c>
      <c r="N186" s="20" t="n">
        <v>0</v>
      </c>
      <c r="O186" s="27" t="n">
        <v>0.4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MERC @ NMSU</t>
        </is>
      </c>
      <c r="C187" s="12" t="inlineStr">
        <is>
          <t>2026-09-06 01:00</t>
        </is>
      </c>
      <c r="D187" s="22" t="n">
        <v>1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-105</v>
      </c>
      <c r="I187" s="15" t="n">
        <v>0.5759935070608535</v>
      </c>
      <c r="J187" s="15" t="n">
        <v>0.4891657638136511</v>
      </c>
      <c r="K187" s="15" t="n">
        <v>0.5121951219512195</v>
      </c>
      <c r="L187" s="14" t="n">
        <v>0.06379838510963398</v>
      </c>
      <c r="M187" s="14" t="n">
        <v>0.124558751880714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MERC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TULN @ DUKE</t>
        </is>
      </c>
      <c r="C188" s="17" t="inlineStr">
        <is>
          <t>2026-09-05 19:30</t>
        </is>
      </c>
      <c r="D188" s="25" t="n">
        <v>1</v>
      </c>
      <c r="E188" s="17" t="inlineStr">
        <is>
          <t>ATS</t>
        </is>
      </c>
      <c r="F188" s="17" t="inlineStr">
        <is>
          <t>TULN +7.5</t>
        </is>
      </c>
      <c r="G188" s="26" t="n">
        <v>-7.5</v>
      </c>
      <c r="H188" s="18" t="n">
        <v>-108</v>
      </c>
      <c r="I188" s="20" t="n">
        <v>0.5800037251854291</v>
      </c>
      <c r="J188" s="20" t="n">
        <v>0.4956702459300312</v>
      </c>
      <c r="K188" s="20" t="n">
        <v>0.5192307692307693</v>
      </c>
      <c r="L188" s="19" t="n">
        <v>0.06077295595465981</v>
      </c>
      <c r="M188" s="19" t="n">
        <v>0.1170442114682338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TULN @ DUKE</t>
        </is>
      </c>
      <c r="C189" s="12" t="inlineStr">
        <is>
          <t>2026-09-05 19:30</t>
        </is>
      </c>
      <c r="D189" s="22" t="n">
        <v>1</v>
      </c>
      <c r="E189" s="12" t="inlineStr">
        <is>
          <t>ML</t>
        </is>
      </c>
      <c r="F189" s="12" t="inlineStr">
        <is>
          <t>TULN ML</t>
        </is>
      </c>
      <c r="G189" s="23" t="n"/>
      <c r="H189" s="13" t="n">
        <v>260</v>
      </c>
      <c r="I189" s="15" t="n">
        <v>0.3369681225603292</v>
      </c>
      <c r="J189" s="15" t="n">
        <v>0.2664576802507838</v>
      </c>
      <c r="K189" s="15" t="n">
        <v>0.2777777777777778</v>
      </c>
      <c r="L189" s="14" t="n">
        <v>0.05919034478255136</v>
      </c>
      <c r="M189" s="14" t="n">
        <v>0.213085241217185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MORG @ ASU</t>
        </is>
      </c>
      <c r="C190" s="17" t="inlineStr">
        <is>
          <t>2026-09-06 02:00</t>
        </is>
      </c>
      <c r="D190" s="25" t="n">
        <v>1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-112</v>
      </c>
      <c r="I190" s="20" t="n">
        <v>0.5872138246713489</v>
      </c>
      <c r="J190" s="20" t="n">
        <v>0.5043297540699688</v>
      </c>
      <c r="K190" s="20" t="n">
        <v>0.5283018867924528</v>
      </c>
      <c r="L190" s="19" t="n">
        <v>0.05891193787889604</v>
      </c>
      <c r="M190" s="19" t="n">
        <v>0.1115118824136246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MORG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NORF @ ODU</t>
        </is>
      </c>
      <c r="C191" s="12" t="inlineStr">
        <is>
          <t>2026-09-05 22:00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-112</v>
      </c>
      <c r="I191" s="15" t="n">
        <v>0.5853985778496928</v>
      </c>
      <c r="J191" s="15" t="n">
        <v>0.5043297540699688</v>
      </c>
      <c r="K191" s="15" t="n">
        <v>0.5283018867924528</v>
      </c>
      <c r="L191" s="14" t="n">
        <v>0.05709669105724002</v>
      </c>
      <c r="M191" s="14" t="n">
        <v>0.1080758795012042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NORF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BC @ CIN</t>
        </is>
      </c>
      <c r="C192" s="17" t="inlineStr">
        <is>
          <t>2026-09-05 19:30</t>
        </is>
      </c>
      <c r="D192" s="25" t="n">
        <v>1</v>
      </c>
      <c r="E192" s="17" t="inlineStr">
        <is>
          <t>ATS</t>
        </is>
      </c>
      <c r="F192" s="17" t="inlineStr">
        <is>
          <t>BC +7.5</t>
        </is>
      </c>
      <c r="G192" s="26" t="n">
        <v>-7.5</v>
      </c>
      <c r="H192" s="18" t="n">
        <v>-112</v>
      </c>
      <c r="I192" s="20" t="n">
        <v>0.584333479255398</v>
      </c>
      <c r="J192" s="20" t="n">
        <v>0.5043297540699688</v>
      </c>
      <c r="K192" s="20" t="n">
        <v>0.5283018867924528</v>
      </c>
      <c r="L192" s="19" t="n">
        <v>0.0560315924629452</v>
      </c>
      <c r="M192" s="19" t="n">
        <v>0.1060598000191463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ORE @ OKST</t>
        </is>
      </c>
      <c r="C193" s="12" t="inlineStr">
        <is>
          <t>2026-09-12 16:00</t>
        </is>
      </c>
      <c r="D193" s="22" t="n">
        <v>2</v>
      </c>
      <c r="E193" s="12" t="inlineStr">
        <is>
          <t>TOTAL</t>
        </is>
      </c>
      <c r="F193" s="12" t="inlineStr">
        <is>
          <t>Under 60.5</t>
        </is>
      </c>
      <c r="G193" s="23" t="n">
        <v>60.5</v>
      </c>
      <c r="H193" s="13" t="n">
        <v>-112</v>
      </c>
      <c r="I193" s="15" t="n">
        <v>0.5817447442575298</v>
      </c>
      <c r="J193" s="15" t="n">
        <v>0.5043297540699688</v>
      </c>
      <c r="K193" s="15" t="n">
        <v>0.5283018867924528</v>
      </c>
      <c r="L193" s="14" t="n">
        <v>0.05344285746507693</v>
      </c>
      <c r="M193" s="14" t="n">
        <v>0.101159694487467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BC @ CIN</t>
        </is>
      </c>
      <c r="C194" s="17" t="inlineStr">
        <is>
          <t>2026-09-05 19:30</t>
        </is>
      </c>
      <c r="D194" s="25" t="n">
        <v>1</v>
      </c>
      <c r="E194" s="17" t="inlineStr">
        <is>
          <t>ML</t>
        </is>
      </c>
      <c r="F194" s="17" t="inlineStr">
        <is>
          <t>BC ML</t>
        </is>
      </c>
      <c r="G194" s="26" t="n"/>
      <c r="H194" s="18" t="n">
        <v>245</v>
      </c>
      <c r="I194" s="20" t="n">
        <v>0.3426996529959255</v>
      </c>
      <c r="J194" s="20" t="n">
        <v>0.2779207411219763</v>
      </c>
      <c r="K194" s="20" t="n">
        <v>0.2898550724637681</v>
      </c>
      <c r="L194" s="19" t="n">
        <v>0.0528445805321574</v>
      </c>
      <c r="M194" s="19" t="n">
        <v>0.1823138028359431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ARK @ UTAH</t>
        </is>
      </c>
      <c r="C195" s="12" t="inlineStr">
        <is>
          <t>2026-09-13 02:15</t>
        </is>
      </c>
      <c r="D195" s="22" t="n">
        <v>2</v>
      </c>
      <c r="E195" s="12" t="inlineStr">
        <is>
          <t>TOTAL</t>
        </is>
      </c>
      <c r="F195" s="12" t="inlineStr">
        <is>
          <t>Over 54.5</t>
        </is>
      </c>
      <c r="G195" s="23" t="n">
        <v>54.5</v>
      </c>
      <c r="H195" s="13" t="n">
        <v>-108</v>
      </c>
      <c r="I195" s="15" t="n">
        <v>0.5700182423343924</v>
      </c>
      <c r="J195" s="15" t="n">
        <v>0.4956702459300312</v>
      </c>
      <c r="K195" s="15" t="n">
        <v>0.5192307692307693</v>
      </c>
      <c r="L195" s="14" t="n">
        <v>0.05078747310362308</v>
      </c>
      <c r="M195" s="14" t="n">
        <v>0.09781291116253354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ARIZ @ BYU</t>
        </is>
      </c>
      <c r="C196" s="17" t="inlineStr">
        <is>
          <t>2026-09-12 19:30</t>
        </is>
      </c>
      <c r="D196" s="25" t="n">
        <v>2</v>
      </c>
      <c r="E196" s="17" t="inlineStr">
        <is>
          <t>ATS</t>
        </is>
      </c>
      <c r="F196" s="17" t="inlineStr">
        <is>
          <t>ARIZ +7</t>
        </is>
      </c>
      <c r="G196" s="26" t="n">
        <v>-7</v>
      </c>
      <c r="H196" s="18" t="n">
        <v>-110</v>
      </c>
      <c r="I196" s="20" t="n">
        <v>0.5735912261416127</v>
      </c>
      <c r="J196" s="20" t="n">
        <v>0.5</v>
      </c>
      <c r="K196" s="20" t="n">
        <v>0.5238095238095238</v>
      </c>
      <c r="L196" s="19" t="n">
        <v>0.0497817023320889</v>
      </c>
      <c r="M196" s="19" t="n">
        <v>0.0904168522262665</v>
      </c>
      <c r="N196" s="20" t="n">
        <v>0.0486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ARST @ MEM</t>
        </is>
      </c>
      <c r="C197" s="12" t="inlineStr">
        <is>
          <t>2026-09-05 23:00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-112</v>
      </c>
      <c r="I197" s="15" t="n">
        <v>0.5780608077027705</v>
      </c>
      <c r="J197" s="15" t="n">
        <v>0.5043297540699688</v>
      </c>
      <c r="K197" s="15" t="n">
        <v>0.5283018867924528</v>
      </c>
      <c r="L197" s="14" t="n">
        <v>0.04975892091031764</v>
      </c>
      <c r="M197" s="14" t="n">
        <v>0.09418652886595835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ECU @ ALA</t>
        </is>
      </c>
      <c r="C198" s="17" t="inlineStr">
        <is>
          <t>2026-09-05 16:00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-110</v>
      </c>
      <c r="I198" s="20" t="n">
        <v>0.5721831209465722</v>
      </c>
      <c r="J198" s="20" t="n">
        <v>0.5</v>
      </c>
      <c r="K198" s="20" t="n">
        <v>0.5238095238095238</v>
      </c>
      <c r="L198" s="19" t="n">
        <v>0.04837359713704836</v>
      </c>
      <c r="M198" s="19" t="n">
        <v>0.0923495945343652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WKU @ NEV</t>
        </is>
      </c>
      <c r="C199" s="12" t="inlineStr">
        <is>
          <t>2026-09-06 02:30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0.5721831209465722</v>
      </c>
      <c r="J199" s="15" t="n">
        <v>0.5</v>
      </c>
      <c r="K199" s="15" t="n">
        <v>0.5238095238095238</v>
      </c>
      <c r="L199" s="14" t="n">
        <v>0.04837359713704836</v>
      </c>
      <c r="M199" s="14" t="n">
        <v>0.0923495945343652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MEM @ BOIS</t>
        </is>
      </c>
      <c r="C200" s="17" t="inlineStr">
        <is>
          <t>2026-09-12 22:00</t>
        </is>
      </c>
      <c r="D200" s="25" t="n">
        <v>2</v>
      </c>
      <c r="E200" s="17" t="inlineStr">
        <is>
          <t>ATS</t>
        </is>
      </c>
      <c r="F200" s="17" t="inlineStr">
        <is>
          <t>MEM +6.5</t>
        </is>
      </c>
      <c r="G200" s="26" t="n">
        <v>-6.5</v>
      </c>
      <c r="H200" s="18" t="n">
        <v>-110</v>
      </c>
      <c r="I200" s="20" t="n">
        <v>0.5716259753630466</v>
      </c>
      <c r="J200" s="20" t="n">
        <v>0.5</v>
      </c>
      <c r="K200" s="20" t="n">
        <v>0.5238095238095238</v>
      </c>
      <c r="L200" s="19" t="n">
        <v>0.04781645155352277</v>
      </c>
      <c r="M200" s="19" t="n">
        <v>0.09128595296581632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UCLA @ CAL</t>
        </is>
      </c>
      <c r="C201" s="12" t="inlineStr">
        <is>
          <t>2026-09-06 02:30</t>
        </is>
      </c>
      <c r="D201" s="22" t="n">
        <v>1</v>
      </c>
      <c r="E201" s="12" t="inlineStr">
        <is>
          <t>ATS</t>
        </is>
      </c>
      <c r="F201" s="12" t="inlineStr">
        <is>
          <t>CAL +1.5</t>
        </is>
      </c>
      <c r="G201" s="23" t="n">
        <v>1.5</v>
      </c>
      <c r="H201" s="13" t="n">
        <v>-105</v>
      </c>
      <c r="I201" s="15" t="n">
        <v>0.5584845477394387</v>
      </c>
      <c r="J201" s="15" t="n">
        <v>0.4891657638136511</v>
      </c>
      <c r="K201" s="15" t="n">
        <v>0.5121951219512195</v>
      </c>
      <c r="L201" s="14" t="n">
        <v>0.04628942578821915</v>
      </c>
      <c r="M201" s="14" t="n">
        <v>0.09037459320557073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ME @ APP</t>
        </is>
      </c>
      <c r="C202" s="17" t="inlineStr">
        <is>
          <t>2026-09-05 19:30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-110</v>
      </c>
      <c r="I202" s="20" t="n">
        <v>0.5684427112566344</v>
      </c>
      <c r="J202" s="20" t="n">
        <v>0.5</v>
      </c>
      <c r="K202" s="20" t="n">
        <v>0.5238095238095238</v>
      </c>
      <c r="L202" s="19" t="n">
        <v>0.04463318744711053</v>
      </c>
      <c r="M202" s="19" t="n">
        <v>0.08520881239902933</v>
      </c>
      <c r="N202" s="20" t="n">
        <v>0</v>
      </c>
      <c r="O202" s="27" t="n">
        <v>0.4</v>
      </c>
      <c r="P202" s="17" t="inlineStr">
        <is>
          <t>DraftKings</t>
        </is>
      </c>
      <c r="Q202" s="17" t="inlineStr">
        <is>
          <t>ME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SEMO @ ISU</t>
        </is>
      </c>
      <c r="C203" s="12" t="inlineStr">
        <is>
          <t>2026-09-05 17:00</t>
        </is>
      </c>
      <c r="D203" s="22" t="n">
        <v>1</v>
      </c>
      <c r="E203" s="12" t="inlineStr">
        <is>
          <t>TOTAL</t>
        </is>
      </c>
      <c r="F203" s="12" t="inlineStr">
        <is>
          <t>Over 53.5</t>
        </is>
      </c>
      <c r="G203" s="23" t="n">
        <v>53.5</v>
      </c>
      <c r="H203" s="13" t="n">
        <v>-110</v>
      </c>
      <c r="I203" s="15" t="n">
        <v>0.5627832090887945</v>
      </c>
      <c r="J203" s="15" t="n">
        <v>0.5</v>
      </c>
      <c r="K203" s="15" t="n">
        <v>0.5238095238095238</v>
      </c>
      <c r="L203" s="14" t="n">
        <v>0.0389736852792707</v>
      </c>
      <c r="M203" s="14" t="n">
        <v>0.07440430826042599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SEMO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MOST @ TA&amp;M</t>
        </is>
      </c>
      <c r="C204" s="17" t="inlineStr">
        <is>
          <t>2026-09-05 23:00</t>
        </is>
      </c>
      <c r="D204" s="25" t="n">
        <v>1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-112</v>
      </c>
      <c r="I204" s="20" t="n">
        <v>0.5668408837898286</v>
      </c>
      <c r="J204" s="20" t="n">
        <v>0.5043297540699688</v>
      </c>
      <c r="K204" s="20" t="n">
        <v>0.5283018867924528</v>
      </c>
      <c r="L204" s="19" t="n">
        <v>0.03853899699737573</v>
      </c>
      <c r="M204" s="19" t="n">
        <v>0.07294881574503254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UCLA @ CAL</t>
        </is>
      </c>
      <c r="C205" s="12" t="inlineStr">
        <is>
          <t>2026-09-06 02:30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-112</v>
      </c>
      <c r="I205" s="15" t="n">
        <v>0.5668408837898286</v>
      </c>
      <c r="J205" s="15" t="n">
        <v>0.5043297540699688</v>
      </c>
      <c r="K205" s="15" t="n">
        <v>0.5283018867924528</v>
      </c>
      <c r="L205" s="14" t="n">
        <v>0.03853899699737573</v>
      </c>
      <c r="M205" s="14" t="n">
        <v>0.07294881574503254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UCLA @ CAL</t>
        </is>
      </c>
      <c r="C206" s="17" t="inlineStr">
        <is>
          <t>2026-09-06 02:30</t>
        </is>
      </c>
      <c r="D206" s="25" t="n">
        <v>1</v>
      </c>
      <c r="E206" s="17" t="inlineStr">
        <is>
          <t>ML</t>
        </is>
      </c>
      <c r="F206" s="17" t="inlineStr">
        <is>
          <t>CAL ML</t>
        </is>
      </c>
      <c r="G206" s="26" t="n"/>
      <c r="H206" s="18" t="n">
        <v>102</v>
      </c>
      <c r="I206" s="20" t="n">
        <v>0.5332174249342028</v>
      </c>
      <c r="J206" s="20" t="n">
        <v>0.4739134147382802</v>
      </c>
      <c r="K206" s="20" t="n">
        <v>0.495049504950495</v>
      </c>
      <c r="L206" s="19" t="n">
        <v>0.03816791998370772</v>
      </c>
      <c r="M206" s="19" t="n">
        <v>0.07709919836708956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WKU @ NEV</t>
        </is>
      </c>
      <c r="C207" s="12" t="inlineStr">
        <is>
          <t>2026-09-06 02:30</t>
        </is>
      </c>
      <c r="D207" s="22" t="n">
        <v>1</v>
      </c>
      <c r="E207" s="12" t="inlineStr">
        <is>
          <t>ATS</t>
        </is>
      </c>
      <c r="F207" s="12" t="inlineStr">
        <is>
          <t>NEV +1.5</t>
        </is>
      </c>
      <c r="G207" s="23" t="n">
        <v>1.5</v>
      </c>
      <c r="H207" s="13" t="n">
        <v>-112</v>
      </c>
      <c r="I207" s="15" t="n">
        <v>0.5660665428675975</v>
      </c>
      <c r="J207" s="15" t="n">
        <v>0.5043297540699688</v>
      </c>
      <c r="K207" s="15" t="n">
        <v>0.5283018867924528</v>
      </c>
      <c r="L207" s="14" t="n">
        <v>0.03776465607514468</v>
      </c>
      <c r="M207" s="14" t="n">
        <v>0.07148309899938099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OU @ MICH</t>
        </is>
      </c>
      <c r="C208" s="17" t="inlineStr">
        <is>
          <t>2026-09-12 16:00</t>
        </is>
      </c>
      <c r="D208" s="25" t="n">
        <v>2</v>
      </c>
      <c r="E208" s="17" t="inlineStr">
        <is>
          <t>ATS</t>
        </is>
      </c>
      <c r="F208" s="17" t="inlineStr">
        <is>
          <t>MICH +1.5</t>
        </is>
      </c>
      <c r="G208" s="26" t="n">
        <v>1.5</v>
      </c>
      <c r="H208" s="18" t="n">
        <v>-112</v>
      </c>
      <c r="I208" s="20" t="n">
        <v>0.5660665428675975</v>
      </c>
      <c r="J208" s="20" t="n">
        <v>0.5043297540699688</v>
      </c>
      <c r="K208" s="20" t="n">
        <v>0.5283018867924528</v>
      </c>
      <c r="L208" s="19" t="n">
        <v>0.03776465607514468</v>
      </c>
      <c r="M208" s="19" t="n">
        <v>0.07148309899938099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MIZ @ KU</t>
        </is>
      </c>
      <c r="C209" s="12" t="inlineStr">
        <is>
          <t>2026-09-12 00:00</t>
        </is>
      </c>
      <c r="D209" s="22" t="n">
        <v>2</v>
      </c>
      <c r="E209" s="12" t="inlineStr">
        <is>
          <t>TOTAL</t>
        </is>
      </c>
      <c r="F209" s="12" t="inlineStr">
        <is>
          <t>Over 53.5</t>
        </is>
      </c>
      <c r="G209" s="23" t="n">
        <v>53.5</v>
      </c>
      <c r="H209" s="13" t="n">
        <v>-108</v>
      </c>
      <c r="I209" s="15" t="n">
        <v>0.5549041954231951</v>
      </c>
      <c r="J209" s="15" t="n">
        <v>0.4956702459300312</v>
      </c>
      <c r="K209" s="15" t="n">
        <v>0.5192307692307693</v>
      </c>
      <c r="L209" s="14" t="n">
        <v>0.03567342619242586</v>
      </c>
      <c r="M209" s="14" t="n">
        <v>0.06870437637059812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EKU @ JVST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-105</v>
      </c>
      <c r="I210" s="20" t="n">
        <v>0.5458878498305153</v>
      </c>
      <c r="J210" s="20" t="n">
        <v>0.4891657638136511</v>
      </c>
      <c r="K210" s="20" t="n">
        <v>0.5121951219512195</v>
      </c>
      <c r="L210" s="19" t="n">
        <v>0.03369272787929578</v>
      </c>
      <c r="M210" s="19" t="n">
        <v>0.06578104014529174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EKU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OKST @ TLSA</t>
        </is>
      </c>
      <c r="C211" s="12" t="inlineStr">
        <is>
          <t>2026-09-05 19:45</t>
        </is>
      </c>
      <c r="D211" s="22" t="n">
        <v>1</v>
      </c>
      <c r="E211" s="12" t="inlineStr">
        <is>
          <t>TOTAL</t>
        </is>
      </c>
      <c r="F211" s="12" t="inlineStr">
        <is>
          <t>Under 59.5</t>
        </is>
      </c>
      <c r="G211" s="23" t="n">
        <v>59.5</v>
      </c>
      <c r="H211" s="13" t="n">
        <v>-115</v>
      </c>
      <c r="I211" s="15" t="n">
        <v>0.5682003242957002</v>
      </c>
      <c r="J211" s="15" t="n">
        <v>0.5108342361863488</v>
      </c>
      <c r="K211" s="15" t="n">
        <v>0.5348837209302325</v>
      </c>
      <c r="L211" s="14" t="n">
        <v>0.03331660336546771</v>
      </c>
      <c r="M211" s="14" t="n">
        <v>0.06228756281370035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SMU @ FSU</t>
        </is>
      </c>
      <c r="C212" s="17" t="inlineStr">
        <is>
          <t>2026-09-07 23:30</t>
        </is>
      </c>
      <c r="D212" s="25" t="n">
        <v>1</v>
      </c>
      <c r="E212" s="17" t="inlineStr">
        <is>
          <t>TOTAL</t>
        </is>
      </c>
      <c r="F212" s="17" t="inlineStr">
        <is>
          <t>Over 53.5</t>
        </is>
      </c>
      <c r="G212" s="26" t="n">
        <v>53.5</v>
      </c>
      <c r="H212" s="18" t="n">
        <v>-110</v>
      </c>
      <c r="I212" s="20" t="n">
        <v>0.5570690724581795</v>
      </c>
      <c r="J212" s="20" t="n">
        <v>0.5</v>
      </c>
      <c r="K212" s="20" t="n">
        <v>0.5238095238095238</v>
      </c>
      <c r="L212" s="19" t="n">
        <v>0.03325954864865566</v>
      </c>
      <c r="M212" s="19" t="n">
        <v>0.06349550196561549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APSU @ VAN</t>
        </is>
      </c>
      <c r="C213" s="12" t="inlineStr">
        <is>
          <t>2026-09-05 23:00</t>
        </is>
      </c>
      <c r="D213" s="22" t="n">
        <v>1</v>
      </c>
      <c r="E213" s="12" t="inlineStr">
        <is>
          <t>TOTAL</t>
        </is>
      </c>
      <c r="F213" s="12" t="inlineStr">
        <is>
          <t>Under 60.5</t>
        </is>
      </c>
      <c r="G213" s="23" t="n">
        <v>60.5</v>
      </c>
      <c r="H213" s="13" t="n">
        <v>-112</v>
      </c>
      <c r="I213" s="15" t="n">
        <v>0.5611444445010223</v>
      </c>
      <c r="J213" s="15" t="n">
        <v>0.5043297540699688</v>
      </c>
      <c r="K213" s="15" t="n">
        <v>0.5283018867924528</v>
      </c>
      <c r="L213" s="14" t="n">
        <v>0.03284255770856948</v>
      </c>
      <c r="M213" s="14" t="n">
        <v>0.06216626994836361</v>
      </c>
      <c r="N213" s="15" t="n">
        <v>0</v>
      </c>
      <c r="O213" s="24" t="n">
        <v>0.4</v>
      </c>
      <c r="P213" s="12" t="inlineStr">
        <is>
          <t>DraftKings</t>
        </is>
      </c>
      <c r="Q213" s="12" t="inlineStr">
        <is>
          <t>APSU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OU @ MICH</t>
        </is>
      </c>
      <c r="C214" s="17" t="inlineStr">
        <is>
          <t>2026-09-12 16:00</t>
        </is>
      </c>
      <c r="D214" s="25" t="n">
        <v>2</v>
      </c>
      <c r="E214" s="17" t="inlineStr">
        <is>
          <t>ML</t>
        </is>
      </c>
      <c r="F214" s="17" t="inlineStr">
        <is>
          <t>MICH ML</t>
        </is>
      </c>
      <c r="G214" s="26" t="n"/>
      <c r="H214" s="18" t="n">
        <v>-102</v>
      </c>
      <c r="I214" s="20" t="n">
        <v>0.5375786547069275</v>
      </c>
      <c r="J214" s="20" t="n">
        <v>0.4826358742837298</v>
      </c>
      <c r="K214" s="20" t="n">
        <v>0.504950495049505</v>
      </c>
      <c r="L214" s="19" t="n">
        <v>0.0326281596574225</v>
      </c>
      <c r="M214" s="19" t="n">
        <v>0.06461655147842493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WKU @ NEV</t>
        </is>
      </c>
      <c r="C215" s="12" t="inlineStr">
        <is>
          <t>2026-09-06 02:30</t>
        </is>
      </c>
      <c r="D215" s="22" t="n">
        <v>1</v>
      </c>
      <c r="E215" s="12" t="inlineStr">
        <is>
          <t>ML</t>
        </is>
      </c>
      <c r="F215" s="12" t="inlineStr">
        <is>
          <t>NEV ML</t>
        </is>
      </c>
      <c r="G215" s="23" t="n"/>
      <c r="H215" s="13" t="n">
        <v>-105</v>
      </c>
      <c r="I215" s="15" t="n">
        <v>0.5408435994718882</v>
      </c>
      <c r="J215" s="15" t="n">
        <v>0.4891657638136511</v>
      </c>
      <c r="K215" s="15" t="n">
        <v>0.5121951219512195</v>
      </c>
      <c r="L215" s="14" t="n">
        <v>0.02864847752066868</v>
      </c>
      <c r="M215" s="14" t="n">
        <v>0.05593274182606744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LIB @ JMU</t>
        </is>
      </c>
      <c r="C216" s="17" t="inlineStr">
        <is>
          <t>2026-09-05 16:00</t>
        </is>
      </c>
      <c r="D216" s="25" t="n">
        <v>1</v>
      </c>
      <c r="E216" s="17" t="inlineStr">
        <is>
          <t>ATS</t>
        </is>
      </c>
      <c r="F216" s="17" t="inlineStr">
        <is>
          <t>LIB +6</t>
        </is>
      </c>
      <c r="G216" s="26" t="n">
        <v>-6</v>
      </c>
      <c r="H216" s="18" t="n">
        <v>-110</v>
      </c>
      <c r="I216" s="20" t="n">
        <v>0.552330258920152</v>
      </c>
      <c r="J216" s="20" t="n">
        <v>0.5</v>
      </c>
      <c r="K216" s="20" t="n">
        <v>0.5238095238095238</v>
      </c>
      <c r="L216" s="19" t="n">
        <v>0.02852073511062814</v>
      </c>
      <c r="M216" s="19" t="n">
        <v>0.05292617653059478</v>
      </c>
      <c r="N216" s="20" t="n">
        <v>0.028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KENT @ SC</t>
        </is>
      </c>
      <c r="C217" s="12" t="inlineStr">
        <is>
          <t>2026-09-05 16:45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-115</v>
      </c>
      <c r="I217" s="15" t="n">
        <v>0.562486190551354</v>
      </c>
      <c r="J217" s="15" t="n">
        <v>0.5108342361863488</v>
      </c>
      <c r="K217" s="15" t="n">
        <v>0.5348837209302325</v>
      </c>
      <c r="L217" s="14" t="n">
        <v>0.02760246962112145</v>
      </c>
      <c r="M217" s="14" t="n">
        <v>0.05160461711774861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ACU @ TTU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Under 59.5</t>
        </is>
      </c>
      <c r="G218" s="26" t="n">
        <v>59.5</v>
      </c>
      <c r="H218" s="18" t="n">
        <v>-115</v>
      </c>
      <c r="I218" s="20" t="n">
        <v>0.5624861875530578</v>
      </c>
      <c r="J218" s="20" t="n">
        <v>0.5108342361863488</v>
      </c>
      <c r="K218" s="20" t="n">
        <v>0.5348837209302325</v>
      </c>
      <c r="L218" s="19" t="n">
        <v>0.02760246662282528</v>
      </c>
      <c r="M218" s="19" t="n">
        <v>0.05160461151223839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ACU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LOU @ MISS</t>
        </is>
      </c>
      <c r="C219" s="12" t="inlineStr">
        <is>
          <t>2026-09-06 23:30</t>
        </is>
      </c>
      <c r="D219" s="22" t="n">
        <v>1</v>
      </c>
      <c r="E219" s="12" t="inlineStr">
        <is>
          <t>TOTAL</t>
        </is>
      </c>
      <c r="F219" s="12" t="inlineStr">
        <is>
          <t>Under 55.5</t>
        </is>
      </c>
      <c r="G219" s="23" t="n">
        <v>55.5</v>
      </c>
      <c r="H219" s="13" t="n">
        <v>-115</v>
      </c>
      <c r="I219" s="15" t="n">
        <v>0.5624861781801286</v>
      </c>
      <c r="J219" s="15" t="n">
        <v>0.5108342361863488</v>
      </c>
      <c r="K219" s="15" t="n">
        <v>0.5348837209302325</v>
      </c>
      <c r="L219" s="14" t="n">
        <v>0.02760245724989607</v>
      </c>
      <c r="M219" s="14" t="n">
        <v>0.05160459398893597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LIU @ KU</t>
        </is>
      </c>
      <c r="C220" s="17" t="inlineStr">
        <is>
          <t>2026-09-05 00:00</t>
        </is>
      </c>
      <c r="D220" s="25" t="n">
        <v>1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-112</v>
      </c>
      <c r="I220" s="20" t="n">
        <v>0.5534698439585914</v>
      </c>
      <c r="J220" s="20" t="n">
        <v>0.5043297540699688</v>
      </c>
      <c r="K220" s="20" t="n">
        <v>0.5283018867924528</v>
      </c>
      <c r="L220" s="19" t="n">
        <v>0.02516795716613862</v>
      </c>
      <c r="M220" s="19" t="n">
        <v>0.04763934749304805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LIU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ULM @ MSST</t>
        </is>
      </c>
      <c r="C221" s="12" t="inlineStr">
        <is>
          <t>2026-09-05 23:30</t>
        </is>
      </c>
      <c r="D221" s="22" t="n">
        <v>1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-112</v>
      </c>
      <c r="I221" s="15" t="n">
        <v>0.5534698439585914</v>
      </c>
      <c r="J221" s="15" t="n">
        <v>0.5043297540699688</v>
      </c>
      <c r="K221" s="15" t="n">
        <v>0.5283018867924528</v>
      </c>
      <c r="L221" s="14" t="n">
        <v>0.02516795716613862</v>
      </c>
      <c r="M221" s="14" t="n">
        <v>0.04763934749304805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LIB @ JMU</t>
        </is>
      </c>
      <c r="C222" s="17" t="inlineStr">
        <is>
          <t>2026-09-05 16:00</t>
        </is>
      </c>
      <c r="D222" s="25" t="n">
        <v>1</v>
      </c>
      <c r="E222" s="17" t="inlineStr">
        <is>
          <t>ML</t>
        </is>
      </c>
      <c r="F222" s="17" t="inlineStr">
        <is>
          <t>LIB ML</t>
        </is>
      </c>
      <c r="G222" s="26" t="n"/>
      <c r="H222" s="18" t="n">
        <v>185</v>
      </c>
      <c r="I222" s="20" t="n">
        <v>0.3719152203392064</v>
      </c>
      <c r="J222" s="20" t="n">
        <v>0.3363518758085381</v>
      </c>
      <c r="K222" s="20" t="n">
        <v>0.3508771929824561</v>
      </c>
      <c r="L222" s="19" t="n">
        <v>0.02103802735675031</v>
      </c>
      <c r="M222" s="19" t="n">
        <v>0.05995837796673831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FAU @ FLA</t>
        </is>
      </c>
      <c r="C223" s="12" t="inlineStr">
        <is>
          <t>2026-09-05 23:45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-112</v>
      </c>
      <c r="I223" s="15" t="n">
        <v>0.5476605668250438</v>
      </c>
      <c r="J223" s="15" t="n">
        <v>0.5043297540699688</v>
      </c>
      <c r="K223" s="15" t="n">
        <v>0.5283018867924528</v>
      </c>
      <c r="L223" s="14" t="n">
        <v>0.019358680032591</v>
      </c>
      <c r="M223" s="14" t="n">
        <v>0.03664321577597579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NICH @ KSU</t>
        </is>
      </c>
      <c r="C224" s="17" t="inlineStr">
        <is>
          <t>2026-09-05 23:00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-120</v>
      </c>
      <c r="I224" s="20" t="n">
        <v>0.5641011587722922</v>
      </c>
      <c r="J224" s="20" t="n">
        <v>0.5217391304347826</v>
      </c>
      <c r="K224" s="20" t="n">
        <v>0.5454545454545454</v>
      </c>
      <c r="L224" s="19" t="n">
        <v>0.01864661331774675</v>
      </c>
      <c r="M224" s="19" t="n">
        <v>0.0341854577492024</v>
      </c>
      <c r="N224" s="20" t="n">
        <v>0</v>
      </c>
      <c r="O224" s="27" t="n">
        <v>0.4</v>
      </c>
      <c r="P224" s="17" t="inlineStr">
        <is>
          <t>DraftKings</t>
        </is>
      </c>
      <c r="Q224" s="17" t="inlineStr">
        <is>
          <t>NICH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UNH @ SYR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54.5</t>
        </is>
      </c>
      <c r="G225" s="23" t="n">
        <v>54.5</v>
      </c>
      <c r="H225" s="13" t="n">
        <v>-120</v>
      </c>
      <c r="I225" s="15" t="n">
        <v>0.5621745321409983</v>
      </c>
      <c r="J225" s="15" t="n">
        <v>0.5217391304347826</v>
      </c>
      <c r="K225" s="15" t="n">
        <v>0.5454545454545454</v>
      </c>
      <c r="L225" s="14" t="n">
        <v>0.01671998668645291</v>
      </c>
      <c r="M225" s="14" t="n">
        <v>0.03065330892516366</v>
      </c>
      <c r="N225" s="15" t="n">
        <v>0</v>
      </c>
      <c r="O225" s="24" t="n">
        <v>0.4</v>
      </c>
      <c r="P225" s="12" t="inlineStr">
        <is>
          <t>DraftKings</t>
        </is>
      </c>
      <c r="Q225" s="12" t="inlineStr">
        <is>
          <t>UNH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OSU @ TEX</t>
        </is>
      </c>
      <c r="C226" s="17" t="inlineStr">
        <is>
          <t>2026-09-12 23:30</t>
        </is>
      </c>
      <c r="D226" s="25" t="n">
        <v>2</v>
      </c>
      <c r="E226" s="17" t="inlineStr">
        <is>
          <t>ML</t>
        </is>
      </c>
      <c r="F226" s="17" t="inlineStr">
        <is>
          <t>TEX ML</t>
        </is>
      </c>
      <c r="G226" s="26" t="n"/>
      <c r="H226" s="18" t="n">
        <v>-118</v>
      </c>
      <c r="I226" s="20" t="n">
        <v>0.5549427804231977</v>
      </c>
      <c r="J226" s="20" t="n">
        <v>0.5173641257162701</v>
      </c>
      <c r="K226" s="20" t="n">
        <v>0.5412844036697247</v>
      </c>
      <c r="L226" s="19" t="n">
        <v>0.01365837675347292</v>
      </c>
      <c r="M226" s="19" t="n">
        <v>0.02523327230726347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TXST @ TEX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Under 59.5</t>
        </is>
      </c>
      <c r="G227" s="23" t="n">
        <v>59.5</v>
      </c>
      <c r="H227" s="13" t="n">
        <v>-112</v>
      </c>
      <c r="I227" s="15" t="n">
        <v>0.5398531161597053</v>
      </c>
      <c r="J227" s="15" t="n">
        <v>0.5043297540699688</v>
      </c>
      <c r="K227" s="15" t="n">
        <v>0.5283018867924528</v>
      </c>
      <c r="L227" s="14" t="n">
        <v>0.0115512293672525</v>
      </c>
      <c r="M227" s="14" t="n">
        <v>0.02186482701658504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RGV @ UTSA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Under 59.5</t>
        </is>
      </c>
      <c r="G228" s="26" t="n">
        <v>59.5</v>
      </c>
      <c r="H228" s="18" t="n">
        <v>-110</v>
      </c>
      <c r="I228" s="20" t="n">
        <v>0.5337614038378453</v>
      </c>
      <c r="J228" s="20" t="n">
        <v>0.5</v>
      </c>
      <c r="K228" s="20" t="n">
        <v>0.5238095238095238</v>
      </c>
      <c r="L228" s="19" t="n">
        <v>0.00995188002832148</v>
      </c>
      <c r="M228" s="19" t="n">
        <v>0.01899904369043204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RGV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SHSU @ TROY</t>
        </is>
      </c>
      <c r="C229" s="12" t="inlineStr">
        <is>
          <t>2026-09-05 23:00</t>
        </is>
      </c>
      <c r="D229" s="22" t="n">
        <v>1</v>
      </c>
      <c r="E229" s="12" t="inlineStr">
        <is>
          <t>TOTAL</t>
        </is>
      </c>
      <c r="F229" s="12" t="inlineStr">
        <is>
          <t>Over 54.5</t>
        </is>
      </c>
      <c r="G229" s="23" t="n">
        <v>54.5</v>
      </c>
      <c r="H229" s="13" t="n">
        <v>-112</v>
      </c>
      <c r="I229" s="15" t="n">
        <v>0.537891469571395</v>
      </c>
      <c r="J229" s="15" t="n">
        <v>0.5043297540699688</v>
      </c>
      <c r="K229" s="15" t="n">
        <v>0.5283018867924528</v>
      </c>
      <c r="L229" s="14" t="n">
        <v>0.009589582778942174</v>
      </c>
      <c r="M229" s="14" t="n">
        <v>0.01815171026014051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NWST @ LT</t>
        </is>
      </c>
      <c r="C230" s="17" t="inlineStr">
        <is>
          <t>2026-09-05 23:30</t>
        </is>
      </c>
      <c r="D230" s="25" t="n">
        <v>1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-105</v>
      </c>
      <c r="I230" s="20" t="n">
        <v>0.5204519997058166</v>
      </c>
      <c r="J230" s="20" t="n">
        <v>0.4891657638136511</v>
      </c>
      <c r="K230" s="20" t="n">
        <v>0.5121951219512195</v>
      </c>
      <c r="L230" s="19" t="n">
        <v>0.008256877754597047</v>
      </c>
      <c r="M230" s="19" t="n">
        <v>0.01612057085421326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NWST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UNLV @ HAW</t>
        </is>
      </c>
      <c r="C231" s="12" t="inlineStr">
        <is>
          <t>2026-09-06 02:00</t>
        </is>
      </c>
      <c r="D231" s="22" t="n">
        <v>1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-112</v>
      </c>
      <c r="I231" s="15" t="n">
        <v>0.5359262825721108</v>
      </c>
      <c r="J231" s="15" t="n">
        <v>0.5043297540699688</v>
      </c>
      <c r="K231" s="15" t="n">
        <v>0.5283018867924528</v>
      </c>
      <c r="L231" s="14" t="n">
        <v>0.007624395779658011</v>
      </c>
      <c r="M231" s="14" t="n">
        <v>0.01443189201149547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UNT @ IU</t>
        </is>
      </c>
      <c r="C232" s="17" t="inlineStr">
        <is>
          <t>2026-09-05 16:00</t>
        </is>
      </c>
      <c r="D232" s="25" t="n">
        <v>1</v>
      </c>
      <c r="E232" s="17" t="inlineStr">
        <is>
          <t>TOTAL</t>
        </is>
      </c>
      <c r="F232" s="17" t="inlineStr">
        <is>
          <t>Over 56.5</t>
        </is>
      </c>
      <c r="G232" s="26" t="n">
        <v>56.5</v>
      </c>
      <c r="H232" s="18" t="n">
        <v>-112</v>
      </c>
      <c r="I232" s="20" t="n">
        <v>0.5359262820725216</v>
      </c>
      <c r="J232" s="20" t="n">
        <v>0.5043297540699688</v>
      </c>
      <c r="K232" s="20" t="n">
        <v>0.5283018867924528</v>
      </c>
      <c r="L232" s="19" t="n">
        <v>0.007624395280068752</v>
      </c>
      <c r="M232" s="19" t="n">
        <v>0.01443189106584436</v>
      </c>
      <c r="N232" s="20" t="n">
        <v>0</v>
      </c>
      <c r="O232" s="27" t="n">
        <v>0.4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OSU @ TEX</t>
        </is>
      </c>
      <c r="C233" s="12" t="inlineStr">
        <is>
          <t>2026-09-12 23:30</t>
        </is>
      </c>
      <c r="D233" s="22" t="n">
        <v>2</v>
      </c>
      <c r="E233" s="12" t="inlineStr">
        <is>
          <t>ATS</t>
        </is>
      </c>
      <c r="F233" s="12" t="inlineStr">
        <is>
          <t>TEX -1.5</t>
        </is>
      </c>
      <c r="G233" s="23" t="n">
        <v>-1.5</v>
      </c>
      <c r="H233" s="13" t="n">
        <v>-108</v>
      </c>
      <c r="I233" s="15" t="n">
        <v>0.5259008096372177</v>
      </c>
      <c r="J233" s="15" t="n">
        <v>0.4956702459300312</v>
      </c>
      <c r="K233" s="15" t="n">
        <v>0.5192307692307693</v>
      </c>
      <c r="L233" s="14" t="n">
        <v>0.006670040406448474</v>
      </c>
      <c r="M233" s="14" t="n">
        <v>0.01284600374575273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NAU @ ARIZ</t>
        </is>
      </c>
      <c r="C234" s="17" t="inlineStr">
        <is>
          <t>2026-09-06 01:30</t>
        </is>
      </c>
      <c r="D234" s="25" t="n">
        <v>1</v>
      </c>
      <c r="E234" s="17" t="inlineStr">
        <is>
          <t>TOTAL</t>
        </is>
      </c>
      <c r="F234" s="17" t="inlineStr">
        <is>
          <t>Under 58.5</t>
        </is>
      </c>
      <c r="G234" s="26" t="n">
        <v>58.5</v>
      </c>
      <c r="H234" s="18" t="n">
        <v>-115</v>
      </c>
      <c r="I234" s="20" t="n">
        <v>0.539178521450899</v>
      </c>
      <c r="J234" s="20" t="n">
        <v>0.5108342361863488</v>
      </c>
      <c r="K234" s="20" t="n">
        <v>0.5348837209302325</v>
      </c>
      <c r="L234" s="19" t="n">
        <v>0.004294800520666442</v>
      </c>
      <c r="M234" s="19" t="n">
        <v>0.008029409669071896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NAU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UTSA @ TXST</t>
        </is>
      </c>
      <c r="C235" s="12" t="inlineStr">
        <is>
          <t>2026-09-12 19:30</t>
        </is>
      </c>
      <c r="D235" s="22" t="n">
        <v>2</v>
      </c>
      <c r="E235" s="12" t="inlineStr">
        <is>
          <t>ATS</t>
        </is>
      </c>
      <c r="F235" s="12" t="inlineStr">
        <is>
          <t>TXST -1.5</t>
        </is>
      </c>
      <c r="G235" s="23" t="n">
        <v>-1.5</v>
      </c>
      <c r="H235" s="13" t="n">
        <v>-110</v>
      </c>
      <c r="I235" s="15" t="n">
        <v>0.5280656866722022</v>
      </c>
      <c r="J235" s="15" t="n">
        <v>0.5</v>
      </c>
      <c r="K235" s="15" t="n">
        <v>0.5238095238095238</v>
      </c>
      <c r="L235" s="14" t="n">
        <v>0.004256162862678381</v>
      </c>
      <c r="M235" s="14" t="n">
        <v>0.008125401828749712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TAR @ BGSU</t>
        </is>
      </c>
      <c r="C236" s="17" t="inlineStr">
        <is>
          <t>2026-09-05 16:00</t>
        </is>
      </c>
      <c r="D236" s="25" t="n">
        <v>1</v>
      </c>
      <c r="E236" s="17" t="inlineStr">
        <is>
          <t>ATS</t>
        </is>
      </c>
      <c r="F236" s="17" t="inlineStr">
        <is>
          <t>BGSU -2.5</t>
        </is>
      </c>
      <c r="G236" s="26" t="n">
        <v>-2.5</v>
      </c>
      <c r="H236" s="18" t="n">
        <v>100</v>
      </c>
      <c r="I236" s="20" t="n">
        <v>0.5036083373138195</v>
      </c>
      <c r="J236" s="20" t="n">
        <v>0.4782608695652174</v>
      </c>
      <c r="K236" s="20" t="n">
        <v>0.5</v>
      </c>
      <c r="L236" s="19" t="n">
        <v>0.003608337313819487</v>
      </c>
      <c r="M236" s="19" t="n">
        <v>0.007216674627638975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TAR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INST @ PUR</t>
        </is>
      </c>
      <c r="C237" s="12" t="inlineStr">
        <is>
          <t>2026-09-04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-112</v>
      </c>
      <c r="I237" s="15" t="n">
        <v>0.5300114131065189</v>
      </c>
      <c r="J237" s="15" t="n">
        <v>0.5043297540699688</v>
      </c>
      <c r="K237" s="15" t="n">
        <v>0.5283018867924528</v>
      </c>
      <c r="L237" s="14" t="n">
        <v>0.001709526314066068</v>
      </c>
      <c r="M237" s="14" t="n">
        <v>0.003235889094482136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INST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TAR @ BGSU</t>
        </is>
      </c>
      <c r="C238" s="17" t="inlineStr">
        <is>
          <t>2026-09-05 16:00</t>
        </is>
      </c>
      <c r="D238" s="25" t="n">
        <v>1</v>
      </c>
      <c r="E238" s="17" t="inlineStr">
        <is>
          <t>ML</t>
        </is>
      </c>
      <c r="F238" s="17" t="inlineStr">
        <is>
          <t>BGSU ML</t>
        </is>
      </c>
      <c r="G238" s="26" t="n"/>
      <c r="H238" s="18" t="n">
        <v>-135</v>
      </c>
      <c r="I238" s="20" t="n">
        <v>0.5719812749233371</v>
      </c>
      <c r="J238" s="20" t="n">
        <v>0.551441114716549</v>
      </c>
      <c r="K238" s="20" t="n">
        <v>0.574468085106383</v>
      </c>
      <c r="L238" s="19" t="n">
        <v>-0.002486810183045973</v>
      </c>
      <c r="M238" s="19" t="n">
        <v>-0.004328891800116974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TAR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TNST @ UGA</t>
        </is>
      </c>
      <c r="C239" s="12" t="inlineStr">
        <is>
          <t>2026-09-05 19:00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-115</v>
      </c>
      <c r="I239" s="15" t="n">
        <v>0.5293062431812237</v>
      </c>
      <c r="J239" s="15" t="n">
        <v>0.5108342361863488</v>
      </c>
      <c r="K239" s="15" t="n">
        <v>0.5348837209302325</v>
      </c>
      <c r="L239" s="14" t="n">
        <v>-0.005577477749008852</v>
      </c>
      <c r="M239" s="14" t="n">
        <v>-0.01042745840032105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TNST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BALL @ OSU</t>
        </is>
      </c>
      <c r="C240" s="17" t="inlineStr">
        <is>
          <t>2026-09-05 16:30</t>
        </is>
      </c>
      <c r="D240" s="25" t="n">
        <v>1</v>
      </c>
      <c r="E240" s="17" t="inlineStr">
        <is>
          <t>TOTAL</t>
        </is>
      </c>
      <c r="F240" s="17" t="inlineStr">
        <is>
          <t>Under 56.5</t>
        </is>
      </c>
      <c r="G240" s="26" t="n">
        <v>56.5</v>
      </c>
      <c r="H240" s="18" t="n">
        <v>-115</v>
      </c>
      <c r="I240" s="20" t="n">
        <v>0.5273238670214204</v>
      </c>
      <c r="J240" s="20" t="n">
        <v>0.5108342361863488</v>
      </c>
      <c r="K240" s="20" t="n">
        <v>0.5348837209302325</v>
      </c>
      <c r="L240" s="19" t="n">
        <v>-0.007559853908812086</v>
      </c>
      <c r="M240" s="19" t="n">
        <v>-0.01413363991647493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MSST @ MINN</t>
        </is>
      </c>
      <c r="C241" s="12" t="inlineStr">
        <is>
          <t>2026-09-12 19:30</t>
        </is>
      </c>
      <c r="D241" s="22" t="n">
        <v>2</v>
      </c>
      <c r="E241" s="12" t="inlineStr">
        <is>
          <t>ATS</t>
        </is>
      </c>
      <c r="F241" s="12" t="inlineStr">
        <is>
          <t>MINN -2.5</t>
        </is>
      </c>
      <c r="G241" s="23" t="n">
        <v>-2.5</v>
      </c>
      <c r="H241" s="13" t="n">
        <v>-110</v>
      </c>
      <c r="I241" s="15" t="n">
        <v>0.5144779025312107</v>
      </c>
      <c r="J241" s="15" t="n">
        <v>0.5</v>
      </c>
      <c r="K241" s="15" t="n">
        <v>0.5238095238095238</v>
      </c>
      <c r="L241" s="14" t="n">
        <v>-0.009331621278313107</v>
      </c>
      <c r="M241" s="14" t="n">
        <v>-0.01781491334950674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MUR @ MTSU</t>
        </is>
      </c>
      <c r="C242" s="17" t="inlineStr">
        <is>
          <t>2026-09-05 23:00</t>
        </is>
      </c>
      <c r="D242" s="25" t="n">
        <v>1</v>
      </c>
      <c r="E242" s="17" t="inlineStr">
        <is>
          <t>TOTAL</t>
        </is>
      </c>
      <c r="F242" s="17" t="inlineStr">
        <is>
          <t>Under 57.5</t>
        </is>
      </c>
      <c r="G242" s="26" t="n">
        <v>57.5</v>
      </c>
      <c r="H242" s="18" t="n">
        <v>-105</v>
      </c>
      <c r="I242" s="20" t="n">
        <v>0.5025629240991444</v>
      </c>
      <c r="J242" s="20" t="n">
        <v>0.4891657638136511</v>
      </c>
      <c r="K242" s="20" t="n">
        <v>0.5121951219512195</v>
      </c>
      <c r="L242" s="19" t="n">
        <v>-0.009632197852075142</v>
      </c>
      <c r="M242" s="19" t="n">
        <v>-0.01880571961595623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MUR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CCU @ WVU</t>
        </is>
      </c>
      <c r="C243" s="12" t="inlineStr">
        <is>
          <t>2026-09-05 16:00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0.5078086811187539</v>
      </c>
      <c r="J243" s="15" t="n">
        <v>0.4956702459300312</v>
      </c>
      <c r="K243" s="15" t="n">
        <v>0.5192307692307693</v>
      </c>
      <c r="L243" s="14" t="n">
        <v>-0.01142208811201539</v>
      </c>
      <c r="M243" s="14" t="n">
        <v>-0.02199809562314065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SJSU @ EMU</t>
        </is>
      </c>
      <c r="C244" s="17" t="inlineStr">
        <is>
          <t>2026-09-04 22:30</t>
        </is>
      </c>
      <c r="D244" s="25" t="n">
        <v>1</v>
      </c>
      <c r="E244" s="17" t="inlineStr">
        <is>
          <t>ML</t>
        </is>
      </c>
      <c r="F244" s="17" t="inlineStr">
        <is>
          <t>EMU ML</t>
        </is>
      </c>
      <c r="G244" s="26" t="n"/>
      <c r="H244" s="18" t="n">
        <v>-148</v>
      </c>
      <c r="I244" s="20" t="n">
        <v>0.5808859119623456</v>
      </c>
      <c r="J244" s="20" t="n">
        <v>0.5720596355604638</v>
      </c>
      <c r="K244" s="20" t="n">
        <v>0.5967741935483871</v>
      </c>
      <c r="L244" s="19" t="n">
        <v>-0.0158882815860415</v>
      </c>
      <c r="M244" s="19" t="n">
        <v>-0.02662360698201544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MVSU @ SAC</t>
        </is>
      </c>
      <c r="C245" s="12" t="inlineStr">
        <is>
          <t>2026-09-06 02:00</t>
        </is>
      </c>
      <c r="D245" s="22" t="n">
        <v>1</v>
      </c>
      <c r="E245" s="12" t="inlineStr">
        <is>
          <t>TOTAL</t>
        </is>
      </c>
      <c r="F245" s="12" t="inlineStr">
        <is>
          <t>Over 56.5</t>
        </is>
      </c>
      <c r="G245" s="23" t="n">
        <v>56.5</v>
      </c>
      <c r="H245" s="13" t="n">
        <v>-112</v>
      </c>
      <c r="I245" s="15" t="n">
        <v>0.5121384351887227</v>
      </c>
      <c r="J245" s="15" t="n">
        <v>0.5043297540699688</v>
      </c>
      <c r="K245" s="15" t="n">
        <v>0.5283018867924528</v>
      </c>
      <c r="L245" s="14" t="n">
        <v>-0.01616345160373012</v>
      </c>
      <c r="M245" s="14" t="n">
        <v>-0.03059510482134636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MVSU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SJSU @ EMU</t>
        </is>
      </c>
      <c r="C246" s="17" t="inlineStr">
        <is>
          <t>2026-09-04 22:30</t>
        </is>
      </c>
      <c r="D246" s="25" t="n">
        <v>1</v>
      </c>
      <c r="E246" s="17" t="inlineStr">
        <is>
          <t>TOTAL</t>
        </is>
      </c>
      <c r="F246" s="17" t="inlineStr">
        <is>
          <t>Over 56.5</t>
        </is>
      </c>
      <c r="G246" s="26" t="n">
        <v>56.5</v>
      </c>
      <c r="H246" s="18" t="n">
        <v>-110</v>
      </c>
      <c r="I246" s="20" t="n">
        <v>0.5059857324249551</v>
      </c>
      <c r="J246" s="20" t="n">
        <v>0.5</v>
      </c>
      <c r="K246" s="20" t="n">
        <v>0.5238095238095238</v>
      </c>
      <c r="L246" s="19" t="n">
        <v>-0.01782379138456869</v>
      </c>
      <c r="M246" s="19" t="n">
        <v>-0.03402723809781288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HAMP @ MD</t>
        </is>
      </c>
      <c r="C247" s="12" t="inlineStr">
        <is>
          <t>2026-09-06 00:00</t>
        </is>
      </c>
      <c r="D247" s="22" t="n">
        <v>1</v>
      </c>
      <c r="E247" s="12" t="inlineStr">
        <is>
          <t>TOTAL</t>
        </is>
      </c>
      <c r="F247" s="12" t="inlineStr">
        <is>
          <t>Over 56.5</t>
        </is>
      </c>
      <c r="G247" s="23" t="n">
        <v>56.5</v>
      </c>
      <c r="H247" s="13" t="n">
        <v>-112</v>
      </c>
      <c r="I247" s="15" t="n">
        <v>0.5101449214348528</v>
      </c>
      <c r="J247" s="15" t="n">
        <v>0.5043297540699688</v>
      </c>
      <c r="K247" s="15" t="n">
        <v>0.5283018867924528</v>
      </c>
      <c r="L247" s="14" t="n">
        <v>-0.01815696535760003</v>
      </c>
      <c r="M247" s="14" t="n">
        <v>-0.03436854156974295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HAMP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FOR @ NDSU</t>
        </is>
      </c>
      <c r="C248" s="17" t="inlineStr">
        <is>
          <t>2026-09-05 19:30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0.4998306313850669</v>
      </c>
      <c r="J248" s="20" t="n">
        <v>0.4956702459300312</v>
      </c>
      <c r="K248" s="20" t="n">
        <v>0.5192307692307693</v>
      </c>
      <c r="L248" s="19" t="n">
        <v>-0.01940013784570238</v>
      </c>
      <c r="M248" s="19" t="n">
        <v>-0.03736322844357481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FOR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DUQ @ AFA</t>
        </is>
      </c>
      <c r="C249" s="12" t="inlineStr">
        <is>
          <t>2026-09-05 17:00</t>
        </is>
      </c>
      <c r="D249" s="22" t="n">
        <v>1</v>
      </c>
      <c r="E249" s="12" t="inlineStr">
        <is>
          <t>TOTAL</t>
        </is>
      </c>
      <c r="F249" s="12" t="inlineStr">
        <is>
          <t>Over 57.5</t>
        </is>
      </c>
      <c r="G249" s="23" t="n">
        <v>57.5</v>
      </c>
      <c r="H249" s="13" t="n">
        <v>-105</v>
      </c>
      <c r="I249" s="15" t="n">
        <v>0.4925873727934893</v>
      </c>
      <c r="J249" s="15" t="n">
        <v>0.4891657638136511</v>
      </c>
      <c r="K249" s="15" t="n">
        <v>0.5121951219512195</v>
      </c>
      <c r="L249" s="14" t="n">
        <v>-0.01960774915773023</v>
      </c>
      <c r="M249" s="14" t="n">
        <v>-0.03828179597461617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DUQ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SJSU @ EMU</t>
        </is>
      </c>
      <c r="C250" s="17" t="inlineStr">
        <is>
          <t>2026-09-04 22:30</t>
        </is>
      </c>
      <c r="D250" s="25" t="n">
        <v>1</v>
      </c>
      <c r="E250" s="17" t="inlineStr">
        <is>
          <t>ATS</t>
        </is>
      </c>
      <c r="F250" s="17" t="inlineStr">
        <is>
          <t>EMU -3</t>
        </is>
      </c>
      <c r="G250" s="26" t="n">
        <v>-3</v>
      </c>
      <c r="H250" s="18" t="n">
        <v>-105</v>
      </c>
      <c r="I250" s="20" t="n">
        <v>0.4922116531141408</v>
      </c>
      <c r="J250" s="20" t="n">
        <v>0.4891657638136511</v>
      </c>
      <c r="K250" s="20" t="n">
        <v>0.5121951219512195</v>
      </c>
      <c r="L250" s="19" t="n">
        <v>-0.01998346883707869</v>
      </c>
      <c r="M250" s="19" t="n">
        <v>-0.03663216494006766</v>
      </c>
      <c r="N250" s="20" t="n">
        <v>0.0611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WYO @ CSU</t>
        </is>
      </c>
      <c r="C251" s="12" t="inlineStr">
        <is>
          <t>2026-09-05 22:00</t>
        </is>
      </c>
      <c r="D251" s="22" t="n">
        <v>1</v>
      </c>
      <c r="E251" s="12" t="inlineStr">
        <is>
          <t>ML</t>
        </is>
      </c>
      <c r="F251" s="12" t="inlineStr">
        <is>
          <t>CSU ML</t>
        </is>
      </c>
      <c r="G251" s="23" t="n"/>
      <c r="H251" s="13" t="n">
        <v>-155</v>
      </c>
      <c r="I251" s="15" t="n">
        <v>0.5877570380883659</v>
      </c>
      <c r="J251" s="15" t="n">
        <v>0.5829926410466066</v>
      </c>
      <c r="K251" s="15" t="n">
        <v>0.6078431372549019</v>
      </c>
      <c r="L251" s="14" t="n">
        <v>-0.02008609916653603</v>
      </c>
      <c r="M251" s="14" t="n">
        <v>-0.0330448728223659</v>
      </c>
      <c r="N251" s="15" t="n">
        <v>0</v>
      </c>
      <c r="O251" s="24" t="n">
        <v>0.4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WYO @ CSU</t>
        </is>
      </c>
      <c r="C252" s="17" t="inlineStr">
        <is>
          <t>2026-09-05 22:00</t>
        </is>
      </c>
      <c r="D252" s="25" t="n">
        <v>1</v>
      </c>
      <c r="E252" s="17" t="inlineStr">
        <is>
          <t>ATS</t>
        </is>
      </c>
      <c r="F252" s="17" t="inlineStr">
        <is>
          <t>WYO +3</t>
        </is>
      </c>
      <c r="G252" s="26" t="n">
        <v>-3</v>
      </c>
      <c r="H252" s="18" t="n">
        <v>-108</v>
      </c>
      <c r="I252" s="20" t="n">
        <v>0.4986809967507706</v>
      </c>
      <c r="J252" s="20" t="n">
        <v>0.4956702459300312</v>
      </c>
      <c r="K252" s="20" t="n">
        <v>0.5192307692307693</v>
      </c>
      <c r="L252" s="19" t="n">
        <v>-0.02054977247999867</v>
      </c>
      <c r="M252" s="19" t="n">
        <v>-0.03715962272791323</v>
      </c>
      <c r="N252" s="20" t="n">
        <v>0.0611</v>
      </c>
      <c r="O252" s="27" t="n">
        <v>0.4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WYO @ CSU</t>
        </is>
      </c>
      <c r="C253" s="12" t="inlineStr">
        <is>
          <t>2026-09-05 22:00</t>
        </is>
      </c>
      <c r="D253" s="22" t="n">
        <v>1</v>
      </c>
      <c r="E253" s="12" t="inlineStr">
        <is>
          <t>ML</t>
        </is>
      </c>
      <c r="F253" s="12" t="inlineStr">
        <is>
          <t>WYO ML</t>
        </is>
      </c>
      <c r="G253" s="23" t="n"/>
      <c r="H253" s="13" t="n">
        <v>130</v>
      </c>
      <c r="I253" s="15" t="n">
        <v>0.4122429619116341</v>
      </c>
      <c r="J253" s="15" t="n">
        <v>0.4170073589533933</v>
      </c>
      <c r="K253" s="15" t="n">
        <v>0.4347826086956522</v>
      </c>
      <c r="L253" s="14" t="n">
        <v>-0.02253964678401804</v>
      </c>
      <c r="M253" s="14" t="n">
        <v>-0.05184118760324163</v>
      </c>
      <c r="N253" s="15" t="n">
        <v>0</v>
      </c>
      <c r="O253" s="24" t="n">
        <v>0.4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WYO @ CSU</t>
        </is>
      </c>
      <c r="C254" s="17" t="inlineStr">
        <is>
          <t>2026-09-05 22:00</t>
        </is>
      </c>
      <c r="D254" s="25" t="n">
        <v>1</v>
      </c>
      <c r="E254" s="17" t="inlineStr">
        <is>
          <t>ATS</t>
        </is>
      </c>
      <c r="F254" s="17" t="inlineStr">
        <is>
          <t>CSU -3</t>
        </is>
      </c>
      <c r="G254" s="26" t="n">
        <v>-3</v>
      </c>
      <c r="H254" s="18" t="n">
        <v>-112</v>
      </c>
      <c r="I254" s="20" t="n">
        <v>0.5013190032492294</v>
      </c>
      <c r="J254" s="20" t="n">
        <v>0.5043297540699688</v>
      </c>
      <c r="K254" s="20" t="n">
        <v>0.5283018867924528</v>
      </c>
      <c r="L254" s="19" t="n">
        <v>-0.02698288354322342</v>
      </c>
      <c r="M254" s="19" t="n">
        <v>-0.04795466880762866</v>
      </c>
      <c r="N254" s="20" t="n">
        <v>0.0611</v>
      </c>
      <c r="O254" s="27" t="n">
        <v>0.4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SJSU @ EMU</t>
        </is>
      </c>
      <c r="C255" s="12" t="inlineStr">
        <is>
          <t>2026-09-04 22:30</t>
        </is>
      </c>
      <c r="D255" s="22" t="n">
        <v>1</v>
      </c>
      <c r="E255" s="12" t="inlineStr">
        <is>
          <t>ATS</t>
        </is>
      </c>
      <c r="F255" s="12" t="inlineStr">
        <is>
          <t>SJSU +3</t>
        </is>
      </c>
      <c r="G255" s="23" t="n">
        <v>-3</v>
      </c>
      <c r="H255" s="13" t="n">
        <v>-115</v>
      </c>
      <c r="I255" s="15" t="n">
        <v>0.5077883468858592</v>
      </c>
      <c r="J255" s="15" t="n">
        <v>0.5108342361863488</v>
      </c>
      <c r="K255" s="15" t="n">
        <v>0.5348837209302325</v>
      </c>
      <c r="L255" s="14" t="n">
        <v>-0.02709537404437334</v>
      </c>
      <c r="M255" s="14" t="n">
        <v>-0.04756230753177121</v>
      </c>
      <c r="N255" s="15" t="n">
        <v>0.0611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SJSU @ EMU</t>
        </is>
      </c>
      <c r="C256" s="17" t="inlineStr">
        <is>
          <t>2026-09-04 22:30</t>
        </is>
      </c>
      <c r="D256" s="25" t="n">
        <v>1</v>
      </c>
      <c r="E256" s="17" t="inlineStr">
        <is>
          <t>ML</t>
        </is>
      </c>
      <c r="F256" s="17" t="inlineStr">
        <is>
          <t>SJSU ML</t>
        </is>
      </c>
      <c r="G256" s="26" t="n"/>
      <c r="H256" s="18" t="n">
        <v>124</v>
      </c>
      <c r="I256" s="20" t="n">
        <v>0.4191140880376544</v>
      </c>
      <c r="J256" s="20" t="n">
        <v>0.4279403644395361</v>
      </c>
      <c r="K256" s="20" t="n">
        <v>0.4464285714285715</v>
      </c>
      <c r="L256" s="19" t="n">
        <v>-0.02731448339091708</v>
      </c>
      <c r="M256" s="19" t="n">
        <v>-0.06118444279565416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DUQ @ AFA</t>
        </is>
      </c>
      <c r="C257" s="12" t="inlineStr">
        <is>
          <t>2026-09-05 17:00</t>
        </is>
      </c>
      <c r="D257" s="22" t="n">
        <v>1</v>
      </c>
      <c r="E257" s="12" t="inlineStr">
        <is>
          <t>TOTAL</t>
        </is>
      </c>
      <c r="F257" s="12" t="inlineStr">
        <is>
          <t>Under 57.5</t>
        </is>
      </c>
      <c r="G257" s="23" t="n">
        <v>57.5</v>
      </c>
      <c r="H257" s="13" t="n">
        <v>-115</v>
      </c>
      <c r="I257" s="15" t="n">
        <v>0.5074126272065107</v>
      </c>
      <c r="J257" s="15" t="n">
        <v>0.5108342361863488</v>
      </c>
      <c r="K257" s="15" t="n">
        <v>0.5348837209302325</v>
      </c>
      <c r="L257" s="14" t="n">
        <v>-0.02747109372372181</v>
      </c>
      <c r="M257" s="14" t="n">
        <v>-0.051359001309567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DUQ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FOR @ NDSU</t>
        </is>
      </c>
      <c r="C258" s="17" t="inlineStr">
        <is>
          <t>2026-09-05 19:30</t>
        </is>
      </c>
      <c r="D258" s="25" t="n">
        <v>1</v>
      </c>
      <c r="E258" s="17" t="inlineStr">
        <is>
          <t>TOTAL</t>
        </is>
      </c>
      <c r="F258" s="17" t="inlineStr">
        <is>
          <t>Over 56.5</t>
        </is>
      </c>
      <c r="G258" s="26" t="n">
        <v>56.5</v>
      </c>
      <c r="H258" s="18" t="n">
        <v>-112</v>
      </c>
      <c r="I258" s="20" t="n">
        <v>0.5001693686149331</v>
      </c>
      <c r="J258" s="20" t="n">
        <v>0.5043297540699688</v>
      </c>
      <c r="K258" s="20" t="n">
        <v>0.5283018867924528</v>
      </c>
      <c r="L258" s="19" t="n">
        <v>-0.02813251817751972</v>
      </c>
      <c r="M258" s="19" t="n">
        <v>-0.05325083797887664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FOR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HAMP @ MD</t>
        </is>
      </c>
      <c r="C259" s="12" t="inlineStr">
        <is>
          <t>2026-09-06 00:00</t>
        </is>
      </c>
      <c r="D259" s="22" t="n">
        <v>1</v>
      </c>
      <c r="E259" s="12" t="inlineStr">
        <is>
          <t>TOTAL</t>
        </is>
      </c>
      <c r="F259" s="12" t="inlineStr">
        <is>
          <t>Under 56.5</t>
        </is>
      </c>
      <c r="G259" s="23" t="n">
        <v>56.5</v>
      </c>
      <c r="H259" s="13" t="n">
        <v>-108</v>
      </c>
      <c r="I259" s="15" t="n">
        <v>0.4898550785651472</v>
      </c>
      <c r="J259" s="15" t="n">
        <v>0.4956702459300312</v>
      </c>
      <c r="K259" s="15" t="n">
        <v>0.5192307692307693</v>
      </c>
      <c r="L259" s="14" t="n">
        <v>-0.02937569066562207</v>
      </c>
      <c r="M259" s="14" t="n">
        <v>-0.05657540424490159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HAMP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SJSU @ EMU</t>
        </is>
      </c>
      <c r="C260" s="17" t="inlineStr">
        <is>
          <t>2026-09-04 22:30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-110</v>
      </c>
      <c r="I260" s="20" t="n">
        <v>0.4940142675750449</v>
      </c>
      <c r="J260" s="20" t="n">
        <v>0.5</v>
      </c>
      <c r="K260" s="20" t="n">
        <v>0.5238095238095238</v>
      </c>
      <c r="L260" s="19" t="n">
        <v>-0.02979525623447898</v>
      </c>
      <c r="M260" s="19" t="n">
        <v>-0.05688185281127794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MVSU @ SAC</t>
        </is>
      </c>
      <c r="C261" s="12" t="inlineStr">
        <is>
          <t>2026-09-06 02:00</t>
        </is>
      </c>
      <c r="D261" s="22" t="n">
        <v>1</v>
      </c>
      <c r="E261" s="12" t="inlineStr">
        <is>
          <t>TOTAL</t>
        </is>
      </c>
      <c r="F261" s="12" t="inlineStr">
        <is>
          <t>Under 56.5</t>
        </is>
      </c>
      <c r="G261" s="23" t="n">
        <v>56.5</v>
      </c>
      <c r="H261" s="13" t="n">
        <v>-108</v>
      </c>
      <c r="I261" s="15" t="n">
        <v>0.4878615648112773</v>
      </c>
      <c r="J261" s="15" t="n">
        <v>0.4956702459300312</v>
      </c>
      <c r="K261" s="15" t="n">
        <v>0.5192307692307693</v>
      </c>
      <c r="L261" s="14" t="n">
        <v>-0.03136920441949198</v>
      </c>
      <c r="M261" s="14" t="n">
        <v>-0.06041476406716961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MVSU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CCU @ WVU</t>
        </is>
      </c>
      <c r="C262" s="17" t="inlineStr">
        <is>
          <t>2026-09-05 16:00</t>
        </is>
      </c>
      <c r="D262" s="25" t="n">
        <v>1</v>
      </c>
      <c r="E262" s="17" t="inlineStr">
        <is>
          <t>TOTAL</t>
        </is>
      </c>
      <c r="F262" s="17" t="inlineStr">
        <is>
          <t>Under 56.5</t>
        </is>
      </c>
      <c r="G262" s="26" t="n">
        <v>56.5</v>
      </c>
      <c r="H262" s="18" t="n">
        <v>-112</v>
      </c>
      <c r="I262" s="20" t="n">
        <v>0.4921913188812461</v>
      </c>
      <c r="J262" s="20" t="n">
        <v>0.5043297540699688</v>
      </c>
      <c r="K262" s="20" t="n">
        <v>0.5283018867924528</v>
      </c>
      <c r="L262" s="19" t="n">
        <v>-0.0361105679112067</v>
      </c>
      <c r="M262" s="19" t="n">
        <v>-0.06835214640335557</v>
      </c>
      <c r="N262" s="20" t="n">
        <v>0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MUR @ MTSU</t>
        </is>
      </c>
      <c r="C263" s="12" t="inlineStr">
        <is>
          <t>2026-09-05 23:00</t>
        </is>
      </c>
      <c r="D263" s="22" t="n">
        <v>1</v>
      </c>
      <c r="E263" s="12" t="inlineStr">
        <is>
          <t>TOTAL</t>
        </is>
      </c>
      <c r="F263" s="12" t="inlineStr">
        <is>
          <t>Over 57.5</t>
        </is>
      </c>
      <c r="G263" s="23" t="n">
        <v>57.5</v>
      </c>
      <c r="H263" s="13" t="n">
        <v>-115</v>
      </c>
      <c r="I263" s="15" t="n">
        <v>0.4974370759008556</v>
      </c>
      <c r="J263" s="15" t="n">
        <v>0.5108342361863488</v>
      </c>
      <c r="K263" s="15" t="n">
        <v>0.5348837209302325</v>
      </c>
      <c r="L263" s="14" t="n">
        <v>-0.03744664502937689</v>
      </c>
      <c r="M263" s="14" t="n">
        <v>-0.07000894505492217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MUR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MSST @ MINN</t>
        </is>
      </c>
      <c r="C264" s="17" t="inlineStr">
        <is>
          <t>2026-09-12 19:30</t>
        </is>
      </c>
      <c r="D264" s="25" t="n">
        <v>2</v>
      </c>
      <c r="E264" s="17" t="inlineStr">
        <is>
          <t>ATS</t>
        </is>
      </c>
      <c r="F264" s="17" t="inlineStr">
        <is>
          <t>MSST +2.5</t>
        </is>
      </c>
      <c r="G264" s="26" t="n">
        <v>-2.5</v>
      </c>
      <c r="H264" s="18" t="n">
        <v>-110</v>
      </c>
      <c r="I264" s="20" t="n">
        <v>0.4855220974687893</v>
      </c>
      <c r="J264" s="20" t="n">
        <v>0.5</v>
      </c>
      <c r="K264" s="20" t="n">
        <v>0.5238095238095238</v>
      </c>
      <c r="L264" s="19" t="n">
        <v>-0.03828742634073456</v>
      </c>
      <c r="M264" s="19" t="n">
        <v>-0.07309417755958408</v>
      </c>
      <c r="N264" s="20" t="n">
        <v>0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TAR @ BGSU</t>
        </is>
      </c>
      <c r="C265" s="12" t="inlineStr">
        <is>
          <t>2026-09-05 16:00</t>
        </is>
      </c>
      <c r="D265" s="22" t="n">
        <v>1</v>
      </c>
      <c r="E265" s="12" t="inlineStr">
        <is>
          <t>ML</t>
        </is>
      </c>
      <c r="F265" s="12" t="inlineStr">
        <is>
          <t>TAR ML</t>
        </is>
      </c>
      <c r="G265" s="23" t="n"/>
      <c r="H265" s="13" t="n">
        <v>114</v>
      </c>
      <c r="I265" s="15" t="n">
        <v>0.4280187250766629</v>
      </c>
      <c r="J265" s="15" t="n">
        <v>0.448558885283451</v>
      </c>
      <c r="K265" s="15" t="n">
        <v>0.4672897196261682</v>
      </c>
      <c r="L265" s="14" t="n">
        <v>-0.03927099454950528</v>
      </c>
      <c r="M265" s="14" t="n">
        <v>-0.08403992833594143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TAR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BALL @ OSU</t>
        </is>
      </c>
      <c r="C266" s="17" t="inlineStr">
        <is>
          <t>2026-09-05 16:30</t>
        </is>
      </c>
      <c r="D266" s="25" t="n">
        <v>1</v>
      </c>
      <c r="E266" s="17" t="inlineStr">
        <is>
          <t>TOTAL</t>
        </is>
      </c>
      <c r="F266" s="17" t="inlineStr">
        <is>
          <t>Over 56.5</t>
        </is>
      </c>
      <c r="G266" s="26" t="n">
        <v>56.5</v>
      </c>
      <c r="H266" s="18" t="n">
        <v>-105</v>
      </c>
      <c r="I266" s="20" t="n">
        <v>0.4726761329785795</v>
      </c>
      <c r="J266" s="20" t="n">
        <v>0.4891657638136511</v>
      </c>
      <c r="K266" s="20" t="n">
        <v>0.5121951219512195</v>
      </c>
      <c r="L266" s="19" t="n">
        <v>-0.03951898897264</v>
      </c>
      <c r="M266" s="19" t="n">
        <v>-0.07715612132753519</v>
      </c>
      <c r="N266" s="20" t="n">
        <v>0</v>
      </c>
      <c r="O266" s="27" t="n">
        <v>0.4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TNST @ UGA</t>
        </is>
      </c>
      <c r="C267" s="12" t="inlineStr">
        <is>
          <t>2026-09-05 19:00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-105</v>
      </c>
      <c r="I267" s="15" t="n">
        <v>0.4706937568187763</v>
      </c>
      <c r="J267" s="15" t="n">
        <v>0.4891657638136511</v>
      </c>
      <c r="K267" s="15" t="n">
        <v>0.5121951219512195</v>
      </c>
      <c r="L267" s="14" t="n">
        <v>-0.04150136513244318</v>
      </c>
      <c r="M267" s="14" t="n">
        <v>-0.08102647478238906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TNST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TAR @ BGSU</t>
        </is>
      </c>
      <c r="C268" s="17" t="inlineStr">
        <is>
          <t>2026-09-05 16:00</t>
        </is>
      </c>
      <c r="D268" s="25" t="n">
        <v>1</v>
      </c>
      <c r="E268" s="17" t="inlineStr">
        <is>
          <t>ATS</t>
        </is>
      </c>
      <c r="F268" s="17" t="inlineStr">
        <is>
          <t>TAR +2.5</t>
        </is>
      </c>
      <c r="G268" s="26" t="n">
        <v>-2.5</v>
      </c>
      <c r="H268" s="18" t="n">
        <v>-120</v>
      </c>
      <c r="I268" s="20" t="n">
        <v>0.4963916626861805</v>
      </c>
      <c r="J268" s="20" t="n">
        <v>0.5217391304347826</v>
      </c>
      <c r="K268" s="20" t="n">
        <v>0.5454545454545454</v>
      </c>
      <c r="L268" s="19" t="n">
        <v>-0.0490628827683649</v>
      </c>
      <c r="M268" s="19" t="n">
        <v>-0.08994861840866897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TAR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INST @ PUR</t>
        </is>
      </c>
      <c r="C269" s="12" t="inlineStr">
        <is>
          <t>2026-09-04 23:00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-108</v>
      </c>
      <c r="I269" s="15" t="n">
        <v>0.4699885868934811</v>
      </c>
      <c r="J269" s="15" t="n">
        <v>0.4956702459300312</v>
      </c>
      <c r="K269" s="15" t="n">
        <v>0.5192307692307693</v>
      </c>
      <c r="L269" s="14" t="n">
        <v>-0.04924218233728817</v>
      </c>
      <c r="M269" s="14" t="n">
        <v>-0.09483679561255487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INST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NAU @ ARIZ</t>
        </is>
      </c>
      <c r="C270" s="17" t="inlineStr">
        <is>
          <t>2026-09-06 01:30</t>
        </is>
      </c>
      <c r="D270" s="25" t="n">
        <v>1</v>
      </c>
      <c r="E270" s="17" t="inlineStr">
        <is>
          <t>TOTAL</t>
        </is>
      </c>
      <c r="F270" s="17" t="inlineStr">
        <is>
          <t>Over 58.5</t>
        </is>
      </c>
      <c r="G270" s="26" t="n">
        <v>58.5</v>
      </c>
      <c r="H270" s="18" t="n">
        <v>-105</v>
      </c>
      <c r="I270" s="20" t="n">
        <v>0.460821478549101</v>
      </c>
      <c r="J270" s="20" t="n">
        <v>0.4891657638136511</v>
      </c>
      <c r="K270" s="20" t="n">
        <v>0.5121951219512195</v>
      </c>
      <c r="L270" s="19" t="n">
        <v>-0.05137364340211847</v>
      </c>
      <c r="M270" s="19" t="n">
        <v>-0.1003009228327075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NAU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UTSA @ TXST</t>
        </is>
      </c>
      <c r="C271" s="12" t="inlineStr">
        <is>
          <t>2026-09-12 19:30</t>
        </is>
      </c>
      <c r="D271" s="22" t="n">
        <v>2</v>
      </c>
      <c r="E271" s="12" t="inlineStr">
        <is>
          <t>ATS</t>
        </is>
      </c>
      <c r="F271" s="12" t="inlineStr">
        <is>
          <t>UTSA +1.5</t>
        </is>
      </c>
      <c r="G271" s="23" t="n">
        <v>-1.5</v>
      </c>
      <c r="H271" s="13" t="n">
        <v>-110</v>
      </c>
      <c r="I271" s="15" t="n">
        <v>0.4719343133277978</v>
      </c>
      <c r="J271" s="15" t="n">
        <v>0.5</v>
      </c>
      <c r="K271" s="15" t="n">
        <v>0.5238095238095238</v>
      </c>
      <c r="L271" s="14" t="n">
        <v>-0.05187521048172605</v>
      </c>
      <c r="M271" s="14" t="n">
        <v>-0.09903449273784054</v>
      </c>
      <c r="N271" s="15" t="n">
        <v>0</v>
      </c>
      <c r="O271" s="24" t="n">
        <v>0.4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OSU @ TEX</t>
        </is>
      </c>
      <c r="C272" s="17" t="inlineStr">
        <is>
          <t>2026-09-12 23:30</t>
        </is>
      </c>
      <c r="D272" s="25" t="n">
        <v>2</v>
      </c>
      <c r="E272" s="17" t="inlineStr">
        <is>
          <t>ATS</t>
        </is>
      </c>
      <c r="F272" s="17" t="inlineStr">
        <is>
          <t>OSU +1.5</t>
        </is>
      </c>
      <c r="G272" s="26" t="n">
        <v>-1.5</v>
      </c>
      <c r="H272" s="18" t="n">
        <v>-112</v>
      </c>
      <c r="I272" s="20" t="n">
        <v>0.4740991903627823</v>
      </c>
      <c r="J272" s="20" t="n">
        <v>0.5043297540699688</v>
      </c>
      <c r="K272" s="20" t="n">
        <v>0.5283018867924528</v>
      </c>
      <c r="L272" s="19" t="n">
        <v>-0.05420269642967057</v>
      </c>
      <c r="M272" s="19" t="n">
        <v>-0.1025979610990194</v>
      </c>
      <c r="N272" s="20" t="n">
        <v>0</v>
      </c>
      <c r="O272" s="27" t="n">
        <v>0.4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UNT @ IU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Under 56.5</t>
        </is>
      </c>
      <c r="G273" s="23" t="n">
        <v>56.5</v>
      </c>
      <c r="H273" s="13" t="n">
        <v>-108</v>
      </c>
      <c r="I273" s="15" t="n">
        <v>0.4640737179274784</v>
      </c>
      <c r="J273" s="15" t="n">
        <v>0.4956702459300312</v>
      </c>
      <c r="K273" s="15" t="n">
        <v>0.5192307692307693</v>
      </c>
      <c r="L273" s="14" t="n">
        <v>-0.05515705130329085</v>
      </c>
      <c r="M273" s="14" t="n">
        <v>-0.1062283951026341</v>
      </c>
      <c r="N273" s="15" t="n">
        <v>0</v>
      </c>
      <c r="O273" s="24" t="n">
        <v>0.4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UNLV @ HAW</t>
        </is>
      </c>
      <c r="C274" s="17" t="inlineStr">
        <is>
          <t>2026-09-06 02:00</t>
        </is>
      </c>
      <c r="D274" s="25" t="n">
        <v>1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-108</v>
      </c>
      <c r="I274" s="20" t="n">
        <v>0.4640737174278892</v>
      </c>
      <c r="J274" s="20" t="n">
        <v>0.4956702459300312</v>
      </c>
      <c r="K274" s="20" t="n">
        <v>0.5192307692307693</v>
      </c>
      <c r="L274" s="19" t="n">
        <v>-0.05515705180288011</v>
      </c>
      <c r="M274" s="19" t="n">
        <v>-0.106228396064806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NWST @ LT</t>
        </is>
      </c>
      <c r="C275" s="12" t="inlineStr">
        <is>
          <t>2026-09-05 23:30</t>
        </is>
      </c>
      <c r="D275" s="22" t="n">
        <v>1</v>
      </c>
      <c r="E275" s="12" t="inlineStr">
        <is>
          <t>TOTAL</t>
        </is>
      </c>
      <c r="F275" s="12" t="inlineStr">
        <is>
          <t>Under 55.5</t>
        </is>
      </c>
      <c r="G275" s="23" t="n">
        <v>55.5</v>
      </c>
      <c r="H275" s="13" t="n">
        <v>-115</v>
      </c>
      <c r="I275" s="15" t="n">
        <v>0.4795480002941834</v>
      </c>
      <c r="J275" s="15" t="n">
        <v>0.5108342361863488</v>
      </c>
      <c r="K275" s="15" t="n">
        <v>0.5348837209302325</v>
      </c>
      <c r="L275" s="14" t="n">
        <v>-0.05533572063604908</v>
      </c>
      <c r="M275" s="14" t="n">
        <v>-0.1034537385804397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NWST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SHSU @ TROY</t>
        </is>
      </c>
      <c r="C276" s="17" t="inlineStr">
        <is>
          <t>2026-09-05 23:00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-108</v>
      </c>
      <c r="I276" s="20" t="n">
        <v>0.462108530428605</v>
      </c>
      <c r="J276" s="20" t="n">
        <v>0.4956702459300312</v>
      </c>
      <c r="K276" s="20" t="n">
        <v>0.5192307692307693</v>
      </c>
      <c r="L276" s="19" t="n">
        <v>-0.05712223880216427</v>
      </c>
      <c r="M276" s="19" t="n">
        <v>-0.1100132006560199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RGV @ UTSA</t>
        </is>
      </c>
      <c r="C277" s="12" t="inlineStr">
        <is>
          <t>2026-09-05 19:30</t>
        </is>
      </c>
      <c r="D277" s="22" t="n">
        <v>1</v>
      </c>
      <c r="E277" s="12" t="inlineStr">
        <is>
          <t>TOTAL</t>
        </is>
      </c>
      <c r="F277" s="12" t="inlineStr">
        <is>
          <t>Over 59.5</t>
        </is>
      </c>
      <c r="G277" s="23" t="n">
        <v>59.5</v>
      </c>
      <c r="H277" s="13" t="n">
        <v>-110</v>
      </c>
      <c r="I277" s="15" t="n">
        <v>0.4662385961621547</v>
      </c>
      <c r="J277" s="15" t="n">
        <v>0.5</v>
      </c>
      <c r="K277" s="15" t="n">
        <v>0.5238095238095238</v>
      </c>
      <c r="L277" s="14" t="n">
        <v>-0.0575709276473691</v>
      </c>
      <c r="M277" s="14" t="n">
        <v>-0.1099081345995228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RGV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TXST @ TEX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Over 59.5</t>
        </is>
      </c>
      <c r="G278" s="26" t="n">
        <v>59.5</v>
      </c>
      <c r="H278" s="18" t="n">
        <v>-108</v>
      </c>
      <c r="I278" s="20" t="n">
        <v>0.4601468838402946</v>
      </c>
      <c r="J278" s="20" t="n">
        <v>0.4956702459300312</v>
      </c>
      <c r="K278" s="20" t="n">
        <v>0.5192307692307693</v>
      </c>
      <c r="L278" s="19" t="n">
        <v>-0.05908388539047466</v>
      </c>
      <c r="M278" s="19" t="n">
        <v>-0.113791186677951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OSU @ TEX</t>
        </is>
      </c>
      <c r="C279" s="12" t="inlineStr">
        <is>
          <t>2026-09-12 23:30</t>
        </is>
      </c>
      <c r="D279" s="22" t="n">
        <v>2</v>
      </c>
      <c r="E279" s="12" t="inlineStr">
        <is>
          <t>ML</t>
        </is>
      </c>
      <c r="F279" s="12" t="inlineStr">
        <is>
          <t>OSU ML</t>
        </is>
      </c>
      <c r="G279" s="23" t="n"/>
      <c r="H279" s="13" t="n">
        <v>-102</v>
      </c>
      <c r="I279" s="15" t="n">
        <v>0.4450572195768023</v>
      </c>
      <c r="J279" s="15" t="n">
        <v>0.4826358742837298</v>
      </c>
      <c r="K279" s="15" t="n">
        <v>0.504950495049505</v>
      </c>
      <c r="L279" s="14" t="n">
        <v>-0.05989327547270262</v>
      </c>
      <c r="M279" s="14" t="n">
        <v>-0.1186121729949601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UNH @ SYR</t>
        </is>
      </c>
      <c r="C280" s="17" t="inlineStr">
        <is>
          <t>2026-09-05 16:00</t>
        </is>
      </c>
      <c r="D280" s="25" t="n">
        <v>1</v>
      </c>
      <c r="E280" s="17" t="inlineStr">
        <is>
          <t>TOTAL</t>
        </is>
      </c>
      <c r="F280" s="17" t="inlineStr">
        <is>
          <t>Under 54.5</t>
        </is>
      </c>
      <c r="G280" s="26" t="n">
        <v>54.5</v>
      </c>
      <c r="H280" s="18" t="n">
        <v>100</v>
      </c>
      <c r="I280" s="20" t="n">
        <v>0.4378254678590017</v>
      </c>
      <c r="J280" s="20" t="n">
        <v>0.4782608695652174</v>
      </c>
      <c r="K280" s="20" t="n">
        <v>0.5</v>
      </c>
      <c r="L280" s="19" t="n">
        <v>-0.06217453214099833</v>
      </c>
      <c r="M280" s="19" t="n">
        <v>-0.1243490642819967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UNH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NICH @ KSU</t>
        </is>
      </c>
      <c r="C281" s="12" t="inlineStr">
        <is>
          <t>2026-09-05 23:00</t>
        </is>
      </c>
      <c r="D281" s="22" t="n">
        <v>1</v>
      </c>
      <c r="E281" s="12" t="inlineStr">
        <is>
          <t>TOTAL</t>
        </is>
      </c>
      <c r="F281" s="12" t="inlineStr">
        <is>
          <t>Under 54.5</t>
        </is>
      </c>
      <c r="G281" s="23" t="n">
        <v>54.5</v>
      </c>
      <c r="H281" s="13" t="n">
        <v>100</v>
      </c>
      <c r="I281" s="15" t="n">
        <v>0.4358988412277078</v>
      </c>
      <c r="J281" s="15" t="n">
        <v>0.4782608695652174</v>
      </c>
      <c r="K281" s="15" t="n">
        <v>0.5</v>
      </c>
      <c r="L281" s="14" t="n">
        <v>-0.06410115877229217</v>
      </c>
      <c r="M281" s="14" t="n">
        <v>-0.1282023175445843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NICH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LIB @ JMU</t>
        </is>
      </c>
      <c r="C282" s="17" t="inlineStr">
        <is>
          <t>2026-09-05 16:00</t>
        </is>
      </c>
      <c r="D282" s="25" t="n">
        <v>1</v>
      </c>
      <c r="E282" s="17" t="inlineStr">
        <is>
          <t>ML</t>
        </is>
      </c>
      <c r="F282" s="17" t="inlineStr">
        <is>
          <t>JMU ML</t>
        </is>
      </c>
      <c r="G282" s="26" t="n"/>
      <c r="H282" s="18" t="n">
        <v>-225</v>
      </c>
      <c r="I282" s="20" t="n">
        <v>0.6280847796607936</v>
      </c>
      <c r="J282" s="20" t="n">
        <v>0.6636481241914618</v>
      </c>
      <c r="K282" s="20" t="n">
        <v>0.6923076923076923</v>
      </c>
      <c r="L282" s="19" t="n">
        <v>-0.06422291264689872</v>
      </c>
      <c r="M282" s="19" t="n">
        <v>-0.09276642937885377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FAU @ FLA</t>
        </is>
      </c>
      <c r="C283" s="12" t="inlineStr">
        <is>
          <t>2026-09-05 23:45</t>
        </is>
      </c>
      <c r="D283" s="22" t="n">
        <v>1</v>
      </c>
      <c r="E283" s="12" t="inlineStr">
        <is>
          <t>TOTAL</t>
        </is>
      </c>
      <c r="F283" s="12" t="inlineStr">
        <is>
          <t>Over 59.5</t>
        </is>
      </c>
      <c r="G283" s="23" t="n">
        <v>59.5</v>
      </c>
      <c r="H283" s="13" t="n">
        <v>-108</v>
      </c>
      <c r="I283" s="15" t="n">
        <v>0.4523394331749562</v>
      </c>
      <c r="J283" s="15" t="n">
        <v>0.4956702459300312</v>
      </c>
      <c r="K283" s="15" t="n">
        <v>0.5192307692307693</v>
      </c>
      <c r="L283" s="14" t="n">
        <v>-0.0668913360558131</v>
      </c>
      <c r="M283" s="14" t="n">
        <v>-0.128827758329714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LIU @ KU</t>
        </is>
      </c>
      <c r="C284" s="17" t="inlineStr">
        <is>
          <t>2026-09-05 00:00</t>
        </is>
      </c>
      <c r="D284" s="25" t="n">
        <v>1</v>
      </c>
      <c r="E284" s="17" t="inlineStr">
        <is>
          <t>TOTAL</t>
        </is>
      </c>
      <c r="F284" s="17" t="inlineStr">
        <is>
          <t>Under 54.5</t>
        </is>
      </c>
      <c r="G284" s="26" t="n">
        <v>54.5</v>
      </c>
      <c r="H284" s="18" t="n">
        <v>-108</v>
      </c>
      <c r="I284" s="20" t="n">
        <v>0.4465301560414086</v>
      </c>
      <c r="J284" s="20" t="n">
        <v>0.4956702459300312</v>
      </c>
      <c r="K284" s="20" t="n">
        <v>0.5192307692307693</v>
      </c>
      <c r="L284" s="19" t="n">
        <v>-0.07270061318936072</v>
      </c>
      <c r="M284" s="19" t="n">
        <v>-0.140015995772102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LIU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ULM @ MSST</t>
        </is>
      </c>
      <c r="C285" s="12" t="inlineStr">
        <is>
          <t>2026-09-05 23:30</t>
        </is>
      </c>
      <c r="D285" s="22" t="n">
        <v>1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-108</v>
      </c>
      <c r="I285" s="15" t="n">
        <v>0.4465301560414086</v>
      </c>
      <c r="J285" s="15" t="n">
        <v>0.4956702459300312</v>
      </c>
      <c r="K285" s="15" t="n">
        <v>0.5192307692307693</v>
      </c>
      <c r="L285" s="14" t="n">
        <v>-0.07270061318936072</v>
      </c>
      <c r="M285" s="14" t="n">
        <v>-0.140015995772102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LOU @ MISS</t>
        </is>
      </c>
      <c r="C286" s="17" t="inlineStr">
        <is>
          <t>2026-09-06 23:30</t>
        </is>
      </c>
      <c r="D286" s="25" t="n">
        <v>1</v>
      </c>
      <c r="E286" s="17" t="inlineStr">
        <is>
          <t>TOTAL</t>
        </is>
      </c>
      <c r="F286" s="17" t="inlineStr">
        <is>
          <t>Over 55.5</t>
        </is>
      </c>
      <c r="G286" s="26" t="n">
        <v>55.5</v>
      </c>
      <c r="H286" s="18" t="n">
        <v>-105</v>
      </c>
      <c r="I286" s="20" t="n">
        <v>0.4375138218198714</v>
      </c>
      <c r="J286" s="20" t="n">
        <v>0.4891657638136511</v>
      </c>
      <c r="K286" s="20" t="n">
        <v>0.5121951219512195</v>
      </c>
      <c r="L286" s="19" t="n">
        <v>-0.07468130013134811</v>
      </c>
      <c r="M286" s="19" t="n">
        <v>-0.1458063478754892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ACU @ TTU</t>
        </is>
      </c>
      <c r="C287" s="12" t="inlineStr">
        <is>
          <t>2026-09-05 23:00</t>
        </is>
      </c>
      <c r="D287" s="22" t="n">
        <v>1</v>
      </c>
      <c r="E287" s="12" t="inlineStr">
        <is>
          <t>TOTAL</t>
        </is>
      </c>
      <c r="F287" s="12" t="inlineStr">
        <is>
          <t>Over 59.5</t>
        </is>
      </c>
      <c r="G287" s="23" t="n">
        <v>59.5</v>
      </c>
      <c r="H287" s="13" t="n">
        <v>-105</v>
      </c>
      <c r="I287" s="15" t="n">
        <v>0.4375138124469423</v>
      </c>
      <c r="J287" s="15" t="n">
        <v>0.4891657638136511</v>
      </c>
      <c r="K287" s="15" t="n">
        <v>0.5121951219512195</v>
      </c>
      <c r="L287" s="14" t="n">
        <v>-0.07468130950427726</v>
      </c>
      <c r="M287" s="14" t="n">
        <v>-0.1458063661750176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ACU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KENT @ SC</t>
        </is>
      </c>
      <c r="C288" s="17" t="inlineStr">
        <is>
          <t>2026-09-05 16:45</t>
        </is>
      </c>
      <c r="D288" s="25" t="n">
        <v>1</v>
      </c>
      <c r="E288" s="17" t="inlineStr">
        <is>
          <t>TOTAL</t>
        </is>
      </c>
      <c r="F288" s="17" t="inlineStr">
        <is>
          <t>Under 53.5</t>
        </is>
      </c>
      <c r="G288" s="26" t="n">
        <v>53.5</v>
      </c>
      <c r="H288" s="18" t="n">
        <v>-105</v>
      </c>
      <c r="I288" s="20" t="n">
        <v>0.437513809448646</v>
      </c>
      <c r="J288" s="20" t="n">
        <v>0.4891657638136511</v>
      </c>
      <c r="K288" s="20" t="n">
        <v>0.5121951219512195</v>
      </c>
      <c r="L288" s="19" t="n">
        <v>-0.07468131250257348</v>
      </c>
      <c r="M288" s="19" t="n">
        <v>-0.145806372028834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WKU @ NEV</t>
        </is>
      </c>
      <c r="C289" s="12" t="inlineStr">
        <is>
          <t>2026-09-06 02:30</t>
        </is>
      </c>
      <c r="D289" s="22" t="n">
        <v>1</v>
      </c>
      <c r="E289" s="12" t="inlineStr">
        <is>
          <t>ML</t>
        </is>
      </c>
      <c r="F289" s="12" t="inlineStr">
        <is>
          <t>WKU ML</t>
        </is>
      </c>
      <c r="G289" s="23" t="n"/>
      <c r="H289" s="13" t="n">
        <v>-115</v>
      </c>
      <c r="I289" s="15" t="n">
        <v>0.4591564005281118</v>
      </c>
      <c r="J289" s="15" t="n">
        <v>0.5108342361863488</v>
      </c>
      <c r="K289" s="15" t="n">
        <v>0.5348837209302325</v>
      </c>
      <c r="L289" s="14" t="n">
        <v>-0.07572732040212071</v>
      </c>
      <c r="M289" s="14" t="n">
        <v>-0.1415771642300519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LIB @ JMU</t>
        </is>
      </c>
      <c r="C290" s="17" t="inlineStr">
        <is>
          <t>2026-09-05 16:00</t>
        </is>
      </c>
      <c r="D290" s="25" t="n">
        <v>1</v>
      </c>
      <c r="E290" s="17" t="inlineStr">
        <is>
          <t>ATS</t>
        </is>
      </c>
      <c r="F290" s="17" t="inlineStr">
        <is>
          <t>JMU -6</t>
        </is>
      </c>
      <c r="G290" s="26" t="n">
        <v>-6</v>
      </c>
      <c r="H290" s="18" t="n">
        <v>-110</v>
      </c>
      <c r="I290" s="20" t="n">
        <v>0.447669741079848</v>
      </c>
      <c r="J290" s="20" t="n">
        <v>0.5</v>
      </c>
      <c r="K290" s="20" t="n">
        <v>0.5238095238095238</v>
      </c>
      <c r="L290" s="19" t="n">
        <v>-0.07613978272967581</v>
      </c>
      <c r="M290" s="19" t="n">
        <v>-0.1412932579094101</v>
      </c>
      <c r="N290" s="20" t="n">
        <v>0.028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OU @ MICH</t>
        </is>
      </c>
      <c r="C291" s="12" t="inlineStr">
        <is>
          <t>2026-09-12 16:00</t>
        </is>
      </c>
      <c r="D291" s="22" t="n">
        <v>2</v>
      </c>
      <c r="E291" s="12" t="inlineStr">
        <is>
          <t>ML</t>
        </is>
      </c>
      <c r="F291" s="12" t="inlineStr">
        <is>
          <t>OU ML</t>
        </is>
      </c>
      <c r="G291" s="23" t="n"/>
      <c r="H291" s="13" t="n">
        <v>-118</v>
      </c>
      <c r="I291" s="15" t="n">
        <v>0.4624213452930725</v>
      </c>
      <c r="J291" s="15" t="n">
        <v>0.5173641257162701</v>
      </c>
      <c r="K291" s="15" t="n">
        <v>0.5412844036697247</v>
      </c>
      <c r="L291" s="14" t="n">
        <v>-0.0788630583766522</v>
      </c>
      <c r="M291" s="14" t="n">
        <v>-0.145696158695849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APSU @ VAN</t>
        </is>
      </c>
      <c r="C292" s="17" t="inlineStr">
        <is>
          <t>2026-09-05 23:00</t>
        </is>
      </c>
      <c r="D292" s="25" t="n">
        <v>1</v>
      </c>
      <c r="E292" s="17" t="inlineStr">
        <is>
          <t>TOTAL</t>
        </is>
      </c>
      <c r="F292" s="17" t="inlineStr">
        <is>
          <t>Over 60.5</t>
        </is>
      </c>
      <c r="G292" s="26" t="n">
        <v>60.5</v>
      </c>
      <c r="H292" s="18" t="n">
        <v>-108</v>
      </c>
      <c r="I292" s="20" t="n">
        <v>0.4388555554989777</v>
      </c>
      <c r="J292" s="20" t="n">
        <v>0.4956702459300312</v>
      </c>
      <c r="K292" s="20" t="n">
        <v>0.5192307692307693</v>
      </c>
      <c r="L292" s="19" t="n">
        <v>-0.08037521373179157</v>
      </c>
      <c r="M292" s="19" t="n">
        <v>-0.1547967079278947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APSU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OKST @ TLSA</t>
        </is>
      </c>
      <c r="C293" s="12" t="inlineStr">
        <is>
          <t>2026-09-05 19:45</t>
        </is>
      </c>
      <c r="D293" s="22" t="n">
        <v>1</v>
      </c>
      <c r="E293" s="12" t="inlineStr">
        <is>
          <t>TOTAL</t>
        </is>
      </c>
      <c r="F293" s="12" t="inlineStr">
        <is>
          <t>Over 59.5</t>
        </is>
      </c>
      <c r="G293" s="23" t="n">
        <v>59.5</v>
      </c>
      <c r="H293" s="13" t="n">
        <v>-105</v>
      </c>
      <c r="I293" s="15" t="n">
        <v>0.4317996757042998</v>
      </c>
      <c r="J293" s="15" t="n">
        <v>0.4891657638136511</v>
      </c>
      <c r="K293" s="15" t="n">
        <v>0.5121951219512195</v>
      </c>
      <c r="L293" s="14" t="n">
        <v>-0.08039544624691974</v>
      </c>
      <c r="M293" s="14" t="n">
        <v>-0.1569625379106528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EKU @ JVST</t>
        </is>
      </c>
      <c r="C294" s="17" t="inlineStr">
        <is>
          <t>2026-09-05 23:00</t>
        </is>
      </c>
      <c r="D294" s="25" t="n">
        <v>1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-115</v>
      </c>
      <c r="I294" s="20" t="n">
        <v>0.4541121501694847</v>
      </c>
      <c r="J294" s="20" t="n">
        <v>0.5108342361863488</v>
      </c>
      <c r="K294" s="20" t="n">
        <v>0.5348837209302325</v>
      </c>
      <c r="L294" s="19" t="n">
        <v>-0.08077157076074781</v>
      </c>
      <c r="M294" s="19" t="n">
        <v>-0.1510077192483548</v>
      </c>
      <c r="N294" s="20" t="n">
        <v>0</v>
      </c>
      <c r="O294" s="27" t="n">
        <v>0.4</v>
      </c>
      <c r="P294" s="17" t="inlineStr">
        <is>
          <t>DraftKings</t>
        </is>
      </c>
      <c r="Q294" s="17" t="inlineStr">
        <is>
          <t>EKU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SMU @ FSU</t>
        </is>
      </c>
      <c r="C295" s="12" t="inlineStr">
        <is>
          <t>2026-09-07 23:30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0.4429309275418205</v>
      </c>
      <c r="J295" s="15" t="n">
        <v>0.5</v>
      </c>
      <c r="K295" s="15" t="n">
        <v>0.5238095238095238</v>
      </c>
      <c r="L295" s="14" t="n">
        <v>-0.08087859626770333</v>
      </c>
      <c r="M295" s="14" t="n">
        <v>-0.1544045928747063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UCLA @ CAL</t>
        </is>
      </c>
      <c r="C296" s="17" t="inlineStr">
        <is>
          <t>2026-09-06 02:30</t>
        </is>
      </c>
      <c r="D296" s="25" t="n">
        <v>1</v>
      </c>
      <c r="E296" s="17" t="inlineStr">
        <is>
          <t>ML</t>
        </is>
      </c>
      <c r="F296" s="17" t="inlineStr">
        <is>
          <t>UCLA ML</t>
        </is>
      </c>
      <c r="G296" s="26" t="n"/>
      <c r="H296" s="18" t="n">
        <v>-122</v>
      </c>
      <c r="I296" s="20" t="n">
        <v>0.4667825750657972</v>
      </c>
      <c r="J296" s="20" t="n">
        <v>0.5260865852617197</v>
      </c>
      <c r="K296" s="20" t="n">
        <v>0.5495495495495496</v>
      </c>
      <c r="L296" s="19" t="n">
        <v>-0.08276697448375236</v>
      </c>
      <c r="M296" s="19" t="n">
        <v>-0.1506087568474837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MIZ @ KU</t>
        </is>
      </c>
      <c r="C297" s="12" t="inlineStr">
        <is>
          <t>2026-09-12 00:00</t>
        </is>
      </c>
      <c r="D297" s="22" t="n">
        <v>2</v>
      </c>
      <c r="E297" s="12" t="inlineStr">
        <is>
          <t>TOTAL</t>
        </is>
      </c>
      <c r="F297" s="12" t="inlineStr">
        <is>
          <t>Under 53.5</t>
        </is>
      </c>
      <c r="G297" s="23" t="n">
        <v>53.5</v>
      </c>
      <c r="H297" s="13" t="n">
        <v>-112</v>
      </c>
      <c r="I297" s="15" t="n">
        <v>0.4450958045768049</v>
      </c>
      <c r="J297" s="15" t="n">
        <v>0.5043297540699688</v>
      </c>
      <c r="K297" s="15" t="n">
        <v>0.5283018867924528</v>
      </c>
      <c r="L297" s="14" t="n">
        <v>-0.08320608221564796</v>
      </c>
      <c r="M297" s="14" t="n">
        <v>-0.157497227051048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ATS</t>
        </is>
      </c>
      <c r="F298" s="17" t="inlineStr">
        <is>
          <t>WKU -1.5</t>
        </is>
      </c>
      <c r="G298" s="26" t="n">
        <v>1.5</v>
      </c>
      <c r="H298" s="18" t="n">
        <v>-108</v>
      </c>
      <c r="I298" s="20" t="n">
        <v>0.4339334571324025</v>
      </c>
      <c r="J298" s="20" t="n">
        <v>0.4956702459300312</v>
      </c>
      <c r="K298" s="20" t="n">
        <v>0.5192307692307693</v>
      </c>
      <c r="L298" s="19" t="n">
        <v>-0.08529731209836677</v>
      </c>
      <c r="M298" s="19" t="n">
        <v>-0.1642763047820396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OU @ MICH</t>
        </is>
      </c>
      <c r="C299" s="12" t="inlineStr">
        <is>
          <t>2026-09-12 16:00</t>
        </is>
      </c>
      <c r="D299" s="22" t="n">
        <v>2</v>
      </c>
      <c r="E299" s="12" t="inlineStr">
        <is>
          <t>ATS</t>
        </is>
      </c>
      <c r="F299" s="12" t="inlineStr">
        <is>
          <t>OU -1.5</t>
        </is>
      </c>
      <c r="G299" s="23" t="n">
        <v>1.5</v>
      </c>
      <c r="H299" s="13" t="n">
        <v>-108</v>
      </c>
      <c r="I299" s="15" t="n">
        <v>0.4339334571324025</v>
      </c>
      <c r="J299" s="15" t="n">
        <v>0.4956702459300312</v>
      </c>
      <c r="K299" s="15" t="n">
        <v>0.5192307692307693</v>
      </c>
      <c r="L299" s="14" t="n">
        <v>-0.08529731209836677</v>
      </c>
      <c r="M299" s="14" t="n">
        <v>-0.1642763047820396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MOST @ TA&amp;M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-108</v>
      </c>
      <c r="I300" s="20" t="n">
        <v>0.4331591162101714</v>
      </c>
      <c r="J300" s="20" t="n">
        <v>0.4956702459300312</v>
      </c>
      <c r="K300" s="20" t="n">
        <v>0.5192307692307693</v>
      </c>
      <c r="L300" s="19" t="n">
        <v>-0.08607165302059783</v>
      </c>
      <c r="M300" s="19" t="n">
        <v>-0.1657676280396698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UCLA @ CAL</t>
        </is>
      </c>
      <c r="C301" s="12" t="inlineStr">
        <is>
          <t>2026-09-06 02:30</t>
        </is>
      </c>
      <c r="D301" s="22" t="n">
        <v>1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-108</v>
      </c>
      <c r="I301" s="15" t="n">
        <v>0.4331591162101714</v>
      </c>
      <c r="J301" s="15" t="n">
        <v>0.4956702459300312</v>
      </c>
      <c r="K301" s="15" t="n">
        <v>0.5192307692307693</v>
      </c>
      <c r="L301" s="14" t="n">
        <v>-0.08607165302059783</v>
      </c>
      <c r="M301" s="14" t="n">
        <v>-0.1657676280396698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SEMO @ ISU</t>
        </is>
      </c>
      <c r="C302" s="17" t="inlineStr">
        <is>
          <t>2026-09-05 17:00</t>
        </is>
      </c>
      <c r="D302" s="25" t="n">
        <v>1</v>
      </c>
      <c r="E302" s="17" t="inlineStr">
        <is>
          <t>TOTAL</t>
        </is>
      </c>
      <c r="F302" s="17" t="inlineStr">
        <is>
          <t>Under 53.5</t>
        </is>
      </c>
      <c r="G302" s="26" t="n">
        <v>53.5</v>
      </c>
      <c r="H302" s="18" t="n">
        <v>-110</v>
      </c>
      <c r="I302" s="20" t="n">
        <v>0.4372167909112055</v>
      </c>
      <c r="J302" s="20" t="n">
        <v>0.5</v>
      </c>
      <c r="K302" s="20" t="n">
        <v>0.5238095238095238</v>
      </c>
      <c r="L302" s="19" t="n">
        <v>-0.08659273289831837</v>
      </c>
      <c r="M302" s="19" t="n">
        <v>-0.1653133991695168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SEMO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ME @ APP</t>
        </is>
      </c>
      <c r="C303" s="12" t="inlineStr">
        <is>
          <t>2026-09-05 19:30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-110</v>
      </c>
      <c r="I303" s="15" t="n">
        <v>0.4315572887433656</v>
      </c>
      <c r="J303" s="15" t="n">
        <v>0.5</v>
      </c>
      <c r="K303" s="15" t="n">
        <v>0.5238095238095238</v>
      </c>
      <c r="L303" s="14" t="n">
        <v>-0.09225223506615821</v>
      </c>
      <c r="M303" s="14" t="n">
        <v>-0.1761179033081201</v>
      </c>
      <c r="N303" s="15" t="n">
        <v>0</v>
      </c>
      <c r="O303" s="24" t="n">
        <v>0.4</v>
      </c>
      <c r="P303" s="12" t="inlineStr">
        <is>
          <t>DraftKings</t>
        </is>
      </c>
      <c r="Q303" s="12" t="inlineStr">
        <is>
          <t>ME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UCLA @ CAL</t>
        </is>
      </c>
      <c r="C304" s="17" t="inlineStr">
        <is>
          <t>2026-09-06 02:30</t>
        </is>
      </c>
      <c r="D304" s="25" t="n">
        <v>1</v>
      </c>
      <c r="E304" s="17" t="inlineStr">
        <is>
          <t>ATS</t>
        </is>
      </c>
      <c r="F304" s="17" t="inlineStr">
        <is>
          <t>UCLA -1.5</t>
        </is>
      </c>
      <c r="G304" s="26" t="n">
        <v>1.5</v>
      </c>
      <c r="H304" s="18" t="n">
        <v>-115</v>
      </c>
      <c r="I304" s="20" t="n">
        <v>0.4415154522605613</v>
      </c>
      <c r="J304" s="20" t="n">
        <v>0.5108342361863488</v>
      </c>
      <c r="K304" s="20" t="n">
        <v>0.5348837209302325</v>
      </c>
      <c r="L304" s="19" t="n">
        <v>-0.09336826866967118</v>
      </c>
      <c r="M304" s="19" t="n">
        <v>-0.1745580675128637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MEM @ BOIS</t>
        </is>
      </c>
      <c r="C305" s="12" t="inlineStr">
        <is>
          <t>2026-09-12 22:00</t>
        </is>
      </c>
      <c r="D305" s="22" t="n">
        <v>2</v>
      </c>
      <c r="E305" s="12" t="inlineStr">
        <is>
          <t>ATS</t>
        </is>
      </c>
      <c r="F305" s="12" t="inlineStr">
        <is>
          <t>BOIS -6.5</t>
        </is>
      </c>
      <c r="G305" s="23" t="n">
        <v>-6.5</v>
      </c>
      <c r="H305" s="13" t="n">
        <v>-110</v>
      </c>
      <c r="I305" s="15" t="n">
        <v>0.4283740246369534</v>
      </c>
      <c r="J305" s="15" t="n">
        <v>0.5</v>
      </c>
      <c r="K305" s="15" t="n">
        <v>0.5238095238095238</v>
      </c>
      <c r="L305" s="14" t="n">
        <v>-0.09543549917257044</v>
      </c>
      <c r="M305" s="14" t="n">
        <v>-0.1821950438749071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BC @ CIN</t>
        </is>
      </c>
      <c r="C306" s="17" t="inlineStr">
        <is>
          <t>2026-09-05 19:30</t>
        </is>
      </c>
      <c r="D306" s="25" t="n">
        <v>1</v>
      </c>
      <c r="E306" s="17" t="inlineStr">
        <is>
          <t>ML</t>
        </is>
      </c>
      <c r="F306" s="17" t="inlineStr">
        <is>
          <t>CIN ML</t>
        </is>
      </c>
      <c r="G306" s="26" t="n"/>
      <c r="H306" s="18" t="n">
        <v>-305</v>
      </c>
      <c r="I306" s="20" t="n">
        <v>0.6573003470040745</v>
      </c>
      <c r="J306" s="20" t="n">
        <v>0.7220792588780237</v>
      </c>
      <c r="K306" s="20" t="n">
        <v>0.7530864197530864</v>
      </c>
      <c r="L306" s="19" t="n">
        <v>-0.09578607274901196</v>
      </c>
      <c r="M306" s="19" t="n">
        <v>-0.1271913425027864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ECU @ ALA</t>
        </is>
      </c>
      <c r="C307" s="12" t="inlineStr">
        <is>
          <t>2026-09-05 16:00</t>
        </is>
      </c>
      <c r="D307" s="22" t="n">
        <v>1</v>
      </c>
      <c r="E307" s="12" t="inlineStr">
        <is>
          <t>TOTAL</t>
        </is>
      </c>
      <c r="F307" s="12" t="inlineStr">
        <is>
          <t>Under 52.5</t>
        </is>
      </c>
      <c r="G307" s="23" t="n">
        <v>52.5</v>
      </c>
      <c r="H307" s="13" t="n">
        <v>-110</v>
      </c>
      <c r="I307" s="15" t="n">
        <v>0.4278168790534278</v>
      </c>
      <c r="J307" s="15" t="n">
        <v>0.5</v>
      </c>
      <c r="K307" s="15" t="n">
        <v>0.5238095238095238</v>
      </c>
      <c r="L307" s="14" t="n">
        <v>-0.09599264475609603</v>
      </c>
      <c r="M307" s="14" t="n">
        <v>-0.183258685443456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WKU @ NEV</t>
        </is>
      </c>
      <c r="C308" s="17" t="inlineStr">
        <is>
          <t>2026-09-06 02:30</t>
        </is>
      </c>
      <c r="D308" s="25" t="n">
        <v>1</v>
      </c>
      <c r="E308" s="17" t="inlineStr">
        <is>
          <t>TOTAL</t>
        </is>
      </c>
      <c r="F308" s="17" t="inlineStr">
        <is>
          <t>Under 52.5</t>
        </is>
      </c>
      <c r="G308" s="26" t="n">
        <v>52.5</v>
      </c>
      <c r="H308" s="18" t="n">
        <v>-110</v>
      </c>
      <c r="I308" s="20" t="n">
        <v>0.4278168790534278</v>
      </c>
      <c r="J308" s="20" t="n">
        <v>0.5</v>
      </c>
      <c r="K308" s="20" t="n">
        <v>0.5238095238095238</v>
      </c>
      <c r="L308" s="19" t="n">
        <v>-0.09599264475609603</v>
      </c>
      <c r="M308" s="19" t="n">
        <v>-0.183258685443456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ARST @ MEM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-108</v>
      </c>
      <c r="I309" s="15" t="n">
        <v>0.4219391922972295</v>
      </c>
      <c r="J309" s="15" t="n">
        <v>0.4956702459300312</v>
      </c>
      <c r="K309" s="15" t="n">
        <v>0.5192307692307693</v>
      </c>
      <c r="L309" s="14" t="n">
        <v>-0.09729157693353974</v>
      </c>
      <c r="M309" s="14" t="n">
        <v>-0.1873763703905209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ARIZ @ BYU</t>
        </is>
      </c>
      <c r="C310" s="17" t="inlineStr">
        <is>
          <t>2026-09-12 19:30</t>
        </is>
      </c>
      <c r="D310" s="25" t="n">
        <v>2</v>
      </c>
      <c r="E310" s="17" t="inlineStr">
        <is>
          <t>ATS</t>
        </is>
      </c>
      <c r="F310" s="17" t="inlineStr">
        <is>
          <t>BYU -7</t>
        </is>
      </c>
      <c r="G310" s="26" t="n">
        <v>-7</v>
      </c>
      <c r="H310" s="18" t="n">
        <v>-110</v>
      </c>
      <c r="I310" s="20" t="n">
        <v>0.4264087738583873</v>
      </c>
      <c r="J310" s="20" t="n">
        <v>0.5</v>
      </c>
      <c r="K310" s="20" t="n">
        <v>0.5238095238095238</v>
      </c>
      <c r="L310" s="19" t="n">
        <v>-0.09740074995113657</v>
      </c>
      <c r="M310" s="19" t="n">
        <v>-0.1769057465393812</v>
      </c>
      <c r="N310" s="20" t="n">
        <v>0.0486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ARK @ UTAH</t>
        </is>
      </c>
      <c r="C311" s="12" t="inlineStr">
        <is>
          <t>2026-09-13 02:15</t>
        </is>
      </c>
      <c r="D311" s="22" t="n">
        <v>2</v>
      </c>
      <c r="E311" s="12" t="inlineStr">
        <is>
          <t>TOTAL</t>
        </is>
      </c>
      <c r="F311" s="12" t="inlineStr">
        <is>
          <t>Under 54.5</t>
        </is>
      </c>
      <c r="G311" s="23" t="n">
        <v>54.5</v>
      </c>
      <c r="H311" s="13" t="n">
        <v>-112</v>
      </c>
      <c r="I311" s="15" t="n">
        <v>0.4299817576656076</v>
      </c>
      <c r="J311" s="15" t="n">
        <v>0.5043297540699688</v>
      </c>
      <c r="K311" s="15" t="n">
        <v>0.5283018867924528</v>
      </c>
      <c r="L311" s="14" t="n">
        <v>-0.09832012912684518</v>
      </c>
      <c r="M311" s="14" t="n">
        <v>-0.1861059587043856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ORE @ OKST</t>
        </is>
      </c>
      <c r="C312" s="17" t="inlineStr">
        <is>
          <t>2026-09-12 16:00</t>
        </is>
      </c>
      <c r="D312" s="25" t="n">
        <v>2</v>
      </c>
      <c r="E312" s="17" t="inlineStr">
        <is>
          <t>TOTAL</t>
        </is>
      </c>
      <c r="F312" s="17" t="inlineStr">
        <is>
          <t>Over 60.5</t>
        </is>
      </c>
      <c r="G312" s="26" t="n">
        <v>60.5</v>
      </c>
      <c r="H312" s="18" t="n">
        <v>-108</v>
      </c>
      <c r="I312" s="20" t="n">
        <v>0.4182552557424702</v>
      </c>
      <c r="J312" s="20" t="n">
        <v>0.4956702459300312</v>
      </c>
      <c r="K312" s="20" t="n">
        <v>0.5192307692307693</v>
      </c>
      <c r="L312" s="19" t="n">
        <v>-0.100975513488299</v>
      </c>
      <c r="M312" s="19" t="n">
        <v>-0.194471359310798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TULN @ DUKE</t>
        </is>
      </c>
      <c r="C313" s="12" t="inlineStr">
        <is>
          <t>2026-09-05 19:30</t>
        </is>
      </c>
      <c r="D313" s="22" t="n">
        <v>1</v>
      </c>
      <c r="E313" s="12" t="inlineStr">
        <is>
          <t>ML</t>
        </is>
      </c>
      <c r="F313" s="12" t="inlineStr">
        <is>
          <t>DUKE ML</t>
        </is>
      </c>
      <c r="G313" s="23" t="n"/>
      <c r="H313" s="13" t="n">
        <v>-325</v>
      </c>
      <c r="I313" s="15" t="n">
        <v>0.6630318774396708</v>
      </c>
      <c r="J313" s="15" t="n">
        <v>0.7335423197492164</v>
      </c>
      <c r="K313" s="15" t="n">
        <v>0.7647058823529411</v>
      </c>
      <c r="L313" s="14" t="n">
        <v>-0.1016740049132703</v>
      </c>
      <c r="M313" s="14" t="n">
        <v>-0.1329583141173535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BC @ CIN</t>
        </is>
      </c>
      <c r="C314" s="17" t="inlineStr">
        <is>
          <t>2026-09-05 19:30</t>
        </is>
      </c>
      <c r="D314" s="25" t="n">
        <v>1</v>
      </c>
      <c r="E314" s="17" t="inlineStr">
        <is>
          <t>ATS</t>
        </is>
      </c>
      <c r="F314" s="17" t="inlineStr">
        <is>
          <t>CIN -7.5</t>
        </is>
      </c>
      <c r="G314" s="26" t="n">
        <v>-7.5</v>
      </c>
      <c r="H314" s="18" t="n">
        <v>-108</v>
      </c>
      <c r="I314" s="20" t="n">
        <v>0.415666520744602</v>
      </c>
      <c r="J314" s="20" t="n">
        <v>0.4956702459300312</v>
      </c>
      <c r="K314" s="20" t="n">
        <v>0.5192307692307693</v>
      </c>
      <c r="L314" s="19" t="n">
        <v>-0.1035642484861672</v>
      </c>
      <c r="M314" s="19" t="n">
        <v>-0.1994570711585442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NORF @ ODU</t>
        </is>
      </c>
      <c r="C315" s="12" t="inlineStr">
        <is>
          <t>2026-09-05 22:00</t>
        </is>
      </c>
      <c r="D315" s="22" t="n">
        <v>1</v>
      </c>
      <c r="E315" s="12" t="inlineStr">
        <is>
          <t>TOTAL</t>
        </is>
      </c>
      <c r="F315" s="12" t="inlineStr">
        <is>
          <t>Under 52.5</t>
        </is>
      </c>
      <c r="G315" s="23" t="n">
        <v>52.5</v>
      </c>
      <c r="H315" s="13" t="n">
        <v>-108</v>
      </c>
      <c r="I315" s="15" t="n">
        <v>0.4146014221503072</v>
      </c>
      <c r="J315" s="15" t="n">
        <v>0.4956702459300312</v>
      </c>
      <c r="K315" s="15" t="n">
        <v>0.5192307692307693</v>
      </c>
      <c r="L315" s="14" t="n">
        <v>-0.1046293470804621</v>
      </c>
      <c r="M315" s="14" t="n">
        <v>-0.201508372154964</v>
      </c>
      <c r="N315" s="15" t="n">
        <v>0</v>
      </c>
      <c r="O315" s="24" t="n">
        <v>0.4</v>
      </c>
      <c r="P315" s="12" t="inlineStr">
        <is>
          <t>DraftKings</t>
        </is>
      </c>
      <c r="Q315" s="12" t="inlineStr">
        <is>
          <t>NORF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MORG @ ASU</t>
        </is>
      </c>
      <c r="C316" s="17" t="inlineStr">
        <is>
          <t>2026-09-06 02:00</t>
        </is>
      </c>
      <c r="D316" s="25" t="n">
        <v>1</v>
      </c>
      <c r="E316" s="17" t="inlineStr">
        <is>
          <t>TOTAL</t>
        </is>
      </c>
      <c r="F316" s="17" t="inlineStr">
        <is>
          <t>Under 52.5</t>
        </is>
      </c>
      <c r="G316" s="26" t="n">
        <v>52.5</v>
      </c>
      <c r="H316" s="18" t="n">
        <v>-108</v>
      </c>
      <c r="I316" s="20" t="n">
        <v>0.4127861753286511</v>
      </c>
      <c r="J316" s="20" t="n">
        <v>0.4956702459300312</v>
      </c>
      <c r="K316" s="20" t="n">
        <v>0.5192307692307693</v>
      </c>
      <c r="L316" s="19" t="n">
        <v>-0.1064445939021181</v>
      </c>
      <c r="M316" s="19" t="n">
        <v>-0.2050044030707459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MORG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TULN @ DUKE</t>
        </is>
      </c>
      <c r="C317" s="12" t="inlineStr">
        <is>
          <t>2026-09-05 19:30</t>
        </is>
      </c>
      <c r="D317" s="22" t="n">
        <v>1</v>
      </c>
      <c r="E317" s="12" t="inlineStr">
        <is>
          <t>ATS</t>
        </is>
      </c>
      <c r="F317" s="12" t="inlineStr">
        <is>
          <t>DUKE -7.5</t>
        </is>
      </c>
      <c r="G317" s="23" t="n">
        <v>-7.5</v>
      </c>
      <c r="H317" s="13" t="n">
        <v>-112</v>
      </c>
      <c r="I317" s="15" t="n">
        <v>0.4199962748145709</v>
      </c>
      <c r="J317" s="15" t="n">
        <v>0.5043297540699688</v>
      </c>
      <c r="K317" s="15" t="n">
        <v>0.5283018867924528</v>
      </c>
      <c r="L317" s="14" t="n">
        <v>-0.108305611977882</v>
      </c>
      <c r="M317" s="14" t="n">
        <v>-0.205007051243848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SMU @ FSU</t>
        </is>
      </c>
      <c r="C318" s="17" t="inlineStr">
        <is>
          <t>2026-09-07 23:30</t>
        </is>
      </c>
      <c r="D318" s="25" t="n">
        <v>1</v>
      </c>
      <c r="E318" s="17" t="inlineStr">
        <is>
          <t>ML</t>
        </is>
      </c>
      <c r="F318" s="17" t="inlineStr">
        <is>
          <t>SMU ML</t>
        </is>
      </c>
      <c r="G318" s="26" t="n"/>
      <c r="H318" s="18" t="n">
        <v>-148</v>
      </c>
      <c r="I318" s="20" t="n">
        <v>0.4880864991213216</v>
      </c>
      <c r="J318" s="20" t="n">
        <v>0.5720596355604638</v>
      </c>
      <c r="K318" s="20" t="n">
        <v>0.5967741935483871</v>
      </c>
      <c r="L318" s="19" t="n">
        <v>-0.1086876944270655</v>
      </c>
      <c r="M318" s="19" t="n">
        <v>-0.1821253257967043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MERC @ NMSU</t>
        </is>
      </c>
      <c r="C319" s="12" t="inlineStr">
        <is>
          <t>2026-09-06 01:00</t>
        </is>
      </c>
      <c r="D319" s="22" t="n">
        <v>1</v>
      </c>
      <c r="E319" s="12" t="inlineStr">
        <is>
          <t>TOTAL</t>
        </is>
      </c>
      <c r="F319" s="12" t="inlineStr">
        <is>
          <t>Under 52.5</t>
        </is>
      </c>
      <c r="G319" s="23" t="n">
        <v>52.5</v>
      </c>
      <c r="H319" s="13" t="n">
        <v>-115</v>
      </c>
      <c r="I319" s="15" t="n">
        <v>0.4240064929391465</v>
      </c>
      <c r="J319" s="15" t="n">
        <v>0.5108342361863488</v>
      </c>
      <c r="K319" s="15" t="n">
        <v>0.5348837209302325</v>
      </c>
      <c r="L319" s="14" t="n">
        <v>-0.110877227991086</v>
      </c>
      <c r="M319" s="14" t="n">
        <v>-0.2072922088529001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MERC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UTEP @ OU</t>
        </is>
      </c>
      <c r="C320" s="17" t="inlineStr">
        <is>
          <t>2026-09-05 00:00</t>
        </is>
      </c>
      <c r="D320" s="25" t="n">
        <v>1</v>
      </c>
      <c r="E320" s="17" t="inlineStr">
        <is>
          <t>TOTAL</t>
        </is>
      </c>
      <c r="F320" s="17" t="inlineStr">
        <is>
          <t>Under 51.5</t>
        </is>
      </c>
      <c r="G320" s="26" t="n">
        <v>51.5</v>
      </c>
      <c r="H320" s="18" t="n">
        <v>-110</v>
      </c>
      <c r="I320" s="20" t="n">
        <v>0.4095537452937045</v>
      </c>
      <c r="J320" s="20" t="n">
        <v>0.5</v>
      </c>
      <c r="K320" s="20" t="n">
        <v>0.5238095238095238</v>
      </c>
      <c r="L320" s="19" t="n">
        <v>-0.1142557785158194</v>
      </c>
      <c r="M320" s="19" t="n">
        <v>-0.2181246680756551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SMU @ FSU</t>
        </is>
      </c>
      <c r="C321" s="12" t="inlineStr">
        <is>
          <t>2026-09-07 23:30</t>
        </is>
      </c>
      <c r="D321" s="22" t="n">
        <v>1</v>
      </c>
      <c r="E321" s="12" t="inlineStr">
        <is>
          <t>ATS</t>
        </is>
      </c>
      <c r="F321" s="12" t="inlineStr">
        <is>
          <t>SMU -3</t>
        </is>
      </c>
      <c r="G321" s="23" t="n">
        <v>3</v>
      </c>
      <c r="H321" s="13" t="n">
        <v>-105</v>
      </c>
      <c r="I321" s="15" t="n">
        <v>0.3976965569863367</v>
      </c>
      <c r="J321" s="15" t="n">
        <v>0.4891657638136511</v>
      </c>
      <c r="K321" s="15" t="n">
        <v>0.5121951219512195</v>
      </c>
      <c r="L321" s="14" t="n">
        <v>-0.1144985649648829</v>
      </c>
      <c r="M321" s="14" t="n">
        <v>-0.2114240208685972</v>
      </c>
      <c r="N321" s="15" t="n">
        <v>0.0542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WSU @ WASH</t>
        </is>
      </c>
      <c r="C322" s="17" t="inlineStr">
        <is>
          <t>2026-09-06 20:00</t>
        </is>
      </c>
      <c r="D322" s="25" t="n">
        <v>1</v>
      </c>
      <c r="E322" s="17" t="inlineStr">
        <is>
          <t>TOTAL</t>
        </is>
      </c>
      <c r="F322" s="17" t="inlineStr">
        <is>
          <t>Under 51.5</t>
        </is>
      </c>
      <c r="G322" s="26" t="n">
        <v>51.5</v>
      </c>
      <c r="H322" s="18" t="n">
        <v>-115</v>
      </c>
      <c r="I322" s="20" t="n">
        <v>0.4203681692104507</v>
      </c>
      <c r="J322" s="20" t="n">
        <v>0.5108342361863488</v>
      </c>
      <c r="K322" s="20" t="n">
        <v>0.5348837209302325</v>
      </c>
      <c r="L322" s="19" t="n">
        <v>-0.1145155517197818</v>
      </c>
      <c r="M322" s="19" t="n">
        <v>-0.2140942923456791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CLEM @ LSU</t>
        </is>
      </c>
      <c r="C323" s="12" t="inlineStr">
        <is>
          <t>2026-09-05 23:30</t>
        </is>
      </c>
      <c r="D323" s="22" t="n">
        <v>1</v>
      </c>
      <c r="E323" s="12" t="inlineStr">
        <is>
          <t>ML</t>
        </is>
      </c>
      <c r="F323" s="12" t="inlineStr">
        <is>
          <t>LSU ML</t>
        </is>
      </c>
      <c r="G323" s="23" t="n"/>
      <c r="H323" s="13" t="n">
        <v>-375</v>
      </c>
      <c r="I323" s="15" t="n">
        <v>0.6748549667663406</v>
      </c>
      <c r="J323" s="15" t="n">
        <v>0.7571884984025559</v>
      </c>
      <c r="K323" s="15" t="n">
        <v>0.7894736842105263</v>
      </c>
      <c r="L323" s="14" t="n">
        <v>-0.1146187174441857</v>
      </c>
      <c r="M323" s="14" t="n">
        <v>-0.1451837087626353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ARK @ UTAH</t>
        </is>
      </c>
      <c r="C324" s="17" t="inlineStr">
        <is>
          <t>2026-09-13 02:15</t>
        </is>
      </c>
      <c r="D324" s="25" t="n">
        <v>2</v>
      </c>
      <c r="E324" s="17" t="inlineStr">
        <is>
          <t>ML</t>
        </is>
      </c>
      <c r="F324" s="17" t="inlineStr">
        <is>
          <t>UTAH ML</t>
        </is>
      </c>
      <c r="G324" s="26" t="n"/>
      <c r="H324" s="18" t="n">
        <v>-380</v>
      </c>
      <c r="I324" s="20" t="n">
        <v>0.6762607175650627</v>
      </c>
      <c r="J324" s="20" t="n">
        <v>0.7600000000000001</v>
      </c>
      <c r="K324" s="20" t="n">
        <v>0.7916666666666666</v>
      </c>
      <c r="L324" s="19" t="n">
        <v>-0.115405949101604</v>
      </c>
      <c r="M324" s="19" t="n">
        <v>-0.1457759357072893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UTU @ BYU</t>
        </is>
      </c>
      <c r="C325" s="12" t="inlineStr">
        <is>
          <t>2026-09-06 00:00</t>
        </is>
      </c>
      <c r="D325" s="22" t="n">
        <v>1</v>
      </c>
      <c r="E325" s="12" t="inlineStr">
        <is>
          <t>TOTAL</t>
        </is>
      </c>
      <c r="F325" s="12" t="inlineStr">
        <is>
          <t>Over 61.5</t>
        </is>
      </c>
      <c r="G325" s="23" t="n">
        <v>61.5</v>
      </c>
      <c r="H325" s="13" t="n">
        <v>-110</v>
      </c>
      <c r="I325" s="15" t="n">
        <v>0.407771267079016</v>
      </c>
      <c r="J325" s="15" t="n">
        <v>0.5</v>
      </c>
      <c r="K325" s="15" t="n">
        <v>0.5238095238095238</v>
      </c>
      <c r="L325" s="14" t="n">
        <v>-0.1160382567305078</v>
      </c>
      <c r="M325" s="14" t="n">
        <v>-0.2215275810309694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UTU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ARST @ MEM</t>
        </is>
      </c>
      <c r="C326" s="17" t="inlineStr">
        <is>
          <t>2026-09-05 23:00</t>
        </is>
      </c>
      <c r="D326" s="25" t="n">
        <v>1</v>
      </c>
      <c r="E326" s="17" t="inlineStr">
        <is>
          <t>ML</t>
        </is>
      </c>
      <c r="F326" s="17" t="inlineStr">
        <is>
          <t>MEM ML</t>
        </is>
      </c>
      <c r="G326" s="26" t="n"/>
      <c r="H326" s="18" t="n">
        <v>-455</v>
      </c>
      <c r="I326" s="20" t="n">
        <v>0.7036832255848441</v>
      </c>
      <c r="J326" s="20" t="n">
        <v>0.7867435158501441</v>
      </c>
      <c r="K326" s="20" t="n">
        <v>0.8198198198198198</v>
      </c>
      <c r="L326" s="19" t="n">
        <v>-0.1161365942349757</v>
      </c>
      <c r="M326" s="19" t="n">
        <v>-0.1416611204404648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price outside allowed range</t>
        </is>
      </c>
    </row>
    <row r="327">
      <c r="A327" s="12" t="inlineStr">
        <is>
          <t>PASS</t>
        </is>
      </c>
      <c r="B327" s="12" t="inlineStr">
        <is>
          <t>SELA @ USA</t>
        </is>
      </c>
      <c r="C327" s="12" t="inlineStr">
        <is>
          <t>2026-09-05 23:00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-112</v>
      </c>
      <c r="I327" s="15" t="n">
        <v>0.4117186233959148</v>
      </c>
      <c r="J327" s="15" t="n">
        <v>0.5043297540699688</v>
      </c>
      <c r="K327" s="15" t="n">
        <v>0.5283018867924528</v>
      </c>
      <c r="L327" s="14" t="n">
        <v>-0.116583263396538</v>
      </c>
      <c r="M327" s="14" t="n">
        <v>-0.2206754628577327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SELA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DUKE @ ILL</t>
        </is>
      </c>
      <c r="C328" s="17" t="inlineStr">
        <is>
          <t>2026-09-12 19:30</t>
        </is>
      </c>
      <c r="D328" s="25" t="n">
        <v>2</v>
      </c>
      <c r="E328" s="17" t="inlineStr">
        <is>
          <t>ATS</t>
        </is>
      </c>
      <c r="F328" s="17" t="inlineStr">
        <is>
          <t>ILL -8.5</t>
        </is>
      </c>
      <c r="G328" s="26" t="n">
        <v>-8.5</v>
      </c>
      <c r="H328" s="18" t="n">
        <v>-110</v>
      </c>
      <c r="I328" s="20" t="n">
        <v>0.4050666670368681</v>
      </c>
      <c r="J328" s="20" t="n">
        <v>0.5</v>
      </c>
      <c r="K328" s="20" t="n">
        <v>0.5238095238095238</v>
      </c>
      <c r="L328" s="19" t="n">
        <v>-0.1187428567726557</v>
      </c>
      <c r="M328" s="19" t="n">
        <v>-0.2266909083841608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WIS @ ND</t>
        </is>
      </c>
      <c r="C329" s="12" t="inlineStr">
        <is>
          <t>2026-09-06 23:30</t>
        </is>
      </c>
      <c r="D329" s="22" t="n">
        <v>1</v>
      </c>
      <c r="E329" s="12" t="inlineStr">
        <is>
          <t>TOTAL</t>
        </is>
      </c>
      <c r="F329" s="12" t="inlineStr">
        <is>
          <t>Under 46.5</t>
        </is>
      </c>
      <c r="G329" s="23" t="n">
        <v>46.5</v>
      </c>
      <c r="H329" s="13" t="n">
        <v>-108</v>
      </c>
      <c r="I329" s="15" t="n">
        <v>0.4003107076911134</v>
      </c>
      <c r="J329" s="15" t="n">
        <v>0.4956702459300312</v>
      </c>
      <c r="K329" s="15" t="n">
        <v>0.5192307692307693</v>
      </c>
      <c r="L329" s="14" t="n">
        <v>-0.1189200615396558</v>
      </c>
      <c r="M329" s="14" t="n">
        <v>-0.2290312296319296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MRSH @ PSU</t>
        </is>
      </c>
      <c r="C330" s="17" t="inlineStr">
        <is>
          <t>2026-09-05 19:30</t>
        </is>
      </c>
      <c r="D330" s="25" t="n">
        <v>1</v>
      </c>
      <c r="E330" s="17" t="inlineStr">
        <is>
          <t>TOTAL</t>
        </is>
      </c>
      <c r="F330" s="17" t="inlineStr">
        <is>
          <t>Under 52.5</t>
        </is>
      </c>
      <c r="G330" s="26" t="n">
        <v>52.5</v>
      </c>
      <c r="H330" s="18" t="n">
        <v>-118</v>
      </c>
      <c r="I330" s="20" t="n">
        <v>0.4218258445053208</v>
      </c>
      <c r="J330" s="20" t="n">
        <v>0.5173641257162701</v>
      </c>
      <c r="K330" s="20" t="n">
        <v>0.5412844036697247</v>
      </c>
      <c r="L330" s="19" t="n">
        <v>-0.119458559164404</v>
      </c>
      <c r="M330" s="19" t="n">
        <v>-0.2206946262528819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CLEM @ LSU</t>
        </is>
      </c>
      <c r="C331" s="12" t="inlineStr">
        <is>
          <t>2026-09-05 23:30</t>
        </is>
      </c>
      <c r="D331" s="22" t="n">
        <v>1</v>
      </c>
      <c r="E331" s="12" t="inlineStr">
        <is>
          <t>TOTAL</t>
        </is>
      </c>
      <c r="F331" s="12" t="inlineStr">
        <is>
          <t>Under 50.5</t>
        </is>
      </c>
      <c r="G331" s="23" t="n">
        <v>50.5</v>
      </c>
      <c r="H331" s="13" t="n">
        <v>-108</v>
      </c>
      <c r="I331" s="15" t="n">
        <v>0.3985632300003165</v>
      </c>
      <c r="J331" s="15" t="n">
        <v>0.4956702459300312</v>
      </c>
      <c r="K331" s="15" t="n">
        <v>0.5192307692307693</v>
      </c>
      <c r="L331" s="14" t="n">
        <v>-0.1206675392304528</v>
      </c>
      <c r="M331" s="14" t="n">
        <v>-0.2323967422216127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ASU @ TA&amp;M</t>
        </is>
      </c>
      <c r="C332" s="17" t="inlineStr">
        <is>
          <t>2026-09-12 16:00</t>
        </is>
      </c>
      <c r="D332" s="25" t="n">
        <v>2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-112</v>
      </c>
      <c r="I332" s="20" t="n">
        <v>0.4063969414331334</v>
      </c>
      <c r="J332" s="20" t="n">
        <v>0.5043297540699688</v>
      </c>
      <c r="K332" s="20" t="n">
        <v>0.5283018867924528</v>
      </c>
      <c r="L332" s="19" t="n">
        <v>-0.1219049453593194</v>
      </c>
      <c r="M332" s="19" t="n">
        <v>-0.2307486465729975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TOL @ MSU</t>
        </is>
      </c>
      <c r="C333" s="12" t="inlineStr">
        <is>
          <t>2026-09-05 00:00</t>
        </is>
      </c>
      <c r="D333" s="22" t="n">
        <v>1</v>
      </c>
      <c r="E333" s="12" t="inlineStr">
        <is>
          <t>ML</t>
        </is>
      </c>
      <c r="F333" s="12" t="inlineStr">
        <is>
          <t>MSU ML</t>
        </is>
      </c>
      <c r="G333" s="23" t="n"/>
      <c r="H333" s="13" t="n">
        <v>-410</v>
      </c>
      <c r="I333" s="15" t="n">
        <v>0.6820134057371057</v>
      </c>
      <c r="J333" s="15" t="n">
        <v>0.771505376344086</v>
      </c>
      <c r="K333" s="15" t="n">
        <v>0.803921568627451</v>
      </c>
      <c r="L333" s="14" t="n">
        <v>-0.1219081628903453</v>
      </c>
      <c r="M333" s="14" t="n">
        <v>-0.1516418611562832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price outside allowed range</t>
        </is>
      </c>
    </row>
    <row r="334">
      <c r="A334" s="17" t="inlineStr">
        <is>
          <t>PASS</t>
        </is>
      </c>
      <c r="B334" s="17" t="inlineStr">
        <is>
          <t>FRES @ USC</t>
        </is>
      </c>
      <c r="C334" s="17" t="inlineStr">
        <is>
          <t>2026-09-05 01:00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-108</v>
      </c>
      <c r="I334" s="20" t="n">
        <v>0.3968247956369838</v>
      </c>
      <c r="J334" s="20" t="n">
        <v>0.4956702459300312</v>
      </c>
      <c r="K334" s="20" t="n">
        <v>0.5192307692307693</v>
      </c>
      <c r="L334" s="19" t="n">
        <v>-0.1224059735937855</v>
      </c>
      <c r="M334" s="19" t="n">
        <v>-0.2357448380324756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BRY @ ARMY</t>
        </is>
      </c>
      <c r="C335" s="12" t="inlineStr">
        <is>
          <t>2026-09-05 16:00</t>
        </is>
      </c>
      <c r="D335" s="22" t="n">
        <v>1</v>
      </c>
      <c r="E335" s="12" t="inlineStr">
        <is>
          <t>TOTAL</t>
        </is>
      </c>
      <c r="F335" s="12" t="inlineStr">
        <is>
          <t>Under 51.5</t>
        </is>
      </c>
      <c r="G335" s="23" t="n">
        <v>51.5</v>
      </c>
      <c r="H335" s="13" t="n">
        <v>-118</v>
      </c>
      <c r="I335" s="15" t="n">
        <v>0.4182358081518396</v>
      </c>
      <c r="J335" s="15" t="n">
        <v>0.5173641257162701</v>
      </c>
      <c r="K335" s="15" t="n">
        <v>0.5412844036697247</v>
      </c>
      <c r="L335" s="14" t="n">
        <v>-0.1230485955178852</v>
      </c>
      <c r="M335" s="14" t="n">
        <v>-0.227327066295754</v>
      </c>
      <c r="N335" s="15" t="n">
        <v>0</v>
      </c>
      <c r="O335" s="24" t="n">
        <v>0.4</v>
      </c>
      <c r="P335" s="12" t="inlineStr">
        <is>
          <t>DraftKings</t>
        </is>
      </c>
      <c r="Q335" s="12" t="inlineStr">
        <is>
          <t>BRY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IDST @ USU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Over 62.5</t>
        </is>
      </c>
      <c r="G336" s="26" t="n">
        <v>62.5</v>
      </c>
      <c r="H336" s="18" t="n">
        <v>-112</v>
      </c>
      <c r="I336" s="20" t="n">
        <v>0.4046404947220795</v>
      </c>
      <c r="J336" s="20" t="n">
        <v>0.5043297540699688</v>
      </c>
      <c r="K336" s="20" t="n">
        <v>0.5283018867924528</v>
      </c>
      <c r="L336" s="19" t="n">
        <v>-0.1236613920703733</v>
      </c>
      <c r="M336" s="19" t="n">
        <v>-0.2340733492760638</v>
      </c>
      <c r="N336" s="20" t="n">
        <v>0</v>
      </c>
      <c r="O336" s="27" t="n">
        <v>0.4</v>
      </c>
      <c r="P336" s="17" t="inlineStr">
        <is>
          <t>DraftKings</t>
        </is>
      </c>
      <c r="Q336" s="17" t="inlineStr">
        <is>
          <t>IDST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UNA @ ARK</t>
        </is>
      </c>
      <c r="C337" s="12" t="inlineStr">
        <is>
          <t>2026-09-05 20:15</t>
        </is>
      </c>
      <c r="D337" s="22" t="n">
        <v>1</v>
      </c>
      <c r="E337" s="12" t="inlineStr">
        <is>
          <t>TOTAL</t>
        </is>
      </c>
      <c r="F337" s="12" t="inlineStr">
        <is>
          <t>Over 63.5</t>
        </is>
      </c>
      <c r="G337" s="23" t="n">
        <v>63.5</v>
      </c>
      <c r="H337" s="13" t="n">
        <v>-105</v>
      </c>
      <c r="I337" s="15" t="n">
        <v>0.3884129218134207</v>
      </c>
      <c r="J337" s="15" t="n">
        <v>0.4891657638136511</v>
      </c>
      <c r="K337" s="15" t="n">
        <v>0.5121951219512195</v>
      </c>
      <c r="L337" s="14" t="n">
        <v>-0.1237822001377988</v>
      </c>
      <c r="M337" s="14" t="n">
        <v>-0.2416700097928454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UNA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NCAT @ GAST</t>
        </is>
      </c>
      <c r="C338" s="17" t="inlineStr">
        <is>
          <t>2026-09-04 23:00</t>
        </is>
      </c>
      <c r="D338" s="25" t="n">
        <v>1</v>
      </c>
      <c r="E338" s="17" t="inlineStr">
        <is>
          <t>TOTAL</t>
        </is>
      </c>
      <c r="F338" s="17" t="inlineStr">
        <is>
          <t>Over 62.5</t>
        </is>
      </c>
      <c r="G338" s="26" t="n">
        <v>62.5</v>
      </c>
      <c r="H338" s="18" t="n">
        <v>-112</v>
      </c>
      <c r="I338" s="20" t="n">
        <v>0.4028929879151497</v>
      </c>
      <c r="J338" s="20" t="n">
        <v>0.5043297540699688</v>
      </c>
      <c r="K338" s="20" t="n">
        <v>0.5283018867924528</v>
      </c>
      <c r="L338" s="19" t="n">
        <v>-0.1254088988773032</v>
      </c>
      <c r="M338" s="19" t="n">
        <v>-0.2373811300177524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NCAT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LAF @ CONN</t>
        </is>
      </c>
      <c r="C339" s="12" t="inlineStr">
        <is>
          <t>2026-09-05 16:00</t>
        </is>
      </c>
      <c r="D339" s="22" t="n">
        <v>1</v>
      </c>
      <c r="E339" s="12" t="inlineStr">
        <is>
          <t>TOTAL</t>
        </is>
      </c>
      <c r="F339" s="12" t="inlineStr">
        <is>
          <t>Under 52.5</t>
        </is>
      </c>
      <c r="G339" s="23" t="n">
        <v>52.5</v>
      </c>
      <c r="H339" s="13" t="n">
        <v>-115</v>
      </c>
      <c r="I339" s="15" t="n">
        <v>0.407892734181457</v>
      </c>
      <c r="J339" s="15" t="n">
        <v>0.5108342361863488</v>
      </c>
      <c r="K339" s="15" t="n">
        <v>0.5348837209302325</v>
      </c>
      <c r="L339" s="14" t="n">
        <v>-0.1269909867487755</v>
      </c>
      <c r="M339" s="14" t="n">
        <v>-0.2374179317477109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LAF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BOIS @ ORE</t>
        </is>
      </c>
      <c r="C340" s="17" t="inlineStr">
        <is>
          <t>2026-09-05 19:30</t>
        </is>
      </c>
      <c r="D340" s="25" t="n">
        <v>1</v>
      </c>
      <c r="E340" s="17" t="inlineStr">
        <is>
          <t>TOTAL</t>
        </is>
      </c>
      <c r="F340" s="17" t="inlineStr">
        <is>
          <t>Under 51.5</t>
        </is>
      </c>
      <c r="G340" s="26" t="n">
        <v>51.5</v>
      </c>
      <c r="H340" s="18" t="n">
        <v>-112</v>
      </c>
      <c r="I340" s="20" t="n">
        <v>0.4011545497069526</v>
      </c>
      <c r="J340" s="20" t="n">
        <v>0.5043297540699688</v>
      </c>
      <c r="K340" s="20" t="n">
        <v>0.5283018867924528</v>
      </c>
      <c r="L340" s="19" t="n">
        <v>-0.1271473370855002</v>
      </c>
      <c r="M340" s="19" t="n">
        <v>-0.240671745197554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VMI @ VT</t>
        </is>
      </c>
      <c r="C341" s="12" t="inlineStr">
        <is>
          <t>2026-09-05 23:30</t>
        </is>
      </c>
      <c r="D341" s="22" t="n">
        <v>1</v>
      </c>
      <c r="E341" s="12" t="inlineStr">
        <is>
          <t>TOTAL</t>
        </is>
      </c>
      <c r="F341" s="12" t="inlineStr">
        <is>
          <t>Over 62.5</t>
        </is>
      </c>
      <c r="G341" s="23" t="n">
        <v>62.5</v>
      </c>
      <c r="H341" s="13" t="n">
        <v>-108</v>
      </c>
      <c r="I341" s="15" t="n">
        <v>0.3916651631730496</v>
      </c>
      <c r="J341" s="15" t="n">
        <v>0.4956702459300312</v>
      </c>
      <c r="K341" s="15" t="n">
        <v>0.5192307692307693</v>
      </c>
      <c r="L341" s="14" t="n">
        <v>-0.1275656060577197</v>
      </c>
      <c r="M341" s="14" t="n">
        <v>-0.2456819079630156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VMI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CMU @ UNM</t>
        </is>
      </c>
      <c r="C342" s="17" t="inlineStr">
        <is>
          <t>2026-09-06 02:00</t>
        </is>
      </c>
      <c r="D342" s="25" t="n">
        <v>1</v>
      </c>
      <c r="E342" s="17" t="inlineStr">
        <is>
          <t>ML</t>
        </is>
      </c>
      <c r="F342" s="17" t="inlineStr">
        <is>
          <t>UNM ML</t>
        </is>
      </c>
      <c r="G342" s="26" t="n"/>
      <c r="H342" s="18" t="n">
        <v>-440</v>
      </c>
      <c r="I342" s="20" t="n">
        <v>0.6872138678073889</v>
      </c>
      <c r="J342" s="20" t="n">
        <v>0.7819063004846527</v>
      </c>
      <c r="K342" s="20" t="n">
        <v>0.8148148148148148</v>
      </c>
      <c r="L342" s="19" t="n">
        <v>-0.1276009470074259</v>
      </c>
      <c r="M342" s="19" t="n">
        <v>-0.1566011622363863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SDSU @ UCLA</t>
        </is>
      </c>
      <c r="C343" s="12" t="inlineStr">
        <is>
          <t>2026-09-12 23:15</t>
        </is>
      </c>
      <c r="D343" s="22" t="n">
        <v>2</v>
      </c>
      <c r="E343" s="12" t="inlineStr">
        <is>
          <t>ATS</t>
        </is>
      </c>
      <c r="F343" s="12" t="inlineStr">
        <is>
          <t>UCLA -9.5</t>
        </is>
      </c>
      <c r="G343" s="23" t="n">
        <v>-9.5</v>
      </c>
      <c r="H343" s="13" t="n">
        <v>-110</v>
      </c>
      <c r="I343" s="15" t="n">
        <v>0.3944607610250064</v>
      </c>
      <c r="J343" s="15" t="n">
        <v>0.5</v>
      </c>
      <c r="K343" s="15" t="n">
        <v>0.5238095238095238</v>
      </c>
      <c r="L343" s="14" t="n">
        <v>-0.1293487627845175</v>
      </c>
      <c r="M343" s="14" t="n">
        <v>-0.2469385471340787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LOU @ MISS</t>
        </is>
      </c>
      <c r="C344" s="17" t="inlineStr">
        <is>
          <t>2026-09-06 23:30</t>
        </is>
      </c>
      <c r="D344" s="25" t="n">
        <v>1</v>
      </c>
      <c r="E344" s="17" t="inlineStr">
        <is>
          <t>ML</t>
        </is>
      </c>
      <c r="F344" s="17" t="inlineStr">
        <is>
          <t>MISS ML</t>
        </is>
      </c>
      <c r="G344" s="26" t="n"/>
      <c r="H344" s="18" t="n">
        <v>-270</v>
      </c>
      <c r="I344" s="20" t="n">
        <v>0.6000810372771475</v>
      </c>
      <c r="J344" s="20" t="n">
        <v>0.7001620745542949</v>
      </c>
      <c r="K344" s="20" t="n">
        <v>0.7297297297297297</v>
      </c>
      <c r="L344" s="19" t="n">
        <v>-0.1296486924525823</v>
      </c>
      <c r="M344" s="19" t="n">
        <v>-0.1776667266942795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YSU @ UK</t>
        </is>
      </c>
      <c r="C345" s="12" t="inlineStr">
        <is>
          <t>2026-09-05 17:00</t>
        </is>
      </c>
      <c r="D345" s="22" t="n">
        <v>1</v>
      </c>
      <c r="E345" s="12" t="inlineStr">
        <is>
          <t>TOTAL</t>
        </is>
      </c>
      <c r="F345" s="12" t="inlineStr">
        <is>
          <t>Over 62.5</t>
        </is>
      </c>
      <c r="G345" s="23" t="n">
        <v>62.5</v>
      </c>
      <c r="H345" s="13" t="n">
        <v>-110</v>
      </c>
      <c r="I345" s="15" t="n">
        <v>0.393830040208034</v>
      </c>
      <c r="J345" s="15" t="n">
        <v>0.5</v>
      </c>
      <c r="K345" s="15" t="n">
        <v>0.5238095238095238</v>
      </c>
      <c r="L345" s="14" t="n">
        <v>-0.1299794836014898</v>
      </c>
      <c r="M345" s="14" t="n">
        <v>-0.248142650511935</v>
      </c>
      <c r="N345" s="15" t="n">
        <v>0</v>
      </c>
      <c r="O345" s="24" t="n">
        <v>0.4</v>
      </c>
      <c r="P345" s="12" t="inlineStr">
        <is>
          <t>DraftKings</t>
        </is>
      </c>
      <c r="Q345" s="12" t="inlineStr">
        <is>
          <t>YSU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ARK @ UTAH</t>
        </is>
      </c>
      <c r="C346" s="17" t="inlineStr">
        <is>
          <t>2026-09-13 02:15</t>
        </is>
      </c>
      <c r="D346" s="25" t="n">
        <v>2</v>
      </c>
      <c r="E346" s="17" t="inlineStr">
        <is>
          <t>ATS</t>
        </is>
      </c>
      <c r="F346" s="17" t="inlineStr">
        <is>
          <t>UTAH -9.5</t>
        </is>
      </c>
      <c r="G346" s="26" t="n">
        <v>-9.5</v>
      </c>
      <c r="H346" s="18" t="n">
        <v>-112</v>
      </c>
      <c r="I346" s="20" t="n">
        <v>0.3966256380599908</v>
      </c>
      <c r="J346" s="20" t="n">
        <v>0.5043297540699688</v>
      </c>
      <c r="K346" s="20" t="n">
        <v>0.5283018867924528</v>
      </c>
      <c r="L346" s="19" t="n">
        <v>-0.131676248732462</v>
      </c>
      <c r="M346" s="19" t="n">
        <v>-0.2492443279578745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LOU @ MISS</t>
        </is>
      </c>
      <c r="C347" s="12" t="inlineStr">
        <is>
          <t>2026-09-06 23:30</t>
        </is>
      </c>
      <c r="D347" s="22" t="n">
        <v>1</v>
      </c>
      <c r="E347" s="12" t="inlineStr">
        <is>
          <t>ATS</t>
        </is>
      </c>
      <c r="F347" s="12" t="inlineStr">
        <is>
          <t>MISS -6.5</t>
        </is>
      </c>
      <c r="G347" s="23" t="n">
        <v>-6.5</v>
      </c>
      <c r="H347" s="13" t="n">
        <v>-118</v>
      </c>
      <c r="I347" s="15" t="n">
        <v>0.408095755997075</v>
      </c>
      <c r="J347" s="15" t="n">
        <v>0.5173641257162701</v>
      </c>
      <c r="K347" s="15" t="n">
        <v>0.5412844036697247</v>
      </c>
      <c r="L347" s="14" t="n">
        <v>-0.1331886476726497</v>
      </c>
      <c r="M347" s="14" t="n">
        <v>-0.2460603829884546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PRST @ SDSU</t>
        </is>
      </c>
      <c r="C348" s="17" t="inlineStr">
        <is>
          <t>2026-09-06 01:30</t>
        </is>
      </c>
      <c r="D348" s="25" t="n">
        <v>1</v>
      </c>
      <c r="E348" s="17" t="inlineStr">
        <is>
          <t>TOTAL</t>
        </is>
      </c>
      <c r="F348" s="17" t="inlineStr">
        <is>
          <t>Over 61.5</t>
        </is>
      </c>
      <c r="G348" s="26" t="n">
        <v>61.5</v>
      </c>
      <c r="H348" s="18" t="n">
        <v>-120</v>
      </c>
      <c r="I348" s="20" t="n">
        <v>0.4115976765438042</v>
      </c>
      <c r="J348" s="20" t="n">
        <v>0.5217391304347826</v>
      </c>
      <c r="K348" s="20" t="n">
        <v>0.5454545454545454</v>
      </c>
      <c r="L348" s="19" t="n">
        <v>-0.1338568689107412</v>
      </c>
      <c r="M348" s="19" t="n">
        <v>-0.2454042596696923</v>
      </c>
      <c r="N348" s="20" t="n">
        <v>0</v>
      </c>
      <c r="O348" s="27" t="n">
        <v>0.4</v>
      </c>
      <c r="P348" s="17" t="inlineStr">
        <is>
          <t>DraftKings</t>
        </is>
      </c>
      <c r="Q348" s="17" t="inlineStr">
        <is>
          <t>PRST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CHSO @ GASO</t>
        </is>
      </c>
      <c r="C349" s="12" t="inlineStr">
        <is>
          <t>2026-09-05 23:00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-112</v>
      </c>
      <c r="I349" s="15" t="n">
        <v>0.3942939976898748</v>
      </c>
      <c r="J349" s="15" t="n">
        <v>0.5043297540699688</v>
      </c>
      <c r="K349" s="15" t="n">
        <v>0.5283018867924528</v>
      </c>
      <c r="L349" s="14" t="n">
        <v>-0.134007889102578</v>
      </c>
      <c r="M349" s="14" t="n">
        <v>-0.2536577900870227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CHSO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UNLV @ HAW</t>
        </is>
      </c>
      <c r="C350" s="17" t="inlineStr">
        <is>
          <t>2026-09-06 02:00</t>
        </is>
      </c>
      <c r="D350" s="25" t="n">
        <v>1</v>
      </c>
      <c r="E350" s="17" t="inlineStr">
        <is>
          <t>ML</t>
        </is>
      </c>
      <c r="F350" s="17" t="inlineStr">
        <is>
          <t>UNLV ML</t>
        </is>
      </c>
      <c r="G350" s="26" t="n"/>
      <c r="H350" s="18" t="n">
        <v>-155</v>
      </c>
      <c r="I350" s="20" t="n">
        <v>0.4736526386435784</v>
      </c>
      <c r="J350" s="20" t="n">
        <v>0.5829926410466066</v>
      </c>
      <c r="K350" s="20" t="n">
        <v>0.6078431372549019</v>
      </c>
      <c r="L350" s="19" t="n">
        <v>-0.1341904986113235</v>
      </c>
      <c r="M350" s="19" t="n">
        <v>-0.2207650138444355</v>
      </c>
      <c r="N350" s="20" t="n">
        <v>0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WMU @ MICH</t>
        </is>
      </c>
      <c r="C351" s="12" t="inlineStr">
        <is>
          <t>2026-09-05 23:30</t>
        </is>
      </c>
      <c r="D351" s="22" t="n">
        <v>1</v>
      </c>
      <c r="E351" s="12" t="inlineStr">
        <is>
          <t>TOTAL</t>
        </is>
      </c>
      <c r="F351" s="12" t="inlineStr">
        <is>
          <t>Under 49.5</t>
        </is>
      </c>
      <c r="G351" s="23" t="n">
        <v>49.5</v>
      </c>
      <c r="H351" s="13" t="n">
        <v>-108</v>
      </c>
      <c r="I351" s="15" t="n">
        <v>0.3832584470529534</v>
      </c>
      <c r="J351" s="15" t="n">
        <v>0.4956702459300312</v>
      </c>
      <c r="K351" s="15" t="n">
        <v>0.5192307692307693</v>
      </c>
      <c r="L351" s="14" t="n">
        <v>-0.1359723221778159</v>
      </c>
      <c r="M351" s="14" t="n">
        <v>-0.2618726204906082</v>
      </c>
      <c r="N351" s="15" t="n">
        <v>0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SDST @ NU</t>
        </is>
      </c>
      <c r="C352" s="17" t="inlineStr">
        <is>
          <t>2026-09-06 00:00</t>
        </is>
      </c>
      <c r="D352" s="25" t="n">
        <v>1</v>
      </c>
      <c r="E352" s="17" t="inlineStr">
        <is>
          <t>ML</t>
        </is>
      </c>
      <c r="F352" s="17" t="inlineStr">
        <is>
          <t>NU ML</t>
        </is>
      </c>
      <c r="G352" s="26" t="n"/>
      <c r="H352" s="18" t="n">
        <v>-500</v>
      </c>
      <c r="I352" s="20" t="n">
        <v>0.6962607175650626</v>
      </c>
      <c r="J352" s="20" t="n">
        <v>0.7999999999999999</v>
      </c>
      <c r="K352" s="20" t="n">
        <v>0.8333333333333334</v>
      </c>
      <c r="L352" s="19" t="n">
        <v>-0.1370726157682708</v>
      </c>
      <c r="M352" s="19" t="n">
        <v>-0.1644871389219249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SDST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FIU @ USF</t>
        </is>
      </c>
      <c r="C353" s="12" t="inlineStr">
        <is>
          <t>2026-09-05 23:00</t>
        </is>
      </c>
      <c r="D353" s="22" t="n">
        <v>1</v>
      </c>
      <c r="E353" s="12" t="inlineStr">
        <is>
          <t>TOTAL</t>
        </is>
      </c>
      <c r="F353" s="12" t="inlineStr">
        <is>
          <t>Under 51.5</t>
        </is>
      </c>
      <c r="G353" s="23" t="n">
        <v>51.5</v>
      </c>
      <c r="H353" s="13" t="n">
        <v>-105</v>
      </c>
      <c r="I353" s="15" t="n">
        <v>0.3734621676543057</v>
      </c>
      <c r="J353" s="15" t="n">
        <v>0.4891657638136511</v>
      </c>
      <c r="K353" s="15" t="n">
        <v>0.5121951219512195</v>
      </c>
      <c r="L353" s="14" t="n">
        <v>-0.1387329542969138</v>
      </c>
      <c r="M353" s="14" t="n">
        <v>-0.2708595774368317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BAY @ AUB</t>
        </is>
      </c>
      <c r="C354" s="17" t="inlineStr">
        <is>
          <t>2026-09-05 19:30</t>
        </is>
      </c>
      <c r="D354" s="25" t="n">
        <v>1</v>
      </c>
      <c r="E354" s="17" t="inlineStr">
        <is>
          <t>ML</t>
        </is>
      </c>
      <c r="F354" s="17" t="inlineStr">
        <is>
          <t>AUB ML</t>
        </is>
      </c>
      <c r="G354" s="26" t="n"/>
      <c r="H354" s="18" t="n">
        <v>-298</v>
      </c>
      <c r="I354" s="20" t="n">
        <v>0.608985260770975</v>
      </c>
      <c r="J354" s="20" t="n">
        <v>0.7179705215419501</v>
      </c>
      <c r="K354" s="20" t="n">
        <v>0.7487437185929648</v>
      </c>
      <c r="L354" s="19" t="n">
        <v>-0.1397584578219898</v>
      </c>
      <c r="M354" s="19" t="n">
        <v>-0.1866572691716508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TOL @ MSU</t>
        </is>
      </c>
      <c r="C355" s="12" t="inlineStr">
        <is>
          <t>2026-09-05 00:00</t>
        </is>
      </c>
      <c r="D355" s="22" t="n">
        <v>1</v>
      </c>
      <c r="E355" s="12" t="inlineStr">
        <is>
          <t>ATS</t>
        </is>
      </c>
      <c r="F355" s="12" t="inlineStr">
        <is>
          <t>MSU -10</t>
        </is>
      </c>
      <c r="G355" s="23" t="n">
        <v>-10</v>
      </c>
      <c r="H355" s="13" t="n">
        <v>-108</v>
      </c>
      <c r="I355" s="15" t="n">
        <v>0.3793231449222729</v>
      </c>
      <c r="J355" s="15" t="n">
        <v>0.4956702459300312</v>
      </c>
      <c r="K355" s="15" t="n">
        <v>0.5192307692307693</v>
      </c>
      <c r="L355" s="14" t="n">
        <v>-0.1399076243084963</v>
      </c>
      <c r="M355" s="14" t="n">
        <v>-0.2599662032553439</v>
      </c>
      <c r="N355" s="15" t="n">
        <v>0.0352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CLEM @ LSU</t>
        </is>
      </c>
      <c r="C356" s="17" t="inlineStr">
        <is>
          <t>2026-09-05 23:30</t>
        </is>
      </c>
      <c r="D356" s="25" t="n">
        <v>1</v>
      </c>
      <c r="E356" s="17" t="inlineStr">
        <is>
          <t>ATS</t>
        </is>
      </c>
      <c r="F356" s="17" t="inlineStr">
        <is>
          <t>LSU -10</t>
        </is>
      </c>
      <c r="G356" s="26" t="n">
        <v>-10</v>
      </c>
      <c r="H356" s="18" t="n">
        <v>-108</v>
      </c>
      <c r="I356" s="20" t="n">
        <v>0.3793231449222729</v>
      </c>
      <c r="J356" s="20" t="n">
        <v>0.4956702459300312</v>
      </c>
      <c r="K356" s="20" t="n">
        <v>0.5192307692307693</v>
      </c>
      <c r="L356" s="19" t="n">
        <v>-0.1399076243084963</v>
      </c>
      <c r="M356" s="19" t="n">
        <v>-0.2599662032553439</v>
      </c>
      <c r="N356" s="20" t="n">
        <v>0.0352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BAY @ AUB</t>
        </is>
      </c>
      <c r="C357" s="12" t="inlineStr">
        <is>
          <t>2026-09-05 19:30</t>
        </is>
      </c>
      <c r="D357" s="22" t="n">
        <v>1</v>
      </c>
      <c r="E357" s="12" t="inlineStr">
        <is>
          <t>TOTAL</t>
        </is>
      </c>
      <c r="F357" s="12" t="inlineStr">
        <is>
          <t>Over 59.5</t>
        </is>
      </c>
      <c r="G357" s="23" t="n">
        <v>59.5</v>
      </c>
      <c r="H357" s="13" t="n">
        <v>-105</v>
      </c>
      <c r="I357" s="15" t="n">
        <v>0.3702528120178179</v>
      </c>
      <c r="J357" s="15" t="n">
        <v>0.4891657638136511</v>
      </c>
      <c r="K357" s="15" t="n">
        <v>0.5121951219512195</v>
      </c>
      <c r="L357" s="14" t="n">
        <v>-0.1419423099334016</v>
      </c>
      <c r="M357" s="14" t="n">
        <v>-0.277125462250927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URI @ TEM</t>
        </is>
      </c>
      <c r="C358" s="17" t="inlineStr">
        <is>
          <t>2026-09-05 18:00</t>
        </is>
      </c>
      <c r="D358" s="25" t="n">
        <v>1</v>
      </c>
      <c r="E358" s="17" t="inlineStr">
        <is>
          <t>TOTAL</t>
        </is>
      </c>
      <c r="F358" s="17" t="inlineStr">
        <is>
          <t>Under 51.5</t>
        </is>
      </c>
      <c r="G358" s="26" t="n">
        <v>51.5</v>
      </c>
      <c r="H358" s="18" t="n">
        <v>-118</v>
      </c>
      <c r="I358" s="20" t="n">
        <v>0.3991199417178968</v>
      </c>
      <c r="J358" s="20" t="n">
        <v>0.5173641257162701</v>
      </c>
      <c r="K358" s="20" t="n">
        <v>0.5412844036697247</v>
      </c>
      <c r="L358" s="19" t="n">
        <v>-0.142164461951828</v>
      </c>
      <c r="M358" s="19" t="n">
        <v>-0.2626428195381229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URI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BAY @ AUB</t>
        </is>
      </c>
      <c r="C359" s="12" t="inlineStr">
        <is>
          <t>2026-09-05 19:30</t>
        </is>
      </c>
      <c r="D359" s="22" t="n">
        <v>1</v>
      </c>
      <c r="E359" s="12" t="inlineStr">
        <is>
          <t>ATS</t>
        </is>
      </c>
      <c r="F359" s="12" t="inlineStr">
        <is>
          <t>AUB -7.5</t>
        </is>
      </c>
      <c r="G359" s="23" t="n">
        <v>-7.5</v>
      </c>
      <c r="H359" s="13" t="n">
        <v>-108</v>
      </c>
      <c r="I359" s="15" t="n">
        <v>0.3753925765511379</v>
      </c>
      <c r="J359" s="15" t="n">
        <v>0.4956702459300312</v>
      </c>
      <c r="K359" s="15" t="n">
        <v>0.5192307692307693</v>
      </c>
      <c r="L359" s="14" t="n">
        <v>-0.1438381926796313</v>
      </c>
      <c r="M359" s="14" t="n">
        <v>-0.2770217044200307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CMU @ UNM</t>
        </is>
      </c>
      <c r="C360" s="17" t="inlineStr">
        <is>
          <t>2026-09-06 02:00</t>
        </is>
      </c>
      <c r="D360" s="25" t="n">
        <v>1</v>
      </c>
      <c r="E360" s="17" t="inlineStr">
        <is>
          <t>ATS</t>
        </is>
      </c>
      <c r="F360" s="17" t="inlineStr">
        <is>
          <t>UNM -10.5</t>
        </is>
      </c>
      <c r="G360" s="26" t="n">
        <v>-10.5</v>
      </c>
      <c r="H360" s="18" t="n">
        <v>-108</v>
      </c>
      <c r="I360" s="20" t="n">
        <v>0.3746943678376157</v>
      </c>
      <c r="J360" s="20" t="n">
        <v>0.4956702459300312</v>
      </c>
      <c r="K360" s="20" t="n">
        <v>0.5192307692307693</v>
      </c>
      <c r="L360" s="19" t="n">
        <v>-0.1445364013931536</v>
      </c>
      <c r="M360" s="19" t="n">
        <v>-0.2783664026831105</v>
      </c>
      <c r="N360" s="20" t="n">
        <v>0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UNLV @ HAW</t>
        </is>
      </c>
      <c r="C361" s="12" t="inlineStr">
        <is>
          <t>2026-09-06 02:00</t>
        </is>
      </c>
      <c r="D361" s="22" t="n">
        <v>1</v>
      </c>
      <c r="E361" s="12" t="inlineStr">
        <is>
          <t>ATS</t>
        </is>
      </c>
      <c r="F361" s="12" t="inlineStr">
        <is>
          <t>UNLV -3</t>
        </is>
      </c>
      <c r="G361" s="23" t="n">
        <v>3</v>
      </c>
      <c r="H361" s="13" t="n">
        <v>-115</v>
      </c>
      <c r="I361" s="15" t="n">
        <v>0.3899615560498861</v>
      </c>
      <c r="J361" s="15" t="n">
        <v>0.5108342361863488</v>
      </c>
      <c r="K361" s="15" t="n">
        <v>0.5348837209302325</v>
      </c>
      <c r="L361" s="14" t="n">
        <v>-0.1449221648803464</v>
      </c>
      <c r="M361" s="14" t="n">
        <v>-0.2570605928841489</v>
      </c>
      <c r="N361" s="15" t="n">
        <v>0.0512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TULN @ DUKE</t>
        </is>
      </c>
      <c r="C362" s="17" t="inlineStr">
        <is>
          <t>2026-09-05 19:30</t>
        </is>
      </c>
      <c r="D362" s="25" t="n">
        <v>1</v>
      </c>
      <c r="E362" s="17" t="inlineStr">
        <is>
          <t>TOTAL</t>
        </is>
      </c>
      <c r="F362" s="17" t="inlineStr">
        <is>
          <t>Under 51.5</t>
        </is>
      </c>
      <c r="G362" s="26" t="n">
        <v>51.5</v>
      </c>
      <c r="H362" s="18" t="n">
        <v>-118</v>
      </c>
      <c r="I362" s="20" t="n">
        <v>0.3957669353618556</v>
      </c>
      <c r="J362" s="20" t="n">
        <v>0.5173641257162701</v>
      </c>
      <c r="K362" s="20" t="n">
        <v>0.5412844036697247</v>
      </c>
      <c r="L362" s="19" t="n">
        <v>-0.1455174683078692</v>
      </c>
      <c r="M362" s="19" t="n">
        <v>-0.2688373567043685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LIB @ JMU</t>
        </is>
      </c>
      <c r="C363" s="12" t="inlineStr">
        <is>
          <t>2026-09-05 16:00</t>
        </is>
      </c>
      <c r="D363" s="22" t="n">
        <v>1</v>
      </c>
      <c r="E363" s="12" t="inlineStr">
        <is>
          <t>TOTAL</t>
        </is>
      </c>
      <c r="F363" s="12" t="inlineStr">
        <is>
          <t>Under 50.5</t>
        </is>
      </c>
      <c r="G363" s="23" t="n">
        <v>50.5</v>
      </c>
      <c r="H363" s="13" t="n">
        <v>-108</v>
      </c>
      <c r="I363" s="15" t="n">
        <v>0.3735050455170492</v>
      </c>
      <c r="J363" s="15" t="n">
        <v>0.4956702459300312</v>
      </c>
      <c r="K363" s="15" t="n">
        <v>0.5192307692307693</v>
      </c>
      <c r="L363" s="14" t="n">
        <v>-0.1457257237137201</v>
      </c>
      <c r="M363" s="14" t="n">
        <v>-0.2806569493745719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IDST @ USU</t>
        </is>
      </c>
      <c r="C364" s="17" t="inlineStr">
        <is>
          <t>2026-09-05 23:00</t>
        </is>
      </c>
      <c r="D364" s="25" t="n">
        <v>1</v>
      </c>
      <c r="E364" s="17" t="inlineStr">
        <is>
          <t>ML</t>
        </is>
      </c>
      <c r="F364" s="17" t="inlineStr">
        <is>
          <t>USU ML</t>
        </is>
      </c>
      <c r="G364" s="26" t="n"/>
      <c r="H364" s="18" t="n">
        <v>-575</v>
      </c>
      <c r="I364" s="20" t="n">
        <v>0.7048901591894281</v>
      </c>
      <c r="J364" s="20" t="n">
        <v>0.817258883248731</v>
      </c>
      <c r="K364" s="20" t="n">
        <v>0.8518518518518519</v>
      </c>
      <c r="L364" s="19" t="n">
        <v>-0.1469616926624238</v>
      </c>
      <c r="M364" s="19" t="n">
        <v>-0.1725202479080628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IDST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ASU @ TA&amp;M</t>
        </is>
      </c>
      <c r="C365" s="12" t="inlineStr">
        <is>
          <t>2026-09-12 16:00</t>
        </is>
      </c>
      <c r="D365" s="22" t="n">
        <v>2</v>
      </c>
      <c r="E365" s="12" t="inlineStr">
        <is>
          <t>ML</t>
        </is>
      </c>
      <c r="F365" s="12" t="inlineStr">
        <is>
          <t>TA&amp;M ML</t>
        </is>
      </c>
      <c r="G365" s="23" t="n"/>
      <c r="H365" s="13" t="n">
        <v>-575</v>
      </c>
      <c r="I365" s="15" t="n">
        <v>0.7048901591894281</v>
      </c>
      <c r="J365" s="15" t="n">
        <v>0.817258883248731</v>
      </c>
      <c r="K365" s="15" t="n">
        <v>0.8518518518518519</v>
      </c>
      <c r="L365" s="14" t="n">
        <v>-0.1469616926624238</v>
      </c>
      <c r="M365" s="14" t="n">
        <v>-0.1725202479080628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price outside allowed range</t>
        </is>
      </c>
    </row>
    <row r="366">
      <c r="A366" s="17" t="inlineStr">
        <is>
          <t>PASS</t>
        </is>
      </c>
      <c r="B366" s="17" t="inlineStr">
        <is>
          <t>ARST @ MEM</t>
        </is>
      </c>
      <c r="C366" s="17" t="inlineStr">
        <is>
          <t>2026-09-05 23:00</t>
        </is>
      </c>
      <c r="D366" s="25" t="n">
        <v>1</v>
      </c>
      <c r="E366" s="17" t="inlineStr">
        <is>
          <t>ATS</t>
        </is>
      </c>
      <c r="F366" s="17" t="inlineStr">
        <is>
          <t>MEM -11.5</t>
        </is>
      </c>
      <c r="G366" s="26" t="n">
        <v>-11.5</v>
      </c>
      <c r="H366" s="18" t="n">
        <v>-110</v>
      </c>
      <c r="I366" s="20" t="n">
        <v>0.3764555043847038</v>
      </c>
      <c r="J366" s="20" t="n">
        <v>0.5</v>
      </c>
      <c r="K366" s="20" t="n">
        <v>0.5238095238095238</v>
      </c>
      <c r="L366" s="19" t="n">
        <v>-0.1473540194248201</v>
      </c>
      <c r="M366" s="19" t="n">
        <v>-0.2813122189019291</v>
      </c>
      <c r="N366" s="20" t="n">
        <v>0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ALCN @ USM</t>
        </is>
      </c>
      <c r="C367" s="12" t="inlineStr">
        <is>
          <t>2026-09-05 21:00</t>
        </is>
      </c>
      <c r="D367" s="22" t="n">
        <v>1</v>
      </c>
      <c r="E367" s="12" t="inlineStr">
        <is>
          <t>TOTAL</t>
        </is>
      </c>
      <c r="F367" s="12" t="inlineStr">
        <is>
          <t>Under 50.5</t>
        </is>
      </c>
      <c r="G367" s="23" t="n">
        <v>50.5</v>
      </c>
      <c r="H367" s="13" t="n">
        <v>-110</v>
      </c>
      <c r="I367" s="15" t="n">
        <v>0.3756699225520336</v>
      </c>
      <c r="J367" s="15" t="n">
        <v>0.5</v>
      </c>
      <c r="K367" s="15" t="n">
        <v>0.5238095238095238</v>
      </c>
      <c r="L367" s="14" t="n">
        <v>-0.1481396012574903</v>
      </c>
      <c r="M367" s="14" t="n">
        <v>-0.2828119660370268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ALCN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ORST @ HOU</t>
        </is>
      </c>
      <c r="C368" s="17" t="inlineStr">
        <is>
          <t>2026-09-05 16:00</t>
        </is>
      </c>
      <c r="D368" s="25" t="n">
        <v>1</v>
      </c>
      <c r="E368" s="17" t="inlineStr">
        <is>
          <t>TOTAL</t>
        </is>
      </c>
      <c r="F368" s="17" t="inlineStr">
        <is>
          <t>Under 49.5</t>
        </is>
      </c>
      <c r="G368" s="26" t="n">
        <v>49.5</v>
      </c>
      <c r="H368" s="18" t="n">
        <v>-108</v>
      </c>
      <c r="I368" s="20" t="n">
        <v>0.3703384345771431</v>
      </c>
      <c r="J368" s="20" t="n">
        <v>0.4956702459300312</v>
      </c>
      <c r="K368" s="20" t="n">
        <v>0.5192307692307693</v>
      </c>
      <c r="L368" s="19" t="n">
        <v>-0.1488923346536262</v>
      </c>
      <c r="M368" s="19" t="n">
        <v>-0.2867556074810577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SELA @ USA</t>
        </is>
      </c>
      <c r="C369" s="12" t="inlineStr">
        <is>
          <t>2026-09-05 23:00</t>
        </is>
      </c>
      <c r="D369" s="22" t="n">
        <v>1</v>
      </c>
      <c r="E369" s="12" t="inlineStr">
        <is>
          <t>ML</t>
        </is>
      </c>
      <c r="F369" s="12" t="inlineStr">
        <is>
          <t>USA ML</t>
        </is>
      </c>
      <c r="G369" s="23" t="n"/>
      <c r="H369" s="13" t="n">
        <v>-600</v>
      </c>
      <c r="I369" s="15" t="n">
        <v>0.7074282302554179</v>
      </c>
      <c r="J369" s="15" t="n">
        <v>0.8223350253807106</v>
      </c>
      <c r="K369" s="15" t="n">
        <v>0.8571428571428571</v>
      </c>
      <c r="L369" s="14" t="n">
        <v>-0.1497146268874392</v>
      </c>
      <c r="M369" s="14" t="n">
        <v>-0.1746670647020124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SELA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ISU @ IOWA</t>
        </is>
      </c>
      <c r="C370" s="17" t="inlineStr">
        <is>
          <t>2026-09-12 23:30</t>
        </is>
      </c>
      <c r="D370" s="25" t="n">
        <v>2</v>
      </c>
      <c r="E370" s="17" t="inlineStr">
        <is>
          <t>ML</t>
        </is>
      </c>
      <c r="F370" s="17" t="inlineStr">
        <is>
          <t>IOWA ML</t>
        </is>
      </c>
      <c r="G370" s="26" t="n"/>
      <c r="H370" s="18" t="n">
        <v>-625</v>
      </c>
      <c r="I370" s="20" t="n">
        <v>0.7098225655531401</v>
      </c>
      <c r="J370" s="20" t="n">
        <v>0.827123695976155</v>
      </c>
      <c r="K370" s="20" t="n">
        <v>0.8620689655172413</v>
      </c>
      <c r="L370" s="19" t="n">
        <v>-0.1522463999641013</v>
      </c>
      <c r="M370" s="19" t="n">
        <v>-0.1766058239583576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price outside allowed range</t>
        </is>
      </c>
    </row>
    <row r="371">
      <c r="A371" s="12" t="inlineStr">
        <is>
          <t>PASS</t>
        </is>
      </c>
      <c r="B371" s="12" t="inlineStr">
        <is>
          <t>BC @ CIN</t>
        </is>
      </c>
      <c r="C371" s="12" t="inlineStr">
        <is>
          <t>2026-09-05 19:30</t>
        </is>
      </c>
      <c r="D371" s="22" t="n">
        <v>1</v>
      </c>
      <c r="E371" s="12" t="inlineStr">
        <is>
          <t>TOTAL</t>
        </is>
      </c>
      <c r="F371" s="12" t="inlineStr">
        <is>
          <t>Under 50.5</t>
        </is>
      </c>
      <c r="G371" s="23" t="n">
        <v>50.5</v>
      </c>
      <c r="H371" s="13" t="n">
        <v>-115</v>
      </c>
      <c r="I371" s="15" t="n">
        <v>0.381087040645208</v>
      </c>
      <c r="J371" s="15" t="n">
        <v>0.5108342361863488</v>
      </c>
      <c r="K371" s="15" t="n">
        <v>0.5348837209302325</v>
      </c>
      <c r="L371" s="14" t="n">
        <v>-0.1537966802850245</v>
      </c>
      <c r="M371" s="14" t="n">
        <v>-0.2875329240111328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TOW @ NAVY</t>
        </is>
      </c>
      <c r="C372" s="17" t="inlineStr">
        <is>
          <t>2026-09-05 19:30</t>
        </is>
      </c>
      <c r="D372" s="25" t="n">
        <v>1</v>
      </c>
      <c r="E372" s="17" t="inlineStr">
        <is>
          <t>TOTAL</t>
        </is>
      </c>
      <c r="F372" s="17" t="inlineStr">
        <is>
          <t>Under 49.5</t>
        </is>
      </c>
      <c r="G372" s="26" t="n">
        <v>49.5</v>
      </c>
      <c r="H372" s="18" t="n">
        <v>-105</v>
      </c>
      <c r="I372" s="20" t="n">
        <v>0.3563491715826087</v>
      </c>
      <c r="J372" s="20" t="n">
        <v>0.4891657638136511</v>
      </c>
      <c r="K372" s="20" t="n">
        <v>0.5121951219512195</v>
      </c>
      <c r="L372" s="19" t="n">
        <v>-0.1558459503686108</v>
      </c>
      <c r="M372" s="19" t="n">
        <v>-0.304270665005383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TOW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FIU @ USF</t>
        </is>
      </c>
      <c r="C373" s="12" t="inlineStr">
        <is>
          <t>2026-09-05 23:00</t>
        </is>
      </c>
      <c r="D373" s="22" t="n">
        <v>1</v>
      </c>
      <c r="E373" s="12" t="inlineStr">
        <is>
          <t>ML</t>
        </is>
      </c>
      <c r="F373" s="12" t="inlineStr">
        <is>
          <t>USF ML</t>
        </is>
      </c>
      <c r="G373" s="23" t="n"/>
      <c r="H373" s="13" t="n">
        <v>-675</v>
      </c>
      <c r="I373" s="15" t="n">
        <v>0.714810375999114</v>
      </c>
      <c r="J373" s="15" t="n">
        <v>0.8370993168681029</v>
      </c>
      <c r="K373" s="15" t="n">
        <v>0.8709677419354839</v>
      </c>
      <c r="L373" s="14" t="n">
        <v>-0.1561573659363699</v>
      </c>
      <c r="M373" s="14" t="n">
        <v>-0.1792917905195358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price outside allowed range</t>
        </is>
      </c>
    </row>
    <row r="374">
      <c r="A374" s="17" t="inlineStr">
        <is>
          <t>PASS</t>
        </is>
      </c>
      <c r="B374" s="17" t="inlineStr">
        <is>
          <t>MIZ @ KU</t>
        </is>
      </c>
      <c r="C374" s="17" t="inlineStr">
        <is>
          <t>2026-09-12 00:00</t>
        </is>
      </c>
      <c r="D374" s="25" t="n">
        <v>2</v>
      </c>
      <c r="E374" s="17" t="inlineStr">
        <is>
          <t>ML</t>
        </is>
      </c>
      <c r="F374" s="17" t="inlineStr">
        <is>
          <t>MIZ ML</t>
        </is>
      </c>
      <c r="G374" s="26" t="n"/>
      <c r="H374" s="18" t="n">
        <v>-225</v>
      </c>
      <c r="I374" s="20" t="n">
        <v>0.5355633445306683</v>
      </c>
      <c r="J374" s="20" t="n">
        <v>0.6636481241914618</v>
      </c>
      <c r="K374" s="20" t="n">
        <v>0.6923076923076923</v>
      </c>
      <c r="L374" s="19" t="n">
        <v>-0.156744347777024</v>
      </c>
      <c r="M374" s="19" t="n">
        <v>-0.2264085023445902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URI @ TEM</t>
        </is>
      </c>
      <c r="C375" s="12" t="inlineStr">
        <is>
          <t>2026-09-05 18:00</t>
        </is>
      </c>
      <c r="D375" s="22" t="n">
        <v>1</v>
      </c>
      <c r="E375" s="12" t="inlineStr">
        <is>
          <t>ML</t>
        </is>
      </c>
      <c r="F375" s="12" t="inlineStr">
        <is>
          <t>TEM ML</t>
        </is>
      </c>
      <c r="G375" s="23" t="n"/>
      <c r="H375" s="13" t="n">
        <v>-700</v>
      </c>
      <c r="I375" s="15" t="n">
        <v>0.7162607175650626</v>
      </c>
      <c r="J375" s="15" t="n">
        <v>0.84</v>
      </c>
      <c r="K375" s="15" t="n">
        <v>0.875</v>
      </c>
      <c r="L375" s="14" t="n">
        <v>-0.1587392824349374</v>
      </c>
      <c r="M375" s="14" t="n">
        <v>-0.1814163227827856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URI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TAR @ BGSU</t>
        </is>
      </c>
      <c r="C376" s="17" t="inlineStr">
        <is>
          <t>2026-09-05 16:00</t>
        </is>
      </c>
      <c r="D376" s="25" t="n">
        <v>1</v>
      </c>
      <c r="E376" s="17" t="inlineStr">
        <is>
          <t>TOTAL</t>
        </is>
      </c>
      <c r="F376" s="17" t="inlineStr">
        <is>
          <t>Under 48.5</t>
        </is>
      </c>
      <c r="G376" s="26" t="n">
        <v>48.5</v>
      </c>
      <c r="H376" s="18" t="n">
        <v>-108</v>
      </c>
      <c r="I376" s="20" t="n">
        <v>0.353714504735403</v>
      </c>
      <c r="J376" s="20" t="n">
        <v>0.4956702459300312</v>
      </c>
      <c r="K376" s="20" t="n">
        <v>0.5192307692307693</v>
      </c>
      <c r="L376" s="19" t="n">
        <v>-0.1655162644953663</v>
      </c>
      <c r="M376" s="19" t="n">
        <v>-0.3187720649540386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TAR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M-OH @ PITT</t>
        </is>
      </c>
      <c r="C377" s="12" t="inlineStr">
        <is>
          <t>2026-09-05 16:30</t>
        </is>
      </c>
      <c r="D377" s="22" t="n">
        <v>1</v>
      </c>
      <c r="E377" s="12" t="inlineStr">
        <is>
          <t>ML</t>
        </is>
      </c>
      <c r="F377" s="12" t="inlineStr">
        <is>
          <t>PITT ML</t>
        </is>
      </c>
      <c r="G377" s="23" t="n"/>
      <c r="H377" s="13" t="n">
        <v>-800</v>
      </c>
      <c r="I377" s="15" t="n">
        <v>0.722490225761784</v>
      </c>
      <c r="J377" s="15" t="n">
        <v>0.8524590163934427</v>
      </c>
      <c r="K377" s="15" t="n">
        <v>0.8888888888888888</v>
      </c>
      <c r="L377" s="14" t="n">
        <v>-0.1663986631271048</v>
      </c>
      <c r="M377" s="14" t="n">
        <v>-0.187198496017993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ISU @ IOWA</t>
        </is>
      </c>
      <c r="C378" s="17" t="inlineStr">
        <is>
          <t>2026-09-12 23:30</t>
        </is>
      </c>
      <c r="D378" s="25" t="n">
        <v>2</v>
      </c>
      <c r="E378" s="17" t="inlineStr">
        <is>
          <t>ATS</t>
        </is>
      </c>
      <c r="F378" s="17" t="inlineStr">
        <is>
          <t>IOWA -12.5</t>
        </is>
      </c>
      <c r="G378" s="26" t="n">
        <v>-12.5</v>
      </c>
      <c r="H378" s="18" t="n">
        <v>-110</v>
      </c>
      <c r="I378" s="20" t="n">
        <v>0.3560875933165409</v>
      </c>
      <c r="J378" s="20" t="n">
        <v>0.5</v>
      </c>
      <c r="K378" s="20" t="n">
        <v>0.5238095238095238</v>
      </c>
      <c r="L378" s="19" t="n">
        <v>-0.1677219304929829</v>
      </c>
      <c r="M378" s="19" t="n">
        <v>-0.3201964127593309</v>
      </c>
      <c r="N378" s="20" t="n">
        <v>0</v>
      </c>
      <c r="O378" s="27" t="n">
        <v>0.4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MIZ @ KU</t>
        </is>
      </c>
      <c r="C379" s="12" t="inlineStr">
        <is>
          <t>2026-09-12 00:00</t>
        </is>
      </c>
      <c r="D379" s="22" t="n">
        <v>2</v>
      </c>
      <c r="E379" s="12" t="inlineStr">
        <is>
          <t>ATS</t>
        </is>
      </c>
      <c r="F379" s="12" t="inlineStr">
        <is>
          <t>MIZ -6.5</t>
        </is>
      </c>
      <c r="G379" s="23" t="n">
        <v>6.5</v>
      </c>
      <c r="H379" s="13" t="n">
        <v>-115</v>
      </c>
      <c r="I379" s="15" t="n">
        <v>0.3671367296926562</v>
      </c>
      <c r="J379" s="15" t="n">
        <v>0.5108342361863488</v>
      </c>
      <c r="K379" s="15" t="n">
        <v>0.5348837209302325</v>
      </c>
      <c r="L379" s="14" t="n">
        <v>-0.1677469912375763</v>
      </c>
      <c r="M379" s="14" t="n">
        <v>-0.3136139401398167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model and market are too far apart for a reliable early-season play</t>
        </is>
      </c>
    </row>
    <row r="380">
      <c r="A380" s="17" t="inlineStr">
        <is>
          <t>PASS</t>
        </is>
      </c>
      <c r="B380" s="17" t="inlineStr">
        <is>
          <t>SHSU @ TROY</t>
        </is>
      </c>
      <c r="C380" s="17" t="inlineStr">
        <is>
          <t>2026-09-05 23:00</t>
        </is>
      </c>
      <c r="D380" s="25" t="n">
        <v>1</v>
      </c>
      <c r="E380" s="17" t="inlineStr">
        <is>
          <t>ML</t>
        </is>
      </c>
      <c r="F380" s="17" t="inlineStr">
        <is>
          <t>TROY ML</t>
        </is>
      </c>
      <c r="G380" s="26" t="n"/>
      <c r="H380" s="18" t="n">
        <v>-850</v>
      </c>
      <c r="I380" s="20" t="n">
        <v>0.7252326801818851</v>
      </c>
      <c r="J380" s="20" t="n">
        <v>0.8579439252336449</v>
      </c>
      <c r="K380" s="20" t="n">
        <v>0.8947368421052632</v>
      </c>
      <c r="L380" s="19" t="n">
        <v>-0.169504161923378</v>
      </c>
      <c r="M380" s="19" t="n">
        <v>-0.1894458280320107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price outside allowed range</t>
        </is>
      </c>
    </row>
    <row r="381">
      <c r="A381" s="12" t="inlineStr">
        <is>
          <t>PASS</t>
        </is>
      </c>
      <c r="B381" s="12" t="inlineStr">
        <is>
          <t>MIA @ STAN</t>
        </is>
      </c>
      <c r="C381" s="12" t="inlineStr">
        <is>
          <t>2026-09-05 01:00</t>
        </is>
      </c>
      <c r="D381" s="22" t="n">
        <v>1</v>
      </c>
      <c r="E381" s="12" t="inlineStr">
        <is>
          <t>TOTAL</t>
        </is>
      </c>
      <c r="F381" s="12" t="inlineStr">
        <is>
          <t>Under 48.5</t>
        </is>
      </c>
      <c r="G381" s="23" t="n">
        <v>48.5</v>
      </c>
      <c r="H381" s="13" t="n">
        <v>-120</v>
      </c>
      <c r="I381" s="15" t="n">
        <v>0.3756477545632173</v>
      </c>
      <c r="J381" s="15" t="n">
        <v>0.5217391304347826</v>
      </c>
      <c r="K381" s="15" t="n">
        <v>0.5454545454545454</v>
      </c>
      <c r="L381" s="14" t="n">
        <v>-0.1698067908913281</v>
      </c>
      <c r="M381" s="14" t="n">
        <v>-0.3113124499674349</v>
      </c>
      <c r="N381" s="15" t="n">
        <v>0</v>
      </c>
      <c r="O381" s="24" t="n">
        <v>0.4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SELA @ USA</t>
        </is>
      </c>
      <c r="C382" s="17" t="inlineStr">
        <is>
          <t>2026-09-05 23:00</t>
        </is>
      </c>
      <c r="D382" s="25" t="n">
        <v>1</v>
      </c>
      <c r="E382" s="17" t="inlineStr">
        <is>
          <t>ATS</t>
        </is>
      </c>
      <c r="F382" s="17" t="inlineStr">
        <is>
          <t>USA -12.5</t>
        </is>
      </c>
      <c r="G382" s="26" t="n">
        <v>-12.5</v>
      </c>
      <c r="H382" s="18" t="n">
        <v>-112</v>
      </c>
      <c r="I382" s="20" t="n">
        <v>0.3582524703515254</v>
      </c>
      <c r="J382" s="20" t="n">
        <v>0.5043297540699688</v>
      </c>
      <c r="K382" s="20" t="n">
        <v>0.5283018867924528</v>
      </c>
      <c r="L382" s="19" t="n">
        <v>-0.1700494164409275</v>
      </c>
      <c r="M382" s="19" t="n">
        <v>-0.3218792525488985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SELA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SDST @ NU</t>
        </is>
      </c>
      <c r="C383" s="12" t="inlineStr">
        <is>
          <t>2026-09-06 00:00</t>
        </is>
      </c>
      <c r="D383" s="22" t="n">
        <v>1</v>
      </c>
      <c r="E383" s="12" t="inlineStr">
        <is>
          <t>ATS</t>
        </is>
      </c>
      <c r="F383" s="12" t="inlineStr">
        <is>
          <t>NU -12.5</t>
        </is>
      </c>
      <c r="G383" s="23" t="n">
        <v>-12.5</v>
      </c>
      <c r="H383" s="13" t="n">
        <v>-112</v>
      </c>
      <c r="I383" s="15" t="n">
        <v>0.3582524703515254</v>
      </c>
      <c r="J383" s="15" t="n">
        <v>0.5043297540699688</v>
      </c>
      <c r="K383" s="15" t="n">
        <v>0.5283018867924528</v>
      </c>
      <c r="L383" s="14" t="n">
        <v>-0.1700494164409275</v>
      </c>
      <c r="M383" s="14" t="n">
        <v>-0.3218792525488985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SDST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OSU @ TEX</t>
        </is>
      </c>
      <c r="C384" s="17" t="inlineStr">
        <is>
          <t>2026-09-12 23:30</t>
        </is>
      </c>
      <c r="D384" s="25" t="n">
        <v>2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-110</v>
      </c>
      <c r="I384" s="20" t="n">
        <v>0.3515857768024018</v>
      </c>
      <c r="J384" s="20" t="n">
        <v>0.5</v>
      </c>
      <c r="K384" s="20" t="n">
        <v>0.5238095238095238</v>
      </c>
      <c r="L384" s="19" t="n">
        <v>-0.1722237470071221</v>
      </c>
      <c r="M384" s="19" t="n">
        <v>-0.3287907897408693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LAM @ UL</t>
        </is>
      </c>
      <c r="C385" s="12" t="inlineStr">
        <is>
          <t>2026-09-06 00:00</t>
        </is>
      </c>
      <c r="D385" s="22" t="n">
        <v>1</v>
      </c>
      <c r="E385" s="12" t="inlineStr">
        <is>
          <t>TOTAL</t>
        </is>
      </c>
      <c r="F385" s="12" t="inlineStr">
        <is>
          <t>Under 48.5</t>
        </is>
      </c>
      <c r="G385" s="23" t="n">
        <v>48.5</v>
      </c>
      <c r="H385" s="13" t="n">
        <v>-110</v>
      </c>
      <c r="I385" s="15" t="n">
        <v>0.3473978447665009</v>
      </c>
      <c r="J385" s="15" t="n">
        <v>0.5</v>
      </c>
      <c r="K385" s="15" t="n">
        <v>0.5238095238095238</v>
      </c>
      <c r="L385" s="14" t="n">
        <v>-0.1764116790430229</v>
      </c>
      <c r="M385" s="14" t="n">
        <v>-0.3367859327184982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LAM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M-OH @ PITT</t>
        </is>
      </c>
      <c r="C386" s="17" t="inlineStr">
        <is>
          <t>2026-09-05 16:30</t>
        </is>
      </c>
      <c r="D386" s="25" t="n">
        <v>1</v>
      </c>
      <c r="E386" s="17" t="inlineStr">
        <is>
          <t>TOTAL</t>
        </is>
      </c>
      <c r="F386" s="17" t="inlineStr">
        <is>
          <t>Under 47.5</t>
        </is>
      </c>
      <c r="G386" s="26" t="n">
        <v>47.5</v>
      </c>
      <c r="H386" s="18" t="n">
        <v>-108</v>
      </c>
      <c r="I386" s="20" t="n">
        <v>0.3425002570012341</v>
      </c>
      <c r="J386" s="20" t="n">
        <v>0.4956702459300312</v>
      </c>
      <c r="K386" s="20" t="n">
        <v>0.5192307692307693</v>
      </c>
      <c r="L386" s="19" t="n">
        <v>-0.1767305122295352</v>
      </c>
      <c r="M386" s="19" t="n">
        <v>-0.3403698754050306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FUR @ TENN</t>
        </is>
      </c>
      <c r="C387" s="12" t="inlineStr">
        <is>
          <t>2026-09-05 19:30</t>
        </is>
      </c>
      <c r="D387" s="22" t="n">
        <v>1</v>
      </c>
      <c r="E387" s="12" t="inlineStr">
        <is>
          <t>TOTAL</t>
        </is>
      </c>
      <c r="F387" s="12" t="inlineStr">
        <is>
          <t>Over 66.5</t>
        </is>
      </c>
      <c r="G387" s="23" t="n">
        <v>66.5</v>
      </c>
      <c r="H387" s="13" t="n">
        <v>-112</v>
      </c>
      <c r="I387" s="15" t="n">
        <v>0.3495627237211956</v>
      </c>
      <c r="J387" s="15" t="n">
        <v>0.5043297540699688</v>
      </c>
      <c r="K387" s="15" t="n">
        <v>0.5283018867924528</v>
      </c>
      <c r="L387" s="14" t="n">
        <v>-0.1787391630712572</v>
      </c>
      <c r="M387" s="14" t="n">
        <v>-0.3383277015277369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FUR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IDST @ USU</t>
        </is>
      </c>
      <c r="C388" s="17" t="inlineStr">
        <is>
          <t>2026-09-05 23:00</t>
        </is>
      </c>
      <c r="D388" s="25" t="n">
        <v>1</v>
      </c>
      <c r="E388" s="17" t="inlineStr">
        <is>
          <t>ATS</t>
        </is>
      </c>
      <c r="F388" s="17" t="inlineStr">
        <is>
          <t>USU -14</t>
        </is>
      </c>
      <c r="G388" s="26" t="n">
        <v>-14</v>
      </c>
      <c r="H388" s="18" t="n">
        <v>-102</v>
      </c>
      <c r="I388" s="20" t="n">
        <v>0.32581740908535</v>
      </c>
      <c r="J388" s="20" t="n">
        <v>0.4826358742837298</v>
      </c>
      <c r="K388" s="20" t="n">
        <v>0.504950495049505</v>
      </c>
      <c r="L388" s="19" t="n">
        <v>-0.179133085964155</v>
      </c>
      <c r="M388" s="19" t="n">
        <v>-0.344276445237461</v>
      </c>
      <c r="N388" s="20" t="n">
        <v>0.0295</v>
      </c>
      <c r="O388" s="27" t="n">
        <v>0.4</v>
      </c>
      <c r="P388" s="17" t="inlineStr">
        <is>
          <t>DraftKings</t>
        </is>
      </c>
      <c r="Q388" s="17" t="inlineStr">
        <is>
          <t>IDST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ME @ APP</t>
        </is>
      </c>
      <c r="C389" s="12" t="inlineStr">
        <is>
          <t>2026-09-05 19:30</t>
        </is>
      </c>
      <c r="D389" s="22" t="n">
        <v>1</v>
      </c>
      <c r="E389" s="12" t="inlineStr">
        <is>
          <t>ML</t>
        </is>
      </c>
      <c r="F389" s="12" t="inlineStr">
        <is>
          <t>APP ML</t>
        </is>
      </c>
      <c r="G389" s="23" t="n"/>
      <c r="H389" s="13" t="n">
        <v>-1100</v>
      </c>
      <c r="I389" s="15" t="n">
        <v>0.7362607175650626</v>
      </c>
      <c r="J389" s="15" t="n">
        <v>0.8800000000000001</v>
      </c>
      <c r="K389" s="15" t="n">
        <v>0.9166666666666666</v>
      </c>
      <c r="L389" s="14" t="n">
        <v>-0.180405949101604</v>
      </c>
      <c r="M389" s="14" t="n">
        <v>-0.1968064899290227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ME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WYO @ CSU</t>
        </is>
      </c>
      <c r="C390" s="17" t="inlineStr">
        <is>
          <t>2026-09-05 22:00</t>
        </is>
      </c>
      <c r="D390" s="25" t="n">
        <v>1</v>
      </c>
      <c r="E390" s="17" t="inlineStr">
        <is>
          <t>TOTAL</t>
        </is>
      </c>
      <c r="F390" s="17" t="inlineStr">
        <is>
          <t>Under 46.5</t>
        </is>
      </c>
      <c r="G390" s="26" t="n">
        <v>46.5</v>
      </c>
      <c r="H390" s="18" t="n">
        <v>-110</v>
      </c>
      <c r="I390" s="20" t="n">
        <v>0.3419801354775347</v>
      </c>
      <c r="J390" s="20" t="n">
        <v>0.5</v>
      </c>
      <c r="K390" s="20" t="n">
        <v>0.5238095238095238</v>
      </c>
      <c r="L390" s="19" t="n">
        <v>-0.1818293883319891</v>
      </c>
      <c r="M390" s="19" t="n">
        <v>-0.347128832270161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raw model/market disagreement exceeds the safety limit</t>
        </is>
      </c>
    </row>
    <row r="391">
      <c r="A391" s="12" t="inlineStr">
        <is>
          <t>PASS</t>
        </is>
      </c>
      <c r="B391" s="12" t="inlineStr">
        <is>
          <t>ALCN @ USM</t>
        </is>
      </c>
      <c r="C391" s="12" t="inlineStr">
        <is>
          <t>2026-09-05 21:00</t>
        </is>
      </c>
      <c r="D391" s="22" t="n">
        <v>1</v>
      </c>
      <c r="E391" s="12" t="inlineStr">
        <is>
          <t>ML</t>
        </is>
      </c>
      <c r="F391" s="12" t="inlineStr">
        <is>
          <t>USM ML</t>
        </is>
      </c>
      <c r="G391" s="23" t="n"/>
      <c r="H391" s="13" t="n">
        <v>-1200</v>
      </c>
      <c r="I391" s="15" t="n">
        <v>0.7397389784346278</v>
      </c>
      <c r="J391" s="15" t="n">
        <v>0.8869565217391304</v>
      </c>
      <c r="K391" s="15" t="n">
        <v>0.9230769230769231</v>
      </c>
      <c r="L391" s="14" t="n">
        <v>-0.1833379446422954</v>
      </c>
      <c r="M391" s="14" t="n">
        <v>-0.19861610669582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ALCN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LAM @ UL</t>
        </is>
      </c>
      <c r="C392" s="17" t="inlineStr">
        <is>
          <t>2026-09-06 00:00</t>
        </is>
      </c>
      <c r="D392" s="25" t="n">
        <v>1</v>
      </c>
      <c r="E392" s="17" t="inlineStr">
        <is>
          <t>ML</t>
        </is>
      </c>
      <c r="F392" s="17" t="inlineStr">
        <is>
          <t>UL ML</t>
        </is>
      </c>
      <c r="G392" s="26" t="n"/>
      <c r="H392" s="18" t="n">
        <v>-1200</v>
      </c>
      <c r="I392" s="20" t="n">
        <v>0.7397389784346278</v>
      </c>
      <c r="J392" s="20" t="n">
        <v>0.8869565217391304</v>
      </c>
      <c r="K392" s="20" t="n">
        <v>0.9230769230769231</v>
      </c>
      <c r="L392" s="19" t="n">
        <v>-0.1833379446422954</v>
      </c>
      <c r="M392" s="19" t="n">
        <v>-0.19861610669582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LAM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TOL @ MSU</t>
        </is>
      </c>
      <c r="C393" s="12" t="inlineStr">
        <is>
          <t>2026-09-05 00:00</t>
        </is>
      </c>
      <c r="D393" s="22" t="n">
        <v>1</v>
      </c>
      <c r="E393" s="12" t="inlineStr">
        <is>
          <t>TOTAL</t>
        </is>
      </c>
      <c r="F393" s="12" t="inlineStr">
        <is>
          <t>Under 46.5</t>
        </is>
      </c>
      <c r="G393" s="23" t="n">
        <v>46.5</v>
      </c>
      <c r="H393" s="13" t="n">
        <v>-105</v>
      </c>
      <c r="I393" s="15" t="n">
        <v>0.3287963231329197</v>
      </c>
      <c r="J393" s="15" t="n">
        <v>0.4891657638136511</v>
      </c>
      <c r="K393" s="15" t="n">
        <v>0.5121951219512195</v>
      </c>
      <c r="L393" s="14" t="n">
        <v>-0.1833987988182998</v>
      </c>
      <c r="M393" s="14" t="n">
        <v>-0.3580643215023948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raw model/market disagreement exceeds the safety limit</t>
        </is>
      </c>
    </row>
    <row r="394">
      <c r="A394" s="17" t="inlineStr">
        <is>
          <t>PASS</t>
        </is>
      </c>
      <c r="B394" s="17" t="inlineStr">
        <is>
          <t>HCU @ RICE</t>
        </is>
      </c>
      <c r="C394" s="17" t="inlineStr">
        <is>
          <t>2026-09-05 23:00</t>
        </is>
      </c>
      <c r="D394" s="25" t="n">
        <v>1</v>
      </c>
      <c r="E394" s="17" t="inlineStr">
        <is>
          <t>TOTAL</t>
        </is>
      </c>
      <c r="F394" s="17" t="inlineStr">
        <is>
          <t>Under 47.5</t>
        </is>
      </c>
      <c r="G394" s="26" t="n">
        <v>47.5</v>
      </c>
      <c r="H394" s="18" t="n">
        <v>-108</v>
      </c>
      <c r="I394" s="20" t="n">
        <v>0.3333128709863395</v>
      </c>
      <c r="J394" s="20" t="n">
        <v>0.4956702459300312</v>
      </c>
      <c r="K394" s="20" t="n">
        <v>0.5192307692307693</v>
      </c>
      <c r="L394" s="19" t="n">
        <v>-0.1859178982444297</v>
      </c>
      <c r="M394" s="19" t="n">
        <v>-0.3580641003226053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HCU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LAF @ CONN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CONN ML</t>
        </is>
      </c>
      <c r="G395" s="23" t="n"/>
      <c r="H395" s="13" t="n">
        <v>-1350</v>
      </c>
      <c r="I395" s="15" t="n">
        <v>0.7429518940356509</v>
      </c>
      <c r="J395" s="15" t="n">
        <v>0.8933823529411765</v>
      </c>
      <c r="K395" s="15" t="n">
        <v>0.9310344827586207</v>
      </c>
      <c r="L395" s="14" t="n">
        <v>-0.1880825887229698</v>
      </c>
      <c r="M395" s="14" t="n">
        <v>-0.2020146323320788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LAF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OU @ MICH</t>
        </is>
      </c>
      <c r="C396" s="17" t="inlineStr">
        <is>
          <t>2026-09-12 16:00</t>
        </is>
      </c>
      <c r="D396" s="25" t="n">
        <v>2</v>
      </c>
      <c r="E396" s="17" t="inlineStr">
        <is>
          <t>TOTAL</t>
        </is>
      </c>
      <c r="F396" s="17" t="inlineStr">
        <is>
          <t>Under 46.5</t>
        </is>
      </c>
      <c r="G396" s="26" t="n">
        <v>46.5</v>
      </c>
      <c r="H396" s="18" t="n">
        <v>-115</v>
      </c>
      <c r="I396" s="20" t="n">
        <v>0.3460727188992616</v>
      </c>
      <c r="J396" s="20" t="n">
        <v>0.5108342361863488</v>
      </c>
      <c r="K396" s="20" t="n">
        <v>0.5348837209302325</v>
      </c>
      <c r="L396" s="19" t="n">
        <v>-0.1888110020309709</v>
      </c>
      <c r="M396" s="19" t="n">
        <v>-0.3529944820579022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raw model/market disagreement exceeds the safety limit</t>
        </is>
      </c>
    </row>
    <row r="397">
      <c r="A397" s="12" t="inlineStr">
        <is>
          <t>PASS</t>
        </is>
      </c>
      <c r="B397" s="12" t="inlineStr">
        <is>
          <t>ODU @ VT</t>
        </is>
      </c>
      <c r="C397" s="12" t="inlineStr">
        <is>
          <t>2026-09-12 16:00</t>
        </is>
      </c>
      <c r="D397" s="22" t="n">
        <v>2</v>
      </c>
      <c r="E397" s="12" t="inlineStr">
        <is>
          <t>ATS</t>
        </is>
      </c>
      <c r="F397" s="12" t="inlineStr">
        <is>
          <t>VT -14</t>
        </is>
      </c>
      <c r="G397" s="23" t="n">
        <v>-14</v>
      </c>
      <c r="H397" s="13" t="n">
        <v>-110</v>
      </c>
      <c r="I397" s="15" t="n">
        <v>0.3344994719434851</v>
      </c>
      <c r="J397" s="15" t="n">
        <v>0.5</v>
      </c>
      <c r="K397" s="15" t="n">
        <v>0.5238095238095238</v>
      </c>
      <c r="L397" s="14" t="n">
        <v>-0.1893100518660388</v>
      </c>
      <c r="M397" s="14" t="n">
        <v>-0.3507361971196439</v>
      </c>
      <c r="N397" s="15" t="n">
        <v>0.0295</v>
      </c>
      <c r="O397" s="24" t="n">
        <v>0.4</v>
      </c>
      <c r="P397" s="12" t="inlineStr">
        <is>
          <t>DraftKings</t>
        </is>
      </c>
      <c r="Q397" s="12" t="inlineStr">
        <is>
          <t>raw model/market disagreement exceeds the safety limit</t>
        </is>
      </c>
    </row>
    <row r="398">
      <c r="A398" s="17" t="inlineStr">
        <is>
          <t>PASS</t>
        </is>
      </c>
      <c r="B398" s="17" t="inlineStr">
        <is>
          <t>SDST @ NU</t>
        </is>
      </c>
      <c r="C398" s="17" t="inlineStr">
        <is>
          <t>2026-09-06 00:00</t>
        </is>
      </c>
      <c r="D398" s="25" t="n">
        <v>1</v>
      </c>
      <c r="E398" s="17" t="inlineStr">
        <is>
          <t>TOTAL</t>
        </is>
      </c>
      <c r="F398" s="17" t="inlineStr">
        <is>
          <t>Under 46.5</t>
        </is>
      </c>
      <c r="G398" s="26" t="n">
        <v>46.5</v>
      </c>
      <c r="H398" s="18" t="n">
        <v>-110</v>
      </c>
      <c r="I398" s="20" t="n">
        <v>0.3342134412260942</v>
      </c>
      <c r="J398" s="20" t="n">
        <v>0.5</v>
      </c>
      <c r="K398" s="20" t="n">
        <v>0.5238095238095238</v>
      </c>
      <c r="L398" s="19" t="n">
        <v>-0.1895960825834296</v>
      </c>
      <c r="M398" s="19" t="n">
        <v>-0.3619561576592747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SDST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CCU @ WVU</t>
        </is>
      </c>
      <c r="C399" s="12" t="inlineStr">
        <is>
          <t>2026-09-05 16:00</t>
        </is>
      </c>
      <c r="D399" s="22" t="n">
        <v>1</v>
      </c>
      <c r="E399" s="12" t="inlineStr">
        <is>
          <t>ML</t>
        </is>
      </c>
      <c r="F399" s="12" t="inlineStr">
        <is>
          <t>WVU ML</t>
        </is>
      </c>
      <c r="G399" s="23" t="n"/>
      <c r="H399" s="13" t="n">
        <v>-1450</v>
      </c>
      <c r="I399" s="15" t="n">
        <v>0.7456897550854542</v>
      </c>
      <c r="J399" s="15" t="n">
        <v>0.8988580750407831</v>
      </c>
      <c r="K399" s="15" t="n">
        <v>0.9354838709677419</v>
      </c>
      <c r="L399" s="14" t="n">
        <v>-0.1897941158822877</v>
      </c>
      <c r="M399" s="14" t="n">
        <v>-0.2028833652534801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price outside allowed range</t>
        </is>
      </c>
    </row>
    <row r="400">
      <c r="A400" s="17" t="inlineStr">
        <is>
          <t>PASS</t>
        </is>
      </c>
      <c r="B400" s="17" t="inlineStr">
        <is>
          <t>TENN @ GT</t>
        </is>
      </c>
      <c r="C400" s="17" t="inlineStr">
        <is>
          <t>2026-09-12 23:00</t>
        </is>
      </c>
      <c r="D400" s="25" t="n">
        <v>2</v>
      </c>
      <c r="E400" s="17" t="inlineStr">
        <is>
          <t>ATS</t>
        </is>
      </c>
      <c r="F400" s="17" t="inlineStr">
        <is>
          <t>TENN -8.5</t>
        </is>
      </c>
      <c r="G400" s="26" t="n">
        <v>8.5</v>
      </c>
      <c r="H400" s="18" t="n">
        <v>-110</v>
      </c>
      <c r="I400" s="20" t="n">
        <v>0.3337385857515319</v>
      </c>
      <c r="J400" s="20" t="n">
        <v>0.5</v>
      </c>
      <c r="K400" s="20" t="n">
        <v>0.5238095238095238</v>
      </c>
      <c r="L400" s="19" t="n">
        <v>-0.1900709380579919</v>
      </c>
      <c r="M400" s="19" t="n">
        <v>-0.3628626999288936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raw model/market disagreement exceeds the safety limit</t>
        </is>
      </c>
    </row>
    <row r="401">
      <c r="A401" s="12" t="inlineStr">
        <is>
          <t>PASS</t>
        </is>
      </c>
      <c r="B401" s="12" t="inlineStr">
        <is>
          <t>URI @ TEM</t>
        </is>
      </c>
      <c r="C401" s="12" t="inlineStr">
        <is>
          <t>2026-09-05 18:00</t>
        </is>
      </c>
      <c r="D401" s="22" t="n">
        <v>1</v>
      </c>
      <c r="E401" s="12" t="inlineStr">
        <is>
          <t>ATS</t>
        </is>
      </c>
      <c r="F401" s="12" t="inlineStr">
        <is>
          <t>TEM -14.5</t>
        </is>
      </c>
      <c r="G401" s="23" t="n">
        <v>-14.5</v>
      </c>
      <c r="H401" s="13" t="n">
        <v>-110</v>
      </c>
      <c r="I401" s="15" t="n">
        <v>0.3320038607905179</v>
      </c>
      <c r="J401" s="15" t="n">
        <v>0.5</v>
      </c>
      <c r="K401" s="15" t="n">
        <v>0.5238095238095238</v>
      </c>
      <c r="L401" s="14" t="n">
        <v>-0.1918056630190059</v>
      </c>
      <c r="M401" s="14" t="n">
        <v>-0.3661744475817385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URI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FIU @ USF</t>
        </is>
      </c>
      <c r="C402" s="17" t="inlineStr">
        <is>
          <t>2026-09-05 23:00</t>
        </is>
      </c>
      <c r="D402" s="25" t="n">
        <v>1</v>
      </c>
      <c r="E402" s="17" t="inlineStr">
        <is>
          <t>ATS</t>
        </is>
      </c>
      <c r="F402" s="17" t="inlineStr">
        <is>
          <t>USF -14.5</t>
        </is>
      </c>
      <c r="G402" s="26" t="n">
        <v>-14.5</v>
      </c>
      <c r="H402" s="18" t="n">
        <v>-110</v>
      </c>
      <c r="I402" s="20" t="n">
        <v>0.3320038607905179</v>
      </c>
      <c r="J402" s="20" t="n">
        <v>0.5</v>
      </c>
      <c r="K402" s="20" t="n">
        <v>0.5238095238095238</v>
      </c>
      <c r="L402" s="19" t="n">
        <v>-0.1918056630190059</v>
      </c>
      <c r="M402" s="19" t="n">
        <v>-0.3661744475817385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raw model/market disagreement exceeds the safety limit</t>
        </is>
      </c>
    </row>
    <row r="403">
      <c r="A403" s="12" t="inlineStr">
        <is>
          <t>PASS</t>
        </is>
      </c>
      <c r="B403" s="12" t="inlineStr">
        <is>
          <t>ASU @ TA&amp;M</t>
        </is>
      </c>
      <c r="C403" s="12" t="inlineStr">
        <is>
          <t>2026-09-12 16:00</t>
        </is>
      </c>
      <c r="D403" s="22" t="n">
        <v>2</v>
      </c>
      <c r="E403" s="12" t="inlineStr">
        <is>
          <t>ATS</t>
        </is>
      </c>
      <c r="F403" s="12" t="inlineStr">
        <is>
          <t>TA&amp;M -14.5</t>
        </is>
      </c>
      <c r="G403" s="23" t="n">
        <v>-14.5</v>
      </c>
      <c r="H403" s="13" t="n">
        <v>-110</v>
      </c>
      <c r="I403" s="15" t="n">
        <v>0.3320038607905179</v>
      </c>
      <c r="J403" s="15" t="n">
        <v>0.5</v>
      </c>
      <c r="K403" s="15" t="n">
        <v>0.5238095238095238</v>
      </c>
      <c r="L403" s="14" t="n">
        <v>-0.1918056630190059</v>
      </c>
      <c r="M403" s="14" t="n">
        <v>-0.3661744475817385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raw model/market disagreement exceeds the safety limit</t>
        </is>
      </c>
    </row>
    <row r="404">
      <c r="A404" s="17" t="inlineStr">
        <is>
          <t>PASS</t>
        </is>
      </c>
      <c r="B404" s="17" t="inlineStr">
        <is>
          <t>ORST @ HOU</t>
        </is>
      </c>
      <c r="C404" s="17" t="inlineStr">
        <is>
          <t>2026-09-05 16:00</t>
        </is>
      </c>
      <c r="D404" s="25" t="n">
        <v>1</v>
      </c>
      <c r="E404" s="17" t="inlineStr">
        <is>
          <t>ML</t>
        </is>
      </c>
      <c r="F404" s="17" t="inlineStr">
        <is>
          <t>HOU ML</t>
        </is>
      </c>
      <c r="G404" s="26" t="n"/>
      <c r="H404" s="18" t="n">
        <v>-1650</v>
      </c>
      <c r="I404" s="20" t="n">
        <v>0.7503891579320352</v>
      </c>
      <c r="J404" s="20" t="n">
        <v>0.9082568807339451</v>
      </c>
      <c r="K404" s="20" t="n">
        <v>0.9428571428571428</v>
      </c>
      <c r="L404" s="19" t="n">
        <v>-0.1924679849251076</v>
      </c>
      <c r="M404" s="19" t="n">
        <v>-0.2041327112842051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CIT @ CLT</t>
        </is>
      </c>
      <c r="C405" s="12" t="inlineStr">
        <is>
          <t>2026-09-05 19:30</t>
        </is>
      </c>
      <c r="D405" s="22" t="n">
        <v>1</v>
      </c>
      <c r="E405" s="12" t="inlineStr">
        <is>
          <t>ML</t>
        </is>
      </c>
      <c r="F405" s="12" t="inlineStr">
        <is>
          <t>CLT ML</t>
        </is>
      </c>
      <c r="G405" s="23" t="n"/>
      <c r="H405" s="13" t="n">
        <v>-1650</v>
      </c>
      <c r="I405" s="15" t="n">
        <v>0.7503891579320352</v>
      </c>
      <c r="J405" s="15" t="n">
        <v>0.9082568807339451</v>
      </c>
      <c r="K405" s="15" t="n">
        <v>0.9428571428571428</v>
      </c>
      <c r="L405" s="14" t="n">
        <v>-0.1924679849251076</v>
      </c>
      <c r="M405" s="14" t="n">
        <v>-0.2041327112842051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CIT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OHIO @ NEB</t>
        </is>
      </c>
      <c r="C406" s="17" t="inlineStr">
        <is>
          <t>2026-09-05 16:00</t>
        </is>
      </c>
      <c r="D406" s="25" t="n">
        <v>1</v>
      </c>
      <c r="E406" s="17" t="inlineStr">
        <is>
          <t>TOTAL</t>
        </is>
      </c>
      <c r="F406" s="17" t="inlineStr">
        <is>
          <t>Under 46.5</t>
        </is>
      </c>
      <c r="G406" s="26" t="n">
        <v>46.5</v>
      </c>
      <c r="H406" s="18" t="n">
        <v>-110</v>
      </c>
      <c r="I406" s="20" t="n">
        <v>0.3304930918978708</v>
      </c>
      <c r="J406" s="20" t="n">
        <v>0.5</v>
      </c>
      <c r="K406" s="20" t="n">
        <v>0.5238095238095238</v>
      </c>
      <c r="L406" s="19" t="n">
        <v>-0.193316431911653</v>
      </c>
      <c r="M406" s="19" t="n">
        <v>-0.3690586427404284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MUR @ MTSU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MTSU ML</t>
        </is>
      </c>
      <c r="G407" s="23" t="n"/>
      <c r="H407" s="13" t="n">
        <v>-1800</v>
      </c>
      <c r="I407" s="15" t="n">
        <v>0.7524819157217446</v>
      </c>
      <c r="J407" s="15" t="n">
        <v>0.912442396313364</v>
      </c>
      <c r="K407" s="15" t="n">
        <v>0.9473684210526315</v>
      </c>
      <c r="L407" s="14" t="n">
        <v>-0.1948865053308869</v>
      </c>
      <c r="M407" s="14" t="n">
        <v>-0.2057135334048251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MUR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CMU @ UNM</t>
        </is>
      </c>
      <c r="C408" s="17" t="inlineStr">
        <is>
          <t>2026-09-06 02:00</t>
        </is>
      </c>
      <c r="D408" s="25" t="n">
        <v>1</v>
      </c>
      <c r="E408" s="17" t="inlineStr">
        <is>
          <t>TOTAL</t>
        </is>
      </c>
      <c r="F408" s="17" t="inlineStr">
        <is>
          <t>Under 45.5</t>
        </is>
      </c>
      <c r="G408" s="26" t="n">
        <v>45.5</v>
      </c>
      <c r="H408" s="18" t="n">
        <v>-108</v>
      </c>
      <c r="I408" s="20" t="n">
        <v>0.3235372264190675</v>
      </c>
      <c r="J408" s="20" t="n">
        <v>0.4956702459300312</v>
      </c>
      <c r="K408" s="20" t="n">
        <v>0.5192307692307693</v>
      </c>
      <c r="L408" s="19" t="n">
        <v>-0.1956935428117018</v>
      </c>
      <c r="M408" s="19" t="n">
        <v>-0.3768912676373515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raw model/market disagreement exceeds the safety limit</t>
        </is>
      </c>
    </row>
    <row r="409">
      <c r="A409" s="12" t="inlineStr">
        <is>
          <t>PASS</t>
        </is>
      </c>
      <c r="B409" s="12" t="inlineStr">
        <is>
          <t>FRES @ USC</t>
        </is>
      </c>
      <c r="C409" s="12" t="inlineStr">
        <is>
          <t>2026-09-05 01:00</t>
        </is>
      </c>
      <c r="D409" s="22" t="n">
        <v>1</v>
      </c>
      <c r="E409" s="12" t="inlineStr">
        <is>
          <t>ML</t>
        </is>
      </c>
      <c r="F409" s="12" t="inlineStr">
        <is>
          <t>USC ML</t>
        </is>
      </c>
      <c r="G409" s="23" t="n"/>
      <c r="H409" s="13" t="n">
        <v>-2100</v>
      </c>
      <c r="I409" s="15" t="n">
        <v>0.7572368297356358</v>
      </c>
      <c r="J409" s="15" t="n">
        <v>0.9197080291970804</v>
      </c>
      <c r="K409" s="15" t="n">
        <v>0.9545454545454546</v>
      </c>
      <c r="L409" s="14" t="n">
        <v>-0.1973086248098188</v>
      </c>
      <c r="M409" s="14" t="n">
        <v>-0.2067042736102863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WSU @ WASH</t>
        </is>
      </c>
      <c r="C410" s="17" t="inlineStr">
        <is>
          <t>2026-09-06 20:00</t>
        </is>
      </c>
      <c r="D410" s="25" t="n">
        <v>1</v>
      </c>
      <c r="E410" s="17" t="inlineStr">
        <is>
          <t>ML</t>
        </is>
      </c>
      <c r="F410" s="17" t="inlineStr">
        <is>
          <t>WASH ML</t>
        </is>
      </c>
      <c r="G410" s="26" t="n"/>
      <c r="H410" s="18" t="n">
        <v>-2100</v>
      </c>
      <c r="I410" s="20" t="n">
        <v>0.7561147321636028</v>
      </c>
      <c r="J410" s="20" t="n">
        <v>0.9197080291970804</v>
      </c>
      <c r="K410" s="20" t="n">
        <v>0.9545454545454546</v>
      </c>
      <c r="L410" s="19" t="n">
        <v>-0.1984307223818518</v>
      </c>
      <c r="M410" s="19" t="n">
        <v>-0.2078798044000351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CIT @ CLT</t>
        </is>
      </c>
      <c r="C411" s="12" t="inlineStr">
        <is>
          <t>2026-09-05 19:30</t>
        </is>
      </c>
      <c r="D411" s="22" t="n">
        <v>1</v>
      </c>
      <c r="E411" s="12" t="inlineStr">
        <is>
          <t>TOTAL</t>
        </is>
      </c>
      <c r="F411" s="12" t="inlineStr">
        <is>
          <t>Under 46.5</t>
        </is>
      </c>
      <c r="G411" s="23" t="n">
        <v>46.5</v>
      </c>
      <c r="H411" s="13" t="n">
        <v>-112</v>
      </c>
      <c r="I411" s="15" t="n">
        <v>0.3290465706365557</v>
      </c>
      <c r="J411" s="15" t="n">
        <v>0.5043297540699688</v>
      </c>
      <c r="K411" s="15" t="n">
        <v>0.5283018867924528</v>
      </c>
      <c r="L411" s="14" t="n">
        <v>-0.1992553161558971</v>
      </c>
      <c r="M411" s="14" t="n">
        <v>-0.3771618484379481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CIT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BOIS @ ORE</t>
        </is>
      </c>
      <c r="C412" s="17" t="inlineStr">
        <is>
          <t>2026-09-05 19:30</t>
        </is>
      </c>
      <c r="D412" s="25" t="n">
        <v>1</v>
      </c>
      <c r="E412" s="17" t="inlineStr">
        <is>
          <t>ML</t>
        </is>
      </c>
      <c r="F412" s="17" t="inlineStr">
        <is>
          <t>ORE ML</t>
        </is>
      </c>
      <c r="G412" s="26" t="n"/>
      <c r="H412" s="18" t="n">
        <v>-2400</v>
      </c>
      <c r="I412" s="20" t="n">
        <v>0.7591687294344989</v>
      </c>
      <c r="J412" s="20" t="n">
        <v>0.9258160237388724</v>
      </c>
      <c r="K412" s="20" t="n">
        <v>0.96</v>
      </c>
      <c r="L412" s="19" t="n">
        <v>-0.2008312705655011</v>
      </c>
      <c r="M412" s="19" t="n">
        <v>-0.209199240172397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OHIO @ NEB</t>
        </is>
      </c>
      <c r="C413" s="12" t="inlineStr">
        <is>
          <t>2026-09-05 16:00</t>
        </is>
      </c>
      <c r="D413" s="22" t="n">
        <v>1</v>
      </c>
      <c r="E413" s="12" t="inlineStr">
        <is>
          <t>ML</t>
        </is>
      </c>
      <c r="F413" s="12" t="inlineStr">
        <is>
          <t>NEB ML</t>
        </is>
      </c>
      <c r="G413" s="23" t="n"/>
      <c r="H413" s="13" t="n">
        <v>-2800</v>
      </c>
      <c r="I413" s="15" t="n">
        <v>0.7618189123394093</v>
      </c>
      <c r="J413" s="15" t="n">
        <v>0.9311163895486935</v>
      </c>
      <c r="K413" s="15" t="n">
        <v>0.9655172413793104</v>
      </c>
      <c r="L413" s="14" t="n">
        <v>-0.203698329039901</v>
      </c>
      <c r="M413" s="14" t="n">
        <v>-0.2109732693627545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M-OH @ PITT</t>
        </is>
      </c>
      <c r="C414" s="17" t="inlineStr">
        <is>
          <t>2026-09-05 16:30</t>
        </is>
      </c>
      <c r="D414" s="25" t="n">
        <v>1</v>
      </c>
      <c r="E414" s="17" t="inlineStr">
        <is>
          <t>ATS</t>
        </is>
      </c>
      <c r="F414" s="17" t="inlineStr">
        <is>
          <t>PITT -16.5</t>
        </is>
      </c>
      <c r="G414" s="26" t="n">
        <v>-16.5</v>
      </c>
      <c r="H414" s="18" t="n">
        <v>-108</v>
      </c>
      <c r="I414" s="20" t="n">
        <v>0.3152421846771301</v>
      </c>
      <c r="J414" s="20" t="n">
        <v>0.4956702459300312</v>
      </c>
      <c r="K414" s="20" t="n">
        <v>0.5192307692307693</v>
      </c>
      <c r="L414" s="19" t="n">
        <v>-0.2039885845536392</v>
      </c>
      <c r="M414" s="19" t="n">
        <v>-0.3928669035847865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raw model/market disagreement exceeds the safety limit</t>
        </is>
      </c>
    </row>
    <row r="415">
      <c r="A415" s="12" t="inlineStr">
        <is>
          <t>PASS</t>
        </is>
      </c>
      <c r="B415" s="12" t="inlineStr">
        <is>
          <t>MRSH @ PSU</t>
        </is>
      </c>
      <c r="C415" s="12" t="inlineStr">
        <is>
          <t>2026-09-05 19:30</t>
        </is>
      </c>
      <c r="D415" s="22" t="n">
        <v>1</v>
      </c>
      <c r="E415" s="12" t="inlineStr">
        <is>
          <t>ML</t>
        </is>
      </c>
      <c r="F415" s="12" t="inlineStr">
        <is>
          <t>PSU ML</t>
        </is>
      </c>
      <c r="G415" s="23" t="n"/>
      <c r="H415" s="13" t="n">
        <v>-3200</v>
      </c>
      <c r="I415" s="15" t="n">
        <v>0.7640969748750042</v>
      </c>
      <c r="J415" s="15" t="n">
        <v>0.9356725146198831</v>
      </c>
      <c r="K415" s="15" t="n">
        <v>0.9696969696969697</v>
      </c>
      <c r="L415" s="14" t="n">
        <v>-0.2055999948219656</v>
      </c>
      <c r="M415" s="14" t="n">
        <v>-0.212024994660152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FAU @ FLA</t>
        </is>
      </c>
      <c r="C416" s="17" t="inlineStr">
        <is>
          <t>2026-09-05 23:45</t>
        </is>
      </c>
      <c r="D416" s="25" t="n">
        <v>1</v>
      </c>
      <c r="E416" s="17" t="inlineStr">
        <is>
          <t>ML</t>
        </is>
      </c>
      <c r="F416" s="17" t="inlineStr">
        <is>
          <t>FLA ML</t>
        </is>
      </c>
      <c r="G416" s="26" t="n"/>
      <c r="H416" s="18" t="n">
        <v>-3200</v>
      </c>
      <c r="I416" s="20" t="n">
        <v>0.7640969748750042</v>
      </c>
      <c r="J416" s="20" t="n">
        <v>0.9356725146198831</v>
      </c>
      <c r="K416" s="20" t="n">
        <v>0.9696969696969697</v>
      </c>
      <c r="L416" s="19" t="n">
        <v>-0.2055999948219656</v>
      </c>
      <c r="M416" s="19" t="n">
        <v>-0.212024994660152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price outside allowed range</t>
        </is>
      </c>
    </row>
    <row r="417">
      <c r="A417" s="12" t="inlineStr">
        <is>
          <t>PASS</t>
        </is>
      </c>
      <c r="B417" s="12" t="inlineStr">
        <is>
          <t>EKU @ JVST</t>
        </is>
      </c>
      <c r="C417" s="12" t="inlineStr">
        <is>
          <t>2026-09-05 23:00</t>
        </is>
      </c>
      <c r="D417" s="22" t="n">
        <v>1</v>
      </c>
      <c r="E417" s="12" t="inlineStr">
        <is>
          <t>ML</t>
        </is>
      </c>
      <c r="F417" s="12" t="inlineStr">
        <is>
          <t>JVST ML</t>
        </is>
      </c>
      <c r="G417" s="23" t="n"/>
      <c r="H417" s="13" t="n">
        <v>-2100</v>
      </c>
      <c r="I417" s="15" t="n">
        <v>0.7486464192295115</v>
      </c>
      <c r="J417" s="15" t="n">
        <v>0.9197080291970804</v>
      </c>
      <c r="K417" s="15" t="n">
        <v>0.9545454545454546</v>
      </c>
      <c r="L417" s="14" t="n">
        <v>-0.2058990353159431</v>
      </c>
      <c r="M417" s="14" t="n">
        <v>-0.2157037512833689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EKU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SHSU @ TROY</t>
        </is>
      </c>
      <c r="C418" s="17" t="inlineStr">
        <is>
          <t>2026-09-05 23:00</t>
        </is>
      </c>
      <c r="D418" s="25" t="n">
        <v>1</v>
      </c>
      <c r="E418" s="17" t="inlineStr">
        <is>
          <t>ATS</t>
        </is>
      </c>
      <c r="F418" s="17" t="inlineStr">
        <is>
          <t>TROY -16.5</t>
        </is>
      </c>
      <c r="G418" s="26" t="n">
        <v>-16.5</v>
      </c>
      <c r="H418" s="18" t="n">
        <v>-110</v>
      </c>
      <c r="I418" s="20" t="n">
        <v>0.3174070617121144</v>
      </c>
      <c r="J418" s="20" t="n">
        <v>0.5</v>
      </c>
      <c r="K418" s="20" t="n">
        <v>0.5238095238095238</v>
      </c>
      <c r="L418" s="19" t="n">
        <v>-0.2064024620974094</v>
      </c>
      <c r="M418" s="19" t="n">
        <v>-0.3940410640041452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YSU @ UK</t>
        </is>
      </c>
      <c r="C419" s="12" t="inlineStr">
        <is>
          <t>2026-09-05 17:00</t>
        </is>
      </c>
      <c r="D419" s="22" t="n">
        <v>1</v>
      </c>
      <c r="E419" s="12" t="inlineStr">
        <is>
          <t>ML</t>
        </is>
      </c>
      <c r="F419" s="12" t="inlineStr">
        <is>
          <t>UK ML</t>
        </is>
      </c>
      <c r="G419" s="23" t="n"/>
      <c r="H419" s="13" t="n">
        <v>-3600</v>
      </c>
      <c r="I419" s="15" t="n">
        <v>0.7660812722143285</v>
      </c>
      <c r="J419" s="15" t="n">
        <v>0.9396411092985318</v>
      </c>
      <c r="K419" s="15" t="n">
        <v>0.972972972972973</v>
      </c>
      <c r="L419" s="14" t="n">
        <v>-0.2068917007586445</v>
      </c>
      <c r="M419" s="14" t="n">
        <v>-0.2126386924463846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YSU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HCU @ RICE</t>
        </is>
      </c>
      <c r="C420" s="17" t="inlineStr">
        <is>
          <t>2026-09-05 23:00</t>
        </is>
      </c>
      <c r="D420" s="25" t="n">
        <v>1</v>
      </c>
      <c r="E420" s="17" t="inlineStr">
        <is>
          <t>ML</t>
        </is>
      </c>
      <c r="F420" s="17" t="inlineStr">
        <is>
          <t>RICE ML</t>
        </is>
      </c>
      <c r="G420" s="26" t="n"/>
      <c r="H420" s="18" t="n">
        <v>-3600</v>
      </c>
      <c r="I420" s="20" t="n">
        <v>0.7660812722143285</v>
      </c>
      <c r="J420" s="20" t="n">
        <v>0.9396411092985318</v>
      </c>
      <c r="K420" s="20" t="n">
        <v>0.972972972972973</v>
      </c>
      <c r="L420" s="19" t="n">
        <v>-0.2068917007586445</v>
      </c>
      <c r="M420" s="19" t="n">
        <v>-0.2126386924463846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HCU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NIU @ IOWA</t>
        </is>
      </c>
      <c r="C421" s="12" t="inlineStr">
        <is>
          <t>2026-09-05 20:15</t>
        </is>
      </c>
      <c r="D421" s="22" t="n">
        <v>1</v>
      </c>
      <c r="E421" s="12" t="inlineStr">
        <is>
          <t>TOTAL</t>
        </is>
      </c>
      <c r="F421" s="12" t="inlineStr">
        <is>
          <t>Under 44.5</t>
        </is>
      </c>
      <c r="G421" s="23" t="n">
        <v>44.5</v>
      </c>
      <c r="H421" s="13" t="n">
        <v>-110</v>
      </c>
      <c r="I421" s="15" t="n">
        <v>0.3166999018892129</v>
      </c>
      <c r="J421" s="15" t="n">
        <v>0.5</v>
      </c>
      <c r="K421" s="15" t="n">
        <v>0.5238095238095238</v>
      </c>
      <c r="L421" s="14" t="n">
        <v>-0.2071096219203109</v>
      </c>
      <c r="M421" s="14" t="n">
        <v>-0.3953910963933208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raw model/market disagreement exceeds the safety limit</t>
        </is>
      </c>
    </row>
    <row r="422">
      <c r="A422" s="17" t="inlineStr">
        <is>
          <t>PASS</t>
        </is>
      </c>
      <c r="B422" s="17" t="inlineStr">
        <is>
          <t>ULM @ MSST</t>
        </is>
      </c>
      <c r="C422" s="17" t="inlineStr">
        <is>
          <t>2026-09-05 23:30</t>
        </is>
      </c>
      <c r="D422" s="25" t="n">
        <v>1</v>
      </c>
      <c r="E422" s="17" t="inlineStr">
        <is>
          <t>ML</t>
        </is>
      </c>
      <c r="F422" s="17" t="inlineStr">
        <is>
          <t>MSST ML</t>
        </is>
      </c>
      <c r="G422" s="26" t="n"/>
      <c r="H422" s="18" t="n">
        <v>-4000</v>
      </c>
      <c r="I422" s="20" t="n">
        <v>0.7678279852488352</v>
      </c>
      <c r="J422" s="20" t="n">
        <v>0.9431345353675451</v>
      </c>
      <c r="K422" s="20" t="n">
        <v>0.975609756097561</v>
      </c>
      <c r="L422" s="19" t="n">
        <v>-0.2077817708487257</v>
      </c>
      <c r="M422" s="19" t="n">
        <v>-0.212976315119944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price outside allowed range</t>
        </is>
      </c>
    </row>
    <row r="423">
      <c r="A423" s="12" t="inlineStr">
        <is>
          <t>PASS</t>
        </is>
      </c>
      <c r="B423" s="12" t="inlineStr">
        <is>
          <t>APSU @ VAN</t>
        </is>
      </c>
      <c r="C423" s="12" t="inlineStr">
        <is>
          <t>2026-09-05 23:00</t>
        </is>
      </c>
      <c r="D423" s="22" t="n">
        <v>1</v>
      </c>
      <c r="E423" s="12" t="inlineStr">
        <is>
          <t>ML</t>
        </is>
      </c>
      <c r="F423" s="12" t="inlineStr">
        <is>
          <t>VAN ML</t>
        </is>
      </c>
      <c r="G423" s="23" t="n"/>
      <c r="H423" s="13" t="n">
        <v>-4500</v>
      </c>
      <c r="I423" s="15" t="n">
        <v>0.7693915586865581</v>
      </c>
      <c r="J423" s="15" t="n">
        <v>0.9462616822429908</v>
      </c>
      <c r="K423" s="15" t="n">
        <v>0.9782608695652174</v>
      </c>
      <c r="L423" s="14" t="n">
        <v>-0.2088693108786593</v>
      </c>
      <c r="M423" s="14" t="n">
        <v>-0.2135108511204074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APSU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CHSO @ GASO</t>
        </is>
      </c>
      <c r="C424" s="17" t="inlineStr">
        <is>
          <t>2026-09-05 23:00</t>
        </is>
      </c>
      <c r="D424" s="25" t="n">
        <v>1</v>
      </c>
      <c r="E424" s="17" t="inlineStr">
        <is>
          <t>ML</t>
        </is>
      </c>
      <c r="F424" s="17" t="inlineStr">
        <is>
          <t>GASO ML</t>
        </is>
      </c>
      <c r="G424" s="26" t="n"/>
      <c r="H424" s="18" t="n">
        <v>-4500</v>
      </c>
      <c r="I424" s="20" t="n">
        <v>0.7693915586865581</v>
      </c>
      <c r="J424" s="20" t="n">
        <v>0.9462616822429908</v>
      </c>
      <c r="K424" s="20" t="n">
        <v>0.9782608695652174</v>
      </c>
      <c r="L424" s="19" t="n">
        <v>-0.2088693108786593</v>
      </c>
      <c r="M424" s="19" t="n">
        <v>-0.2135108511204074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CHSO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ALA @ UK</t>
        </is>
      </c>
      <c r="C425" s="12" t="inlineStr">
        <is>
          <t>2026-09-12 19:30</t>
        </is>
      </c>
      <c r="D425" s="22" t="n">
        <v>2</v>
      </c>
      <c r="E425" s="12" t="inlineStr">
        <is>
          <t>ATS</t>
        </is>
      </c>
      <c r="F425" s="12" t="inlineStr">
        <is>
          <t>ALA -10.5</t>
        </is>
      </c>
      <c r="G425" s="23" t="n">
        <v>10.5</v>
      </c>
      <c r="H425" s="13" t="n">
        <v>-110</v>
      </c>
      <c r="I425" s="15" t="n">
        <v>0.3142321758616434</v>
      </c>
      <c r="J425" s="15" t="n">
        <v>0.5</v>
      </c>
      <c r="K425" s="15" t="n">
        <v>0.5238095238095238</v>
      </c>
      <c r="L425" s="14" t="n">
        <v>-0.2095773479478804</v>
      </c>
      <c r="M425" s="14" t="n">
        <v>-0.4001022097186807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raw model/market disagreement exceeds the safety limit</t>
        </is>
      </c>
    </row>
    <row r="426">
      <c r="A426" s="17" t="inlineStr">
        <is>
          <t>PASS</t>
        </is>
      </c>
      <c r="B426" s="17" t="inlineStr">
        <is>
          <t>TXST @ TEX</t>
        </is>
      </c>
      <c r="C426" s="17" t="inlineStr">
        <is>
          <t>2026-09-05 19:30</t>
        </is>
      </c>
      <c r="D426" s="25" t="n">
        <v>1</v>
      </c>
      <c r="E426" s="17" t="inlineStr">
        <is>
          <t>ML</t>
        </is>
      </c>
      <c r="F426" s="17" t="inlineStr">
        <is>
          <t>TEX ML</t>
        </is>
      </c>
      <c r="G426" s="26" t="n"/>
      <c r="H426" s="18" t="n">
        <v>-9000</v>
      </c>
      <c r="I426" s="20" t="n">
        <v>0.7775441400249556</v>
      </c>
      <c r="J426" s="20" t="n">
        <v>0.9625668449197861</v>
      </c>
      <c r="K426" s="20" t="n">
        <v>0.9890109890109891</v>
      </c>
      <c r="L426" s="19" t="n">
        <v>-0.2114668489860334</v>
      </c>
      <c r="M426" s="19" t="n">
        <v>-0.2138164806414338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RGV @ UTSA</t>
        </is>
      </c>
      <c r="C427" s="12" t="inlineStr">
        <is>
          <t>2026-09-05 19:30</t>
        </is>
      </c>
      <c r="D427" s="22" t="n">
        <v>1</v>
      </c>
      <c r="E427" s="12" t="inlineStr">
        <is>
          <t>ML</t>
        </is>
      </c>
      <c r="F427" s="12" t="inlineStr">
        <is>
          <t>UTSA ML</t>
        </is>
      </c>
      <c r="G427" s="23" t="n"/>
      <c r="H427" s="13" t="n">
        <v>-9000</v>
      </c>
      <c r="I427" s="15" t="n">
        <v>0.7775441400249556</v>
      </c>
      <c r="J427" s="15" t="n">
        <v>0.9625668449197861</v>
      </c>
      <c r="K427" s="15" t="n">
        <v>0.9890109890109891</v>
      </c>
      <c r="L427" s="14" t="n">
        <v>-0.2114668489860334</v>
      </c>
      <c r="M427" s="14" t="n">
        <v>-0.2138164806414338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RGV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NCAT @ GAST</t>
        </is>
      </c>
      <c r="C428" s="17" t="inlineStr">
        <is>
          <t>2026-09-04 23:00</t>
        </is>
      </c>
      <c r="D428" s="25" t="n">
        <v>1</v>
      </c>
      <c r="E428" s="17" t="inlineStr">
        <is>
          <t>ML</t>
        </is>
      </c>
      <c r="F428" s="17" t="inlineStr">
        <is>
          <t>GAST ML</t>
        </is>
      </c>
      <c r="G428" s="26" t="n"/>
      <c r="H428" s="18" t="n">
        <v>-6500</v>
      </c>
      <c r="I428" s="20" t="n">
        <v>0.7731999209193603</v>
      </c>
      <c r="J428" s="20" t="n">
        <v>0.9538784067085954</v>
      </c>
      <c r="K428" s="20" t="n">
        <v>0.9848484848484849</v>
      </c>
      <c r="L428" s="19" t="n">
        <v>-0.2116485639291246</v>
      </c>
      <c r="M428" s="19" t="n">
        <v>-0.2149046956818804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NCAT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WMU @ MICH</t>
        </is>
      </c>
      <c r="C429" s="12" t="inlineStr">
        <is>
          <t>2026-09-05 23:30</t>
        </is>
      </c>
      <c r="D429" s="22" t="n">
        <v>1</v>
      </c>
      <c r="E429" s="12" t="inlineStr">
        <is>
          <t>ML</t>
        </is>
      </c>
      <c r="F429" s="12" t="inlineStr">
        <is>
          <t>MICH ML</t>
        </is>
      </c>
      <c r="G429" s="23" t="n"/>
      <c r="H429" s="13" t="n">
        <v>-6500</v>
      </c>
      <c r="I429" s="15" t="n">
        <v>0.7731999209193603</v>
      </c>
      <c r="J429" s="15" t="n">
        <v>0.9538784067085954</v>
      </c>
      <c r="K429" s="15" t="n">
        <v>0.9848484848484849</v>
      </c>
      <c r="L429" s="14" t="n">
        <v>-0.2116485639291246</v>
      </c>
      <c r="M429" s="14" t="n">
        <v>-0.2149046956818804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SEMO @ ISU</t>
        </is>
      </c>
      <c r="C430" s="17" t="inlineStr">
        <is>
          <t>2026-09-05 17:00</t>
        </is>
      </c>
      <c r="D430" s="25" t="n">
        <v>1</v>
      </c>
      <c r="E430" s="17" t="inlineStr">
        <is>
          <t>ML</t>
        </is>
      </c>
      <c r="F430" s="17" t="inlineStr">
        <is>
          <t>ISU ML</t>
        </is>
      </c>
      <c r="G430" s="26" t="n"/>
      <c r="H430" s="18" t="n">
        <v>-20000</v>
      </c>
      <c r="I430" s="20" t="n">
        <v>0.7826814715172312</v>
      </c>
      <c r="J430" s="20" t="n">
        <v>0.9728415079043372</v>
      </c>
      <c r="K430" s="20" t="n">
        <v>0.9950248756218906</v>
      </c>
      <c r="L430" s="19" t="n">
        <v>-0.2123434041046594</v>
      </c>
      <c r="M430" s="19" t="n">
        <v>-0.2134051211251827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SEMO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KENT @ SC</t>
        </is>
      </c>
      <c r="C431" s="12" t="inlineStr">
        <is>
          <t>2026-09-05 16:45</t>
        </is>
      </c>
      <c r="D431" s="22" t="n">
        <v>1</v>
      </c>
      <c r="E431" s="12" t="inlineStr">
        <is>
          <t>ML</t>
        </is>
      </c>
      <c r="F431" s="12" t="inlineStr">
        <is>
          <t>SC ML</t>
        </is>
      </c>
      <c r="G431" s="23" t="n"/>
      <c r="H431" s="13" t="n">
        <v>-100000</v>
      </c>
      <c r="I431" s="15" t="n">
        <v>0.786635902657657</v>
      </c>
      <c r="J431" s="15" t="n">
        <v>0.9807503701851887</v>
      </c>
      <c r="K431" s="15" t="n">
        <v>0.999000999000999</v>
      </c>
      <c r="L431" s="14" t="n">
        <v>-0.212365096343342</v>
      </c>
      <c r="M431" s="14" t="n">
        <v>-0.2125774614396854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price outside allowed range</t>
        </is>
      </c>
    </row>
    <row r="432">
      <c r="A432" s="17" t="inlineStr">
        <is>
          <t>PASS</t>
        </is>
      </c>
      <c r="B432" s="17" t="inlineStr">
        <is>
          <t>NIU @ IOWA</t>
        </is>
      </c>
      <c r="C432" s="17" t="inlineStr">
        <is>
          <t>2026-09-05 20:15</t>
        </is>
      </c>
      <c r="D432" s="25" t="n">
        <v>1</v>
      </c>
      <c r="E432" s="17" t="inlineStr">
        <is>
          <t>ML</t>
        </is>
      </c>
      <c r="F432" s="17" t="inlineStr">
        <is>
          <t>IOWA ML</t>
        </is>
      </c>
      <c r="G432" s="26" t="n"/>
      <c r="H432" s="18" t="n">
        <v>-100000</v>
      </c>
      <c r="I432" s="20" t="n">
        <v>0.786635902657657</v>
      </c>
      <c r="J432" s="20" t="n">
        <v>0.9807503701851887</v>
      </c>
      <c r="K432" s="20" t="n">
        <v>0.999000999000999</v>
      </c>
      <c r="L432" s="19" t="n">
        <v>-0.212365096343342</v>
      </c>
      <c r="M432" s="19" t="n">
        <v>-0.2125774614396854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ECU @ ALA</t>
        </is>
      </c>
      <c r="C433" s="12" t="inlineStr">
        <is>
          <t>2026-09-05 16:00</t>
        </is>
      </c>
      <c r="D433" s="22" t="n">
        <v>1</v>
      </c>
      <c r="E433" s="12" t="inlineStr">
        <is>
          <t>ML</t>
        </is>
      </c>
      <c r="F433" s="12" t="inlineStr">
        <is>
          <t>ALA ML</t>
        </is>
      </c>
      <c r="G433" s="23" t="n"/>
      <c r="H433" s="13" t="n">
        <v>-8000</v>
      </c>
      <c r="I433" s="15" t="n">
        <v>0.7751779481741203</v>
      </c>
      <c r="J433" s="15" t="n">
        <v>0.9578344612181156</v>
      </c>
      <c r="K433" s="15" t="n">
        <v>0.9876543209876543</v>
      </c>
      <c r="L433" s="14" t="n">
        <v>-0.2124763728135339</v>
      </c>
      <c r="M433" s="14" t="n">
        <v>-0.2151323274737032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DUQ @ AFA</t>
        </is>
      </c>
      <c r="C434" s="17" t="inlineStr">
        <is>
          <t>2026-09-05 17:00</t>
        </is>
      </c>
      <c r="D434" s="25" t="n">
        <v>1</v>
      </c>
      <c r="E434" s="17" t="inlineStr">
        <is>
          <t>ML</t>
        </is>
      </c>
      <c r="F434" s="17" t="inlineStr">
        <is>
          <t>AFA ML</t>
        </is>
      </c>
      <c r="G434" s="26" t="n"/>
      <c r="H434" s="18" t="n">
        <v>-8000</v>
      </c>
      <c r="I434" s="20" t="n">
        <v>0.7751779481741203</v>
      </c>
      <c r="J434" s="20" t="n">
        <v>0.9578344612181156</v>
      </c>
      <c r="K434" s="20" t="n">
        <v>0.9876543209876543</v>
      </c>
      <c r="L434" s="19" t="n">
        <v>-0.2124763728135339</v>
      </c>
      <c r="M434" s="19" t="n">
        <v>-0.2151323274737032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DUQ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NAU @ ARIZ</t>
        </is>
      </c>
      <c r="C435" s="12" t="inlineStr">
        <is>
          <t>2026-09-06 01:30</t>
        </is>
      </c>
      <c r="D435" s="22" t="n">
        <v>1</v>
      </c>
      <c r="E435" s="12" t="inlineStr">
        <is>
          <t>ML</t>
        </is>
      </c>
      <c r="F435" s="12" t="inlineStr">
        <is>
          <t>ARIZ ML</t>
        </is>
      </c>
      <c r="G435" s="23" t="n"/>
      <c r="H435" s="13" t="n">
        <v>-8000</v>
      </c>
      <c r="I435" s="15" t="n">
        <v>0.7751779481741203</v>
      </c>
      <c r="J435" s="15" t="n">
        <v>0.9578344612181156</v>
      </c>
      <c r="K435" s="15" t="n">
        <v>0.9876543209876543</v>
      </c>
      <c r="L435" s="14" t="n">
        <v>-0.2124763728135339</v>
      </c>
      <c r="M435" s="14" t="n">
        <v>-0.2151323274737032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NAU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TOW @ NAVY</t>
        </is>
      </c>
      <c r="C436" s="17" t="inlineStr">
        <is>
          <t>2026-09-05 19:30</t>
        </is>
      </c>
      <c r="D436" s="25" t="n">
        <v>1</v>
      </c>
      <c r="E436" s="17" t="inlineStr">
        <is>
          <t>ML</t>
        </is>
      </c>
      <c r="F436" s="17" t="inlineStr">
        <is>
          <t>NAVY ML</t>
        </is>
      </c>
      <c r="G436" s="26" t="n"/>
      <c r="H436" s="18" t="n">
        <v>-50000</v>
      </c>
      <c r="I436" s="20" t="n">
        <v>0.7843327141366545</v>
      </c>
      <c r="J436" s="20" t="n">
        <v>0.9761439931431837</v>
      </c>
      <c r="K436" s="20" t="n">
        <v>0.998003992015968</v>
      </c>
      <c r="L436" s="19" t="n">
        <v>-0.2136712778793135</v>
      </c>
      <c r="M436" s="19" t="n">
        <v>-0.2140986204350722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TOW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MERC @ NMSU</t>
        </is>
      </c>
      <c r="C437" s="12" t="inlineStr">
        <is>
          <t>2026-09-06 01:00</t>
        </is>
      </c>
      <c r="D437" s="22" t="n">
        <v>1</v>
      </c>
      <c r="E437" s="12" t="inlineStr">
        <is>
          <t>ML</t>
        </is>
      </c>
      <c r="F437" s="12" t="inlineStr">
        <is>
          <t>NMSU ML</t>
        </is>
      </c>
      <c r="G437" s="23" t="n"/>
      <c r="H437" s="13" t="n">
        <v>-8000</v>
      </c>
      <c r="I437" s="15" t="n">
        <v>0.7733515131195616</v>
      </c>
      <c r="J437" s="15" t="n">
        <v>0.9578344612181156</v>
      </c>
      <c r="K437" s="15" t="n">
        <v>0.9876543209876543</v>
      </c>
      <c r="L437" s="14" t="n">
        <v>-0.2143028078680926</v>
      </c>
      <c r="M437" s="14" t="n">
        <v>-0.2169815929664439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MERC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ALCN @ USM</t>
        </is>
      </c>
      <c r="C438" s="17" t="inlineStr">
        <is>
          <t>2026-09-05 21:00</t>
        </is>
      </c>
      <c r="D438" s="25" t="n">
        <v>1</v>
      </c>
      <c r="E438" s="17" t="inlineStr">
        <is>
          <t>ATS</t>
        </is>
      </c>
      <c r="F438" s="17" t="inlineStr">
        <is>
          <t>USM -20.5</t>
        </is>
      </c>
      <c r="G438" s="26" t="n">
        <v>-20.5</v>
      </c>
      <c r="H438" s="18" t="n">
        <v>-102</v>
      </c>
      <c r="I438" s="20" t="n">
        <v>0.2811398824346247</v>
      </c>
      <c r="J438" s="20" t="n">
        <v>0.4826358742837298</v>
      </c>
      <c r="K438" s="20" t="n">
        <v>0.504950495049505</v>
      </c>
      <c r="L438" s="19" t="n">
        <v>-0.2238106126148802</v>
      </c>
      <c r="M438" s="19" t="n">
        <v>-0.4432327818451549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ALCN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LAF @ CONN</t>
        </is>
      </c>
      <c r="C439" s="12" t="inlineStr">
        <is>
          <t>2026-09-05 16:00</t>
        </is>
      </c>
      <c r="D439" s="22" t="n">
        <v>1</v>
      </c>
      <c r="E439" s="12" t="inlineStr">
        <is>
          <t>ATS</t>
        </is>
      </c>
      <c r="F439" s="12" t="inlineStr">
        <is>
          <t>CONN -19.5</t>
        </is>
      </c>
      <c r="G439" s="23" t="n">
        <v>-19.5</v>
      </c>
      <c r="H439" s="13" t="n">
        <v>-110</v>
      </c>
      <c r="I439" s="15" t="n">
        <v>0.2952013559766983</v>
      </c>
      <c r="J439" s="15" t="n">
        <v>0.5</v>
      </c>
      <c r="K439" s="15" t="n">
        <v>0.5238095238095238</v>
      </c>
      <c r="L439" s="14" t="n">
        <v>-0.2286081678328255</v>
      </c>
      <c r="M439" s="14" t="n">
        <v>-0.4364337749535758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LAF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OKST @ TLSA</t>
        </is>
      </c>
      <c r="C440" s="17" t="inlineStr">
        <is>
          <t>2026-09-05 19:45</t>
        </is>
      </c>
      <c r="D440" s="25" t="n">
        <v>1</v>
      </c>
      <c r="E440" s="17" t="inlineStr">
        <is>
          <t>ATS</t>
        </is>
      </c>
      <c r="F440" s="17" t="inlineStr">
        <is>
          <t>OKST -13.5</t>
        </is>
      </c>
      <c r="G440" s="26" t="n">
        <v>13.5</v>
      </c>
      <c r="H440" s="18" t="n">
        <v>-110</v>
      </c>
      <c r="I440" s="20" t="n">
        <v>0.2951661173668902</v>
      </c>
      <c r="J440" s="20" t="n">
        <v>0.5</v>
      </c>
      <c r="K440" s="20" t="n">
        <v>0.5238095238095238</v>
      </c>
      <c r="L440" s="19" t="n">
        <v>-0.2286434064426336</v>
      </c>
      <c r="M440" s="19" t="n">
        <v>-0.4365010486632095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ME @ APP</t>
        </is>
      </c>
      <c r="C441" s="12" t="inlineStr">
        <is>
          <t>2026-09-05 19:30</t>
        </is>
      </c>
      <c r="D441" s="22" t="n">
        <v>1</v>
      </c>
      <c r="E441" s="12" t="inlineStr">
        <is>
          <t>ATS</t>
        </is>
      </c>
      <c r="F441" s="12" t="inlineStr">
        <is>
          <t>APP -19.5</t>
        </is>
      </c>
      <c r="G441" s="23" t="n">
        <v>-19.5</v>
      </c>
      <c r="H441" s="13" t="n">
        <v>-112</v>
      </c>
      <c r="I441" s="15" t="n">
        <v>0.2973662330116827</v>
      </c>
      <c r="J441" s="15" t="n">
        <v>0.5043297540699688</v>
      </c>
      <c r="K441" s="15" t="n">
        <v>0.5283018867924528</v>
      </c>
      <c r="L441" s="14" t="n">
        <v>-0.2309356537807701</v>
      </c>
      <c r="M441" s="14" t="n">
        <v>-0.4371282017993148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ME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CIT @ CLT</t>
        </is>
      </c>
      <c r="C442" s="17" t="inlineStr">
        <is>
          <t>2026-09-05 19:30</t>
        </is>
      </c>
      <c r="D442" s="25" t="n">
        <v>1</v>
      </c>
      <c r="E442" s="17" t="inlineStr">
        <is>
          <t>ATS</t>
        </is>
      </c>
      <c r="F442" s="17" t="inlineStr">
        <is>
          <t>CLT -20.5</t>
        </is>
      </c>
      <c r="G442" s="26" t="n">
        <v>-20.5</v>
      </c>
      <c r="H442" s="18" t="n">
        <v>-108</v>
      </c>
      <c r="I442" s="20" t="n">
        <v>0.2876570682577754</v>
      </c>
      <c r="J442" s="20" t="n">
        <v>0.4956702459300312</v>
      </c>
      <c r="K442" s="20" t="n">
        <v>0.5192307692307693</v>
      </c>
      <c r="L442" s="19" t="n">
        <v>-0.2315737009729938</v>
      </c>
      <c r="M442" s="19" t="n">
        <v>-0.4459937944665065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CIT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LAM @ UL</t>
        </is>
      </c>
      <c r="C443" s="12" t="inlineStr">
        <is>
          <t>2026-09-06 00:00</t>
        </is>
      </c>
      <c r="D443" s="22" t="n">
        <v>1</v>
      </c>
      <c r="E443" s="12" t="inlineStr">
        <is>
          <t>ATS</t>
        </is>
      </c>
      <c r="F443" s="12" t="inlineStr">
        <is>
          <t>UL -20.5</t>
        </is>
      </c>
      <c r="G443" s="23" t="n">
        <v>-20.5</v>
      </c>
      <c r="H443" s="13" t="n">
        <v>-108</v>
      </c>
      <c r="I443" s="15" t="n">
        <v>0.2876570682577754</v>
      </c>
      <c r="J443" s="15" t="n">
        <v>0.4956702459300312</v>
      </c>
      <c r="K443" s="15" t="n">
        <v>0.5192307692307693</v>
      </c>
      <c r="L443" s="14" t="n">
        <v>-0.2315737009729938</v>
      </c>
      <c r="M443" s="14" t="n">
        <v>-0.4459937944665065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LAM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ISU @ IOWA</t>
        </is>
      </c>
      <c r="C444" s="17" t="inlineStr">
        <is>
          <t>2026-09-12 23:30</t>
        </is>
      </c>
      <c r="D444" s="25" t="n">
        <v>2</v>
      </c>
      <c r="E444" s="17" t="inlineStr">
        <is>
          <t>TOTAL</t>
        </is>
      </c>
      <c r="F444" s="17" t="inlineStr">
        <is>
          <t>Under 41.5</t>
        </is>
      </c>
      <c r="G444" s="26" t="n">
        <v>41.5</v>
      </c>
      <c r="H444" s="18" t="n">
        <v>-108</v>
      </c>
      <c r="I444" s="20" t="n">
        <v>0.2852595194007592</v>
      </c>
      <c r="J444" s="20" t="n">
        <v>0.4956702459300312</v>
      </c>
      <c r="K444" s="20" t="n">
        <v>0.5192307692307693</v>
      </c>
      <c r="L444" s="19" t="n">
        <v>-0.2339712498300101</v>
      </c>
      <c r="M444" s="19" t="n">
        <v>-0.4506112959689081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ORST @ HOU</t>
        </is>
      </c>
      <c r="C445" s="12" t="inlineStr">
        <is>
          <t>2026-09-05 16:00</t>
        </is>
      </c>
      <c r="D445" s="22" t="n">
        <v>1</v>
      </c>
      <c r="E445" s="12" t="inlineStr">
        <is>
          <t>ATS</t>
        </is>
      </c>
      <c r="F445" s="12" t="inlineStr">
        <is>
          <t>HOU -21</t>
        </is>
      </c>
      <c r="G445" s="23" t="n">
        <v>-21</v>
      </c>
      <c r="H445" s="13" t="n">
        <v>-105</v>
      </c>
      <c r="I445" s="15" t="n">
        <v>0.2779633841805209</v>
      </c>
      <c r="J445" s="15" t="n">
        <v>0.4891657638136511</v>
      </c>
      <c r="K445" s="15" t="n">
        <v>0.5121951219512195</v>
      </c>
      <c r="L445" s="14" t="n">
        <v>-0.2342317377706987</v>
      </c>
      <c r="M445" s="14" t="n">
        <v>-0.4509966588452317</v>
      </c>
      <c r="N445" s="15" t="n">
        <v>0.0138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FRES @ USC</t>
        </is>
      </c>
      <c r="C446" s="17" t="inlineStr">
        <is>
          <t>2026-09-05 01:00</t>
        </is>
      </c>
      <c r="D446" s="25" t="n">
        <v>1</v>
      </c>
      <c r="E446" s="17" t="inlineStr">
        <is>
          <t>ATS</t>
        </is>
      </c>
      <c r="F446" s="17" t="inlineStr">
        <is>
          <t>USC -22.5</t>
        </is>
      </c>
      <c r="G446" s="26" t="n">
        <v>-22.5</v>
      </c>
      <c r="H446" s="18" t="n">
        <v>-102</v>
      </c>
      <c r="I446" s="20" t="n">
        <v>0.2706880836946474</v>
      </c>
      <c r="J446" s="20" t="n">
        <v>0.4826358742837298</v>
      </c>
      <c r="K446" s="20" t="n">
        <v>0.504950495049505</v>
      </c>
      <c r="L446" s="19" t="n">
        <v>-0.2342624113548576</v>
      </c>
      <c r="M446" s="19" t="n">
        <v>-0.463931442094914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CCU @ WVU</t>
        </is>
      </c>
      <c r="C447" s="12" t="inlineStr">
        <is>
          <t>2026-09-05 16:00</t>
        </is>
      </c>
      <c r="D447" s="22" t="n">
        <v>1</v>
      </c>
      <c r="E447" s="12" t="inlineStr">
        <is>
          <t>ATS</t>
        </is>
      </c>
      <c r="F447" s="12" t="inlineStr">
        <is>
          <t>WVU -21</t>
        </is>
      </c>
      <c r="G447" s="23" t="n">
        <v>-21</v>
      </c>
      <c r="H447" s="13" t="n">
        <v>-108</v>
      </c>
      <c r="I447" s="15" t="n">
        <v>0.2812156252387109</v>
      </c>
      <c r="J447" s="15" t="n">
        <v>0.4956702459300312</v>
      </c>
      <c r="K447" s="15" t="n">
        <v>0.5192307692307693</v>
      </c>
      <c r="L447" s="14" t="n">
        <v>-0.2380151439920584</v>
      </c>
      <c r="M447" s="14" t="n">
        <v>-0.4520715659090847</v>
      </c>
      <c r="N447" s="15" t="n">
        <v>0.0138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WIS @ ND</t>
        </is>
      </c>
      <c r="C448" s="17" t="inlineStr">
        <is>
          <t>2026-09-06 23:30</t>
        </is>
      </c>
      <c r="D448" s="25" t="n">
        <v>1</v>
      </c>
      <c r="E448" s="17" t="inlineStr">
        <is>
          <t>ML</t>
        </is>
      </c>
      <c r="F448" s="17" t="inlineStr">
        <is>
          <t>ND ML</t>
        </is>
      </c>
      <c r="G448" s="26" t="n"/>
      <c r="H448" s="18" t="n">
        <v>-1650</v>
      </c>
      <c r="I448" s="20" t="n">
        <v>0.7041284403669725</v>
      </c>
      <c r="J448" s="20" t="n">
        <v>0.9082568807339451</v>
      </c>
      <c r="K448" s="20" t="n">
        <v>0.9428571428571428</v>
      </c>
      <c r="L448" s="19" t="n">
        <v>-0.2387287024901703</v>
      </c>
      <c r="M448" s="19" t="n">
        <v>-0.2531971087016958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OKST @ TLSA</t>
        </is>
      </c>
      <c r="C449" s="12" t="inlineStr">
        <is>
          <t>2026-09-05 19:45</t>
        </is>
      </c>
      <c r="D449" s="22" t="n">
        <v>1</v>
      </c>
      <c r="E449" s="12" t="inlineStr">
        <is>
          <t>ML</t>
        </is>
      </c>
      <c r="F449" s="12" t="inlineStr">
        <is>
          <t>OKST ML</t>
        </is>
      </c>
      <c r="G449" s="23" t="n"/>
      <c r="H449" s="13" t="n">
        <v>-575</v>
      </c>
      <c r="I449" s="15" t="n">
        <v>0.6123687240593029</v>
      </c>
      <c r="J449" s="15" t="n">
        <v>0.817258883248731</v>
      </c>
      <c r="K449" s="15" t="n">
        <v>0.8518518518518519</v>
      </c>
      <c r="L449" s="14" t="n">
        <v>-0.239483127792549</v>
      </c>
      <c r="M449" s="14" t="n">
        <v>-0.2811323674086446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HCU @ RICE</t>
        </is>
      </c>
      <c r="C450" s="17" t="inlineStr">
        <is>
          <t>2026-09-05 23:00</t>
        </is>
      </c>
      <c r="D450" s="25" t="n">
        <v>1</v>
      </c>
      <c r="E450" s="17" t="inlineStr">
        <is>
          <t>ATS</t>
        </is>
      </c>
      <c r="F450" s="17" t="inlineStr">
        <is>
          <t>RICE -22.5</t>
        </is>
      </c>
      <c r="G450" s="26" t="n">
        <v>-22.5</v>
      </c>
      <c r="H450" s="18" t="n">
        <v>-108</v>
      </c>
      <c r="I450" s="20" t="n">
        <v>0.2768540478406784</v>
      </c>
      <c r="J450" s="20" t="n">
        <v>0.4956702459300312</v>
      </c>
      <c r="K450" s="20" t="n">
        <v>0.5192307692307693</v>
      </c>
      <c r="L450" s="19" t="n">
        <v>-0.2423767213900909</v>
      </c>
      <c r="M450" s="19" t="n">
        <v>-0.4667996115661009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HCU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YSU @ UK</t>
        </is>
      </c>
      <c r="C451" s="12" t="inlineStr">
        <is>
          <t>2026-09-05 17:00</t>
        </is>
      </c>
      <c r="D451" s="22" t="n">
        <v>1</v>
      </c>
      <c r="E451" s="12" t="inlineStr">
        <is>
          <t>ATS</t>
        </is>
      </c>
      <c r="F451" s="12" t="inlineStr">
        <is>
          <t>UK -22.5</t>
        </is>
      </c>
      <c r="G451" s="23" t="n">
        <v>-22.5</v>
      </c>
      <c r="H451" s="13" t="n">
        <v>-110</v>
      </c>
      <c r="I451" s="15" t="n">
        <v>0.2790189248756628</v>
      </c>
      <c r="J451" s="15" t="n">
        <v>0.5</v>
      </c>
      <c r="K451" s="15" t="n">
        <v>0.5238095238095238</v>
      </c>
      <c r="L451" s="14" t="n">
        <v>-0.2447905989338611</v>
      </c>
      <c r="M451" s="14" t="n">
        <v>-0.4673275070555529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YSU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WSU @ WASH</t>
        </is>
      </c>
      <c r="C452" s="17" t="inlineStr">
        <is>
          <t>2026-09-06 20:00</t>
        </is>
      </c>
      <c r="D452" s="25" t="n">
        <v>1</v>
      </c>
      <c r="E452" s="17" t="inlineStr">
        <is>
          <t>ATS</t>
        </is>
      </c>
      <c r="F452" s="17" t="inlineStr">
        <is>
          <t>WASH -23.5</t>
        </is>
      </c>
      <c r="G452" s="26" t="n">
        <v>-23.5</v>
      </c>
      <c r="H452" s="18" t="n">
        <v>-108</v>
      </c>
      <c r="I452" s="20" t="n">
        <v>0.27337342525078</v>
      </c>
      <c r="J452" s="20" t="n">
        <v>0.4956702459300312</v>
      </c>
      <c r="K452" s="20" t="n">
        <v>0.5192307692307693</v>
      </c>
      <c r="L452" s="19" t="n">
        <v>-0.2458573439799893</v>
      </c>
      <c r="M452" s="19" t="n">
        <v>-0.4735030328503496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MUR @ MTSU</t>
        </is>
      </c>
      <c r="C453" s="12" t="inlineStr">
        <is>
          <t>2026-09-05 23:00</t>
        </is>
      </c>
      <c r="D453" s="22" t="n">
        <v>1</v>
      </c>
      <c r="E453" s="12" t="inlineStr">
        <is>
          <t>ATS</t>
        </is>
      </c>
      <c r="F453" s="12" t="inlineStr">
        <is>
          <t>MTSU -20.5</t>
        </is>
      </c>
      <c r="G453" s="23" t="n">
        <v>-20.5</v>
      </c>
      <c r="H453" s="13" t="n">
        <v>-122</v>
      </c>
      <c r="I453" s="15" t="n">
        <v>0.3028652379236197</v>
      </c>
      <c r="J453" s="15" t="n">
        <v>0.5260865852617197</v>
      </c>
      <c r="K453" s="15" t="n">
        <v>0.5495495495495496</v>
      </c>
      <c r="L453" s="14" t="n">
        <v>-0.2466843116259299</v>
      </c>
      <c r="M453" s="14" t="n">
        <v>-0.44888456705702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MUR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EKU @ JVST</t>
        </is>
      </c>
      <c r="C454" s="17" t="inlineStr">
        <is>
          <t>2026-09-05 23:00</t>
        </is>
      </c>
      <c r="D454" s="25" t="n">
        <v>1</v>
      </c>
      <c r="E454" s="17" t="inlineStr">
        <is>
          <t>ATS</t>
        </is>
      </c>
      <c r="F454" s="17" t="inlineStr">
        <is>
          <t>JVST -20.5</t>
        </is>
      </c>
      <c r="G454" s="26" t="n">
        <v>-20.5</v>
      </c>
      <c r="H454" s="18" t="n">
        <v>-120</v>
      </c>
      <c r="I454" s="20" t="n">
        <v>0.2978338840486595</v>
      </c>
      <c r="J454" s="20" t="n">
        <v>0.5217391304347826</v>
      </c>
      <c r="K454" s="20" t="n">
        <v>0.5454545454545454</v>
      </c>
      <c r="L454" s="19" t="n">
        <v>-0.2476206614058859</v>
      </c>
      <c r="M454" s="19" t="n">
        <v>-0.4539712125774575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EKU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APSU @ VAN</t>
        </is>
      </c>
      <c r="C455" s="12" t="inlineStr">
        <is>
          <t>2026-09-05 23:00</t>
        </is>
      </c>
      <c r="D455" s="22" t="n">
        <v>1</v>
      </c>
      <c r="E455" s="12" t="inlineStr">
        <is>
          <t>ATS</t>
        </is>
      </c>
      <c r="F455" s="12" t="inlineStr">
        <is>
          <t>VAN -29.5</t>
        </is>
      </c>
      <c r="G455" s="23" t="n">
        <v>-29.5</v>
      </c>
      <c r="H455" s="13" t="n">
        <v>102</v>
      </c>
      <c r="I455" s="15" t="n">
        <v>0.2462010696895799</v>
      </c>
      <c r="J455" s="15" t="n">
        <v>0.4739134147382802</v>
      </c>
      <c r="K455" s="15" t="n">
        <v>0.495049504950495</v>
      </c>
      <c r="L455" s="14" t="n">
        <v>-0.2488484352609151</v>
      </c>
      <c r="M455" s="14" t="n">
        <v>-0.5026738392270487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APSU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CHSO @ GASO</t>
        </is>
      </c>
      <c r="C456" s="17" t="inlineStr">
        <is>
          <t>2026-09-05 23:00</t>
        </is>
      </c>
      <c r="D456" s="25" t="n">
        <v>1</v>
      </c>
      <c r="E456" s="17" t="inlineStr">
        <is>
          <t>ATS</t>
        </is>
      </c>
      <c r="F456" s="17" t="inlineStr">
        <is>
          <t>GASO -25.5</t>
        </is>
      </c>
      <c r="G456" s="26" t="n">
        <v>-25.5</v>
      </c>
      <c r="H456" s="18" t="n">
        <v>-105</v>
      </c>
      <c r="I456" s="20" t="n">
        <v>0.2632216667985267</v>
      </c>
      <c r="J456" s="20" t="n">
        <v>0.4891657638136511</v>
      </c>
      <c r="K456" s="20" t="n">
        <v>0.5121951219512195</v>
      </c>
      <c r="L456" s="19" t="n">
        <v>-0.2489734551526928</v>
      </c>
      <c r="M456" s="19" t="n">
        <v>-0.4860910314885907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CHSO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ECU @ ALA</t>
        </is>
      </c>
      <c r="C457" s="12" t="inlineStr">
        <is>
          <t>2026-09-05 16:00</t>
        </is>
      </c>
      <c r="D457" s="22" t="n">
        <v>1</v>
      </c>
      <c r="E457" s="12" t="inlineStr">
        <is>
          <t>ATS</t>
        </is>
      </c>
      <c r="F457" s="12" t="inlineStr">
        <is>
          <t>ALA -28.5</t>
        </is>
      </c>
      <c r="G457" s="23" t="n">
        <v>-28.5</v>
      </c>
      <c r="H457" s="13" t="n">
        <v>100</v>
      </c>
      <c r="I457" s="15" t="n">
        <v>0.2501999847009964</v>
      </c>
      <c r="J457" s="15" t="n">
        <v>0.4782608695652174</v>
      </c>
      <c r="K457" s="15" t="n">
        <v>0.5</v>
      </c>
      <c r="L457" s="14" t="n">
        <v>-0.2498000152990036</v>
      </c>
      <c r="M457" s="14" t="n">
        <v>-0.4996000305980073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BOIS @ ORE</t>
        </is>
      </c>
      <c r="C458" s="17" t="inlineStr">
        <is>
          <t>2026-09-05 19:30</t>
        </is>
      </c>
      <c r="D458" s="25" t="n">
        <v>1</v>
      </c>
      <c r="E458" s="17" t="inlineStr">
        <is>
          <t>ATS</t>
        </is>
      </c>
      <c r="F458" s="17" t="inlineStr">
        <is>
          <t>ORE -24.5</t>
        </is>
      </c>
      <c r="G458" s="26" t="n">
        <v>-24.5</v>
      </c>
      <c r="H458" s="18" t="n">
        <v>-110</v>
      </c>
      <c r="I458" s="20" t="n">
        <v>0.271361230806319</v>
      </c>
      <c r="J458" s="20" t="n">
        <v>0.5</v>
      </c>
      <c r="K458" s="20" t="n">
        <v>0.5238095238095238</v>
      </c>
      <c r="L458" s="19" t="n">
        <v>-0.2524482930032049</v>
      </c>
      <c r="M458" s="19" t="n">
        <v>-0.4819467411879366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OHIO @ NEB</t>
        </is>
      </c>
      <c r="C459" s="12" t="inlineStr">
        <is>
          <t>2026-09-05 16:00</t>
        </is>
      </c>
      <c r="D459" s="22" t="n">
        <v>1</v>
      </c>
      <c r="E459" s="12" t="inlineStr">
        <is>
          <t>ATS</t>
        </is>
      </c>
      <c r="F459" s="12" t="inlineStr">
        <is>
          <t>NEB -23.5</t>
        </is>
      </c>
      <c r="G459" s="23" t="n">
        <v>-23.5</v>
      </c>
      <c r="H459" s="13" t="n">
        <v>-115</v>
      </c>
      <c r="I459" s="15" t="n">
        <v>0.2809554203789388</v>
      </c>
      <c r="J459" s="15" t="n">
        <v>0.5108342361863488</v>
      </c>
      <c r="K459" s="15" t="n">
        <v>0.5348837209302325</v>
      </c>
      <c r="L459" s="14" t="n">
        <v>-0.2539283005512937</v>
      </c>
      <c r="M459" s="14" t="n">
        <v>-0.474735518421984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WIS @ ND</t>
        </is>
      </c>
      <c r="C460" s="17" t="inlineStr">
        <is>
          <t>2026-09-06 23:30</t>
        </is>
      </c>
      <c r="D460" s="25" t="n">
        <v>1</v>
      </c>
      <c r="E460" s="17" t="inlineStr">
        <is>
          <t>ATS</t>
        </is>
      </c>
      <c r="F460" s="17" t="inlineStr">
        <is>
          <t>ND -20.5</t>
        </is>
      </c>
      <c r="G460" s="26" t="n">
        <v>-20.5</v>
      </c>
      <c r="H460" s="18" t="n">
        <v>-115</v>
      </c>
      <c r="I460" s="20" t="n">
        <v>0.2801972900138555</v>
      </c>
      <c r="J460" s="20" t="n">
        <v>0.5108342361863488</v>
      </c>
      <c r="K460" s="20" t="n">
        <v>0.5348837209302325</v>
      </c>
      <c r="L460" s="19" t="n">
        <v>-0.254686430916377</v>
      </c>
      <c r="M460" s="19" t="n">
        <v>-0.4761528925827919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ULM @ MSST</t>
        </is>
      </c>
      <c r="C461" s="12" t="inlineStr">
        <is>
          <t>2026-09-05 23:30</t>
        </is>
      </c>
      <c r="D461" s="22" t="n">
        <v>1</v>
      </c>
      <c r="E461" s="12" t="inlineStr">
        <is>
          <t>ATS</t>
        </is>
      </c>
      <c r="F461" s="12" t="inlineStr">
        <is>
          <t>MSST -28.5</t>
        </is>
      </c>
      <c r="G461" s="23" t="n">
        <v>-28.5</v>
      </c>
      <c r="H461" s="13" t="n">
        <v>-105</v>
      </c>
      <c r="I461" s="15" t="n">
        <v>0.2556524318252132</v>
      </c>
      <c r="J461" s="15" t="n">
        <v>0.4891657638136511</v>
      </c>
      <c r="K461" s="15" t="n">
        <v>0.5121951219512195</v>
      </c>
      <c r="L461" s="14" t="n">
        <v>-0.2565426901260063</v>
      </c>
      <c r="M461" s="14" t="n">
        <v>-0.5008690616745837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MRSH @ PSU</t>
        </is>
      </c>
      <c r="C462" s="17" t="inlineStr">
        <is>
          <t>2026-09-05 19:30</t>
        </is>
      </c>
      <c r="D462" s="25" t="n">
        <v>1</v>
      </c>
      <c r="E462" s="17" t="inlineStr">
        <is>
          <t>ATS</t>
        </is>
      </c>
      <c r="F462" s="17" t="inlineStr">
        <is>
          <t>PSU -23.5</t>
        </is>
      </c>
      <c r="G462" s="26" t="n">
        <v>-23.5</v>
      </c>
      <c r="H462" s="18" t="n">
        <v>-118</v>
      </c>
      <c r="I462" s="20" t="n">
        <v>0.2842203651438994</v>
      </c>
      <c r="J462" s="20" t="n">
        <v>0.5173641257162701</v>
      </c>
      <c r="K462" s="20" t="n">
        <v>0.5412844036697247</v>
      </c>
      <c r="L462" s="19" t="n">
        <v>-0.2570640385258253</v>
      </c>
      <c r="M462" s="19" t="n">
        <v>-0.4749149186324569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ORE @ OKST</t>
        </is>
      </c>
      <c r="C463" s="12" t="inlineStr">
        <is>
          <t>2026-09-12 16:00</t>
        </is>
      </c>
      <c r="D463" s="22" t="n">
        <v>2</v>
      </c>
      <c r="E463" s="12" t="inlineStr">
        <is>
          <t>ATS</t>
        </is>
      </c>
      <c r="F463" s="12" t="inlineStr">
        <is>
          <t>ORE -18.5</t>
        </is>
      </c>
      <c r="G463" s="23" t="n">
        <v>18.5</v>
      </c>
      <c r="H463" s="13" t="n">
        <v>-115</v>
      </c>
      <c r="I463" s="15" t="n">
        <v>0.2751928395003502</v>
      </c>
      <c r="J463" s="15" t="n">
        <v>0.5108342361863488</v>
      </c>
      <c r="K463" s="15" t="n">
        <v>0.5348837209302325</v>
      </c>
      <c r="L463" s="14" t="n">
        <v>-0.2596908814298823</v>
      </c>
      <c r="M463" s="14" t="n">
        <v>-0.4855090391949974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FAU @ FLA</t>
        </is>
      </c>
      <c r="C464" s="17" t="inlineStr">
        <is>
          <t>2026-09-05 23:45</t>
        </is>
      </c>
      <c r="D464" s="25" t="n">
        <v>1</v>
      </c>
      <c r="E464" s="17" t="inlineStr">
        <is>
          <t>ATS</t>
        </is>
      </c>
      <c r="F464" s="17" t="inlineStr">
        <is>
          <t>FLA -26.5</t>
        </is>
      </c>
      <c r="G464" s="26" t="n">
        <v>-26.5</v>
      </c>
      <c r="H464" s="18" t="n">
        <v>-112</v>
      </c>
      <c r="I464" s="20" t="n">
        <v>0.2679960517158539</v>
      </c>
      <c r="J464" s="20" t="n">
        <v>0.5043297540699688</v>
      </c>
      <c r="K464" s="20" t="n">
        <v>0.5283018867924528</v>
      </c>
      <c r="L464" s="19" t="n">
        <v>-0.2603058350765989</v>
      </c>
      <c r="M464" s="19" t="n">
        <v>-0.4927217592521336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MIA @ STAN</t>
        </is>
      </c>
      <c r="C465" s="12" t="inlineStr">
        <is>
          <t>2026-09-05 01:00</t>
        </is>
      </c>
      <c r="D465" s="22" t="n">
        <v>1</v>
      </c>
      <c r="E465" s="12" t="inlineStr">
        <is>
          <t>ATS</t>
        </is>
      </c>
      <c r="F465" s="12" t="inlineStr">
        <is>
          <t>MIA -24.5</t>
        </is>
      </c>
      <c r="G465" s="23" t="n">
        <v>24.5</v>
      </c>
      <c r="H465" s="13" t="n">
        <v>-105</v>
      </c>
      <c r="I465" s="15" t="n">
        <v>0.2517669980174511</v>
      </c>
      <c r="J465" s="15" t="n">
        <v>0.4891657638136511</v>
      </c>
      <c r="K465" s="15" t="n">
        <v>0.5121951219512195</v>
      </c>
      <c r="L465" s="14" t="n">
        <v>-0.2604281239337685</v>
      </c>
      <c r="M465" s="14" t="n">
        <v>-0.5084549086325956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raw model/market disagreement exceeds the safety limit</t>
        </is>
      </c>
    </row>
    <row r="466">
      <c r="A466" s="17" t="inlineStr">
        <is>
          <t>PASS</t>
        </is>
      </c>
      <c r="B466" s="17" t="inlineStr">
        <is>
          <t>NIU @ IOWA</t>
        </is>
      </c>
      <c r="C466" s="17" t="inlineStr">
        <is>
          <t>2026-09-05 20:15</t>
        </is>
      </c>
      <c r="D466" s="25" t="n">
        <v>1</v>
      </c>
      <c r="E466" s="17" t="inlineStr">
        <is>
          <t>ATS</t>
        </is>
      </c>
      <c r="F466" s="17" t="inlineStr">
        <is>
          <t>IOWA -31.5</t>
        </is>
      </c>
      <c r="G466" s="26" t="n">
        <v>-31.5</v>
      </c>
      <c r="H466" s="18" t="n">
        <v>-105</v>
      </c>
      <c r="I466" s="20" t="n">
        <v>0.2508684818688419</v>
      </c>
      <c r="J466" s="20" t="n">
        <v>0.4891657638136511</v>
      </c>
      <c r="K466" s="20" t="n">
        <v>0.5121951219512195</v>
      </c>
      <c r="L466" s="19" t="n">
        <v>-0.2613266400823776</v>
      </c>
      <c r="M466" s="19" t="n">
        <v>-0.5102091544465468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WMU @ MICH</t>
        </is>
      </c>
      <c r="C467" s="12" t="inlineStr">
        <is>
          <t>2026-09-05 23:30</t>
        </is>
      </c>
      <c r="D467" s="22" t="n">
        <v>1</v>
      </c>
      <c r="E467" s="12" t="inlineStr">
        <is>
          <t>ATS</t>
        </is>
      </c>
      <c r="F467" s="12" t="inlineStr">
        <is>
          <t>MICH -27.5</t>
        </is>
      </c>
      <c r="G467" s="23" t="n">
        <v>-27.5</v>
      </c>
      <c r="H467" s="13" t="n">
        <v>-112</v>
      </c>
      <c r="I467" s="15" t="n">
        <v>0.2656717788779273</v>
      </c>
      <c r="J467" s="15" t="n">
        <v>0.5043297540699688</v>
      </c>
      <c r="K467" s="15" t="n">
        <v>0.5283018867924528</v>
      </c>
      <c r="L467" s="14" t="n">
        <v>-0.2626301079145256</v>
      </c>
      <c r="M467" s="14" t="n">
        <v>-0.497121275695352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raw model/market disagreement exceeds the safety limit</t>
        </is>
      </c>
    </row>
    <row r="468">
      <c r="A468" s="17" t="inlineStr">
        <is>
          <t>PASS</t>
        </is>
      </c>
      <c r="B468" s="17" t="inlineStr">
        <is>
          <t>RGV @ UTSA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UTSA -28.5</t>
        </is>
      </c>
      <c r="G468" s="26" t="n">
        <v>-28.5</v>
      </c>
      <c r="H468" s="18" t="n">
        <v>-110</v>
      </c>
      <c r="I468" s="20" t="n">
        <v>0.2610695499183877</v>
      </c>
      <c r="J468" s="20" t="n">
        <v>0.5</v>
      </c>
      <c r="K468" s="20" t="n">
        <v>0.5238095238095238</v>
      </c>
      <c r="L468" s="19" t="n">
        <v>-0.2627399738911362</v>
      </c>
      <c r="M468" s="19" t="n">
        <v>-0.5015944956103507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RGV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TXST @ TEX</t>
        </is>
      </c>
      <c r="C469" s="12" t="inlineStr">
        <is>
          <t>2026-09-05 19:30</t>
        </is>
      </c>
      <c r="D469" s="22" t="n">
        <v>1</v>
      </c>
      <c r="E469" s="12" t="inlineStr">
        <is>
          <t>ATS</t>
        </is>
      </c>
      <c r="F469" s="12" t="inlineStr">
        <is>
          <t>TEX -29.5</t>
        </is>
      </c>
      <c r="G469" s="23" t="n">
        <v>-29.5</v>
      </c>
      <c r="H469" s="13" t="n">
        <v>-110</v>
      </c>
      <c r="I469" s="15" t="n">
        <v>0.2592443623204398</v>
      </c>
      <c r="J469" s="15" t="n">
        <v>0.5</v>
      </c>
      <c r="K469" s="15" t="n">
        <v>0.5238095238095238</v>
      </c>
      <c r="L469" s="14" t="n">
        <v>-0.264565161489084</v>
      </c>
      <c r="M469" s="14" t="n">
        <v>-0.5050789446609786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NAU @ ARIZ</t>
        </is>
      </c>
      <c r="C470" s="17" t="inlineStr">
        <is>
          <t>2026-09-06 01:30</t>
        </is>
      </c>
      <c r="D470" s="25" t="n">
        <v>1</v>
      </c>
      <c r="E470" s="17" t="inlineStr">
        <is>
          <t>ATS</t>
        </is>
      </c>
      <c r="F470" s="17" t="inlineStr">
        <is>
          <t>ARIZ -31.5</t>
        </is>
      </c>
      <c r="G470" s="26" t="n">
        <v>-31.5</v>
      </c>
      <c r="H470" s="18" t="n">
        <v>-108</v>
      </c>
      <c r="I470" s="20" t="n">
        <v>0.254120722927032</v>
      </c>
      <c r="J470" s="20" t="n">
        <v>0.4956702459300312</v>
      </c>
      <c r="K470" s="20" t="n">
        <v>0.5192307692307693</v>
      </c>
      <c r="L470" s="19" t="n">
        <v>-0.2651100463037373</v>
      </c>
      <c r="M470" s="19" t="n">
        <v>-0.5105823113997903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NAU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MERC @ NMSU</t>
        </is>
      </c>
      <c r="C471" s="12" t="inlineStr">
        <is>
          <t>2026-09-06 01:00</t>
        </is>
      </c>
      <c r="D471" s="22" t="n">
        <v>1</v>
      </c>
      <c r="E471" s="12" t="inlineStr">
        <is>
          <t>ATS</t>
        </is>
      </c>
      <c r="F471" s="12" t="inlineStr">
        <is>
          <t>NMSU -28.5</t>
        </is>
      </c>
      <c r="G471" s="23" t="n">
        <v>-28.5</v>
      </c>
      <c r="H471" s="13" t="n">
        <v>-112</v>
      </c>
      <c r="I471" s="15" t="n">
        <v>0.2629770093757819</v>
      </c>
      <c r="J471" s="15" t="n">
        <v>0.5043297540699688</v>
      </c>
      <c r="K471" s="15" t="n">
        <v>0.5283018867924528</v>
      </c>
      <c r="L471" s="14" t="n">
        <v>-0.2653248774166709</v>
      </c>
      <c r="M471" s="14" t="n">
        <v>-0.5022220893958413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MERC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MVSU @ SAC</t>
        </is>
      </c>
      <c r="C472" s="17" t="inlineStr">
        <is>
          <t>2026-09-06 02:00</t>
        </is>
      </c>
      <c r="D472" s="25" t="n">
        <v>1</v>
      </c>
      <c r="E472" s="17" t="inlineStr">
        <is>
          <t>ATS</t>
        </is>
      </c>
      <c r="F472" s="17" t="inlineStr">
        <is>
          <t>SAC -37.5</t>
        </is>
      </c>
      <c r="G472" s="26" t="n">
        <v>-37.5</v>
      </c>
      <c r="H472" s="18" t="n">
        <v>-108</v>
      </c>
      <c r="I472" s="20" t="n">
        <v>0.2496947242190116</v>
      </c>
      <c r="J472" s="20" t="n">
        <v>0.4956702459300312</v>
      </c>
      <c r="K472" s="20" t="n">
        <v>0.5192307692307693</v>
      </c>
      <c r="L472" s="19" t="n">
        <v>-0.2695360450117577</v>
      </c>
      <c r="M472" s="19" t="n">
        <v>-0.5191064570596813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MVSU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NCAT @ GAST</t>
        </is>
      </c>
      <c r="C473" s="12" t="inlineStr">
        <is>
          <t>2026-09-04 23:00</t>
        </is>
      </c>
      <c r="D473" s="22" t="n">
        <v>1</v>
      </c>
      <c r="E473" s="12" t="inlineStr">
        <is>
          <t>ATS</t>
        </is>
      </c>
      <c r="F473" s="12" t="inlineStr">
        <is>
          <t>GAST -29.5</t>
        </is>
      </c>
      <c r="G473" s="23" t="n">
        <v>-29.5</v>
      </c>
      <c r="H473" s="13" t="n">
        <v>-115</v>
      </c>
      <c r="I473" s="15" t="n">
        <v>0.2646614804136142</v>
      </c>
      <c r="J473" s="15" t="n">
        <v>0.5108342361863488</v>
      </c>
      <c r="K473" s="15" t="n">
        <v>0.5348837209302325</v>
      </c>
      <c r="L473" s="14" t="n">
        <v>-0.2702222405166183</v>
      </c>
      <c r="M473" s="14" t="n">
        <v>-0.5051981018354169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NCAT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SEMO @ ISU</t>
        </is>
      </c>
      <c r="C474" s="17" t="inlineStr">
        <is>
          <t>2026-09-05 17:00</t>
        </is>
      </c>
      <c r="D474" s="25" t="n">
        <v>1</v>
      </c>
      <c r="E474" s="17" t="inlineStr">
        <is>
          <t>ATS</t>
        </is>
      </c>
      <c r="F474" s="17" t="inlineStr">
        <is>
          <t>ISU -29.5</t>
        </is>
      </c>
      <c r="G474" s="26" t="n">
        <v>-29.5</v>
      </c>
      <c r="H474" s="18" t="n">
        <v>-115</v>
      </c>
      <c r="I474" s="20" t="n">
        <v>0.2646614804136142</v>
      </c>
      <c r="J474" s="20" t="n">
        <v>0.5108342361863488</v>
      </c>
      <c r="K474" s="20" t="n">
        <v>0.5348837209302325</v>
      </c>
      <c r="L474" s="19" t="n">
        <v>-0.2702222405166183</v>
      </c>
      <c r="M474" s="19" t="n">
        <v>-0.5051981018354169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SEMO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UNT @ IU</t>
        </is>
      </c>
      <c r="C475" s="12" t="inlineStr">
        <is>
          <t>2026-09-05 16:00</t>
        </is>
      </c>
      <c r="D475" s="22" t="n">
        <v>1</v>
      </c>
      <c r="E475" s="12" t="inlineStr">
        <is>
          <t>ATS</t>
        </is>
      </c>
      <c r="F475" s="12" t="inlineStr">
        <is>
          <t>IU -40.5</t>
        </is>
      </c>
      <c r="G475" s="23" t="n">
        <v>-40.5</v>
      </c>
      <c r="H475" s="13" t="n">
        <v>-108</v>
      </c>
      <c r="I475" s="15" t="n">
        <v>0.2487131496153402</v>
      </c>
      <c r="J475" s="15" t="n">
        <v>0.4956702459300312</v>
      </c>
      <c r="K475" s="15" t="n">
        <v>0.5192307692307693</v>
      </c>
      <c r="L475" s="14" t="n">
        <v>-0.2705176196154291</v>
      </c>
      <c r="M475" s="14" t="n">
        <v>-0.5209968970371226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FOR @ NDSU</t>
        </is>
      </c>
      <c r="C476" s="17" t="inlineStr">
        <is>
          <t>2026-09-05 19:30</t>
        </is>
      </c>
      <c r="D476" s="25" t="n">
        <v>1</v>
      </c>
      <c r="E476" s="17" t="inlineStr">
        <is>
          <t>ATS</t>
        </is>
      </c>
      <c r="F476" s="17" t="inlineStr">
        <is>
          <t>NDSU -41.5</t>
        </is>
      </c>
      <c r="G476" s="26" t="n">
        <v>-41.5</v>
      </c>
      <c r="H476" s="18" t="n">
        <v>-108</v>
      </c>
      <c r="I476" s="20" t="n">
        <v>0.2486324718780025</v>
      </c>
      <c r="J476" s="20" t="n">
        <v>0.4956702459300312</v>
      </c>
      <c r="K476" s="20" t="n">
        <v>0.5192307692307693</v>
      </c>
      <c r="L476" s="19" t="n">
        <v>-0.2705982973527667</v>
      </c>
      <c r="M476" s="19" t="n">
        <v>-0.5211522763831062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FOR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INST @ PUR</t>
        </is>
      </c>
      <c r="C477" s="12" t="inlineStr">
        <is>
          <t>2026-09-04 23:00</t>
        </is>
      </c>
      <c r="D477" s="22" t="n">
        <v>1</v>
      </c>
      <c r="E477" s="12" t="inlineStr">
        <is>
          <t>ATS</t>
        </is>
      </c>
      <c r="F477" s="12" t="inlineStr">
        <is>
          <t>PUR -35.5</t>
        </is>
      </c>
      <c r="G477" s="23" t="n">
        <v>-35.5</v>
      </c>
      <c r="H477" s="13" t="n">
        <v>-110</v>
      </c>
      <c r="I477" s="15" t="n">
        <v>0.2527659717738989</v>
      </c>
      <c r="J477" s="15" t="n">
        <v>0.5</v>
      </c>
      <c r="K477" s="15" t="n">
        <v>0.5238095238095238</v>
      </c>
      <c r="L477" s="14" t="n">
        <v>-0.2710435520356249</v>
      </c>
      <c r="M477" s="14" t="n">
        <v>-0.5174467811589202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INST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BALL @ OSU</t>
        </is>
      </c>
      <c r="C478" s="17" t="inlineStr">
        <is>
          <t>2026-09-05 16:30</t>
        </is>
      </c>
      <c r="D478" s="25" t="n">
        <v>1</v>
      </c>
      <c r="E478" s="17" t="inlineStr">
        <is>
          <t>ATS</t>
        </is>
      </c>
      <c r="F478" s="17" t="inlineStr">
        <is>
          <t>OSU -50.5</t>
        </is>
      </c>
      <c r="G478" s="26" t="n">
        <v>-50.5</v>
      </c>
      <c r="H478" s="18" t="n">
        <v>-108</v>
      </c>
      <c r="I478" s="20" t="n">
        <v>0.2478936608625838</v>
      </c>
      <c r="J478" s="20" t="n">
        <v>0.4956702459300312</v>
      </c>
      <c r="K478" s="20" t="n">
        <v>0.5192307692307693</v>
      </c>
      <c r="L478" s="19" t="n">
        <v>-0.2713371083681855</v>
      </c>
      <c r="M478" s="19" t="n">
        <v>-0.5225751716720608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TOW @ NAVY</t>
        </is>
      </c>
      <c r="C479" s="12" t="inlineStr">
        <is>
          <t>2026-09-05 19:30</t>
        </is>
      </c>
      <c r="D479" s="22" t="n">
        <v>1</v>
      </c>
      <c r="E479" s="12" t="inlineStr">
        <is>
          <t>ATS</t>
        </is>
      </c>
      <c r="F479" s="12" t="inlineStr">
        <is>
          <t>NAVY -30.5</t>
        </is>
      </c>
      <c r="G479" s="23" t="n">
        <v>-30.5</v>
      </c>
      <c r="H479" s="13" t="n">
        <v>-115</v>
      </c>
      <c r="I479" s="15" t="n">
        <v>0.2630989631367459</v>
      </c>
      <c r="J479" s="15" t="n">
        <v>0.5108342361863488</v>
      </c>
      <c r="K479" s="15" t="n">
        <v>0.5348837209302325</v>
      </c>
      <c r="L479" s="14" t="n">
        <v>-0.2717847577934867</v>
      </c>
      <c r="M479" s="14" t="n">
        <v>-0.508119329787823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TOW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UNH @ SYR</t>
        </is>
      </c>
      <c r="C480" s="17" t="inlineStr">
        <is>
          <t>2026-09-05 16:00</t>
        </is>
      </c>
      <c r="D480" s="25" t="n">
        <v>1</v>
      </c>
      <c r="E480" s="17" t="inlineStr">
        <is>
          <t>ATS</t>
        </is>
      </c>
      <c r="F480" s="17" t="inlineStr">
        <is>
          <t>SYR -33.5</t>
        </is>
      </c>
      <c r="G480" s="26" t="n">
        <v>-33.5</v>
      </c>
      <c r="H480" s="18" t="n">
        <v>-112</v>
      </c>
      <c r="I480" s="20" t="n">
        <v>0.2563793375245004</v>
      </c>
      <c r="J480" s="20" t="n">
        <v>0.5043297540699688</v>
      </c>
      <c r="K480" s="20" t="n">
        <v>0.5283018867924528</v>
      </c>
      <c r="L480" s="19" t="n">
        <v>-0.2719225492679525</v>
      </c>
      <c r="M480" s="19" t="n">
        <v>-0.5147105396857672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UNH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UNA @ ARK</t>
        </is>
      </c>
      <c r="C481" s="12" t="inlineStr">
        <is>
          <t>2026-09-05 20:15</t>
        </is>
      </c>
      <c r="D481" s="22" t="n">
        <v>1</v>
      </c>
      <c r="E481" s="12" t="inlineStr">
        <is>
          <t>ATS</t>
        </is>
      </c>
      <c r="F481" s="12" t="inlineStr">
        <is>
          <t>ARK -40.5</t>
        </is>
      </c>
      <c r="G481" s="23" t="n">
        <v>-40.5</v>
      </c>
      <c r="H481" s="13" t="n">
        <v>-110</v>
      </c>
      <c r="I481" s="15" t="n">
        <v>0.2508780266503246</v>
      </c>
      <c r="J481" s="15" t="n">
        <v>0.5</v>
      </c>
      <c r="K481" s="15" t="n">
        <v>0.5238095238095238</v>
      </c>
      <c r="L481" s="14" t="n">
        <v>-0.2729314971591992</v>
      </c>
      <c r="M481" s="14" t="n">
        <v>-0.5210510400311985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UNA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MOST @ TA&amp;M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TA&amp;M -40.5</t>
        </is>
      </c>
      <c r="G482" s="26" t="n">
        <v>-40.5</v>
      </c>
      <c r="H482" s="18" t="n">
        <v>-110</v>
      </c>
      <c r="I482" s="20" t="n">
        <v>0.2508780266503246</v>
      </c>
      <c r="J482" s="20" t="n">
        <v>0.5</v>
      </c>
      <c r="K482" s="20" t="n">
        <v>0.5238095238095238</v>
      </c>
      <c r="L482" s="19" t="n">
        <v>-0.2729314971591992</v>
      </c>
      <c r="M482" s="19" t="n">
        <v>-0.5210510400311985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KENT @ SC</t>
        </is>
      </c>
      <c r="C483" s="12" t="inlineStr">
        <is>
          <t>2026-09-05 16:45</t>
        </is>
      </c>
      <c r="D483" s="22" t="n">
        <v>1</v>
      </c>
      <c r="E483" s="12" t="inlineStr">
        <is>
          <t>ATS</t>
        </is>
      </c>
      <c r="F483" s="12" t="inlineStr">
        <is>
          <t>SC -35.5</t>
        </is>
      </c>
      <c r="G483" s="23" t="n">
        <v>-35.5</v>
      </c>
      <c r="H483" s="13" t="n">
        <v>-112</v>
      </c>
      <c r="I483" s="15" t="n">
        <v>0.2549308488088833</v>
      </c>
      <c r="J483" s="15" t="n">
        <v>0.5043297540699688</v>
      </c>
      <c r="K483" s="15" t="n">
        <v>0.5283018867924528</v>
      </c>
      <c r="L483" s="14" t="n">
        <v>-0.2733710379835695</v>
      </c>
      <c r="M483" s="14" t="n">
        <v>-0.5174523218974709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DUQ @ AFA</t>
        </is>
      </c>
      <c r="C484" s="17" t="inlineStr">
        <is>
          <t>2026-09-05 17:00</t>
        </is>
      </c>
      <c r="D484" s="25" t="n">
        <v>1</v>
      </c>
      <c r="E484" s="17" t="inlineStr">
        <is>
          <t>ATS</t>
        </is>
      </c>
      <c r="F484" s="17" t="inlineStr">
        <is>
          <t>AFA -28.5</t>
        </is>
      </c>
      <c r="G484" s="26" t="n">
        <v>-28.5</v>
      </c>
      <c r="H484" s="18" t="n">
        <v>-120</v>
      </c>
      <c r="I484" s="20" t="n">
        <v>0.271939115135779</v>
      </c>
      <c r="J484" s="20" t="n">
        <v>0.5217391304347826</v>
      </c>
      <c r="K484" s="20" t="n">
        <v>0.5454545454545454</v>
      </c>
      <c r="L484" s="19" t="n">
        <v>-0.2735154303187665</v>
      </c>
      <c r="M484" s="19" t="n">
        <v>-0.5014449555844052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DUQ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HAMP @ MD</t>
        </is>
      </c>
      <c r="C485" s="12" t="inlineStr">
        <is>
          <t>2026-09-06 00:00</t>
        </is>
      </c>
      <c r="D485" s="22" t="n">
        <v>1</v>
      </c>
      <c r="E485" s="12" t="inlineStr">
        <is>
          <t>ATS</t>
        </is>
      </c>
      <c r="F485" s="12" t="inlineStr">
        <is>
          <t>MD -45.5</t>
        </is>
      </c>
      <c r="G485" s="23" t="n">
        <v>-45.5</v>
      </c>
      <c r="H485" s="13" t="n">
        <v>-110</v>
      </c>
      <c r="I485" s="15" t="n">
        <v>0.2502430398841126</v>
      </c>
      <c r="J485" s="15" t="n">
        <v>0.5</v>
      </c>
      <c r="K485" s="15" t="n">
        <v>0.5238095238095238</v>
      </c>
      <c r="L485" s="14" t="n">
        <v>-0.2735664839254113</v>
      </c>
      <c r="M485" s="14" t="n">
        <v>-0.5222632874939669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HAMP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TNST @ UGA</t>
        </is>
      </c>
      <c r="C486" s="17" t="inlineStr">
        <is>
          <t>2026-09-05 19:00</t>
        </is>
      </c>
      <c r="D486" s="25" t="n">
        <v>1</v>
      </c>
      <c r="E486" s="17" t="inlineStr">
        <is>
          <t>ATS</t>
        </is>
      </c>
      <c r="F486" s="17" t="inlineStr">
        <is>
          <t>UGA -46.5</t>
        </is>
      </c>
      <c r="G486" s="26" t="n">
        <v>-46.5</v>
      </c>
      <c r="H486" s="18" t="n">
        <v>-110</v>
      </c>
      <c r="I486" s="20" t="n">
        <v>0.2501848817433676</v>
      </c>
      <c r="J486" s="20" t="n">
        <v>0.5</v>
      </c>
      <c r="K486" s="20" t="n">
        <v>0.5238095238095238</v>
      </c>
      <c r="L486" s="19" t="n">
        <v>-0.2736246420661563</v>
      </c>
      <c r="M486" s="19" t="n">
        <v>-0.5223743166717527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TNST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UTU @ BYU</t>
        </is>
      </c>
      <c r="C487" s="12" t="inlineStr">
        <is>
          <t>2026-09-06 00:00</t>
        </is>
      </c>
      <c r="D487" s="22" t="n">
        <v>1</v>
      </c>
      <c r="E487" s="12" t="inlineStr">
        <is>
          <t>ATS</t>
        </is>
      </c>
      <c r="F487" s="12" t="inlineStr">
        <is>
          <t>BYU -51.5</t>
        </is>
      </c>
      <c r="G487" s="23" t="n">
        <v>-51.5</v>
      </c>
      <c r="H487" s="13" t="n">
        <v>-110</v>
      </c>
      <c r="I487" s="15" t="n">
        <v>0.2500432950160201</v>
      </c>
      <c r="J487" s="15" t="n">
        <v>0.5</v>
      </c>
      <c r="K487" s="15" t="n">
        <v>0.5238095238095238</v>
      </c>
      <c r="L487" s="14" t="n">
        <v>-0.2737662287935037</v>
      </c>
      <c r="M487" s="14" t="n">
        <v>-0.5226446186057798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UTU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BRY @ ARMY</t>
        </is>
      </c>
      <c r="C488" s="17" t="inlineStr">
        <is>
          <t>2026-09-05 16:00</t>
        </is>
      </c>
      <c r="D488" s="25" t="n">
        <v>1</v>
      </c>
      <c r="E488" s="17" t="inlineStr">
        <is>
          <t>ATS</t>
        </is>
      </c>
      <c r="F488" s="17" t="inlineStr">
        <is>
          <t>ARMY -36.5</t>
        </is>
      </c>
      <c r="G488" s="26" t="n">
        <v>-36.5</v>
      </c>
      <c r="H488" s="18" t="n">
        <v>-112</v>
      </c>
      <c r="I488" s="20" t="n">
        <v>0.25438764456367</v>
      </c>
      <c r="J488" s="20" t="n">
        <v>0.5043297540699688</v>
      </c>
      <c r="K488" s="20" t="n">
        <v>0.5283018867924528</v>
      </c>
      <c r="L488" s="19" t="n">
        <v>-0.2739142422287829</v>
      </c>
      <c r="M488" s="19" t="n">
        <v>-0.5184805299330534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BRY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UTEP @ OU</t>
        </is>
      </c>
      <c r="C489" s="12" t="inlineStr">
        <is>
          <t>2026-09-05 00:00</t>
        </is>
      </c>
      <c r="D489" s="22" t="n">
        <v>1</v>
      </c>
      <c r="E489" s="12" t="inlineStr">
        <is>
          <t>ATS</t>
        </is>
      </c>
      <c r="F489" s="12" t="inlineStr">
        <is>
          <t>OU -40.5</t>
        </is>
      </c>
      <c r="G489" s="23" t="n">
        <v>-40.5</v>
      </c>
      <c r="H489" s="13" t="n">
        <v>-110</v>
      </c>
      <c r="I489" s="15" t="n">
        <v>0.2498105629440906</v>
      </c>
      <c r="J489" s="15" t="n">
        <v>0.497865072587532</v>
      </c>
      <c r="K489" s="15" t="n">
        <v>0.5238095238095238</v>
      </c>
      <c r="L489" s="14" t="n">
        <v>-0.2739989608654332</v>
      </c>
      <c r="M489" s="14" t="n">
        <v>-0.5230889252885542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ACU @ TTU</t>
        </is>
      </c>
      <c r="C490" s="17" t="inlineStr">
        <is>
          <t>2026-09-05 23:00</t>
        </is>
      </c>
      <c r="D490" s="25" t="n">
        <v>1</v>
      </c>
      <c r="E490" s="17" t="inlineStr">
        <is>
          <t>ATS</t>
        </is>
      </c>
      <c r="F490" s="17" t="inlineStr">
        <is>
          <t>TTU -42.5</t>
        </is>
      </c>
      <c r="G490" s="26" t="n">
        <v>-42.5</v>
      </c>
      <c r="H490" s="18" t="n">
        <v>-112</v>
      </c>
      <c r="I490" s="20" t="n">
        <v>0.252698905979324</v>
      </c>
      <c r="J490" s="20" t="n">
        <v>0.5043297540699688</v>
      </c>
      <c r="K490" s="20" t="n">
        <v>0.5283018867924528</v>
      </c>
      <c r="L490" s="19" t="n">
        <v>-0.2756029808131288</v>
      </c>
      <c r="M490" s="19" t="n">
        <v>-0.5216770708248508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ACU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ORE @ OKST</t>
        </is>
      </c>
      <c r="C491" s="12" t="inlineStr">
        <is>
          <t>2026-09-12 16:00</t>
        </is>
      </c>
      <c r="D491" s="22" t="n">
        <v>2</v>
      </c>
      <c r="E491" s="12" t="inlineStr">
        <is>
          <t>ML</t>
        </is>
      </c>
      <c r="F491" s="12" t="inlineStr">
        <is>
          <t>ORE ML</t>
        </is>
      </c>
      <c r="G491" s="23" t="n"/>
      <c r="H491" s="13" t="n">
        <v>-1200</v>
      </c>
      <c r="I491" s="15" t="n">
        <v>0.6472175433045027</v>
      </c>
      <c r="J491" s="15" t="n">
        <v>0.8869565217391304</v>
      </c>
      <c r="K491" s="15" t="n">
        <v>0.9230769230769231</v>
      </c>
      <c r="L491" s="14" t="n">
        <v>-0.2758593797724205</v>
      </c>
      <c r="M491" s="14" t="n">
        <v>-0.2988476614201222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price outside allowed range</t>
        </is>
      </c>
    </row>
    <row r="492">
      <c r="A492" s="17" t="inlineStr">
        <is>
          <t>PASS</t>
        </is>
      </c>
      <c r="B492" s="17" t="inlineStr">
        <is>
          <t>VMI @ VT</t>
        </is>
      </c>
      <c r="C492" s="17" t="inlineStr">
        <is>
          <t>2026-09-05 23:30</t>
        </is>
      </c>
      <c r="D492" s="25" t="n">
        <v>1</v>
      </c>
      <c r="E492" s="17" t="inlineStr">
        <is>
          <t>ATS</t>
        </is>
      </c>
      <c r="F492" s="17" t="inlineStr">
        <is>
          <t>VT -55.5</t>
        </is>
      </c>
      <c r="G492" s="26" t="n">
        <v>-55.5</v>
      </c>
      <c r="H492" s="18" t="n">
        <v>-112</v>
      </c>
      <c r="I492" s="20" t="n">
        <v>0.2521771037686676</v>
      </c>
      <c r="J492" s="20" t="n">
        <v>0.5043297540699688</v>
      </c>
      <c r="K492" s="20" t="n">
        <v>0.5283018867924528</v>
      </c>
      <c r="L492" s="19" t="n">
        <v>-0.2761247830237852</v>
      </c>
      <c r="M492" s="19" t="n">
        <v>-0.5226647678664506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VMI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NORF @ ODU</t>
        </is>
      </c>
      <c r="C493" s="12" t="inlineStr">
        <is>
          <t>2026-09-05 22:00</t>
        </is>
      </c>
      <c r="D493" s="22" t="n">
        <v>1</v>
      </c>
      <c r="E493" s="12" t="inlineStr">
        <is>
          <t>ATS</t>
        </is>
      </c>
      <c r="F493" s="12" t="inlineStr">
        <is>
          <t>ODU -40.5</t>
        </is>
      </c>
      <c r="G493" s="23" t="n">
        <v>-40.5</v>
      </c>
      <c r="H493" s="13" t="n">
        <v>-115</v>
      </c>
      <c r="I493" s="15" t="n">
        <v>0.256295144743499</v>
      </c>
      <c r="J493" s="15" t="n">
        <v>0.5108342361863488</v>
      </c>
      <c r="K493" s="15" t="n">
        <v>0.5348837209302325</v>
      </c>
      <c r="L493" s="14" t="n">
        <v>-0.2785885761867335</v>
      </c>
      <c r="M493" s="14" t="n">
        <v>-0.5208395120012845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NORF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NICH @ KSU</t>
        </is>
      </c>
      <c r="C494" s="17" t="inlineStr">
        <is>
          <t>2026-09-05 23:00</t>
        </is>
      </c>
      <c r="D494" s="25" t="n">
        <v>1</v>
      </c>
      <c r="E494" s="17" t="inlineStr">
        <is>
          <t>ATS</t>
        </is>
      </c>
      <c r="F494" s="17" t="inlineStr">
        <is>
          <t>KSU -40.5</t>
        </is>
      </c>
      <c r="G494" s="26" t="n">
        <v>-40.5</v>
      </c>
      <c r="H494" s="18" t="n">
        <v>-115</v>
      </c>
      <c r="I494" s="20" t="n">
        <v>0.256295144743499</v>
      </c>
      <c r="J494" s="20" t="n">
        <v>0.5108342361863488</v>
      </c>
      <c r="K494" s="20" t="n">
        <v>0.5348837209302325</v>
      </c>
      <c r="L494" s="19" t="n">
        <v>-0.2785885761867335</v>
      </c>
      <c r="M494" s="19" t="n">
        <v>-0.5208395120012845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NICH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PRST @ SDSU</t>
        </is>
      </c>
      <c r="C495" s="12" t="inlineStr">
        <is>
          <t>2026-09-06 01:30</t>
        </is>
      </c>
      <c r="D495" s="22" t="n">
        <v>1</v>
      </c>
      <c r="E495" s="12" t="inlineStr">
        <is>
          <t>ATS</t>
        </is>
      </c>
      <c r="F495" s="12" t="inlineStr">
        <is>
          <t>SDSU -40.5</t>
        </is>
      </c>
      <c r="G495" s="23" t="n">
        <v>-40.5</v>
      </c>
      <c r="H495" s="13" t="n">
        <v>-115</v>
      </c>
      <c r="I495" s="15" t="n">
        <v>0.256295144743499</v>
      </c>
      <c r="J495" s="15" t="n">
        <v>0.5108342361863488</v>
      </c>
      <c r="K495" s="15" t="n">
        <v>0.5348837209302325</v>
      </c>
      <c r="L495" s="14" t="n">
        <v>-0.2785885761867335</v>
      </c>
      <c r="M495" s="14" t="n">
        <v>-0.5208395120012845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PRST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MORG @ ASU</t>
        </is>
      </c>
      <c r="C496" s="17" t="inlineStr">
        <is>
          <t>2026-09-06 02:00</t>
        </is>
      </c>
      <c r="D496" s="25" t="n">
        <v>1</v>
      </c>
      <c r="E496" s="17" t="inlineStr">
        <is>
          <t>ATS</t>
        </is>
      </c>
      <c r="F496" s="17" t="inlineStr">
        <is>
          <t>ASU -43.5</t>
        </is>
      </c>
      <c r="G496" s="26" t="n">
        <v>-43.5</v>
      </c>
      <c r="H496" s="18" t="n">
        <v>-115</v>
      </c>
      <c r="I496" s="20" t="n">
        <v>0.2558301710712098</v>
      </c>
      <c r="J496" s="20" t="n">
        <v>0.5108342361863488</v>
      </c>
      <c r="K496" s="20" t="n">
        <v>0.5348837209302325</v>
      </c>
      <c r="L496" s="19" t="n">
        <v>-0.2790535498590228</v>
      </c>
      <c r="M496" s="19" t="n">
        <v>-0.5217088106059992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MORG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NWST @ LT</t>
        </is>
      </c>
      <c r="C497" s="12" t="inlineStr">
        <is>
          <t>2026-09-05 23:30</t>
        </is>
      </c>
      <c r="D497" s="22" t="n">
        <v>1</v>
      </c>
      <c r="E497" s="12" t="inlineStr">
        <is>
          <t>ATS</t>
        </is>
      </c>
      <c r="F497" s="12" t="inlineStr">
        <is>
          <t>LT -44.5</t>
        </is>
      </c>
      <c r="G497" s="23" t="n">
        <v>-44.5</v>
      </c>
      <c r="H497" s="13" t="n">
        <v>-115</v>
      </c>
      <c r="I497" s="15" t="n">
        <v>0.2557348389270512</v>
      </c>
      <c r="J497" s="15" t="n">
        <v>0.5108342361863488</v>
      </c>
      <c r="K497" s="15" t="n">
        <v>0.5348837209302325</v>
      </c>
      <c r="L497" s="14" t="n">
        <v>-0.2791488820031813</v>
      </c>
      <c r="M497" s="14" t="n">
        <v>-0.5218870402668172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NWST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FUR @ TENN</t>
        </is>
      </c>
      <c r="C498" s="17" t="inlineStr">
        <is>
          <t>2026-09-05 19:30</t>
        </is>
      </c>
      <c r="D498" s="25" t="n">
        <v>1</v>
      </c>
      <c r="E498" s="17" t="inlineStr">
        <is>
          <t>ATS</t>
        </is>
      </c>
      <c r="F498" s="17" t="inlineStr">
        <is>
          <t>TENN -46.5</t>
        </is>
      </c>
      <c r="G498" s="26" t="n">
        <v>-46.5</v>
      </c>
      <c r="H498" s="18" t="n">
        <v>-118</v>
      </c>
      <c r="I498" s="20" t="n">
        <v>0.2588669446015026</v>
      </c>
      <c r="J498" s="20" t="n">
        <v>0.5173641257162701</v>
      </c>
      <c r="K498" s="20" t="n">
        <v>0.5412844036697247</v>
      </c>
      <c r="L498" s="19" t="n">
        <v>-0.2824174590682221</v>
      </c>
      <c r="M498" s="19" t="n">
        <v>-0.5217542887870545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FUR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LIU @ KU</t>
        </is>
      </c>
      <c r="C499" s="12" t="inlineStr">
        <is>
          <t>2026-09-05 00:00</t>
        </is>
      </c>
      <c r="D499" s="22" t="n">
        <v>1</v>
      </c>
      <c r="E499" s="12" t="inlineStr">
        <is>
          <t>ATS</t>
        </is>
      </c>
      <c r="F499" s="12" t="inlineStr">
        <is>
          <t>KU -41.5</t>
        </is>
      </c>
      <c r="G499" s="23" t="n">
        <v>-41.5</v>
      </c>
      <c r="H499" s="13" t="n">
        <v>-122</v>
      </c>
      <c r="I499" s="15" t="n">
        <v>0.2637299337033743</v>
      </c>
      <c r="J499" s="15" t="n">
        <v>0.5260865852617197</v>
      </c>
      <c r="K499" s="15" t="n">
        <v>0.5495495495495496</v>
      </c>
      <c r="L499" s="14" t="n">
        <v>-0.2858196158461753</v>
      </c>
      <c r="M499" s="14" t="n">
        <v>-0.5200979894905813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LIU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-3200</v>
      </c>
      <c r="I500" s="20" t="n">
        <v>0.6750911319089762</v>
      </c>
      <c r="J500" s="20" t="n">
        <v>0.9356725146198831</v>
      </c>
      <c r="K500" s="20" t="n">
        <v>0.9696969696969697</v>
      </c>
      <c r="L500" s="19" t="n">
        <v>-0.2946058377879935</v>
      </c>
      <c r="M500" s="19" t="n">
        <v>-0.3038122702188683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ML</t>
        </is>
      </c>
      <c r="D8" s="12" t="inlineStr">
        <is>
          <t>ISU ML</t>
        </is>
      </c>
      <c r="E8" s="13" t="n">
        <v>550</v>
      </c>
      <c r="F8" s="16" t="n">
        <v>19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0.128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ISU @ IOWA</t>
        </is>
      </c>
      <c r="C9" s="17" t="inlineStr">
        <is>
          <t>ATS</t>
        </is>
      </c>
      <c r="D9" s="17" t="inlineStr">
        <is>
          <t>ISU +12.5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0.1201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ASU @ TA&amp;M</t>
        </is>
      </c>
      <c r="C10" s="12" t="inlineStr">
        <is>
          <t>ML</t>
        </is>
      </c>
      <c r="D10" s="12" t="inlineStr">
        <is>
          <t>ASU ML</t>
        </is>
      </c>
      <c r="E10" s="13" t="n">
        <v>410</v>
      </c>
      <c r="F10" s="16" t="n">
        <v>16.5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0.1061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MIZ @ KU</t>
        </is>
      </c>
      <c r="C11" s="17" t="inlineStr">
        <is>
          <t>ATS</t>
        </is>
      </c>
      <c r="D11" s="17" t="inlineStr">
        <is>
          <t>KU +6.5</t>
        </is>
      </c>
      <c r="E11" s="18" t="n">
        <v>-105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0.1173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2026-09-12</t>
        </is>
      </c>
      <c r="B12" s="12" t="inlineStr">
        <is>
          <t>MIZ @ KU</t>
        </is>
      </c>
      <c r="C12" s="12" t="inlineStr">
        <is>
          <t>ML</t>
        </is>
      </c>
      <c r="D12" s="12" t="inlineStr">
        <is>
          <t>KU ML</t>
        </is>
      </c>
      <c r="E12" s="13" t="n">
        <v>205</v>
      </c>
      <c r="F12" s="16" t="n">
        <v>22.5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0.1213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2026-09-06</t>
        </is>
      </c>
      <c r="B13" s="17" t="inlineStr">
        <is>
          <t>UNLV @ HAW</t>
        </is>
      </c>
      <c r="C13" s="17" t="inlineStr">
        <is>
          <t>ATS</t>
        </is>
      </c>
      <c r="D13" s="17" t="inlineStr">
        <is>
          <t>HAW +3</t>
        </is>
      </c>
      <c r="E13" s="18" t="n">
        <v>-108</v>
      </c>
      <c r="F13" s="21" t="n">
        <v>23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0.08989999999999999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2026-09-06</t>
        </is>
      </c>
      <c r="B14" s="12" t="inlineStr">
        <is>
          <t>CMU @ UNM</t>
        </is>
      </c>
      <c r="C14" s="12" t="inlineStr">
        <is>
          <t>ATS</t>
        </is>
      </c>
      <c r="D14" s="12" t="inlineStr">
        <is>
          <t>CMU +10.5</t>
        </is>
      </c>
      <c r="E14" s="13" t="n">
        <v>-112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0.0988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CLEM @ LSU</t>
        </is>
      </c>
      <c r="C15" s="17" t="inlineStr">
        <is>
          <t>ATS</t>
        </is>
      </c>
      <c r="D15" s="17" t="inlineStr">
        <is>
          <t>CLEM +10.5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2026-09-05</t>
        </is>
      </c>
      <c r="B16" s="12" t="inlineStr">
        <is>
          <t>CLEM @ LSU</t>
        </is>
      </c>
      <c r="C16" s="12" t="inlineStr">
        <is>
          <t>ML</t>
        </is>
      </c>
      <c r="D16" s="12" t="inlineStr">
        <is>
          <t>CLEM ML</t>
        </is>
      </c>
      <c r="E16" s="13" t="n">
        <v>275</v>
      </c>
      <c r="F16" s="16" t="n">
        <v>15.5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0.0896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WMU @ MICH</t>
        </is>
      </c>
      <c r="C17" s="17" t="inlineStr">
        <is>
          <t>TOTAL</t>
        </is>
      </c>
      <c r="D17" s="17" t="inlineStr">
        <is>
          <t>Over 47.5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0.1073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2026-09-05</t>
        </is>
      </c>
      <c r="B18" s="12" t="inlineStr">
        <is>
          <t>ARST @ MEM</t>
        </is>
      </c>
      <c r="C18" s="12" t="inlineStr">
        <is>
          <t>ATS</t>
        </is>
      </c>
      <c r="D18" s="12" t="inlineStr">
        <is>
          <t>ARST +11.5</t>
        </is>
      </c>
      <c r="E18" s="13" t="n">
        <v>-112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0.1011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FIU @ USF</t>
        </is>
      </c>
      <c r="C19" s="17" t="inlineStr">
        <is>
          <t>ML</t>
        </is>
      </c>
      <c r="D19" s="17" t="inlineStr">
        <is>
          <t>FIU ML</t>
        </is>
      </c>
      <c r="E19" s="18" t="n">
        <v>425</v>
      </c>
      <c r="F19" s="21" t="n">
        <v>18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0.1165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2026-09-05</t>
        </is>
      </c>
      <c r="B20" s="12" t="inlineStr">
        <is>
          <t>FIU @ USF</t>
        </is>
      </c>
      <c r="C20" s="12" t="inlineStr">
        <is>
          <t>TOTAL</t>
        </is>
      </c>
      <c r="D20" s="12" t="inlineStr">
        <is>
          <t>Over 53.5</t>
        </is>
      </c>
      <c r="E20" s="13" t="n">
        <v>-115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0.09329999999999999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SHSU @ TROY</t>
        </is>
      </c>
      <c r="C21" s="17" t="inlineStr">
        <is>
          <t>ML</t>
        </is>
      </c>
      <c r="D21" s="17" t="inlineStr">
        <is>
          <t>SHSU ML</t>
        </is>
      </c>
      <c r="E21" s="18" t="n">
        <v>600</v>
      </c>
      <c r="F21" s="21" t="n">
        <v>19.5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0.1337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WYO @ CSU</t>
        </is>
      </c>
      <c r="C22" s="12" t="inlineStr">
        <is>
          <t>TOTAL</t>
        </is>
      </c>
      <c r="D22" s="12" t="inlineStr">
        <is>
          <t>Over 47.5</t>
        </is>
      </c>
      <c r="E22" s="13" t="n">
        <v>-112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0.1091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2026-09-05</t>
        </is>
      </c>
      <c r="B23" s="17" t="inlineStr">
        <is>
          <t>OKST @ TLSA</t>
        </is>
      </c>
      <c r="C23" s="17" t="inlineStr">
        <is>
          <t>TOTAL</t>
        </is>
      </c>
      <c r="D23" s="17" t="inlineStr">
        <is>
          <t>Under 60.5</t>
        </is>
      </c>
      <c r="E23" s="18" t="n">
        <v>-102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0.1091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BAY @ AUB</t>
        </is>
      </c>
      <c r="C24" s="12" t="inlineStr">
        <is>
          <t>ML</t>
        </is>
      </c>
      <c r="D24" s="12" t="inlineStr">
        <is>
          <t>BAY ML</t>
        </is>
      </c>
      <c r="E24" s="13" t="n">
        <v>240</v>
      </c>
      <c r="F24" s="16" t="n">
        <v>18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0.0969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BAY @ AUB</t>
        </is>
      </c>
      <c r="C25" s="17" t="inlineStr">
        <is>
          <t>TOTAL</t>
        </is>
      </c>
      <c r="D25" s="17" t="inlineStr">
        <is>
          <t>Under 59.5</t>
        </is>
      </c>
      <c r="E25" s="18" t="n">
        <v>-115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BC @ CIN</t>
        </is>
      </c>
      <c r="C26" s="12" t="inlineStr">
        <is>
          <t>TOTAL</t>
        </is>
      </c>
      <c r="D26" s="12" t="inlineStr">
        <is>
          <t>Over 49.5</t>
        </is>
      </c>
      <c r="E26" s="13" t="n">
        <v>-115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0.1042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TULN @ DUKE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0.1029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M-OH @ PITT</t>
        </is>
      </c>
      <c r="C28" s="12" t="inlineStr">
        <is>
          <t>ML</t>
        </is>
      </c>
      <c r="D28" s="12" t="inlineStr">
        <is>
          <t>M-OH ML</t>
        </is>
      </c>
      <c r="E28" s="13" t="n">
        <v>550</v>
      </c>
      <c r="F28" s="16" t="n">
        <v>19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0.1283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BALL @ OSU</t>
        </is>
      </c>
      <c r="C29" s="17" t="inlineStr">
        <is>
          <t>TOTAL</t>
        </is>
      </c>
      <c r="D29" s="17" t="inlineStr">
        <is>
          <t>Under 56.5</t>
        </is>
      </c>
      <c r="E29" s="18" t="n">
        <v>-105</v>
      </c>
      <c r="F29" s="21" t="n">
        <v>22.5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0.0886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ORST @ HOU</t>
        </is>
      </c>
      <c r="C30" s="12" t="inlineStr">
        <is>
          <t>TOTAL</t>
        </is>
      </c>
      <c r="D30" s="12" t="inlineStr">
        <is>
          <t>Over 49.5</t>
        </is>
      </c>
      <c r="E30" s="13" t="n">
        <v>-110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0.0973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UNT @ IU</t>
        </is>
      </c>
      <c r="C31" s="17" t="inlineStr">
        <is>
          <t>TOTAL</t>
        </is>
      </c>
      <c r="D31" s="17" t="inlineStr">
        <is>
          <t>Over 55.5</t>
        </is>
      </c>
      <c r="E31" s="18" t="n">
        <v>-108</v>
      </c>
      <c r="F31" s="21" t="n">
        <v>23.5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0.0898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OHIO @ NEB</t>
        </is>
      </c>
      <c r="C32" s="12" t="inlineStr">
        <is>
          <t>TOTAL</t>
        </is>
      </c>
      <c r="D32" s="12" t="inlineStr">
        <is>
          <t>Over 47.5</t>
        </is>
      </c>
      <c r="E32" s="13" t="n">
        <v>-108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0.1092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2026-09-05</t>
        </is>
      </c>
      <c r="B33" s="17" t="inlineStr">
        <is>
          <t>LIB @ JMU</t>
        </is>
      </c>
      <c r="C33" s="17" t="inlineStr">
        <is>
          <t>TOTAL</t>
        </is>
      </c>
      <c r="D33" s="17" t="inlineStr">
        <is>
          <t>Over 50.5</t>
        </is>
      </c>
      <c r="E33" s="18" t="n">
        <v>-112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0.0982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2026-09-05</t>
        </is>
      </c>
      <c r="B34" s="12" t="inlineStr">
        <is>
          <t>MIA @ STAN</t>
        </is>
      </c>
      <c r="C34" s="12" t="inlineStr">
        <is>
          <t>TOTAL</t>
        </is>
      </c>
      <c r="D34" s="12" t="inlineStr">
        <is>
          <t>Over 48.5</t>
        </is>
      </c>
      <c r="E34" s="13" t="n">
        <v>100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0.1103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2026-09-05</t>
        </is>
      </c>
      <c r="B35" s="17" t="inlineStr">
        <is>
          <t>TOL @ MSU</t>
        </is>
      </c>
      <c r="C35" s="17" t="inlineStr">
        <is>
          <t>ATS</t>
        </is>
      </c>
      <c r="D35" s="17" t="inlineStr">
        <is>
          <t>TOL +10</t>
        </is>
      </c>
      <c r="E35" s="18" t="n">
        <v>-105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0.111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2026-09-04</t>
        </is>
      </c>
      <c r="B36" s="12" t="inlineStr">
        <is>
          <t>COLO @ GT</t>
        </is>
      </c>
      <c r="C36" s="12" t="inlineStr">
        <is>
          <t>TOTAL</t>
        </is>
      </c>
      <c r="D36" s="12" t="inlineStr">
        <is>
          <t>Over 50.5</t>
        </is>
      </c>
      <c r="E36" s="13" t="n">
        <v>-115</v>
      </c>
      <c r="F36" s="16" t="n">
        <v>21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0.0784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2026-09-03</t>
        </is>
      </c>
      <c r="B37" s="17" t="inlineStr">
        <is>
          <t>AKR @ WAKE</t>
        </is>
      </c>
      <c r="C37" s="17" t="inlineStr">
        <is>
          <t>TOTAL</t>
        </is>
      </c>
      <c r="D37" s="17" t="inlineStr">
        <is>
          <t>Over 48.5</t>
        </is>
      </c>
      <c r="E37" s="18" t="n">
        <v>-112</v>
      </c>
      <c r="F37" s="21" t="n">
        <v>24.5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0.0917</v>
      </c>
      <c r="M37" s="19" t="n">
        <v>0.0509</v>
      </c>
      <c r="N37" s="17" t="inlineStr">
        <is>
          <t>AKR 16 - WAKE 38</t>
        </is>
      </c>
      <c r="O37" s="17" t="inlineStr">
        <is>
          <t>DraftKings</t>
        </is>
      </c>
    </row>
    <row r="38">
      <c r="A38" s="12" t="inlineStr">
        <is>
          <t>2026-08-29</t>
        </is>
      </c>
      <c r="B38" s="12" t="inlineStr">
        <is>
          <t>HAW @ STAN</t>
        </is>
      </c>
      <c r="C38" s="12" t="inlineStr">
        <is>
          <t>TOTAL</t>
        </is>
      </c>
      <c r="D38" s="12" t="inlineStr">
        <is>
          <t>Over 49.5</t>
        </is>
      </c>
      <c r="E38" s="13" t="n">
        <v>-105</v>
      </c>
      <c r="F38" s="16" t="n">
        <v>21.5</v>
      </c>
      <c r="G38" s="12" t="inlineStr">
        <is>
          <t>Win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0.0834</v>
      </c>
      <c r="M38" s="14" t="n">
        <v>-0.0139</v>
      </c>
      <c r="N38" s="12" t="inlineStr">
        <is>
          <t>HAW 27 - STAN 37</t>
        </is>
      </c>
      <c r="O38" s="12" t="inlineStr">
        <is>
          <t>Draft Kings</t>
        </is>
      </c>
    </row>
    <row r="39">
      <c r="A39" s="17" t="inlineStr">
        <is>
          <t>2026-08-29</t>
        </is>
      </c>
      <c r="B39" s="17" t="inlineStr">
        <is>
          <t>SAC @ EMU</t>
        </is>
      </c>
      <c r="C39" s="17" t="inlineStr">
        <is>
          <t>ATS</t>
        </is>
      </c>
      <c r="D39" s="17" t="inlineStr">
        <is>
          <t>SAC +8.5</t>
        </is>
      </c>
      <c r="E39" s="18" t="n">
        <v>-108</v>
      </c>
      <c r="F39" s="21" t="n">
        <v>25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0.1065</v>
      </c>
      <c r="M39" s="19" t="n">
        <v>0.0046</v>
      </c>
      <c r="N39" s="17" t="inlineStr">
        <is>
          <t>SAC 17 - EMU 28</t>
        </is>
      </c>
      <c r="O39" s="17" t="inlineStr">
        <is>
          <t>DraftKings</t>
        </is>
      </c>
    </row>
    <row r="40">
      <c r="A40" s="12" t="inlineStr">
        <is>
          <t>2026-08-29</t>
        </is>
      </c>
      <c r="B40" s="12" t="inlineStr">
        <is>
          <t>SAC @ EMU</t>
        </is>
      </c>
      <c r="C40" s="12" t="inlineStr">
        <is>
          <t>ML</t>
        </is>
      </c>
      <c r="D40" s="12" t="inlineStr">
        <is>
          <t>SAC ML</t>
        </is>
      </c>
      <c r="E40" s="13" t="n">
        <v>280</v>
      </c>
      <c r="F40" s="16" t="n">
        <v>18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0.1055</v>
      </c>
      <c r="M40" s="14" t="n">
        <v>0</v>
      </c>
      <c r="N40" s="12" t="inlineStr">
        <is>
          <t>SAC 17 - EMU 28</t>
        </is>
      </c>
      <c r="O40" s="12" t="inlineStr">
        <is>
          <t>Draft Kings</t>
        </is>
      </c>
    </row>
    <row r="41">
      <c r="A41" s="17" t="inlineStr">
        <is>
          <t>2026-08-29</t>
        </is>
      </c>
      <c r="B41" s="17" t="inlineStr">
        <is>
          <t>UNC @ TCU</t>
        </is>
      </c>
      <c r="C41" s="17" t="inlineStr">
        <is>
          <t>ATS</t>
        </is>
      </c>
      <c r="D41" s="17" t="inlineStr">
        <is>
          <t>UNC +7.5</t>
        </is>
      </c>
      <c r="E41" s="18" t="n">
        <v>-108</v>
      </c>
      <c r="F41" s="21" t="n">
        <v>21</v>
      </c>
      <c r="G41" s="17" t="inlineStr">
        <is>
          <t>Win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0.0801</v>
      </c>
      <c r="M41" s="19" t="n">
        <v>-0.009299999999999999</v>
      </c>
      <c r="N41" s="17" t="inlineStr">
        <is>
          <t>UNC 15 - TCU 10</t>
        </is>
      </c>
      <c r="O4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MASS</t>
        </is>
      </c>
      <c r="C5" s="23" t="n">
        <v>1.44</v>
      </c>
      <c r="D5" s="23" t="n">
        <v>-0.58</v>
      </c>
      <c r="E5" s="23" t="n">
        <v>-0.2</v>
      </c>
      <c r="F5" s="22" t="n">
        <v>1</v>
      </c>
      <c r="G5" s="12" t="inlineStr">
        <is>
          <t>1-0</t>
        </is>
      </c>
    </row>
    <row r="6">
      <c r="A6" s="25" t="n">
        <v>2</v>
      </c>
      <c r="B6" s="17" t="inlineStr">
        <is>
          <t>MEM</t>
        </is>
      </c>
      <c r="C6" s="26" t="n">
        <v>1.01</v>
      </c>
      <c r="D6" s="26" t="n">
        <v>0.16</v>
      </c>
      <c r="E6" s="26" t="n">
        <v>0.75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DEL</t>
        </is>
      </c>
      <c r="C7" s="23" t="n">
        <v>0.65</v>
      </c>
      <c r="D7" s="23" t="n">
        <v>0.54</v>
      </c>
      <c r="E7" s="23" t="n">
        <v>0.7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UCF</t>
        </is>
      </c>
      <c r="C8" s="26" t="n">
        <v>0.64</v>
      </c>
      <c r="D8" s="26" t="n">
        <v>1.62</v>
      </c>
      <c r="E8" s="26" t="n">
        <v>1.14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NDSU</t>
        </is>
      </c>
      <c r="C9" s="23" t="n">
        <v>0.6</v>
      </c>
      <c r="D9" s="23" t="n">
        <v>0.89</v>
      </c>
      <c r="E9" s="23" t="n">
        <v>1.84</v>
      </c>
      <c r="F9" s="22" t="n">
        <v>1</v>
      </c>
      <c r="G9" s="12" t="inlineStr">
        <is>
          <t>1-0</t>
        </is>
      </c>
    </row>
    <row r="10">
      <c r="A10" s="25" t="n">
        <v>6</v>
      </c>
      <c r="B10" s="17" t="inlineStr">
        <is>
          <t>UVA</t>
        </is>
      </c>
      <c r="C10" s="26" t="n">
        <v>0.5600000000000001</v>
      </c>
      <c r="D10" s="26" t="n">
        <v>0.13</v>
      </c>
      <c r="E10" s="26" t="n">
        <v>1.56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WAKE</t>
        </is>
      </c>
      <c r="C11" s="23" t="n">
        <v>0.37</v>
      </c>
      <c r="D11" s="23" t="n">
        <v>0.41</v>
      </c>
      <c r="E11" s="23" t="n">
        <v>0.87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HAW</t>
        </is>
      </c>
      <c r="C12" s="26" t="n">
        <v>0.23</v>
      </c>
      <c r="D12" s="26" t="n">
        <v>0.05</v>
      </c>
      <c r="E12" s="26" t="n">
        <v>-0.07000000000000001</v>
      </c>
      <c r="F12" s="25" t="n">
        <v>1</v>
      </c>
      <c r="G12" s="17" t="inlineStr">
        <is>
          <t>0-1</t>
        </is>
      </c>
    </row>
    <row r="13">
      <c r="A13" s="22" t="n">
        <v>9</v>
      </c>
      <c r="B13" s="12" t="inlineStr">
        <is>
          <t>UNC</t>
        </is>
      </c>
      <c r="C13" s="23" t="n">
        <v>0.22</v>
      </c>
      <c r="D13" s="23" t="n">
        <v>-1.08</v>
      </c>
      <c r="E13" s="23" t="n">
        <v>1.18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SAC</t>
        </is>
      </c>
      <c r="C14" s="26" t="n">
        <v>0.2</v>
      </c>
      <c r="D14" s="26" t="n">
        <v>-0.09</v>
      </c>
      <c r="E14" s="26" t="n">
        <v>0.24</v>
      </c>
      <c r="F14" s="25" t="n">
        <v>1</v>
      </c>
      <c r="G14" s="17" t="inlineStr">
        <is>
          <t>0-1</t>
        </is>
      </c>
    </row>
    <row r="15">
      <c r="A15" s="22" t="n">
        <v>11</v>
      </c>
      <c r="B15" s="12" t="inlineStr">
        <is>
          <t>FSU</t>
        </is>
      </c>
      <c r="C15" s="23" t="n">
        <v>0.12</v>
      </c>
      <c r="D15" s="23" t="n">
        <v>0.28</v>
      </c>
      <c r="E15" s="23" t="n">
        <v>0.77</v>
      </c>
      <c r="F15" s="22" t="n">
        <v>1</v>
      </c>
      <c r="G15" s="12" t="inlineStr">
        <is>
          <t>0-1</t>
        </is>
      </c>
    </row>
    <row r="16">
      <c r="A16" s="25" t="n">
        <v>12</v>
      </c>
      <c r="B16" s="17" t="inlineStr">
        <is>
          <t>USC</t>
        </is>
      </c>
      <c r="C16" s="26" t="n">
        <v>0.08</v>
      </c>
      <c r="D16" s="26" t="n">
        <v>0.85</v>
      </c>
      <c r="E16" s="26" t="n">
        <v>0.35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SJSU</t>
        </is>
      </c>
      <c r="C17" s="23" t="n">
        <v>-0.09</v>
      </c>
      <c r="D17" s="23" t="n">
        <v>-0.47</v>
      </c>
      <c r="E17" s="23" t="n">
        <v>-0.8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NMSU</t>
        </is>
      </c>
      <c r="C18" s="26" t="n">
        <v>-0.13</v>
      </c>
      <c r="D18" s="26" t="n">
        <v>-0.84</v>
      </c>
      <c r="E18" s="26" t="n">
        <v>-0.13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EMU</t>
        </is>
      </c>
      <c r="C19" s="23" t="n">
        <v>-0.19</v>
      </c>
      <c r="D19" s="23" t="n">
        <v>-0.39</v>
      </c>
      <c r="E19" s="23" t="n">
        <v>0.43</v>
      </c>
      <c r="F19" s="22" t="n">
        <v>1</v>
      </c>
      <c r="G19" s="12" t="inlineStr">
        <is>
          <t>1-0</t>
        </is>
      </c>
    </row>
    <row r="20">
      <c r="A20" s="25" t="n">
        <v>16</v>
      </c>
      <c r="B20" s="17" t="inlineStr">
        <is>
          <t>TCU</t>
        </is>
      </c>
      <c r="C20" s="26" t="n">
        <v>-0.22</v>
      </c>
      <c r="D20" s="26" t="n">
        <v>-0.85</v>
      </c>
      <c r="E20" s="26" t="n">
        <v>0.6899999999999999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STAN</t>
        </is>
      </c>
      <c r="C21" s="23" t="n">
        <v>-0.25</v>
      </c>
      <c r="D21" s="23" t="n">
        <v>-0.27</v>
      </c>
      <c r="E21" s="23" t="n">
        <v>-0.08</v>
      </c>
      <c r="F21" s="22" t="n">
        <v>1</v>
      </c>
      <c r="G21" s="12" t="inlineStr">
        <is>
          <t>1-0</t>
        </is>
      </c>
    </row>
    <row r="22">
      <c r="A22" s="25" t="n">
        <v>18</v>
      </c>
      <c r="B22" s="17" t="inlineStr">
        <is>
          <t>AKR</t>
        </is>
      </c>
      <c r="C22" s="26" t="n">
        <v>-0.37</v>
      </c>
      <c r="D22" s="26" t="n">
        <v>-0.77</v>
      </c>
      <c r="E22" s="26" t="n">
        <v>-0.25</v>
      </c>
      <c r="F22" s="25" t="n">
        <v>1</v>
      </c>
      <c r="G22" s="17" t="inlineStr">
        <is>
          <t>1-0</t>
        </is>
      </c>
    </row>
    <row r="23">
      <c r="A23" s="22" t="n">
        <v>19</v>
      </c>
      <c r="B23" s="12" t="inlineStr">
        <is>
          <t>JVST</t>
        </is>
      </c>
      <c r="C23" s="23" t="n">
        <v>-0.53</v>
      </c>
      <c r="D23" s="23" t="n">
        <v>-0.92</v>
      </c>
      <c r="E23" s="23" t="n">
        <v>0.21</v>
      </c>
      <c r="F23" s="22" t="n">
        <v>1</v>
      </c>
      <c r="G23" s="12" t="inlineStr">
        <is>
          <t>0-1</t>
        </is>
      </c>
    </row>
    <row r="24">
      <c r="A24" s="25" t="n">
        <v>20</v>
      </c>
      <c r="B24" s="17" t="inlineStr">
        <is>
          <t>NCSU</t>
        </is>
      </c>
      <c r="C24" s="26" t="n">
        <v>-0.53</v>
      </c>
      <c r="D24" s="26" t="n">
        <v>-0.7</v>
      </c>
      <c r="E24" s="26" t="n">
        <v>-0.02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BCU</t>
        </is>
      </c>
      <c r="C25" s="23" t="n">
        <v>-0.66</v>
      </c>
      <c r="D25" s="23" t="n">
        <v>-1.17</v>
      </c>
      <c r="E25" s="23" t="n">
        <v>-2.22</v>
      </c>
      <c r="F25" s="22" t="n">
        <v>1</v>
      </c>
      <c r="G25" s="12" t="inlineStr">
        <is>
          <t>0-1</t>
        </is>
      </c>
    </row>
    <row r="26">
      <c r="A26" s="25" t="n">
        <v>22</v>
      </c>
      <c r="B26" s="17" t="inlineStr">
        <is>
          <t>MRMK</t>
        </is>
      </c>
      <c r="C26" s="26" t="n">
        <v>-0.66</v>
      </c>
      <c r="D26" s="26" t="n">
        <v>-1.07</v>
      </c>
      <c r="E26" s="26" t="n">
        <v>-0.5</v>
      </c>
      <c r="F26" s="25" t="n">
        <v>1</v>
      </c>
      <c r="G26" s="17" t="inlineStr">
        <is>
          <t>0-1</t>
        </is>
      </c>
    </row>
    <row r="27">
      <c r="A27" s="22" t="n">
        <v>23</v>
      </c>
      <c r="B27" s="12" t="inlineStr">
        <is>
          <t>UNLV</t>
        </is>
      </c>
      <c r="C27" s="23" t="n">
        <v>-0.97</v>
      </c>
      <c r="D27" s="23" t="n">
        <v>-0.07000000000000001</v>
      </c>
      <c r="E27" s="23" t="n">
        <v>0.11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RUTG</t>
        </is>
      </c>
      <c r="C28" s="26" t="n">
        <v>-1.52</v>
      </c>
      <c r="D28" s="26" t="n">
        <v>-0.5600000000000001</v>
      </c>
      <c r="E28" s="26" t="n">
        <v>-0.82</v>
      </c>
      <c r="F28" s="25" t="n">
        <v>1</v>
      </c>
      <c r="G28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15:00 - 4th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7</v>
      </c>
      <c r="F18" s="25" t="n">
        <v>14</v>
      </c>
      <c r="G18" s="17" t="inlineStr">
        <is>
          <t>2:46 - 2nd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7</v>
      </c>
      <c r="F19" s="22" t="n">
        <v>47</v>
      </c>
      <c r="G19" s="12" t="inlineStr">
        <is>
          <t>6:13 - 4th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7</v>
      </c>
      <c r="F20" s="25" t="n">
        <v>10</v>
      </c>
      <c r="G20" s="17" t="inlineStr">
        <is>
          <t>12:00 - 4th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52</v>
      </c>
      <c r="G21" s="12" t="inlineStr">
        <is>
          <t>6:24 - 4th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7</v>
      </c>
      <c r="F22" s="25" t="n">
        <v>31</v>
      </c>
      <c r="G22" s="17" t="inlineStr">
        <is>
          <t>13:50 - 3rd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13</v>
      </c>
      <c r="F23" s="22" t="n">
        <v>21</v>
      </c>
      <c r="G23" s="12" t="inlineStr">
        <is>
          <t>Halftime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124</v>
      </c>
      <c r="L24" s="18" t="n">
        <v>-148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55.5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-29.5</v>
      </c>
      <c r="J26" s="30" t="n">
        <v>62.5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54.5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46.5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1100</v>
      </c>
      <c r="L31" s="13" t="n">
        <v>-2100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49.5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850</v>
      </c>
      <c r="L34" s="18" t="n">
        <v>-1450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54.5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52.5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57.5</v>
      </c>
      <c r="K47" s="13" t="n">
        <v>2200</v>
      </c>
      <c r="L47" s="13" t="n">
        <v>-8000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50.5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1400</v>
      </c>
      <c r="L56" s="18" t="n">
        <v>-3200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49.5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425</v>
      </c>
      <c r="L72" s="18" t="n">
        <v>-575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350</v>
      </c>
      <c r="L73" s="13" t="n">
        <v>-455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57.5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53.5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575</v>
      </c>
      <c r="L80" s="18" t="n">
        <v>-850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295</v>
      </c>
      <c r="L81" s="13" t="n">
        <v>-375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1400</v>
      </c>
      <c r="L86" s="18" t="n">
        <v>-3200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380</v>
      </c>
      <c r="L89" s="13" t="n">
        <v>-500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45.5</v>
      </c>
      <c r="K96" s="18" t="n">
        <v>340</v>
      </c>
      <c r="L96" s="18" t="n">
        <v>-440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-122</v>
      </c>
      <c r="L98" s="18" t="n">
        <v>102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1100</v>
      </c>
      <c r="L100" s="18" t="n">
        <v>-2100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950</v>
      </c>
      <c r="L102" s="18" t="n">
        <v>-1650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53.5</v>
      </c>
      <c r="K109" s="13" t="n">
        <v>-225</v>
      </c>
      <c r="L109" s="13" t="n">
        <v>185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</v>
      </c>
      <c r="J115" s="29" t="n"/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/>
      <c r="K127" s="13" t="n"/>
      <c r="L127" s="13" t="n"/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/>
      <c r="K128" s="18" t="n"/>
      <c r="L128" s="18" t="n"/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/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/>
      <c r="K133" s="13" t="n"/>
      <c r="L133" s="13" t="n"/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/>
      <c r="K138" s="18" t="n"/>
      <c r="L138" s="18" t="n"/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/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8.5</v>
      </c>
      <c r="J157" s="29" t="n"/>
      <c r="K157" s="13" t="n"/>
      <c r="L157" s="13" t="n"/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-9.5</v>
      </c>
      <c r="J169" s="29" t="n"/>
      <c r="K169" s="13" t="n"/>
      <c r="L169" s="13" t="n"/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3.24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2</v>
      </c>
      <c r="C7" s="15" t="n">
        <v>0.6229</v>
      </c>
      <c r="D7" s="15" t="n">
        <v>0.5</v>
      </c>
      <c r="E7" s="14" t="n">
        <v>-0.1229</v>
      </c>
    </row>
    <row r="9">
      <c r="A9" s="3" t="inlineStr">
        <is>
          <t>Average CLV</t>
        </is>
      </c>
      <c r="B9" s="34" t="n">
        <v>0.00646</v>
      </c>
    </row>
    <row r="10">
      <c r="A10" s="3" t="inlineStr">
        <is>
          <t>Bets beating the close</t>
        </is>
      </c>
      <c r="B10" s="35" t="n">
        <v>0.4</v>
      </c>
    </row>
    <row r="11">
      <c r="A11" s="3" t="inlineStr">
        <is>
          <t>Brier score</t>
        </is>
      </c>
      <c r="B11" s="36" t="n">
        <v>0.1992</v>
      </c>
    </row>
    <row r="12">
      <c r="A12" s="3" t="inlineStr">
        <is>
          <t>Settled bets</t>
        </is>
      </c>
      <c r="B12" s="37" t="n">
        <v>5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321</v>
      </c>
    </row>
    <row r="5">
      <c r="A5" s="3" t="inlineStr">
        <is>
          <t>Settled</t>
        </is>
      </c>
      <c r="B5" s="39" t="n">
        <v>34</v>
      </c>
    </row>
    <row r="6">
      <c r="A6" s="3" t="inlineStr">
        <is>
          <t>Pending</t>
        </is>
      </c>
      <c r="B6" s="39" t="n">
        <v>287</v>
      </c>
    </row>
    <row r="7">
      <c r="A7" s="3" t="inlineStr">
        <is>
          <t>Brier (all settled)</t>
        </is>
      </c>
      <c r="B7" s="40" t="n">
        <v>0.2511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15</v>
      </c>
      <c r="C12" s="20" t="n">
        <v>0.55</v>
      </c>
      <c r="D12" s="20" t="n">
        <v>0.2667</v>
      </c>
      <c r="E12" s="19" t="n">
        <v>-0.2833000000000001</v>
      </c>
    </row>
    <row r="13">
      <c r="A13" s="12" t="inlineStr">
        <is>
          <t>70-80%</t>
        </is>
      </c>
      <c r="B13" s="22" t="n">
        <v>6</v>
      </c>
      <c r="C13" s="15" t="n">
        <v>0.75</v>
      </c>
      <c r="D13" s="15" t="n">
        <v>0.6667</v>
      </c>
      <c r="E13" s="14" t="n">
        <v>-0.08330000000000004</v>
      </c>
    </row>
    <row r="15">
      <c r="A15" s="3" t="inlineStr">
        <is>
          <t>ACCURACY BY TIER</t>
        </is>
      </c>
    </row>
    <row r="16">
      <c r="A16" s="11" t="inlineStr">
        <is>
          <t>Tier</t>
        </is>
      </c>
      <c r="B16" s="11" t="inlineStr">
        <is>
          <t>N</t>
        </is>
      </c>
      <c r="C16" s="11" t="inlineStr">
        <is>
          <t>Win Rate</t>
        </is>
      </c>
    </row>
    <row r="17">
      <c r="A17" s="12" t="inlineStr">
        <is>
          <t>LEAN</t>
        </is>
      </c>
      <c r="B17" s="22" t="n">
        <v>1</v>
      </c>
      <c r="C17" s="15" t="n">
        <v>0</v>
      </c>
    </row>
    <row r="18">
      <c r="A18" s="17" t="inlineStr">
        <is>
          <t>PASS</t>
        </is>
      </c>
      <c r="B18" s="25" t="n">
        <v>33</v>
      </c>
      <c r="C18" s="20" t="n">
        <v>0.3636</v>
      </c>
    </row>
    <row r="20">
      <c r="A20" s="3" t="inlineStr">
        <is>
          <t>ACCURACY BY MARKET</t>
        </is>
      </c>
    </row>
    <row r="21">
      <c r="A21" s="11" t="inlineStr">
        <is>
          <t>Market</t>
        </is>
      </c>
      <c r="B21" s="11" t="inlineStr">
        <is>
          <t>N</t>
        </is>
      </c>
      <c r="C21" s="11" t="inlineStr">
        <is>
          <t>Win Rate</t>
        </is>
      </c>
      <c r="D21" s="11" t="inlineStr">
        <is>
          <t>Brier</t>
        </is>
      </c>
    </row>
    <row r="22">
      <c r="A22" s="12" t="inlineStr">
        <is>
          <t>ATS</t>
        </is>
      </c>
      <c r="B22" s="22" t="n">
        <v>12</v>
      </c>
      <c r="C22" s="15" t="n">
        <v>0.5</v>
      </c>
      <c r="D22" s="41" t="n">
        <v>0.2564</v>
      </c>
    </row>
    <row r="23">
      <c r="A23" s="17" t="inlineStr">
        <is>
          <t>ML</t>
        </is>
      </c>
      <c r="B23" s="25" t="n">
        <v>10</v>
      </c>
      <c r="C23" s="20" t="n">
        <v>0.3</v>
      </c>
      <c r="D23" s="42" t="n">
        <v>0.2148</v>
      </c>
    </row>
    <row r="24">
      <c r="A24" s="12" t="inlineStr">
        <is>
          <t>TOTAL</t>
        </is>
      </c>
      <c r="B24" s="22" t="n">
        <v>12</v>
      </c>
      <c r="C24" s="15" t="n">
        <v>0.25</v>
      </c>
      <c r="D24" s="41" t="n">
        <v>0.2761</v>
      </c>
    </row>
    <row r="26">
      <c r="A26" s="3" t="inlineStr">
        <is>
          <t>WEEK TREND</t>
        </is>
      </c>
    </row>
    <row r="27">
      <c r="A27" s="11" t="inlineStr">
        <is>
          <t>Week</t>
        </is>
      </c>
      <c r="B27" s="11" t="inlineStr">
        <is>
          <t>Predictions Settled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1</t>
        </is>
      </c>
      <c r="B28" s="22" t="n">
        <v>34</v>
      </c>
      <c r="C28" s="15" t="n">
        <v>0.3529</v>
      </c>
      <c r="D28" s="41" t="n">
        <v>0.2511</v>
      </c>
    </row>
    <row r="30">
      <c r="A30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1"/>
    <row r="32"/>
  </sheetData>
  <mergeCells count="1">
    <mergeCell ref="A30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2026-09-04T03:04:27Z</dcterms:created>
  <dcterms:modified xsi:type="dcterms:W3CDTF">2026-09-04T03:04:29Z</dcterms:modified>
</cp:coreProperties>
</file>
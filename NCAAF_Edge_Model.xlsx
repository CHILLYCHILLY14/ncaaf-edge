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60" headerRowCount="1">
  <autoFilter ref="A4:Q3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2026-09-09T13:09:36+00:00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Ledger'!$G$6:$G$86,"&lt;&gt;Pending",'Bet Ledger'!$H$6:$H$86)</f>
        <v/>
      </c>
    </row>
    <row r="6">
      <c r="A6" s="3" t="inlineStr">
        <is>
          <t>Total Staked</t>
        </is>
      </c>
      <c r="B6" s="5">
        <f>SUMIF('Bet Ledger'!$G$6:$G$86,"&lt;&gt;Pending",'Bet Ledger'!$F$6:$F$86)</f>
        <v/>
      </c>
    </row>
    <row r="7">
      <c r="A7" s="3" t="inlineStr">
        <is>
          <t>Profit / Loss</t>
        </is>
      </c>
      <c r="B7" s="5">
        <f>SUMIF('Bet Ledger'!$G$6:$G$86,"&lt;&gt;Pending",'Bet Ledger'!$H$6:$H$86)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Ledger'!$G$6:$G$86,"&lt;&gt;Pending",'Bet Ledger'!$G$6:$G$86,"&lt;&gt;")</f>
        <v/>
      </c>
    </row>
    <row r="10">
      <c r="A10" s="3" t="inlineStr">
        <is>
          <t>Wins</t>
        </is>
      </c>
      <c r="B10" s="7">
        <f>COUNTIF('Bet Ledger'!$G$6:$G$86,"Win")</f>
        <v/>
      </c>
    </row>
    <row r="11">
      <c r="A11" s="3" t="inlineStr">
        <is>
          <t>Losses</t>
        </is>
      </c>
      <c r="B11" s="7">
        <f>COUNTIF('Bet Ledger'!$G$6:$G$86,"Loss")</f>
        <v/>
      </c>
    </row>
    <row r="12">
      <c r="A12" s="3" t="inlineStr">
        <is>
          <t>Pushes</t>
        </is>
      </c>
      <c r="B12" s="7">
        <f>COUNTIF('Bet Ledger'!$G$6:$G$86,"Push")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Ledger'!$G$6:$G$86,"Pending")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0.09499992107020569</v>
      </c>
      <c r="G21" s="15" t="n">
        <v>0.2412060772471064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455</v>
      </c>
      <c r="F22" s="19" t="n">
        <v>0.09499755274755238</v>
      </c>
      <c r="G22" s="20" t="n">
        <v>0.265337557221073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470</v>
      </c>
      <c r="F23" s="14" t="n">
        <v>0.09499745949110232</v>
      </c>
      <c r="G23" s="15" t="n">
        <v>0.2580915950109006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180</v>
      </c>
      <c r="F25" s="14" t="n">
        <v>0.09497253305796211</v>
      </c>
      <c r="G25" s="15" t="n">
        <v>0.4863777978008228</v>
      </c>
      <c r="H25" s="16" t="n"/>
      <c r="I25" s="12" t="inlineStr">
        <is>
          <t>2026-09-12 00:00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190</v>
      </c>
      <c r="F26" s="19" t="n">
        <v>0.09496971527009317</v>
      </c>
      <c r="G26" s="20" t="n">
        <v>0.4684672305564279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170</v>
      </c>
      <c r="F27" s="14" t="n">
        <v>0.09491999013976155</v>
      </c>
      <c r="G27" s="15" t="n">
        <v>0.4864296650268892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ARK @ UTAH</t>
        </is>
      </c>
      <c r="C28" s="17" t="inlineStr">
        <is>
          <t>ML</t>
        </is>
      </c>
      <c r="D28" s="17" t="inlineStr">
        <is>
          <t>ARK ML</t>
        </is>
      </c>
      <c r="E28" s="18" t="n">
        <v>390</v>
      </c>
      <c r="F28" s="19" t="n">
        <v>0.09487303348311676</v>
      </c>
      <c r="G28" s="20" t="n">
        <v>0.2636632011433637</v>
      </c>
      <c r="H28" s="21" t="n"/>
      <c r="I28" s="17" t="inlineStr">
        <is>
          <t>2026-09-13 02:15</t>
        </is>
      </c>
    </row>
    <row r="29">
      <c r="A29" s="12" t="inlineStr">
        <is>
          <t>GOOD</t>
        </is>
      </c>
      <c r="B29" s="12" t="inlineStr">
        <is>
          <t>FSU @ ALA</t>
        </is>
      </c>
      <c r="C29" s="12" t="inlineStr">
        <is>
          <t>ML</t>
        </is>
      </c>
      <c r="D29" s="12" t="inlineStr">
        <is>
          <t>FSU ML</t>
        </is>
      </c>
      <c r="E29" s="13" t="n">
        <v>440</v>
      </c>
      <c r="F29" s="14" t="n">
        <v>0.09486360438077625</v>
      </c>
      <c r="G29" s="15" t="n">
        <v>0.2387513142125108</v>
      </c>
      <c r="H29" s="16" t="n"/>
      <c r="I29" s="12" t="inlineStr">
        <is>
          <t>2026-09-19 19:30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UNLV @ UNT</t>
        </is>
      </c>
      <c r="C31" s="12" t="inlineStr">
        <is>
          <t>ML</t>
        </is>
      </c>
      <c r="D31" s="12" t="inlineStr">
        <is>
          <t>UNT ML</t>
        </is>
      </c>
      <c r="E31" s="13" t="n">
        <v>145</v>
      </c>
      <c r="F31" s="14" t="n">
        <v>0.09468686268952746</v>
      </c>
      <c r="G31" s="15" t="n">
        <v>0.5096763779687753</v>
      </c>
      <c r="H31" s="16" t="n"/>
      <c r="I31" s="12" t="inlineStr">
        <is>
          <t>2026-09-12 19:45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+13.5</t>
        </is>
      </c>
      <c r="E32" s="18" t="n">
        <v>-115</v>
      </c>
      <c r="F32" s="19" t="n">
        <v>0.09377560552660424</v>
      </c>
      <c r="G32" s="20" t="n">
        <v>0.6330821558317519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FLA @ AUB</t>
        </is>
      </c>
      <c r="C33" s="12" t="inlineStr">
        <is>
          <t>ATS</t>
        </is>
      </c>
      <c r="D33" s="12" t="inlineStr">
        <is>
          <t>AUB +1.5</t>
        </is>
      </c>
      <c r="E33" s="13" t="n">
        <v>-115</v>
      </c>
      <c r="F33" s="14" t="n">
        <v>0.08763908572857439</v>
      </c>
      <c r="G33" s="15" t="n">
        <v>0.5887559061244323</v>
      </c>
      <c r="H33" s="16" t="n"/>
      <c r="I33" s="12" t="inlineStr">
        <is>
          <t>2026-09-19 23:00</t>
        </is>
      </c>
    </row>
    <row r="34">
      <c r="A34" s="17" t="inlineStr">
        <is>
          <t>GOOD</t>
        </is>
      </c>
      <c r="B34" s="17" t="inlineStr">
        <is>
          <t>LSU @ MISS</t>
        </is>
      </c>
      <c r="C34" s="17" t="inlineStr">
        <is>
          <t>TOTAL</t>
        </is>
      </c>
      <c r="D34" s="17" t="inlineStr">
        <is>
          <t>Under 57.5</t>
        </is>
      </c>
      <c r="E34" s="18" t="n">
        <v>-110</v>
      </c>
      <c r="F34" s="19" t="n">
        <v>0.08752711656549089</v>
      </c>
      <c r="G34" s="20" t="n">
        <v>0.5758959232083296</v>
      </c>
      <c r="H34" s="21" t="n"/>
      <c r="I34" s="17" t="inlineStr">
        <is>
          <t>2026-09-19 23:30</t>
        </is>
      </c>
    </row>
    <row r="35">
      <c r="A35" s="12" t="inlineStr">
        <is>
          <t>LEAN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56.5</t>
        </is>
      </c>
      <c r="E35" s="13" t="n">
        <v>-112</v>
      </c>
      <c r="F35" s="14" t="n">
        <v>0.08290211270258507</v>
      </c>
      <c r="G35" s="15" t="n">
        <v>0.5687274313626001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0.2412060772471064</v>
      </c>
      <c r="J5" s="15" t="n">
        <v>0.1420560747663552</v>
      </c>
      <c r="K5" s="15" t="n">
        <v>0.1481481481481481</v>
      </c>
      <c r="L5" s="14" t="n">
        <v>0.09499992107020569</v>
      </c>
      <c r="M5" s="14" t="n">
        <v>0.6281410214179683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455</v>
      </c>
      <c r="I6" s="20" t="n">
        <v>0.265337557221073</v>
      </c>
      <c r="J6" s="20" t="n">
        <v>0.172876304023845</v>
      </c>
      <c r="K6" s="20" t="n">
        <v>0.1801801801801802</v>
      </c>
      <c r="L6" s="19" t="n">
        <v>0.09499755274755238</v>
      </c>
      <c r="M6" s="19" t="n">
        <v>0.4726234425769551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470</v>
      </c>
      <c r="I7" s="15" t="n">
        <v>0.2580915950109006</v>
      </c>
      <c r="J7" s="15" t="n">
        <v>0.1683501683501683</v>
      </c>
      <c r="K7" s="15" t="n">
        <v>0.1754385964912281</v>
      </c>
      <c r="L7" s="14" t="n">
        <v>0.09499745949110232</v>
      </c>
      <c r="M7" s="14" t="n">
        <v>0.4711220915621337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180</v>
      </c>
      <c r="I9" s="15" t="n">
        <v>0.4863777978008228</v>
      </c>
      <c r="J9" s="15" t="n">
        <v>0.3425247738043947</v>
      </c>
      <c r="K9" s="15" t="n">
        <v>0.3571428571428572</v>
      </c>
      <c r="L9" s="14" t="n">
        <v>0.09497253305796211</v>
      </c>
      <c r="M9" s="14" t="n">
        <v>0.3618578338423037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190</v>
      </c>
      <c r="I10" s="20" t="n">
        <v>0.4684672305564279</v>
      </c>
      <c r="J10" s="20" t="n">
        <v>0.3309929789368105</v>
      </c>
      <c r="K10" s="20" t="n">
        <v>0.3448275862068966</v>
      </c>
      <c r="L10" s="19" t="n">
        <v>0.09496971527009317</v>
      </c>
      <c r="M10" s="19" t="n">
        <v>0.3585549686136407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170</v>
      </c>
      <c r="I11" s="15" t="n">
        <v>0.4864296650268892</v>
      </c>
      <c r="J11" s="15" t="n">
        <v>0.3552708211997671</v>
      </c>
      <c r="K11" s="15" t="n">
        <v>0.3703703703703703</v>
      </c>
      <c r="L11" s="14" t="n">
        <v>0.09491999013976155</v>
      </c>
      <c r="M11" s="14" t="n">
        <v>0.3133600955726008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ARK @ UTAH</t>
        </is>
      </c>
      <c r="C12" s="17" t="inlineStr">
        <is>
          <t>2026-09-13 02:15</t>
        </is>
      </c>
      <c r="D12" s="25" t="n">
        <v>2</v>
      </c>
      <c r="E12" s="17" t="inlineStr">
        <is>
          <t>ML</t>
        </is>
      </c>
      <c r="F12" s="17" t="inlineStr">
        <is>
          <t>ARK ML</t>
        </is>
      </c>
      <c r="G12" s="26" t="n"/>
      <c r="H12" s="18" t="n">
        <v>390</v>
      </c>
      <c r="I12" s="20" t="n">
        <v>0.2636632011433637</v>
      </c>
      <c r="J12" s="20" t="n">
        <v>0.1957070707070707</v>
      </c>
      <c r="K12" s="20" t="n">
        <v>0.2040816326530612</v>
      </c>
      <c r="L12" s="19" t="n">
        <v>0.09487303348311676</v>
      </c>
      <c r="M12" s="19" t="n">
        <v>0.2919496856024824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FSU @ ALA</t>
        </is>
      </c>
      <c r="C13" s="12" t="inlineStr">
        <is>
          <t>2026-09-19 19:30</t>
        </is>
      </c>
      <c r="D13" s="22" t="n">
        <v>3</v>
      </c>
      <c r="E13" s="12" t="inlineStr">
        <is>
          <t>ML</t>
        </is>
      </c>
      <c r="F13" s="12" t="inlineStr">
        <is>
          <t>FSU ML</t>
        </is>
      </c>
      <c r="G13" s="23" t="n"/>
      <c r="H13" s="13" t="n">
        <v>440</v>
      </c>
      <c r="I13" s="15" t="n">
        <v>0.2387513142125108</v>
      </c>
      <c r="J13" s="15" t="n">
        <v>0.1776649746192893</v>
      </c>
      <c r="K13" s="15" t="n">
        <v>0.1851851851851852</v>
      </c>
      <c r="L13" s="14" t="n">
        <v>0.09486360438077625</v>
      </c>
      <c r="M13" s="14" t="n">
        <v>0.2892570967475585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UNLV @ UNT</t>
        </is>
      </c>
      <c r="C15" s="12" t="inlineStr">
        <is>
          <t>2026-09-12 19:45</t>
        </is>
      </c>
      <c r="D15" s="22" t="n">
        <v>2</v>
      </c>
      <c r="E15" s="12" t="inlineStr">
        <is>
          <t>ML</t>
        </is>
      </c>
      <c r="F15" s="12" t="inlineStr">
        <is>
          <t>UNT ML</t>
        </is>
      </c>
      <c r="G15" s="23" t="n"/>
      <c r="H15" s="13" t="n">
        <v>145</v>
      </c>
      <c r="I15" s="15" t="n">
        <v>0.5096763779687753</v>
      </c>
      <c r="J15" s="15" t="n">
        <v>0.3907637655417407</v>
      </c>
      <c r="K15" s="15" t="n">
        <v>0.4081632653061225</v>
      </c>
      <c r="L15" s="14" t="n">
        <v>0.09468686268952746</v>
      </c>
      <c r="M15" s="14" t="n">
        <v>0.2487071260234996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+13.5</t>
        </is>
      </c>
      <c r="G16" s="26" t="n">
        <v>-13.5</v>
      </c>
      <c r="H16" s="18" t="n">
        <v>-115</v>
      </c>
      <c r="I16" s="20" t="n">
        <v>0.6330821558317519</v>
      </c>
      <c r="J16" s="20" t="n">
        <v>0.5108342361863488</v>
      </c>
      <c r="K16" s="20" t="n">
        <v>0.5348837209302325</v>
      </c>
      <c r="L16" s="19" t="n">
        <v>0.09377560552660424</v>
      </c>
      <c r="M16" s="19" t="n">
        <v>0.1835883782941448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FLA @ AUB</t>
        </is>
      </c>
      <c r="C17" s="12" t="inlineStr">
        <is>
          <t>2026-09-19 23:00</t>
        </is>
      </c>
      <c r="D17" s="22" t="n">
        <v>3</v>
      </c>
      <c r="E17" s="12" t="inlineStr">
        <is>
          <t>ATS</t>
        </is>
      </c>
      <c r="F17" s="12" t="inlineStr">
        <is>
          <t>AUB +1.5</t>
        </is>
      </c>
      <c r="G17" s="23" t="n">
        <v>1.5</v>
      </c>
      <c r="H17" s="13" t="n">
        <v>-115</v>
      </c>
      <c r="I17" s="15" t="n">
        <v>0.5887559061244323</v>
      </c>
      <c r="J17" s="15" t="n">
        <v>0.5108342361863488</v>
      </c>
      <c r="K17" s="15" t="n">
        <v>0.5348837209302325</v>
      </c>
      <c r="L17" s="14" t="n">
        <v>0.08763908572857439</v>
      </c>
      <c r="M17" s="14" t="n">
        <v>0.1007175636239386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LSU @ MISS</t>
        </is>
      </c>
      <c r="C18" s="17" t="inlineStr">
        <is>
          <t>2026-09-19 23:30</t>
        </is>
      </c>
      <c r="D18" s="25" t="n">
        <v>3</v>
      </c>
      <c r="E18" s="17" t="inlineStr">
        <is>
          <t>TOTAL</t>
        </is>
      </c>
      <c r="F18" s="17" t="inlineStr">
        <is>
          <t>Under 57.5</t>
        </is>
      </c>
      <c r="G18" s="26" t="n">
        <v>57.5</v>
      </c>
      <c r="H18" s="18" t="n">
        <v>-110</v>
      </c>
      <c r="I18" s="20" t="n">
        <v>0.5758959232083296</v>
      </c>
      <c r="J18" s="20" t="n">
        <v>0.5</v>
      </c>
      <c r="K18" s="20" t="n">
        <v>0.5238095238095238</v>
      </c>
      <c r="L18" s="19" t="n">
        <v>0.08752711656549089</v>
      </c>
      <c r="M18" s="19" t="n">
        <v>0.09943767157953842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56.5</t>
        </is>
      </c>
      <c r="G19" s="23" t="n">
        <v>56.5</v>
      </c>
      <c r="H19" s="13" t="n">
        <v>-112</v>
      </c>
      <c r="I19" s="15" t="n">
        <v>0.5687274313626001</v>
      </c>
      <c r="J19" s="15" t="n">
        <v>0.5043297540699688</v>
      </c>
      <c r="K19" s="15" t="n">
        <v>0.5283018867924528</v>
      </c>
      <c r="L19" s="14" t="n">
        <v>0.08290211270258507</v>
      </c>
      <c r="M19" s="14" t="n">
        <v>0.07651978079349298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RICH @ NCSU</t>
        </is>
      </c>
      <c r="C20" s="17" t="inlineStr">
        <is>
          <t>2026-09-11 23:00</t>
        </is>
      </c>
      <c r="D20" s="25" t="n">
        <v>2</v>
      </c>
      <c r="E20" s="17" t="inlineStr">
        <is>
          <t>ML</t>
        </is>
      </c>
      <c r="F20" s="17" t="inlineStr">
        <is>
          <t>RICH ML</t>
        </is>
      </c>
      <c r="G20" s="26" t="n"/>
      <c r="H20" s="18" t="n">
        <v>2200</v>
      </c>
      <c r="I20" s="20" t="n">
        <v>0.2041925447349121</v>
      </c>
      <c r="J20" s="20" t="n">
        <v>0.04216553878188443</v>
      </c>
      <c r="K20" s="20" t="n">
        <v>0.04347826086956522</v>
      </c>
      <c r="L20" s="19" t="n">
        <v>0.095</v>
      </c>
      <c r="M20" s="19" t="n">
        <v>3.696428528902978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RICH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1100</v>
      </c>
      <c r="I21" s="15" t="n">
        <v>0.3690360240569037</v>
      </c>
      <c r="J21" s="15" t="n">
        <v>0.08029197080291971</v>
      </c>
      <c r="K21" s="15" t="n">
        <v>0.08333333333333333</v>
      </c>
      <c r="L21" s="14" t="n">
        <v>0.095</v>
      </c>
      <c r="M21" s="14" t="n">
        <v>3.428432288682845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ML</t>
        </is>
      </c>
      <c r="F22" s="17" t="inlineStr">
        <is>
          <t>TEM ML</t>
        </is>
      </c>
      <c r="G22" s="26" t="n"/>
      <c r="H22" s="18" t="n">
        <v>1400</v>
      </c>
      <c r="I22" s="20" t="n">
        <v>0.3487812646279397</v>
      </c>
      <c r="J22" s="20" t="n">
        <v>0.06432748538011696</v>
      </c>
      <c r="K22" s="20" t="n">
        <v>0.06666666666666667</v>
      </c>
      <c r="L22" s="19" t="n">
        <v>0.095</v>
      </c>
      <c r="M22" s="19" t="n">
        <v>4.231718969419095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USU @ WASH</t>
        </is>
      </c>
      <c r="C23" s="12" t="inlineStr">
        <is>
          <t>2026-09-12 19:30</t>
        </is>
      </c>
      <c r="D23" s="22" t="n">
        <v>2</v>
      </c>
      <c r="E23" s="12" t="inlineStr">
        <is>
          <t>ML</t>
        </is>
      </c>
      <c r="F23" s="12" t="inlineStr">
        <is>
          <t>USU ML</t>
        </is>
      </c>
      <c r="G23" s="23" t="n"/>
      <c r="H23" s="13" t="n">
        <v>1500</v>
      </c>
      <c r="I23" s="15" t="n">
        <v>0.1967802451565861</v>
      </c>
      <c r="J23" s="15" t="n">
        <v>0.06035889070146819</v>
      </c>
      <c r="K23" s="15" t="n">
        <v>0.0625</v>
      </c>
      <c r="L23" s="14" t="n">
        <v>0.095</v>
      </c>
      <c r="M23" s="14" t="n">
        <v>2.148483922505378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BGSU @ NEB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BGSU ML</t>
        </is>
      </c>
      <c r="G24" s="26" t="n"/>
      <c r="H24" s="18" t="n">
        <v>2200</v>
      </c>
      <c r="I24" s="20" t="n">
        <v>0.1786729364966255</v>
      </c>
      <c r="J24" s="20" t="n">
        <v>0.04216553878188443</v>
      </c>
      <c r="K24" s="20" t="n">
        <v>0.04347826086956522</v>
      </c>
      <c r="L24" s="19" t="n">
        <v>0.095</v>
      </c>
      <c r="M24" s="19" t="n">
        <v>3.109477539422387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1700</v>
      </c>
      <c r="I25" s="15" t="n">
        <v>0.3462079407473053</v>
      </c>
      <c r="J25" s="15" t="n">
        <v>0.05373831775700934</v>
      </c>
      <c r="K25" s="15" t="n">
        <v>0.05555555555555555</v>
      </c>
      <c r="L25" s="14" t="n">
        <v>0.095</v>
      </c>
      <c r="M25" s="14" t="n">
        <v>5.231742933451496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LT @ LSU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LT ML</t>
        </is>
      </c>
      <c r="G26" s="26" t="n"/>
      <c r="H26" s="18" t="n">
        <v>4000</v>
      </c>
      <c r="I26" s="20" t="n">
        <v>0.1964025513526687</v>
      </c>
      <c r="J26" s="20" t="n">
        <v>0.02385600685681634</v>
      </c>
      <c r="K26" s="20" t="n">
        <v>0.02439024390243903</v>
      </c>
      <c r="L26" s="19" t="n">
        <v>0.095</v>
      </c>
      <c r="M26" s="19" t="n">
        <v>7.052504605459417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USM @ AUB</t>
        </is>
      </c>
      <c r="C27" s="12" t="inlineStr">
        <is>
          <t>2026-09-12 23:45</t>
        </is>
      </c>
      <c r="D27" s="22" t="n">
        <v>2</v>
      </c>
      <c r="E27" s="12" t="inlineStr">
        <is>
          <t>ML</t>
        </is>
      </c>
      <c r="F27" s="12" t="inlineStr">
        <is>
          <t>USM ML</t>
        </is>
      </c>
      <c r="G27" s="23" t="n"/>
      <c r="H27" s="13" t="n">
        <v>2500</v>
      </c>
      <c r="I27" s="15" t="n">
        <v>0.2027813642702524</v>
      </c>
      <c r="J27" s="15" t="n">
        <v>0.0374331550802139</v>
      </c>
      <c r="K27" s="15" t="n">
        <v>0.03846153846153846</v>
      </c>
      <c r="L27" s="14" t="n">
        <v>0.095</v>
      </c>
      <c r="M27" s="14" t="n">
        <v>4.272315471026563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UL @ USC</t>
        </is>
      </c>
      <c r="C28" s="17" t="inlineStr">
        <is>
          <t>2026-09-13 03:00</t>
        </is>
      </c>
      <c r="D28" s="25" t="n">
        <v>2</v>
      </c>
      <c r="E28" s="17" t="inlineStr">
        <is>
          <t>ML</t>
        </is>
      </c>
      <c r="F28" s="17" t="inlineStr">
        <is>
          <t>UL ML</t>
        </is>
      </c>
      <c r="G28" s="26" t="n"/>
      <c r="H28" s="18" t="n">
        <v>3000</v>
      </c>
      <c r="I28" s="20" t="n">
        <v>0.1910348562713059</v>
      </c>
      <c r="J28" s="20" t="n">
        <v>0.03155263980006248</v>
      </c>
      <c r="K28" s="20" t="n">
        <v>0.03225806451612903</v>
      </c>
      <c r="L28" s="19" t="n">
        <v>0.095</v>
      </c>
      <c r="M28" s="19" t="n">
        <v>4.922080544410483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UCD @ SMU</t>
        </is>
      </c>
      <c r="C29" s="12" t="inlineStr">
        <is>
          <t>2026-09-12 20:00</t>
        </is>
      </c>
      <c r="D29" s="22" t="n">
        <v>2</v>
      </c>
      <c r="E29" s="12" t="inlineStr">
        <is>
          <t>ML</t>
        </is>
      </c>
      <c r="F29" s="12" t="inlineStr">
        <is>
          <t>UCD ML</t>
        </is>
      </c>
      <c r="G29" s="23" t="n"/>
      <c r="H29" s="13" t="n">
        <v>1200</v>
      </c>
      <c r="I29" s="15" t="n">
        <v>0.201192385520271</v>
      </c>
      <c r="J29" s="15" t="n">
        <v>0.0741839762611276</v>
      </c>
      <c r="K29" s="15" t="n">
        <v>0.07692307692307693</v>
      </c>
      <c r="L29" s="14" t="n">
        <v>0.09499999999999996</v>
      </c>
      <c r="M29" s="14" t="n">
        <v>1.615501011763523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UCD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DEL @ VAN</t>
        </is>
      </c>
      <c r="C30" s="17" t="inlineStr">
        <is>
          <t>2026-09-12 20:15</t>
        </is>
      </c>
      <c r="D30" s="25" t="n">
        <v>2</v>
      </c>
      <c r="E30" s="17" t="inlineStr">
        <is>
          <t>ML</t>
        </is>
      </c>
      <c r="F30" s="17" t="inlineStr">
        <is>
          <t>DEL ML</t>
        </is>
      </c>
      <c r="G30" s="26" t="n"/>
      <c r="H30" s="18" t="n">
        <v>850</v>
      </c>
      <c r="I30" s="20" t="n">
        <v>0.2439896046090874</v>
      </c>
      <c r="J30" s="20" t="n">
        <v>0.101141924959217</v>
      </c>
      <c r="K30" s="20" t="n">
        <v>0.1052631578947368</v>
      </c>
      <c r="L30" s="19" t="n">
        <v>0.0949999999999768</v>
      </c>
      <c r="M30" s="19" t="n">
        <v>1.31790124378633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TLSA @ SHSU</t>
        </is>
      </c>
      <c r="C31" s="12" t="inlineStr">
        <is>
          <t>2026-09-12 23:00</t>
        </is>
      </c>
      <c r="D31" s="22" t="n">
        <v>2</v>
      </c>
      <c r="E31" s="12" t="inlineStr">
        <is>
          <t>ML</t>
        </is>
      </c>
      <c r="F31" s="12" t="inlineStr">
        <is>
          <t>SHSU ML</t>
        </is>
      </c>
      <c r="G31" s="23" t="n"/>
      <c r="H31" s="13" t="n">
        <v>440</v>
      </c>
      <c r="I31" s="15" t="n">
        <v>0.422363640634743</v>
      </c>
      <c r="J31" s="15" t="n">
        <v>0.1776649746192893</v>
      </c>
      <c r="K31" s="15" t="n">
        <v>0.1851851851851852</v>
      </c>
      <c r="L31" s="14" t="n">
        <v>0.09499999999995147</v>
      </c>
      <c r="M31" s="14" t="n">
        <v>1.280763659427612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GASO @ CLEM</t>
        </is>
      </c>
      <c r="C32" s="17" t="inlineStr">
        <is>
          <t>2026-09-12 23:30</t>
        </is>
      </c>
      <c r="D32" s="25" t="n">
        <v>2</v>
      </c>
      <c r="E32" s="17" t="inlineStr">
        <is>
          <t>ML</t>
        </is>
      </c>
      <c r="F32" s="17" t="inlineStr">
        <is>
          <t>GASO ML</t>
        </is>
      </c>
      <c r="G32" s="26" t="n"/>
      <c r="H32" s="18" t="n">
        <v>800</v>
      </c>
      <c r="I32" s="20" t="n">
        <v>0.2479752810804507</v>
      </c>
      <c r="J32" s="20" t="n">
        <v>0.1066176470588235</v>
      </c>
      <c r="K32" s="20" t="n">
        <v>0.1111111111111111</v>
      </c>
      <c r="L32" s="19" t="n">
        <v>0.09499999999985659</v>
      </c>
      <c r="M32" s="19" t="n">
        <v>1.231777529724057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TENN @ GT</t>
        </is>
      </c>
      <c r="C33" s="12" t="inlineStr">
        <is>
          <t>2026-09-12 23:00</t>
        </is>
      </c>
      <c r="D33" s="22" t="n">
        <v>2</v>
      </c>
      <c r="E33" s="12" t="inlineStr">
        <is>
          <t>ML</t>
        </is>
      </c>
      <c r="F33" s="12" t="inlineStr">
        <is>
          <t>GT ML</t>
        </is>
      </c>
      <c r="G33" s="23" t="n"/>
      <c r="H33" s="13" t="n">
        <v>400</v>
      </c>
      <c r="I33" s="15" t="n">
        <v>0.4023642692667679</v>
      </c>
      <c r="J33" s="15" t="n">
        <v>0.1918429003021148</v>
      </c>
      <c r="K33" s="15" t="n">
        <v>0.2</v>
      </c>
      <c r="L33" s="14" t="n">
        <v>0.09499999998239991</v>
      </c>
      <c r="M33" s="14" t="n">
        <v>1.01182134633384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ODU @ VT</t>
        </is>
      </c>
      <c r="C34" s="17" t="inlineStr">
        <is>
          <t>2026-09-12 16:00</t>
        </is>
      </c>
      <c r="D34" s="25" t="n">
        <v>2</v>
      </c>
      <c r="E34" s="17" t="inlineStr">
        <is>
          <t>ML</t>
        </is>
      </c>
      <c r="F34" s="17" t="inlineStr">
        <is>
          <t>ODU ML</t>
        </is>
      </c>
      <c r="G34" s="26" t="n"/>
      <c r="H34" s="18" t="n">
        <v>750</v>
      </c>
      <c r="I34" s="20" t="n">
        <v>0.2335301573266844</v>
      </c>
      <c r="J34" s="20" t="n">
        <v>0.1130434782608696</v>
      </c>
      <c r="K34" s="20" t="n">
        <v>0.1176470588235294</v>
      </c>
      <c r="L34" s="19" t="n">
        <v>0.09499999996582566</v>
      </c>
      <c r="M34" s="19" t="n">
        <v>0.985006337276817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MD @ CONN</t>
        </is>
      </c>
      <c r="C35" s="12" t="inlineStr">
        <is>
          <t>2026-09-12 19:30</t>
        </is>
      </c>
      <c r="D35" s="22" t="n">
        <v>2</v>
      </c>
      <c r="E35" s="12" t="inlineStr">
        <is>
          <t>ML</t>
        </is>
      </c>
      <c r="F35" s="12" t="inlineStr">
        <is>
          <t>CONN ML</t>
        </is>
      </c>
      <c r="G35" s="23" t="n"/>
      <c r="H35" s="13" t="n">
        <v>360</v>
      </c>
      <c r="I35" s="15" t="n">
        <v>0.4304026692520314</v>
      </c>
      <c r="J35" s="15" t="n">
        <v>0.2086383601756955</v>
      </c>
      <c r="K35" s="15" t="n">
        <v>0.2173913043478261</v>
      </c>
      <c r="L35" s="14" t="n">
        <v>0.0949999999636503</v>
      </c>
      <c r="M35" s="14" t="n">
        <v>0.9798522785593444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SAC @ FRES</t>
        </is>
      </c>
      <c r="C36" s="17" t="inlineStr">
        <is>
          <t>2026-09-13 02:30</t>
        </is>
      </c>
      <c r="D36" s="25" t="n">
        <v>2</v>
      </c>
      <c r="E36" s="17" t="inlineStr">
        <is>
          <t>ML</t>
        </is>
      </c>
      <c r="F36" s="17" t="inlineStr">
        <is>
          <t>SAC ML</t>
        </is>
      </c>
      <c r="G36" s="26" t="n"/>
      <c r="H36" s="18" t="n">
        <v>650</v>
      </c>
      <c r="I36" s="20" t="n">
        <v>0.2539176212456316</v>
      </c>
      <c r="J36" s="20" t="n">
        <v>0.1279069767441861</v>
      </c>
      <c r="K36" s="20" t="n">
        <v>0.1333333333333333</v>
      </c>
      <c r="L36" s="19" t="n">
        <v>0.09499999981324793</v>
      </c>
      <c r="M36" s="19" t="n">
        <v>0.9043821593422368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WSU @ KSU</t>
        </is>
      </c>
      <c r="C37" s="12" t="inlineStr">
        <is>
          <t>2026-09-12 16:00</t>
        </is>
      </c>
      <c r="D37" s="22" t="n">
        <v>2</v>
      </c>
      <c r="E37" s="12" t="inlineStr">
        <is>
          <t>ML</t>
        </is>
      </c>
      <c r="F37" s="12" t="inlineStr">
        <is>
          <t>WSU ML</t>
        </is>
      </c>
      <c r="G37" s="23" t="n"/>
      <c r="H37" s="13" t="n">
        <v>700</v>
      </c>
      <c r="I37" s="15" t="n">
        <v>0.2331130076458851</v>
      </c>
      <c r="J37" s="15" t="n">
        <v>0.12</v>
      </c>
      <c r="K37" s="15" t="n">
        <v>0.125</v>
      </c>
      <c r="L37" s="14" t="n">
        <v>0.09499999954244248</v>
      </c>
      <c r="M37" s="14" t="n">
        <v>0.8649040611670804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ALA @ UK</t>
        </is>
      </c>
      <c r="C38" s="17" t="inlineStr">
        <is>
          <t>2026-09-12 19:30</t>
        </is>
      </c>
      <c r="D38" s="25" t="n">
        <v>2</v>
      </c>
      <c r="E38" s="17" t="inlineStr">
        <is>
          <t>ML</t>
        </is>
      </c>
      <c r="F38" s="17" t="inlineStr">
        <is>
          <t>UK ML</t>
        </is>
      </c>
      <c r="G38" s="26" t="n"/>
      <c r="H38" s="18" t="n">
        <v>330</v>
      </c>
      <c r="I38" s="20" t="n">
        <v>0.4311936160242709</v>
      </c>
      <c r="J38" s="20" t="n">
        <v>0.2231668437832094</v>
      </c>
      <c r="K38" s="20" t="n">
        <v>0.2325581395348837</v>
      </c>
      <c r="L38" s="19" t="n">
        <v>0.09499999942984419</v>
      </c>
      <c r="M38" s="19" t="n">
        <v>0.854132548904365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NORF @ UVA</t>
        </is>
      </c>
      <c r="C39" s="12" t="inlineStr">
        <is>
          <t>2026-09-11 23:00</t>
        </is>
      </c>
      <c r="D39" s="22" t="n">
        <v>2</v>
      </c>
      <c r="E39" s="12" t="inlineStr">
        <is>
          <t>ATS</t>
        </is>
      </c>
      <c r="F39" s="12" t="inlineStr">
        <is>
          <t>NORF +44.5</t>
        </is>
      </c>
      <c r="G39" s="23" t="n">
        <v>-44.5</v>
      </c>
      <c r="H39" s="13" t="n">
        <v>-105</v>
      </c>
      <c r="I39" s="15" t="n">
        <v>0.7435374511412385</v>
      </c>
      <c r="J39" s="15" t="n">
        <v>0.4891657638136511</v>
      </c>
      <c r="K39" s="15" t="n">
        <v>0.5121951219512195</v>
      </c>
      <c r="L39" s="14" t="n">
        <v>0.09499665603561004</v>
      </c>
      <c r="M39" s="14" t="n">
        <v>0.451668356990037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NORF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VILL @ LOU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VILL +36.5</t>
        </is>
      </c>
      <c r="G40" s="26" t="n">
        <v>-36.5</v>
      </c>
      <c r="H40" s="18" t="n">
        <v>-105</v>
      </c>
      <c r="I40" s="20" t="n">
        <v>0.7413837127192322</v>
      </c>
      <c r="J40" s="20" t="n">
        <v>0.4891657638136511</v>
      </c>
      <c r="K40" s="20" t="n">
        <v>0.5121951219512195</v>
      </c>
      <c r="L40" s="19" t="n">
        <v>0.09499633126264193</v>
      </c>
      <c r="M40" s="19" t="n">
        <v>0.4474634391185008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VILL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 @ USC</t>
        </is>
      </c>
      <c r="C41" s="12" t="inlineStr">
        <is>
          <t>2026-09-13 03:00</t>
        </is>
      </c>
      <c r="D41" s="22" t="n">
        <v>2</v>
      </c>
      <c r="E41" s="12" t="inlineStr">
        <is>
          <t>ATS</t>
        </is>
      </c>
      <c r="F41" s="12" t="inlineStr">
        <is>
          <t>UL +30.5</t>
        </is>
      </c>
      <c r="G41" s="23" t="n">
        <v>-30.5</v>
      </c>
      <c r="H41" s="13" t="n">
        <v>-102</v>
      </c>
      <c r="I41" s="15" t="n">
        <v>0.7300230512144329</v>
      </c>
      <c r="J41" s="15" t="n">
        <v>0.4826358742837298</v>
      </c>
      <c r="K41" s="15" t="n">
        <v>0.504950495049505</v>
      </c>
      <c r="L41" s="14" t="n">
        <v>0.09499608935605938</v>
      </c>
      <c r="M41" s="14" t="n">
        <v>0.445731924954073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HOW @ IU</t>
        </is>
      </c>
      <c r="C42" s="17" t="inlineStr">
        <is>
          <t>2026-09-12 16:00</t>
        </is>
      </c>
      <c r="D42" s="25" t="n">
        <v>2</v>
      </c>
      <c r="E42" s="17" t="inlineStr">
        <is>
          <t>ATS</t>
        </is>
      </c>
      <c r="F42" s="17" t="inlineStr">
        <is>
          <t>HOW +56.5</t>
        </is>
      </c>
      <c r="G42" s="26" t="n">
        <v>-56.5</v>
      </c>
      <c r="H42" s="18" t="n">
        <v>-108</v>
      </c>
      <c r="I42" s="20" t="n">
        <v>0.747816085916688</v>
      </c>
      <c r="J42" s="20" t="n">
        <v>0.4956702459300312</v>
      </c>
      <c r="K42" s="20" t="n">
        <v>0.5192307692307693</v>
      </c>
      <c r="L42" s="19" t="n">
        <v>0.09499575665492996</v>
      </c>
      <c r="M42" s="19" t="n">
        <v>0.4402383876913993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HOW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FAMU @ MIA</t>
        </is>
      </c>
      <c r="C43" s="12" t="inlineStr">
        <is>
          <t>2026-09-11 00:00</t>
        </is>
      </c>
      <c r="D43" s="22" t="n">
        <v>2</v>
      </c>
      <c r="E43" s="12" t="inlineStr">
        <is>
          <t>ATS</t>
        </is>
      </c>
      <c r="F43" s="12" t="inlineStr">
        <is>
          <t>FAMU +56.5</t>
        </is>
      </c>
      <c r="G43" s="23" t="n">
        <v>-56.5</v>
      </c>
      <c r="H43" s="13" t="n">
        <v>-108</v>
      </c>
      <c r="I43" s="15" t="n">
        <v>0.747801950900714</v>
      </c>
      <c r="J43" s="15" t="n">
        <v>0.4956702459300312</v>
      </c>
      <c r="K43" s="15" t="n">
        <v>0.5192307692307693</v>
      </c>
      <c r="L43" s="14" t="n">
        <v>0.09499575410669857</v>
      </c>
      <c r="M43" s="14" t="n">
        <v>0.4402111646976714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FAMU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SOU @ HOU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SOU +51.5</t>
        </is>
      </c>
      <c r="G44" s="26" t="n">
        <v>-51.5</v>
      </c>
      <c r="H44" s="18" t="n">
        <v>-108</v>
      </c>
      <c r="I44" s="20" t="n">
        <v>0.7477671934263734</v>
      </c>
      <c r="J44" s="20" t="n">
        <v>0.4956702459300312</v>
      </c>
      <c r="K44" s="20" t="n">
        <v>0.5192307692307693</v>
      </c>
      <c r="L44" s="19" t="n">
        <v>0.09499574783418351</v>
      </c>
      <c r="M44" s="19" t="n">
        <v>0.4401442243767193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SOU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RICE @ ND</t>
        </is>
      </c>
      <c r="C45" s="12" t="inlineStr">
        <is>
          <t>2026-09-12 19:30</t>
        </is>
      </c>
      <c r="D45" s="22" t="n">
        <v>2</v>
      </c>
      <c r="E45" s="12" t="inlineStr">
        <is>
          <t>ATS</t>
        </is>
      </c>
      <c r="F45" s="12" t="inlineStr">
        <is>
          <t>RICE +44.5</t>
        </is>
      </c>
      <c r="G45" s="23" t="n">
        <v>-44.5</v>
      </c>
      <c r="H45" s="13" t="n">
        <v>-108</v>
      </c>
      <c r="I45" s="15" t="n">
        <v>0.7472140993746619</v>
      </c>
      <c r="J45" s="15" t="n">
        <v>0.4956702459300312</v>
      </c>
      <c r="K45" s="15" t="n">
        <v>0.5192307692307693</v>
      </c>
      <c r="L45" s="14" t="n">
        <v>0.09499564676380527</v>
      </c>
      <c r="M45" s="14" t="n">
        <v>0.4390790062030525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ORE @ OKST</t>
        </is>
      </c>
      <c r="C46" s="17" t="inlineStr">
        <is>
          <t>2026-09-12 16:00</t>
        </is>
      </c>
      <c r="D46" s="25" t="n">
        <v>2</v>
      </c>
      <c r="E46" s="17" t="inlineStr">
        <is>
          <t>ATS</t>
        </is>
      </c>
      <c r="F46" s="17" t="inlineStr">
        <is>
          <t>OKST +22.5</t>
        </is>
      </c>
      <c r="G46" s="26" t="n">
        <v>22.5</v>
      </c>
      <c r="H46" s="18" t="n">
        <v>-108</v>
      </c>
      <c r="I46" s="20" t="n">
        <v>0.7414308739631819</v>
      </c>
      <c r="J46" s="20" t="n">
        <v>0.4956702459300312</v>
      </c>
      <c r="K46" s="20" t="n">
        <v>0.5192307692307693</v>
      </c>
      <c r="L46" s="19" t="n">
        <v>0.09499443473603912</v>
      </c>
      <c r="M46" s="19" t="n">
        <v>0.4279409424476095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USM @ AUB</t>
        </is>
      </c>
      <c r="C47" s="12" t="inlineStr">
        <is>
          <t>2026-09-12 23:45</t>
        </is>
      </c>
      <c r="D47" s="22" t="n">
        <v>2</v>
      </c>
      <c r="E47" s="12" t="inlineStr">
        <is>
          <t>ATS</t>
        </is>
      </c>
      <c r="F47" s="12" t="inlineStr">
        <is>
          <t>USM +32.5</t>
        </is>
      </c>
      <c r="G47" s="23" t="n">
        <v>-32.5</v>
      </c>
      <c r="H47" s="13" t="n">
        <v>-108</v>
      </c>
      <c r="I47" s="15" t="n">
        <v>0.7409939067908102</v>
      </c>
      <c r="J47" s="15" t="n">
        <v>0.4956702459300312</v>
      </c>
      <c r="K47" s="15" t="n">
        <v>0.5192307692307693</v>
      </c>
      <c r="L47" s="14" t="n">
        <v>0.09499433048713432</v>
      </c>
      <c r="M47" s="14" t="n">
        <v>0.4270993760415605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TTU @ ORST</t>
        </is>
      </c>
      <c r="C48" s="17" t="inlineStr">
        <is>
          <t>2026-09-12 23:30</t>
        </is>
      </c>
      <c r="D48" s="25" t="n">
        <v>2</v>
      </c>
      <c r="E48" s="17" t="inlineStr">
        <is>
          <t>ATS</t>
        </is>
      </c>
      <c r="F48" s="17" t="inlineStr">
        <is>
          <t>ORST +26.5</t>
        </is>
      </c>
      <c r="G48" s="26" t="n">
        <v>26.5</v>
      </c>
      <c r="H48" s="18" t="n">
        <v>-110</v>
      </c>
      <c r="I48" s="20" t="n">
        <v>0.7466074561492662</v>
      </c>
      <c r="J48" s="20" t="n">
        <v>0.5</v>
      </c>
      <c r="K48" s="20" t="n">
        <v>0.5238095238095238</v>
      </c>
      <c r="L48" s="19" t="n">
        <v>0.09499412164727353</v>
      </c>
      <c r="M48" s="19" t="n">
        <v>0.4253415071940536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LT @ LSU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LT +35.5</t>
        </is>
      </c>
      <c r="G49" s="23" t="n">
        <v>-35.5</v>
      </c>
      <c r="H49" s="13" t="n">
        <v>-110</v>
      </c>
      <c r="I49" s="15" t="n">
        <v>0.7462725585872357</v>
      </c>
      <c r="J49" s="15" t="n">
        <v>0.5</v>
      </c>
      <c r="K49" s="15" t="n">
        <v>0.5238095238095238</v>
      </c>
      <c r="L49" s="14" t="n">
        <v>0.09499403817236209</v>
      </c>
      <c r="M49" s="14" t="n">
        <v>0.4247021573029046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CLT @ MISS</t>
        </is>
      </c>
      <c r="C50" s="17" t="inlineStr">
        <is>
          <t>2026-09-12 23:45</t>
        </is>
      </c>
      <c r="D50" s="25" t="n">
        <v>2</v>
      </c>
      <c r="E50" s="17" t="inlineStr">
        <is>
          <t>ATS</t>
        </is>
      </c>
      <c r="F50" s="17" t="inlineStr">
        <is>
          <t>CLT +47.5</t>
        </is>
      </c>
      <c r="G50" s="26" t="n">
        <v>-47.5</v>
      </c>
      <c r="H50" s="18" t="n">
        <v>-112</v>
      </c>
      <c r="I50" s="20" t="n">
        <v>0.7518604852982191</v>
      </c>
      <c r="J50" s="20" t="n">
        <v>0.5043297540699688</v>
      </c>
      <c r="K50" s="20" t="n">
        <v>0.5283018867924528</v>
      </c>
      <c r="L50" s="19" t="n">
        <v>0.09499381654119927</v>
      </c>
      <c r="M50" s="19" t="n">
        <v>0.4231644900287719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WCU @ CIN</t>
        </is>
      </c>
      <c r="C51" s="12" t="inlineStr">
        <is>
          <t>2026-09-12 23:00</t>
        </is>
      </c>
      <c r="D51" s="22" t="n">
        <v>2</v>
      </c>
      <c r="E51" s="12" t="inlineStr">
        <is>
          <t>ATS</t>
        </is>
      </c>
      <c r="F51" s="12" t="inlineStr">
        <is>
          <t>WCU +36.5</t>
        </is>
      </c>
      <c r="G51" s="23" t="n">
        <v>-36.5</v>
      </c>
      <c r="H51" s="13" t="n">
        <v>-112</v>
      </c>
      <c r="I51" s="15" t="n">
        <v>0.7489241281876072</v>
      </c>
      <c r="J51" s="15" t="n">
        <v>0.5043297540699688</v>
      </c>
      <c r="K51" s="15" t="n">
        <v>0.5283018867924528</v>
      </c>
      <c r="L51" s="14" t="n">
        <v>0.09499301022616539</v>
      </c>
      <c r="M51" s="14" t="n">
        <v>0.4176063854979708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WCU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BGSU @ NEB</t>
        </is>
      </c>
      <c r="C52" s="17" t="inlineStr">
        <is>
          <t>2026-09-12 23:00</t>
        </is>
      </c>
      <c r="D52" s="25" t="n">
        <v>2</v>
      </c>
      <c r="E52" s="17" t="inlineStr">
        <is>
          <t>ATS</t>
        </is>
      </c>
      <c r="F52" s="17" t="inlineStr">
        <is>
          <t>BGSU +28.5</t>
        </is>
      </c>
      <c r="G52" s="26" t="n">
        <v>-28.5</v>
      </c>
      <c r="H52" s="18" t="n">
        <v>-108</v>
      </c>
      <c r="I52" s="20" t="n">
        <v>0.7278797306504277</v>
      </c>
      <c r="J52" s="20" t="n">
        <v>0.4956702459300312</v>
      </c>
      <c r="K52" s="20" t="n">
        <v>0.5192307692307693</v>
      </c>
      <c r="L52" s="19" t="n">
        <v>0.0949901044997546</v>
      </c>
      <c r="M52" s="19" t="n">
        <v>0.4018424442156385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WKU @ UGA</t>
        </is>
      </c>
      <c r="C53" s="12" t="inlineStr">
        <is>
          <t>2026-09-12 16:45</t>
        </is>
      </c>
      <c r="D53" s="22" t="n">
        <v>2</v>
      </c>
      <c r="E53" s="12" t="inlineStr">
        <is>
          <t>ATS</t>
        </is>
      </c>
      <c r="F53" s="12" t="inlineStr">
        <is>
          <t>WKU +41.5</t>
        </is>
      </c>
      <c r="G53" s="23" t="n">
        <v>-41.5</v>
      </c>
      <c r="H53" s="13" t="n">
        <v>-118</v>
      </c>
      <c r="I53" s="15" t="n">
        <v>0.7572575838095499</v>
      </c>
      <c r="J53" s="15" t="n">
        <v>0.5173641257162701</v>
      </c>
      <c r="K53" s="15" t="n">
        <v>0.5412844036697247</v>
      </c>
      <c r="L53" s="14" t="n">
        <v>0.09498905422329916</v>
      </c>
      <c r="M53" s="14" t="n">
        <v>0.3990012989023888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RICH @ NCSU</t>
        </is>
      </c>
      <c r="C54" s="17" t="inlineStr">
        <is>
          <t>2026-09-11 23:00</t>
        </is>
      </c>
      <c r="D54" s="25" t="n">
        <v>2</v>
      </c>
      <c r="E54" s="17" t="inlineStr">
        <is>
          <t>ATS</t>
        </is>
      </c>
      <c r="F54" s="17" t="inlineStr">
        <is>
          <t>RICH +30.5</t>
        </is>
      </c>
      <c r="G54" s="26" t="n">
        <v>-30.5</v>
      </c>
      <c r="H54" s="18" t="n">
        <v>-115</v>
      </c>
      <c r="I54" s="20" t="n">
        <v>0.7452581423880171</v>
      </c>
      <c r="J54" s="20" t="n">
        <v>0.5108342361863488</v>
      </c>
      <c r="K54" s="20" t="n">
        <v>0.5348837209302325</v>
      </c>
      <c r="L54" s="19" t="n">
        <v>0.09498789549756687</v>
      </c>
      <c r="M54" s="19" t="n">
        <v>0.3933087009862928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RICH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PSU @ TEM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TEM +24.5</t>
        </is>
      </c>
      <c r="G55" s="23" t="n">
        <v>24.5</v>
      </c>
      <c r="H55" s="13" t="n">
        <v>-118</v>
      </c>
      <c r="I55" s="15" t="n">
        <v>0.7535302014884622</v>
      </c>
      <c r="J55" s="15" t="n">
        <v>0.5173641257162701</v>
      </c>
      <c r="K55" s="15" t="n">
        <v>0.5412844036697247</v>
      </c>
      <c r="L55" s="14" t="n">
        <v>0.09498726162281014</v>
      </c>
      <c r="M55" s="14" t="n">
        <v>0.392115118004108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USU @ WASH</t>
        </is>
      </c>
      <c r="C56" s="17" t="inlineStr">
        <is>
          <t>2026-09-12 19:30</t>
        </is>
      </c>
      <c r="D56" s="25" t="n">
        <v>2</v>
      </c>
      <c r="E56" s="17" t="inlineStr">
        <is>
          <t>ATS</t>
        </is>
      </c>
      <c r="F56" s="17" t="inlineStr">
        <is>
          <t>USU +26.5</t>
        </is>
      </c>
      <c r="G56" s="26" t="n">
        <v>-26.5</v>
      </c>
      <c r="H56" s="18" t="n">
        <v>-110</v>
      </c>
      <c r="I56" s="20" t="n">
        <v>0.7252727571067488</v>
      </c>
      <c r="J56" s="20" t="n">
        <v>0.5</v>
      </c>
      <c r="K56" s="20" t="n">
        <v>0.5238095238095238</v>
      </c>
      <c r="L56" s="19" t="n">
        <v>0.09498556674868887</v>
      </c>
      <c r="M56" s="19" t="n">
        <v>0.3846116272037932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TLSA @ SHSU</t>
        </is>
      </c>
      <c r="C57" s="12" t="inlineStr">
        <is>
          <t>2026-09-12 23:00</t>
        </is>
      </c>
      <c r="D57" s="22" t="n">
        <v>2</v>
      </c>
      <c r="E57" s="12" t="inlineStr">
        <is>
          <t>ATS</t>
        </is>
      </c>
      <c r="F57" s="12" t="inlineStr">
        <is>
          <t>SHSU +14</t>
        </is>
      </c>
      <c r="G57" s="23" t="n">
        <v>14</v>
      </c>
      <c r="H57" s="13" t="n">
        <v>-112</v>
      </c>
      <c r="I57" s="15" t="n">
        <v>0.7272256189545874</v>
      </c>
      <c r="J57" s="15" t="n">
        <v>0.5043297540699688</v>
      </c>
      <c r="K57" s="15" t="n">
        <v>0.5283018867924528</v>
      </c>
      <c r="L57" s="14" t="n">
        <v>0.09498270924731465</v>
      </c>
      <c r="M57" s="14" t="n">
        <v>0.3716769160326386</v>
      </c>
      <c r="N57" s="15" t="n">
        <v>0.0129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GASO @ CLEM</t>
        </is>
      </c>
      <c r="C58" s="17" t="inlineStr">
        <is>
          <t>2026-09-12 23:30</t>
        </is>
      </c>
      <c r="D58" s="25" t="n">
        <v>2</v>
      </c>
      <c r="E58" s="17" t="inlineStr">
        <is>
          <t>ATS</t>
        </is>
      </c>
      <c r="F58" s="17" t="inlineStr">
        <is>
          <t>GASO +20.5</t>
        </is>
      </c>
      <c r="G58" s="26" t="n">
        <v>-20.5</v>
      </c>
      <c r="H58" s="18" t="n">
        <v>-105</v>
      </c>
      <c r="I58" s="20" t="n">
        <v>0.7010253481537078</v>
      </c>
      <c r="J58" s="20" t="n">
        <v>0.4891657638136511</v>
      </c>
      <c r="K58" s="20" t="n">
        <v>0.5121951219512195</v>
      </c>
      <c r="L58" s="19" t="n">
        <v>0.09497916376548846</v>
      </c>
      <c r="M58" s="19" t="n">
        <v>0.3686685368715246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DEL @ VAN</t>
        </is>
      </c>
      <c r="C59" s="12" t="inlineStr">
        <is>
          <t>2026-09-12 20:15</t>
        </is>
      </c>
      <c r="D59" s="22" t="n">
        <v>2</v>
      </c>
      <c r="E59" s="12" t="inlineStr">
        <is>
          <t>ATS</t>
        </is>
      </c>
      <c r="F59" s="12" t="inlineStr">
        <is>
          <t>DEL +20.5</t>
        </is>
      </c>
      <c r="G59" s="23" t="n">
        <v>-20.5</v>
      </c>
      <c r="H59" s="13" t="n">
        <v>-105</v>
      </c>
      <c r="I59" s="15" t="n">
        <v>0.7004875518309148</v>
      </c>
      <c r="J59" s="15" t="n">
        <v>0.4891657638136511</v>
      </c>
      <c r="K59" s="15" t="n">
        <v>0.5121951219512195</v>
      </c>
      <c r="L59" s="14" t="n">
        <v>0.09497867592892069</v>
      </c>
      <c r="M59" s="14" t="n">
        <v>0.3676185535746432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MD @ CONN</t>
        </is>
      </c>
      <c r="C60" s="17" t="inlineStr">
        <is>
          <t>2026-09-12 19:30</t>
        </is>
      </c>
      <c r="D60" s="25" t="n">
        <v>2</v>
      </c>
      <c r="E60" s="17" t="inlineStr">
        <is>
          <t>ATS</t>
        </is>
      </c>
      <c r="F60" s="17" t="inlineStr">
        <is>
          <t>CONN +12.5</t>
        </is>
      </c>
      <c r="G60" s="26" t="n">
        <v>12.5</v>
      </c>
      <c r="H60" s="18" t="n">
        <v>-112</v>
      </c>
      <c r="I60" s="20" t="n">
        <v>0.7139785310186796</v>
      </c>
      <c r="J60" s="20" t="n">
        <v>0.5043297540699688</v>
      </c>
      <c r="K60" s="20" t="n">
        <v>0.5283018867924528</v>
      </c>
      <c r="L60" s="19" t="n">
        <v>0.0949699432220361</v>
      </c>
      <c r="M60" s="19" t="n">
        <v>0.3514593622853577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TENN @ GT</t>
        </is>
      </c>
      <c r="C61" s="12" t="inlineStr">
        <is>
          <t>2026-09-12 23:00</t>
        </is>
      </c>
      <c r="D61" s="22" t="n">
        <v>2</v>
      </c>
      <c r="E61" s="12" t="inlineStr">
        <is>
          <t>ATS</t>
        </is>
      </c>
      <c r="F61" s="12" t="inlineStr">
        <is>
          <t>GT +12.5</t>
        </is>
      </c>
      <c r="G61" s="23" t="n">
        <v>12.5</v>
      </c>
      <c r="H61" s="13" t="n">
        <v>-108</v>
      </c>
      <c r="I61" s="15" t="n">
        <v>0.7015644283857929</v>
      </c>
      <c r="J61" s="15" t="n">
        <v>0.4956702459300312</v>
      </c>
      <c r="K61" s="15" t="n">
        <v>0.5192307692307693</v>
      </c>
      <c r="L61" s="14" t="n">
        <v>0.0949697449125447</v>
      </c>
      <c r="M61" s="14" t="n">
        <v>0.3511611213356012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UCD @ SMU</t>
        </is>
      </c>
      <c r="C62" s="17" t="inlineStr">
        <is>
          <t>2026-09-12 20:00</t>
        </is>
      </c>
      <c r="D62" s="25" t="n">
        <v>2</v>
      </c>
      <c r="E62" s="17" t="inlineStr">
        <is>
          <t>ATS</t>
        </is>
      </c>
      <c r="F62" s="17" t="inlineStr">
        <is>
          <t>UCD +24.5</t>
        </is>
      </c>
      <c r="G62" s="26" t="n">
        <v>-24.5</v>
      </c>
      <c r="H62" s="18" t="n">
        <v>-115</v>
      </c>
      <c r="I62" s="20" t="n">
        <v>0.7219596933959154</v>
      </c>
      <c r="J62" s="20" t="n">
        <v>0.5108342361863488</v>
      </c>
      <c r="K62" s="20" t="n">
        <v>0.5348837209302325</v>
      </c>
      <c r="L62" s="19" t="n">
        <v>0.09496838421760381</v>
      </c>
      <c r="M62" s="19" t="n">
        <v>0.3497507311314938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UCD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MTST @ NEV</t>
        </is>
      </c>
      <c r="C63" s="12" t="inlineStr">
        <is>
          <t>2026-09-13 02:30</t>
        </is>
      </c>
      <c r="D63" s="22" t="n">
        <v>2</v>
      </c>
      <c r="E63" s="12" t="inlineStr">
        <is>
          <t>ML</t>
        </is>
      </c>
      <c r="F63" s="12" t="inlineStr">
        <is>
          <t>NEV ML</t>
        </is>
      </c>
      <c r="G63" s="23" t="n"/>
      <c r="H63" s="13" t="n">
        <v>164</v>
      </c>
      <c r="I63" s="15" t="n">
        <v>0.5068266082494495</v>
      </c>
      <c r="J63" s="15" t="n">
        <v>0.3630958183058778</v>
      </c>
      <c r="K63" s="15" t="n">
        <v>0.3787878787878788</v>
      </c>
      <c r="L63" s="14" t="n">
        <v>0.09495435496375551</v>
      </c>
      <c r="M63" s="14" t="n">
        <v>0.3380222457785464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MTST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ALA @ UK</t>
        </is>
      </c>
      <c r="C64" s="17" t="inlineStr">
        <is>
          <t>2026-09-12 19:30</t>
        </is>
      </c>
      <c r="D64" s="25" t="n">
        <v>2</v>
      </c>
      <c r="E64" s="17" t="inlineStr">
        <is>
          <t>ATS</t>
        </is>
      </c>
      <c r="F64" s="17" t="inlineStr">
        <is>
          <t>UK +10.5</t>
        </is>
      </c>
      <c r="G64" s="26" t="n">
        <v>10.5</v>
      </c>
      <c r="H64" s="18" t="n">
        <v>-110</v>
      </c>
      <c r="I64" s="20" t="n">
        <v>0.6977174140609883</v>
      </c>
      <c r="J64" s="20" t="n">
        <v>0.5</v>
      </c>
      <c r="K64" s="20" t="n">
        <v>0.5238095238095238</v>
      </c>
      <c r="L64" s="19" t="n">
        <v>0.094953956194537</v>
      </c>
      <c r="M64" s="19" t="n">
        <v>0.3320059722982505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ODU @ VT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ODU +19.5</t>
        </is>
      </c>
      <c r="G65" s="23" t="n">
        <v>-19.5</v>
      </c>
      <c r="H65" s="13" t="n">
        <v>-110</v>
      </c>
      <c r="I65" s="15" t="n">
        <v>0.6917581821299432</v>
      </c>
      <c r="J65" s="15" t="n">
        <v>0.5</v>
      </c>
      <c r="K65" s="15" t="n">
        <v>0.5238095238095238</v>
      </c>
      <c r="L65" s="14" t="n">
        <v>0.09494082855055345</v>
      </c>
      <c r="M65" s="14" t="n">
        <v>0.3206292567935281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SAC @ FRES</t>
        </is>
      </c>
      <c r="C66" s="17" t="inlineStr">
        <is>
          <t>2026-09-13 02:30</t>
        </is>
      </c>
      <c r="D66" s="25" t="n">
        <v>2</v>
      </c>
      <c r="E66" s="17" t="inlineStr">
        <is>
          <t>ATS</t>
        </is>
      </c>
      <c r="F66" s="17" t="inlineStr">
        <is>
          <t>SAC +18.5</t>
        </is>
      </c>
      <c r="G66" s="26" t="n">
        <v>-18.5</v>
      </c>
      <c r="H66" s="18" t="n">
        <v>-112</v>
      </c>
      <c r="I66" s="20" t="n">
        <v>0.6948099328897022</v>
      </c>
      <c r="J66" s="20" t="n">
        <v>0.5043297540699688</v>
      </c>
      <c r="K66" s="20" t="n">
        <v>0.5283018867924528</v>
      </c>
      <c r="L66" s="19" t="n">
        <v>0.09493310902402026</v>
      </c>
      <c r="M66" s="19" t="n">
        <v>0.3151759443983648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WSU @ KSU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WSU +19.5</t>
        </is>
      </c>
      <c r="G67" s="23" t="n">
        <v>-19.5</v>
      </c>
      <c r="H67" s="13" t="n">
        <v>-112</v>
      </c>
      <c r="I67" s="15" t="n">
        <v>0.691757248410351</v>
      </c>
      <c r="J67" s="15" t="n">
        <v>0.5043297540699688</v>
      </c>
      <c r="K67" s="15" t="n">
        <v>0.5283018867924528</v>
      </c>
      <c r="L67" s="14" t="n">
        <v>0.09492402177232674</v>
      </c>
      <c r="M67" s="14" t="n">
        <v>0.3093976487767358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HOW @ IU</t>
        </is>
      </c>
      <c r="C68" s="17" t="inlineStr">
        <is>
          <t>2026-09-12 16:00</t>
        </is>
      </c>
      <c r="D68" s="25" t="n">
        <v>2</v>
      </c>
      <c r="E68" s="17" t="inlineStr">
        <is>
          <t>TOTAL</t>
        </is>
      </c>
      <c r="F68" s="17" t="inlineStr">
        <is>
          <t>Under 64.5</t>
        </is>
      </c>
      <c r="G68" s="26" t="n">
        <v>64.5</v>
      </c>
      <c r="H68" s="18" t="n">
        <v>-108</v>
      </c>
      <c r="I68" s="20" t="n">
        <v>0.6778496997084636</v>
      </c>
      <c r="J68" s="20" t="n">
        <v>0.4956702459300312</v>
      </c>
      <c r="K68" s="20" t="n">
        <v>0.5192307692307693</v>
      </c>
      <c r="L68" s="19" t="n">
        <v>0.09491718371674386</v>
      </c>
      <c r="M68" s="19" t="n">
        <v>0.3054883105496338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HOW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UTSA @ TXST</t>
        </is>
      </c>
      <c r="C69" s="12" t="inlineStr">
        <is>
          <t>2026-09-12 19:30</t>
        </is>
      </c>
      <c r="D69" s="22" t="n">
        <v>2</v>
      </c>
      <c r="E69" s="12" t="inlineStr">
        <is>
          <t>TOTAL</t>
        </is>
      </c>
      <c r="F69" s="12" t="inlineStr">
        <is>
          <t>Under 66.5</t>
        </is>
      </c>
      <c r="G69" s="23" t="n">
        <v>66.5</v>
      </c>
      <c r="H69" s="13" t="n">
        <v>-115</v>
      </c>
      <c r="I69" s="15" t="n">
        <v>0.6949659440733547</v>
      </c>
      <c r="J69" s="15" t="n">
        <v>0.5108342361863488</v>
      </c>
      <c r="K69" s="15" t="n">
        <v>0.5348837209302325</v>
      </c>
      <c r="L69" s="14" t="n">
        <v>0.0949038614814849</v>
      </c>
      <c r="M69" s="14" t="n">
        <v>0.2992841563110542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FAMU @ MIA</t>
        </is>
      </c>
      <c r="C70" s="17" t="inlineStr">
        <is>
          <t>2026-09-11 00:00</t>
        </is>
      </c>
      <c r="D70" s="25" t="n">
        <v>2</v>
      </c>
      <c r="E70" s="17" t="inlineStr">
        <is>
          <t>TOTAL</t>
        </is>
      </c>
      <c r="F70" s="17" t="inlineStr">
        <is>
          <t>Under 62.5</t>
        </is>
      </c>
      <c r="G70" s="26" t="n">
        <v>62.5</v>
      </c>
      <c r="H70" s="18" t="n">
        <v>-112</v>
      </c>
      <c r="I70" s="20" t="n">
        <v>0.6764627647069252</v>
      </c>
      <c r="J70" s="20" t="n">
        <v>0.5043297540699688</v>
      </c>
      <c r="K70" s="20" t="n">
        <v>0.5283018867924528</v>
      </c>
      <c r="L70" s="19" t="n">
        <v>0.09485618335753487</v>
      </c>
      <c r="M70" s="19" t="n">
        <v>0.2804473760523942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FAMU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ISU @ IOWA</t>
        </is>
      </c>
      <c r="C71" s="12" t="inlineStr">
        <is>
          <t>2026-09-12 23:30</t>
        </is>
      </c>
      <c r="D71" s="22" t="n">
        <v>2</v>
      </c>
      <c r="E71" s="12" t="inlineStr">
        <is>
          <t>TOTAL</t>
        </is>
      </c>
      <c r="F71" s="12" t="inlineStr">
        <is>
          <t>Over 40.5</t>
        </is>
      </c>
      <c r="G71" s="23" t="n">
        <v>40.5</v>
      </c>
      <c r="H71" s="13" t="n">
        <v>-112</v>
      </c>
      <c r="I71" s="15" t="n">
        <v>0.6752832451237349</v>
      </c>
      <c r="J71" s="15" t="n">
        <v>0.5043297540699688</v>
      </c>
      <c r="K71" s="15" t="n">
        <v>0.5283018867924528</v>
      </c>
      <c r="L71" s="14" t="n">
        <v>0.09484893071395947</v>
      </c>
      <c r="M71" s="14" t="n">
        <v>0.2782147139842126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EMU @ MSU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EMU +17.5</t>
        </is>
      </c>
      <c r="G72" s="26" t="n">
        <v>-17.5</v>
      </c>
      <c r="H72" s="18" t="n">
        <v>-115</v>
      </c>
      <c r="I72" s="20" t="n">
        <v>0.6792187111853095</v>
      </c>
      <c r="J72" s="20" t="n">
        <v>0.5108342361863488</v>
      </c>
      <c r="K72" s="20" t="n">
        <v>0.5348837209302325</v>
      </c>
      <c r="L72" s="19" t="n">
        <v>0.09481611567466169</v>
      </c>
      <c r="M72" s="19" t="n">
        <v>0.2698436774334048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BUFF @ FIU</t>
        </is>
      </c>
      <c r="C73" s="12" t="inlineStr">
        <is>
          <t>2026-09-12 22:00</t>
        </is>
      </c>
      <c r="D73" s="22" t="n">
        <v>2</v>
      </c>
      <c r="E73" s="12" t="inlineStr">
        <is>
          <t>ML</t>
        </is>
      </c>
      <c r="F73" s="12" t="inlineStr">
        <is>
          <t>BUFF ML</t>
        </is>
      </c>
      <c r="G73" s="23" t="n"/>
      <c r="H73" s="13" t="n">
        <v>340</v>
      </c>
      <c r="I73" s="15" t="n">
        <v>0.2820260661936436</v>
      </c>
      <c r="J73" s="15" t="n">
        <v>0.2180936995153474</v>
      </c>
      <c r="K73" s="15" t="n">
        <v>0.2272727272727273</v>
      </c>
      <c r="L73" s="14" t="n">
        <v>0.09460404991128361</v>
      </c>
      <c r="M73" s="14" t="n">
        <v>0.2409146912520317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UL @ USC</t>
        </is>
      </c>
      <c r="C74" s="17" t="inlineStr">
        <is>
          <t>2026-09-13 03:00</t>
        </is>
      </c>
      <c r="D74" s="25" t="n">
        <v>2</v>
      </c>
      <c r="E74" s="17" t="inlineStr">
        <is>
          <t>TOTAL</t>
        </is>
      </c>
      <c r="F74" s="17" t="inlineStr">
        <is>
          <t>Under 59.5</t>
        </is>
      </c>
      <c r="G74" s="26" t="n">
        <v>59.5</v>
      </c>
      <c r="H74" s="18" t="n">
        <v>-108</v>
      </c>
      <c r="I74" s="20" t="n">
        <v>0.6345685244746944</v>
      </c>
      <c r="J74" s="20" t="n">
        <v>0.4956702459300312</v>
      </c>
      <c r="K74" s="20" t="n">
        <v>0.5192307692307693</v>
      </c>
      <c r="L74" s="19" t="n">
        <v>0.09448063478088321</v>
      </c>
      <c r="M74" s="19" t="n">
        <v>0.2221319730623743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MIZ @ KU</t>
        </is>
      </c>
      <c r="C75" s="12" t="inlineStr">
        <is>
          <t>2026-09-12 00:00</t>
        </is>
      </c>
      <c r="D75" s="22" t="n">
        <v>2</v>
      </c>
      <c r="E75" s="12" t="inlineStr">
        <is>
          <t>ATS</t>
        </is>
      </c>
      <c r="F75" s="12" t="inlineStr">
        <is>
          <t>KU +5.5</t>
        </is>
      </c>
      <c r="G75" s="23" t="n">
        <v>5.5</v>
      </c>
      <c r="H75" s="13" t="n">
        <v>-112</v>
      </c>
      <c r="I75" s="15" t="n">
        <v>0.6442025993280334</v>
      </c>
      <c r="J75" s="15" t="n">
        <v>0.5043297540699688</v>
      </c>
      <c r="K75" s="15" t="n">
        <v>0.5283018867924528</v>
      </c>
      <c r="L75" s="14" t="n">
        <v>0.09444827503157387</v>
      </c>
      <c r="M75" s="14" t="n">
        <v>0.219383491585206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ISU @ IOWA</t>
        </is>
      </c>
      <c r="C76" s="17" t="inlineStr">
        <is>
          <t>2026-09-12 23:30</t>
        </is>
      </c>
      <c r="D76" s="25" t="n">
        <v>2</v>
      </c>
      <c r="E76" s="17" t="inlineStr">
        <is>
          <t>ATS</t>
        </is>
      </c>
      <c r="F76" s="17" t="inlineStr">
        <is>
          <t>ISU +14</t>
        </is>
      </c>
      <c r="G76" s="26" t="n">
        <v>-14</v>
      </c>
      <c r="H76" s="18" t="n">
        <v>-115</v>
      </c>
      <c r="I76" s="20" t="n">
        <v>0.6524734528191158</v>
      </c>
      <c r="J76" s="20" t="n">
        <v>0.5108342361863488</v>
      </c>
      <c r="K76" s="20" t="n">
        <v>0.5348837209302325</v>
      </c>
      <c r="L76" s="19" t="n">
        <v>0.09444742173551912</v>
      </c>
      <c r="M76" s="19" t="n">
        <v>0.2125868974639848</v>
      </c>
      <c r="N76" s="20" t="n">
        <v>0.033</v>
      </c>
      <c r="O76" s="27" t="n">
        <v>0.725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MTST @ NEV</t>
        </is>
      </c>
      <c r="C77" s="12" t="inlineStr">
        <is>
          <t>2026-09-13 02:30</t>
        </is>
      </c>
      <c r="D77" s="22" t="n">
        <v>2</v>
      </c>
      <c r="E77" s="12" t="inlineStr">
        <is>
          <t>ATS</t>
        </is>
      </c>
      <c r="F77" s="12" t="inlineStr">
        <is>
          <t>NEV +4.5</t>
        </is>
      </c>
      <c r="G77" s="23" t="n">
        <v>4.5</v>
      </c>
      <c r="H77" s="13" t="n">
        <v>-112</v>
      </c>
      <c r="I77" s="15" t="n">
        <v>0.6428931961424897</v>
      </c>
      <c r="J77" s="15" t="n">
        <v>0.5043297540699688</v>
      </c>
      <c r="K77" s="15" t="n">
        <v>0.5283018867924528</v>
      </c>
      <c r="L77" s="14" t="n">
        <v>0.09441737369603764</v>
      </c>
      <c r="M77" s="14" t="n">
        <v>0.2169049784125698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MTST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MTSU @ MRSH</t>
        </is>
      </c>
      <c r="C78" s="17" t="inlineStr">
        <is>
          <t>2026-09-12 23:00</t>
        </is>
      </c>
      <c r="D78" s="25" t="n">
        <v>2</v>
      </c>
      <c r="E78" s="17" t="inlineStr">
        <is>
          <t>ATS</t>
        </is>
      </c>
      <c r="F78" s="17" t="inlineStr">
        <is>
          <t>MTSU +13.5</t>
        </is>
      </c>
      <c r="G78" s="26" t="n">
        <v>-13.5</v>
      </c>
      <c r="H78" s="18" t="n">
        <v>-112</v>
      </c>
      <c r="I78" s="20" t="n">
        <v>0.6427927361581081</v>
      </c>
      <c r="J78" s="20" t="n">
        <v>0.5043297540699688</v>
      </c>
      <c r="K78" s="20" t="n">
        <v>0.5283018867924528</v>
      </c>
      <c r="L78" s="19" t="n">
        <v>0.09441493281536069</v>
      </c>
      <c r="M78" s="19" t="n">
        <v>0.2167148220135617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NAVY @ FAU</t>
        </is>
      </c>
      <c r="C79" s="12" t="inlineStr">
        <is>
          <t>2026-09-12 23:30</t>
        </is>
      </c>
      <c r="D79" s="22" t="n">
        <v>2</v>
      </c>
      <c r="E79" s="12" t="inlineStr">
        <is>
          <t>ATS</t>
        </is>
      </c>
      <c r="F79" s="12" t="inlineStr">
        <is>
          <t>FAU +4.5</t>
        </is>
      </c>
      <c r="G79" s="23" t="n">
        <v>4.5</v>
      </c>
      <c r="H79" s="13" t="n">
        <v>-105</v>
      </c>
      <c r="I79" s="15" t="n">
        <v>0.6220464700463912</v>
      </c>
      <c r="J79" s="15" t="n">
        <v>0.4891657638136511</v>
      </c>
      <c r="K79" s="15" t="n">
        <v>0.5121951219512195</v>
      </c>
      <c r="L79" s="14" t="n">
        <v>0.09437820868164058</v>
      </c>
      <c r="M79" s="14" t="n">
        <v>0.2144716796143828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FSU @ ALA</t>
        </is>
      </c>
      <c r="C80" s="17" t="inlineStr">
        <is>
          <t>2026-09-19 19:30</t>
        </is>
      </c>
      <c r="D80" s="25" t="n">
        <v>3</v>
      </c>
      <c r="E80" s="17" t="inlineStr">
        <is>
          <t>ATS</t>
        </is>
      </c>
      <c r="F80" s="17" t="inlineStr">
        <is>
          <t>FSU +15.5</t>
        </is>
      </c>
      <c r="G80" s="26" t="n">
        <v>-15.5</v>
      </c>
      <c r="H80" s="18" t="n">
        <v>-110</v>
      </c>
      <c r="I80" s="20" t="n">
        <v>0.6358182540687867</v>
      </c>
      <c r="J80" s="20" t="n">
        <v>0.5</v>
      </c>
      <c r="K80" s="20" t="n">
        <v>0.5238095238095238</v>
      </c>
      <c r="L80" s="19" t="n">
        <v>0.09437806393064171</v>
      </c>
      <c r="M80" s="19" t="n">
        <v>0.2138348486767747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SOU @ HOU</t>
        </is>
      </c>
      <c r="C81" s="12" t="inlineStr">
        <is>
          <t>2026-09-12 23:00</t>
        </is>
      </c>
      <c r="D81" s="22" t="n">
        <v>2</v>
      </c>
      <c r="E81" s="12" t="inlineStr">
        <is>
          <t>TOTAL</t>
        </is>
      </c>
      <c r="F81" s="12" t="inlineStr">
        <is>
          <t>Under 60.5</t>
        </is>
      </c>
      <c r="G81" s="23" t="n">
        <v>60.5</v>
      </c>
      <c r="H81" s="13" t="n">
        <v>-108</v>
      </c>
      <c r="I81" s="15" t="n">
        <v>0.6300000808894461</v>
      </c>
      <c r="J81" s="15" t="n">
        <v>0.4956702459300312</v>
      </c>
      <c r="K81" s="15" t="n">
        <v>0.5192307692307693</v>
      </c>
      <c r="L81" s="14" t="n">
        <v>0.09436978695603963</v>
      </c>
      <c r="M81" s="14" t="n">
        <v>0.2133334891204148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SOU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WCU @ CIN</t>
        </is>
      </c>
      <c r="C82" s="17" t="inlineStr">
        <is>
          <t>2026-09-12 23:00</t>
        </is>
      </c>
      <c r="D82" s="25" t="n">
        <v>2</v>
      </c>
      <c r="E82" s="17" t="inlineStr">
        <is>
          <t>TOTAL</t>
        </is>
      </c>
      <c r="F82" s="17" t="inlineStr">
        <is>
          <t>Under 60.5</t>
        </is>
      </c>
      <c r="G82" s="26" t="n">
        <v>60.5</v>
      </c>
      <c r="H82" s="18" t="n">
        <v>-110</v>
      </c>
      <c r="I82" s="20" t="n">
        <v>0.6336989636445156</v>
      </c>
      <c r="J82" s="20" t="n">
        <v>0.5</v>
      </c>
      <c r="K82" s="20" t="n">
        <v>0.5238095238095238</v>
      </c>
      <c r="L82" s="19" t="n">
        <v>0.09432022278967082</v>
      </c>
      <c r="M82" s="19" t="n">
        <v>0.2097889305940752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WCU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OU @ MICH</t>
        </is>
      </c>
      <c r="C83" s="12" t="inlineStr">
        <is>
          <t>2026-09-12 16:00</t>
        </is>
      </c>
      <c r="D83" s="22" t="n">
        <v>2</v>
      </c>
      <c r="E83" s="12" t="inlineStr">
        <is>
          <t>ATS</t>
        </is>
      </c>
      <c r="F83" s="12" t="inlineStr">
        <is>
          <t>MICH +5.5</t>
        </is>
      </c>
      <c r="G83" s="23" t="n">
        <v>5.5</v>
      </c>
      <c r="H83" s="13" t="n">
        <v>-110</v>
      </c>
      <c r="I83" s="15" t="n">
        <v>0.63253988563499</v>
      </c>
      <c r="J83" s="15" t="n">
        <v>0.5</v>
      </c>
      <c r="K83" s="15" t="n">
        <v>0.5238095238095238</v>
      </c>
      <c r="L83" s="14" t="n">
        <v>0.09428635226288594</v>
      </c>
      <c r="M83" s="14" t="n">
        <v>0.2075761453031628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ASU @ TA&amp;M</t>
        </is>
      </c>
      <c r="C84" s="17" t="inlineStr">
        <is>
          <t>2026-09-12 16:00</t>
        </is>
      </c>
      <c r="D84" s="25" t="n">
        <v>2</v>
      </c>
      <c r="E84" s="17" t="inlineStr">
        <is>
          <t>ATS</t>
        </is>
      </c>
      <c r="F84" s="17" t="inlineStr">
        <is>
          <t>ASU +14.5</t>
        </is>
      </c>
      <c r="G84" s="26" t="n">
        <v>-14.5</v>
      </c>
      <c r="H84" s="18" t="n">
        <v>-120</v>
      </c>
      <c r="I84" s="20" t="n">
        <v>0.6574366755853074</v>
      </c>
      <c r="J84" s="20" t="n">
        <v>0.5217391304347826</v>
      </c>
      <c r="K84" s="20" t="n">
        <v>0.5454545454545454</v>
      </c>
      <c r="L84" s="19" t="n">
        <v>0.09420758515749715</v>
      </c>
      <c r="M84" s="19" t="n">
        <v>0.2053005719063969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MEM @ BOIS</t>
        </is>
      </c>
      <c r="C85" s="12" t="inlineStr">
        <is>
          <t>2026-09-12 22:00</t>
        </is>
      </c>
      <c r="D85" s="22" t="n">
        <v>2</v>
      </c>
      <c r="E85" s="12" t="inlineStr">
        <is>
          <t>ML</t>
        </is>
      </c>
      <c r="F85" s="12" t="inlineStr">
        <is>
          <t>MEM ML</t>
        </is>
      </c>
      <c r="G85" s="23" t="n"/>
      <c r="H85" s="13" t="n">
        <v>280</v>
      </c>
      <c r="I85" s="15" t="n">
        <v>0.3126361680461762</v>
      </c>
      <c r="J85" s="15" t="n">
        <v>0.2522172949002217</v>
      </c>
      <c r="K85" s="15" t="n">
        <v>0.2631578947368421</v>
      </c>
      <c r="L85" s="14" t="n">
        <v>0.09378175010622794</v>
      </c>
      <c r="M85" s="14" t="n">
        <v>0.1880174385754696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WAKE @ PUR</t>
        </is>
      </c>
      <c r="C86" s="17" t="inlineStr">
        <is>
          <t>2026-09-12 16:00</t>
        </is>
      </c>
      <c r="D86" s="25" t="n">
        <v>2</v>
      </c>
      <c r="E86" s="17" t="inlineStr">
        <is>
          <t>ML</t>
        </is>
      </c>
      <c r="F86" s="17" t="inlineStr">
        <is>
          <t>PUR ML</t>
        </is>
      </c>
      <c r="G86" s="26" t="n"/>
      <c r="H86" s="18" t="n">
        <v>124</v>
      </c>
      <c r="I86" s="20" t="n">
        <v>0.5300419200511792</v>
      </c>
      <c r="J86" s="20" t="n">
        <v>0.4279403644395361</v>
      </c>
      <c r="K86" s="20" t="n">
        <v>0.4464285714285715</v>
      </c>
      <c r="L86" s="19" t="n">
        <v>0.09375697345334587</v>
      </c>
      <c r="M86" s="19" t="n">
        <v>0.1872939009146415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WAKE @ PUR</t>
        </is>
      </c>
      <c r="C87" s="12" t="inlineStr">
        <is>
          <t>2026-09-12 16:00</t>
        </is>
      </c>
      <c r="D87" s="22" t="n">
        <v>2</v>
      </c>
      <c r="E87" s="12" t="inlineStr">
        <is>
          <t>ATS</t>
        </is>
      </c>
      <c r="F87" s="12" t="inlineStr">
        <is>
          <t>PUR +3</t>
        </is>
      </c>
      <c r="G87" s="23" t="n">
        <v>3</v>
      </c>
      <c r="H87" s="13" t="n">
        <v>-110</v>
      </c>
      <c r="I87" s="15" t="n">
        <v>0.6138278684657328</v>
      </c>
      <c r="J87" s="15" t="n">
        <v>0.5</v>
      </c>
      <c r="K87" s="15" t="n">
        <v>0.5238095238095238</v>
      </c>
      <c r="L87" s="14" t="n">
        <v>0.09343792310958346</v>
      </c>
      <c r="M87" s="14" t="n">
        <v>0.1630027634576999</v>
      </c>
      <c r="N87" s="15" t="n">
        <v>0.0515</v>
      </c>
      <c r="O87" s="24" t="n">
        <v>0.725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ARK @ UTAH</t>
        </is>
      </c>
      <c r="C88" s="17" t="inlineStr">
        <is>
          <t>2026-09-13 02:15</t>
        </is>
      </c>
      <c r="D88" s="25" t="n">
        <v>2</v>
      </c>
      <c r="E88" s="17" t="inlineStr">
        <is>
          <t>ATS</t>
        </is>
      </c>
      <c r="F88" s="17" t="inlineStr">
        <is>
          <t>ARK +12.5</t>
        </is>
      </c>
      <c r="G88" s="26" t="n">
        <v>-12.5</v>
      </c>
      <c r="H88" s="18" t="n">
        <v>-110</v>
      </c>
      <c r="I88" s="20" t="n">
        <v>0.611824846527207</v>
      </c>
      <c r="J88" s="20" t="n">
        <v>0.5</v>
      </c>
      <c r="K88" s="20" t="n">
        <v>0.5238095238095238</v>
      </c>
      <c r="L88" s="19" t="n">
        <v>0.09330169474458291</v>
      </c>
      <c r="M88" s="19" t="n">
        <v>0.1680292524610316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OU @ MICH</t>
        </is>
      </c>
      <c r="C89" s="12" t="inlineStr">
        <is>
          <t>2026-09-12 16:00</t>
        </is>
      </c>
      <c r="D89" s="22" t="n">
        <v>2</v>
      </c>
      <c r="E89" s="12" t="inlineStr">
        <is>
          <t>TOTAL</t>
        </is>
      </c>
      <c r="F89" s="12" t="inlineStr">
        <is>
          <t>Over 43.5</t>
        </is>
      </c>
      <c r="G89" s="23" t="n">
        <v>43.5</v>
      </c>
      <c r="H89" s="13" t="n">
        <v>-115</v>
      </c>
      <c r="I89" s="15" t="n">
        <v>0.6249174277344233</v>
      </c>
      <c r="J89" s="15" t="n">
        <v>0.5108342361863488</v>
      </c>
      <c r="K89" s="15" t="n">
        <v>0.5348837209302325</v>
      </c>
      <c r="L89" s="14" t="n">
        <v>0.09329023010806424</v>
      </c>
      <c r="M89" s="14" t="n">
        <v>0.1683238866339216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UNLV @ UNT</t>
        </is>
      </c>
      <c r="C90" s="17" t="inlineStr">
        <is>
          <t>2026-09-12 19:45</t>
        </is>
      </c>
      <c r="D90" s="25" t="n">
        <v>2</v>
      </c>
      <c r="E90" s="17" t="inlineStr">
        <is>
          <t>ATS</t>
        </is>
      </c>
      <c r="F90" s="17" t="inlineStr">
        <is>
          <t>UNT +3.5</t>
        </is>
      </c>
      <c r="G90" s="26" t="n">
        <v>3.5</v>
      </c>
      <c r="H90" s="18" t="n">
        <v>-115</v>
      </c>
      <c r="I90" s="20" t="n">
        <v>0.6247460871104602</v>
      </c>
      <c r="J90" s="20" t="n">
        <v>0.5108342361863488</v>
      </c>
      <c r="K90" s="20" t="n">
        <v>0.5348837209302325</v>
      </c>
      <c r="L90" s="19" t="n">
        <v>0.09327822391986018</v>
      </c>
      <c r="M90" s="19" t="n">
        <v>0.1680035541630343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CLT @ MISS</t>
        </is>
      </c>
      <c r="C91" s="12" t="inlineStr">
        <is>
          <t>2026-09-12 23:45</t>
        </is>
      </c>
      <c r="D91" s="22" t="n">
        <v>2</v>
      </c>
      <c r="E91" s="12" t="inlineStr">
        <is>
          <t>TOTAL</t>
        </is>
      </c>
      <c r="F91" s="12" t="inlineStr">
        <is>
          <t>Under 60.5</t>
        </is>
      </c>
      <c r="G91" s="23" t="n">
        <v>60.5</v>
      </c>
      <c r="H91" s="13" t="n">
        <v>-105</v>
      </c>
      <c r="I91" s="15" t="n">
        <v>0.5973224445440657</v>
      </c>
      <c r="J91" s="15" t="n">
        <v>0.4891657638136511</v>
      </c>
      <c r="K91" s="15" t="n">
        <v>0.5121951219512195</v>
      </c>
      <c r="L91" s="14" t="n">
        <v>0.09320908800011135</v>
      </c>
      <c r="M91" s="14" t="n">
        <v>0.1662009631574615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USM @ AUB</t>
        </is>
      </c>
      <c r="C92" s="17" t="inlineStr">
        <is>
          <t>2026-09-12 23:45</t>
        </is>
      </c>
      <c r="D92" s="25" t="n">
        <v>2</v>
      </c>
      <c r="E92" s="17" t="inlineStr">
        <is>
          <t>TOTAL</t>
        </is>
      </c>
      <c r="F92" s="17" t="inlineStr">
        <is>
          <t>Under 57.5</t>
        </is>
      </c>
      <c r="G92" s="26" t="n">
        <v>57.5</v>
      </c>
      <c r="H92" s="18" t="n">
        <v>-115</v>
      </c>
      <c r="I92" s="20" t="n">
        <v>0.6232864255858818</v>
      </c>
      <c r="J92" s="20" t="n">
        <v>0.5108342361863488</v>
      </c>
      <c r="K92" s="20" t="n">
        <v>0.5348837209302325</v>
      </c>
      <c r="L92" s="19" t="n">
        <v>0.09317249690983029</v>
      </c>
      <c r="M92" s="19" t="n">
        <v>0.1652746217475181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ORE @ OKST</t>
        </is>
      </c>
      <c r="C93" s="12" t="inlineStr">
        <is>
          <t>2026-09-12 16:00</t>
        </is>
      </c>
      <c r="D93" s="22" t="n">
        <v>2</v>
      </c>
      <c r="E93" s="12" t="inlineStr">
        <is>
          <t>TOTAL</t>
        </is>
      </c>
      <c r="F93" s="12" t="inlineStr">
        <is>
          <t>Under 57.5</t>
        </is>
      </c>
      <c r="G93" s="23" t="n">
        <v>57.5</v>
      </c>
      <c r="H93" s="13" t="n">
        <v>-112</v>
      </c>
      <c r="I93" s="15" t="n">
        <v>0.6150799898435578</v>
      </c>
      <c r="J93" s="15" t="n">
        <v>0.5043297540699688</v>
      </c>
      <c r="K93" s="15" t="n">
        <v>0.5283018867924528</v>
      </c>
      <c r="L93" s="14" t="n">
        <v>0.09315197727837057</v>
      </c>
      <c r="M93" s="14" t="n">
        <v>0.1642585522038773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SDSU @ UCLA</t>
        </is>
      </c>
      <c r="C94" s="17" t="inlineStr">
        <is>
          <t>2026-09-12 23:15</t>
        </is>
      </c>
      <c r="D94" s="25" t="n">
        <v>2</v>
      </c>
      <c r="E94" s="17" t="inlineStr">
        <is>
          <t>ATS</t>
        </is>
      </c>
      <c r="F94" s="17" t="inlineStr">
        <is>
          <t>SDSU +11.5</t>
        </is>
      </c>
      <c r="G94" s="26" t="n">
        <v>-11.5</v>
      </c>
      <c r="H94" s="18" t="n">
        <v>-102</v>
      </c>
      <c r="I94" s="20" t="n">
        <v>0.5884861788970615</v>
      </c>
      <c r="J94" s="20" t="n">
        <v>0.4826358742837298</v>
      </c>
      <c r="K94" s="20" t="n">
        <v>0.504950495049505</v>
      </c>
      <c r="L94" s="19" t="n">
        <v>0.09314109078709162</v>
      </c>
      <c r="M94" s="19" t="n">
        <v>0.1654334131098669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SAC @ FRES</t>
        </is>
      </c>
      <c r="C95" s="12" t="inlineStr">
        <is>
          <t>2026-09-13 02:30</t>
        </is>
      </c>
      <c r="D95" s="22" t="n">
        <v>2</v>
      </c>
      <c r="E95" s="12" t="inlineStr">
        <is>
          <t>TOTAL</t>
        </is>
      </c>
      <c r="F95" s="12" t="inlineStr">
        <is>
          <t>Over 45.5</t>
        </is>
      </c>
      <c r="G95" s="23" t="n">
        <v>45.5</v>
      </c>
      <c r="H95" s="13" t="n">
        <v>-105</v>
      </c>
      <c r="I95" s="15" t="n">
        <v>0.5938548243395422</v>
      </c>
      <c r="J95" s="15" t="n">
        <v>0.4891657638136511</v>
      </c>
      <c r="K95" s="15" t="n">
        <v>0.5121951219512195</v>
      </c>
      <c r="L95" s="14" t="n">
        <v>0.09292398979174135</v>
      </c>
      <c r="M95" s="14" t="n">
        <v>0.1594308475200585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NMSU @ HAW</t>
        </is>
      </c>
      <c r="C96" s="17" t="inlineStr">
        <is>
          <t>2026-09-13 03:59</t>
        </is>
      </c>
      <c r="D96" s="25" t="n">
        <v>2</v>
      </c>
      <c r="E96" s="17" t="inlineStr">
        <is>
          <t>ML</t>
        </is>
      </c>
      <c r="F96" s="17" t="inlineStr">
        <is>
          <t>NMSU ML</t>
        </is>
      </c>
      <c r="G96" s="26" t="n"/>
      <c r="H96" s="18" t="n">
        <v>235</v>
      </c>
      <c r="I96" s="20" t="n">
        <v>0.3461219585958216</v>
      </c>
      <c r="J96" s="20" t="n">
        <v>0.2864487697392581</v>
      </c>
      <c r="K96" s="20" t="n">
        <v>0.2985074626865671</v>
      </c>
      <c r="L96" s="19" t="n">
        <v>0.09266281020364212</v>
      </c>
      <c r="M96" s="19" t="n">
        <v>0.1595085612960025</v>
      </c>
      <c r="N96" s="20" t="n">
        <v>0</v>
      </c>
      <c r="O96" s="27" t="n">
        <v>0.839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USF @ ARMY</t>
        </is>
      </c>
      <c r="C97" s="12" t="inlineStr">
        <is>
          <t>2026-09-12 16:00</t>
        </is>
      </c>
      <c r="D97" s="22" t="n">
        <v>2</v>
      </c>
      <c r="E97" s="12" t="inlineStr">
        <is>
          <t>TOTAL</t>
        </is>
      </c>
      <c r="F97" s="12" t="inlineStr">
        <is>
          <t>Over 46.5</t>
        </is>
      </c>
      <c r="G97" s="23" t="n">
        <v>46.5</v>
      </c>
      <c r="H97" s="13" t="n">
        <v>-108</v>
      </c>
      <c r="I97" s="15" t="n">
        <v>0.5953595382389177</v>
      </c>
      <c r="J97" s="15" t="n">
        <v>0.4956702459300312</v>
      </c>
      <c r="K97" s="15" t="n">
        <v>0.5192307692307693</v>
      </c>
      <c r="L97" s="14" t="n">
        <v>0.09228572146968031</v>
      </c>
      <c r="M97" s="14" t="n">
        <v>0.1466183699416195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USA @ TULN</t>
        </is>
      </c>
      <c r="C98" s="17" t="inlineStr">
        <is>
          <t>2026-09-12 23:00</t>
        </is>
      </c>
      <c r="D98" s="25" t="n">
        <v>2</v>
      </c>
      <c r="E98" s="17" t="inlineStr">
        <is>
          <t>ML</t>
        </is>
      </c>
      <c r="F98" s="17" t="inlineStr">
        <is>
          <t>USA ML</t>
        </is>
      </c>
      <c r="G98" s="26" t="n"/>
      <c r="H98" s="18" t="n">
        <v>275</v>
      </c>
      <c r="I98" s="20" t="n">
        <v>0.3065943499239998</v>
      </c>
      <c r="J98" s="20" t="n">
        <v>0.2559309849029475</v>
      </c>
      <c r="K98" s="20" t="n">
        <v>0.2666666666666667</v>
      </c>
      <c r="L98" s="19" t="n">
        <v>0.09210167348815229</v>
      </c>
      <c r="M98" s="19" t="n">
        <v>0.1497288122149993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UCD @ SMU</t>
        </is>
      </c>
      <c r="C99" s="12" t="inlineStr">
        <is>
          <t>2026-09-12 20:00</t>
        </is>
      </c>
      <c r="D99" s="22" t="n">
        <v>2</v>
      </c>
      <c r="E99" s="12" t="inlineStr">
        <is>
          <t>TOTAL</t>
        </is>
      </c>
      <c r="F99" s="12" t="inlineStr">
        <is>
          <t>Under 58.5</t>
        </is>
      </c>
      <c r="G99" s="23" t="n">
        <v>58.5</v>
      </c>
      <c r="H99" s="13" t="n">
        <v>-112</v>
      </c>
      <c r="I99" s="15" t="n">
        <v>0.603175196831786</v>
      </c>
      <c r="J99" s="15" t="n">
        <v>0.5043297540699688</v>
      </c>
      <c r="K99" s="15" t="n">
        <v>0.5283018867924528</v>
      </c>
      <c r="L99" s="14" t="n">
        <v>0.09198130098133317</v>
      </c>
      <c r="M99" s="14" t="n">
        <v>0.1417244797173092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UCD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ULM @ UAB</t>
        </is>
      </c>
      <c r="C100" s="17" t="inlineStr">
        <is>
          <t>2026-09-12 19:30</t>
        </is>
      </c>
      <c r="D100" s="25" t="n">
        <v>2</v>
      </c>
      <c r="E100" s="17" t="inlineStr">
        <is>
          <t>ML</t>
        </is>
      </c>
      <c r="F100" s="17" t="inlineStr">
        <is>
          <t>ULM ML</t>
        </is>
      </c>
      <c r="G100" s="26" t="n"/>
      <c r="H100" s="18" t="n">
        <v>295</v>
      </c>
      <c r="I100" s="20" t="n">
        <v>0.2903882975903661</v>
      </c>
      <c r="J100" s="20" t="n">
        <v>0.2428115015974441</v>
      </c>
      <c r="K100" s="20" t="n">
        <v>0.2531645569620253</v>
      </c>
      <c r="L100" s="19" t="n">
        <v>0.09197802213415285</v>
      </c>
      <c r="M100" s="19" t="n">
        <v>0.1470337754819462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NDSU @ AFA</t>
        </is>
      </c>
      <c r="C101" s="12" t="inlineStr">
        <is>
          <t>2026-09-13 02:00</t>
        </is>
      </c>
      <c r="D101" s="22" t="n">
        <v>2</v>
      </c>
      <c r="E101" s="12" t="inlineStr">
        <is>
          <t>ML</t>
        </is>
      </c>
      <c r="F101" s="12" t="inlineStr">
        <is>
          <t>AFA ML</t>
        </is>
      </c>
      <c r="G101" s="23" t="n"/>
      <c r="H101" s="13" t="n">
        <v>110</v>
      </c>
      <c r="I101" s="15" t="n">
        <v>0.5433333220046572</v>
      </c>
      <c r="J101" s="15" t="n">
        <v>0.4572564612326044</v>
      </c>
      <c r="K101" s="15" t="n">
        <v>0.4761904761904762</v>
      </c>
      <c r="L101" s="14" t="n">
        <v>0.09145649327765992</v>
      </c>
      <c r="M101" s="14" t="n">
        <v>0.1409999762097802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MTSU @ MRSH</t>
        </is>
      </c>
      <c r="C102" s="17" t="inlineStr">
        <is>
          <t>2026-09-12 23:00</t>
        </is>
      </c>
      <c r="D102" s="25" t="n">
        <v>2</v>
      </c>
      <c r="E102" s="17" t="inlineStr">
        <is>
          <t>TOTAL</t>
        </is>
      </c>
      <c r="F102" s="17" t="inlineStr">
        <is>
          <t>Under 57.5</t>
        </is>
      </c>
      <c r="G102" s="26" t="n">
        <v>57.5</v>
      </c>
      <c r="H102" s="18" t="n">
        <v>-112</v>
      </c>
      <c r="I102" s="20" t="n">
        <v>0.5979328017711759</v>
      </c>
      <c r="J102" s="20" t="n">
        <v>0.5043297540699688</v>
      </c>
      <c r="K102" s="20" t="n">
        <v>0.5283018867924528</v>
      </c>
      <c r="L102" s="19" t="n">
        <v>0.09125738619301876</v>
      </c>
      <c r="M102" s="19" t="n">
        <v>0.1318013747811544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NDSU @ AFA</t>
        </is>
      </c>
      <c r="C103" s="12" t="inlineStr">
        <is>
          <t>2026-09-13 02:00</t>
        </is>
      </c>
      <c r="D103" s="22" t="n">
        <v>2</v>
      </c>
      <c r="E103" s="12" t="inlineStr">
        <is>
          <t>ATS</t>
        </is>
      </c>
      <c r="F103" s="12" t="inlineStr">
        <is>
          <t>AFA +2.5</t>
        </is>
      </c>
      <c r="G103" s="23" t="n">
        <v>2.5</v>
      </c>
      <c r="H103" s="13" t="n">
        <v>-112</v>
      </c>
      <c r="I103" s="15" t="n">
        <v>0.5959758612740825</v>
      </c>
      <c r="J103" s="15" t="n">
        <v>0.5043297540699688</v>
      </c>
      <c r="K103" s="15" t="n">
        <v>0.5283018867924528</v>
      </c>
      <c r="L103" s="14" t="n">
        <v>0.0909456147703258</v>
      </c>
      <c r="M103" s="14" t="n">
        <v>0.1280971659830847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RICH @ NCSU</t>
        </is>
      </c>
      <c r="C104" s="17" t="inlineStr">
        <is>
          <t>2026-09-11 23:00</t>
        </is>
      </c>
      <c r="D104" s="25" t="n">
        <v>2</v>
      </c>
      <c r="E104" s="17" t="inlineStr">
        <is>
          <t>TOTAL</t>
        </is>
      </c>
      <c r="F104" s="17" t="inlineStr">
        <is>
          <t>Over 48.5</t>
        </is>
      </c>
      <c r="G104" s="26" t="n">
        <v>48.5</v>
      </c>
      <c r="H104" s="18" t="n">
        <v>-110</v>
      </c>
      <c r="I104" s="20" t="n">
        <v>0.5868562315036978</v>
      </c>
      <c r="J104" s="20" t="n">
        <v>0.5</v>
      </c>
      <c r="K104" s="20" t="n">
        <v>0.5238095238095238</v>
      </c>
      <c r="L104" s="19" t="n">
        <v>0.09022000336958862</v>
      </c>
      <c r="M104" s="19" t="n">
        <v>0.1203618965070594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RICH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MEM @ BOIS</t>
        </is>
      </c>
      <c r="C105" s="12" t="inlineStr">
        <is>
          <t>2026-09-12 22:00</t>
        </is>
      </c>
      <c r="D105" s="22" t="n">
        <v>2</v>
      </c>
      <c r="E105" s="12" t="inlineStr">
        <is>
          <t>ATS</t>
        </is>
      </c>
      <c r="F105" s="12" t="inlineStr">
        <is>
          <t>MEM +8.5</t>
        </is>
      </c>
      <c r="G105" s="23" t="n">
        <v>-8.5</v>
      </c>
      <c r="H105" s="13" t="n">
        <v>-105</v>
      </c>
      <c r="I105" s="15" t="n">
        <v>0.5732460975937645</v>
      </c>
      <c r="J105" s="15" t="n">
        <v>0.4891657638136511</v>
      </c>
      <c r="K105" s="15" t="n">
        <v>0.5121951219512195</v>
      </c>
      <c r="L105" s="14" t="n">
        <v>0.09003743238114979</v>
      </c>
      <c r="M105" s="14" t="n">
        <v>0.1191947619687783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GAST @ KENN</t>
        </is>
      </c>
      <c r="C106" s="17" t="inlineStr">
        <is>
          <t>2026-09-12 23:00</t>
        </is>
      </c>
      <c r="D106" s="25" t="n">
        <v>2</v>
      </c>
      <c r="E106" s="17" t="inlineStr">
        <is>
          <t>ML</t>
        </is>
      </c>
      <c r="F106" s="17" t="inlineStr">
        <is>
          <t>GAST ML</t>
        </is>
      </c>
      <c r="G106" s="26" t="n"/>
      <c r="H106" s="18" t="n">
        <v>270</v>
      </c>
      <c r="I106" s="20" t="n">
        <v>0.3028110281169024</v>
      </c>
      <c r="J106" s="20" t="n">
        <v>0.2591283863368669</v>
      </c>
      <c r="K106" s="20" t="n">
        <v>0.2702702702702703</v>
      </c>
      <c r="L106" s="19" t="n">
        <v>0.08968931076005142</v>
      </c>
      <c r="M106" s="19" t="n">
        <v>0.1204008040325391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ARIZ @ BYU</t>
        </is>
      </c>
      <c r="C107" s="12" t="inlineStr">
        <is>
          <t>2026-09-12 19:30</t>
        </is>
      </c>
      <c r="D107" s="22" t="n">
        <v>2</v>
      </c>
      <c r="E107" s="12" t="inlineStr">
        <is>
          <t>TOTAL</t>
        </is>
      </c>
      <c r="F107" s="12" t="inlineStr">
        <is>
          <t>Over 47.5</t>
        </is>
      </c>
      <c r="G107" s="23" t="n">
        <v>47.5</v>
      </c>
      <c r="H107" s="13" t="n">
        <v>-115</v>
      </c>
      <c r="I107" s="15" t="n">
        <v>0.5940725087308334</v>
      </c>
      <c r="J107" s="15" t="n">
        <v>0.5108342361863488</v>
      </c>
      <c r="K107" s="15" t="n">
        <v>0.5348837209302325</v>
      </c>
      <c r="L107" s="14" t="n">
        <v>0.08904204560318238</v>
      </c>
      <c r="M107" s="14" t="n">
        <v>0.110657298931558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BUFF @ FIU</t>
        </is>
      </c>
      <c r="C108" s="17" t="inlineStr">
        <is>
          <t>2026-09-12 22:00</t>
        </is>
      </c>
      <c r="D108" s="25" t="n">
        <v>2</v>
      </c>
      <c r="E108" s="17" t="inlineStr">
        <is>
          <t>ATS</t>
        </is>
      </c>
      <c r="F108" s="17" t="inlineStr">
        <is>
          <t>BUFF +10.5</t>
        </is>
      </c>
      <c r="G108" s="26" t="n">
        <v>-10.5</v>
      </c>
      <c r="H108" s="18" t="n">
        <v>-120</v>
      </c>
      <c r="I108" s="20" t="n">
        <v>0.6063533984585813</v>
      </c>
      <c r="J108" s="20" t="n">
        <v>0.5217391304347826</v>
      </c>
      <c r="K108" s="20" t="n">
        <v>0.5454545454545454</v>
      </c>
      <c r="L108" s="19" t="n">
        <v>0.08894797436439905</v>
      </c>
      <c r="M108" s="19" t="n">
        <v>0.1116478971740658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GAST @ KENN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GAST +9.5</t>
        </is>
      </c>
      <c r="G109" s="23" t="n">
        <v>-9.5</v>
      </c>
      <c r="H109" s="13" t="n">
        <v>-108</v>
      </c>
      <c r="I109" s="15" t="n">
        <v>0.5745077550320316</v>
      </c>
      <c r="J109" s="15" t="n">
        <v>0.4956702459300312</v>
      </c>
      <c r="K109" s="15" t="n">
        <v>0.5192307692307693</v>
      </c>
      <c r="L109" s="14" t="n">
        <v>0.08855039374666596</v>
      </c>
      <c r="M109" s="14" t="n">
        <v>0.1064593800616904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NMSU @ HAW</t>
        </is>
      </c>
      <c r="C110" s="17" t="inlineStr">
        <is>
          <t>2026-09-13 03:59</t>
        </is>
      </c>
      <c r="D110" s="25" t="n">
        <v>2</v>
      </c>
      <c r="E110" s="17" t="inlineStr">
        <is>
          <t>ATS</t>
        </is>
      </c>
      <c r="F110" s="17" t="inlineStr">
        <is>
          <t>NMSU +7.5</t>
        </is>
      </c>
      <c r="G110" s="26" t="n">
        <v>-7.5</v>
      </c>
      <c r="H110" s="18" t="n">
        <v>-112</v>
      </c>
      <c r="I110" s="20" t="n">
        <v>0.5835398731168902</v>
      </c>
      <c r="J110" s="20" t="n">
        <v>0.5043297540699688</v>
      </c>
      <c r="K110" s="20" t="n">
        <v>0.5283018867924528</v>
      </c>
      <c r="L110" s="19" t="n">
        <v>0.08828390839646451</v>
      </c>
      <c r="M110" s="19" t="n">
        <v>0.1045576169712563</v>
      </c>
      <c r="N110" s="20" t="n">
        <v>0</v>
      </c>
      <c r="O110" s="27" t="n">
        <v>0.839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ULM @ UAB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ULM +10</t>
        </is>
      </c>
      <c r="G111" s="23" t="n">
        <v>-10</v>
      </c>
      <c r="H111" s="13" t="n">
        <v>-115</v>
      </c>
      <c r="I111" s="15" t="n">
        <v>0.5906472526152339</v>
      </c>
      <c r="J111" s="15" t="n">
        <v>0.5108342361863488</v>
      </c>
      <c r="K111" s="15" t="n">
        <v>0.5348837209302325</v>
      </c>
      <c r="L111" s="14" t="n">
        <v>0.08817121471011363</v>
      </c>
      <c r="M111" s="14" t="n">
        <v>0.100239797206545</v>
      </c>
      <c r="N111" s="15" t="n">
        <v>0.0385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USU @ WASH</t>
        </is>
      </c>
      <c r="C112" s="17" t="inlineStr">
        <is>
          <t>2026-09-12 19:30</t>
        </is>
      </c>
      <c r="D112" s="25" t="n">
        <v>2</v>
      </c>
      <c r="E112" s="17" t="inlineStr">
        <is>
          <t>TOTAL</t>
        </is>
      </c>
      <c r="F112" s="17" t="inlineStr">
        <is>
          <t>Under 55.5</t>
        </is>
      </c>
      <c r="G112" s="26" t="n">
        <v>55.5</v>
      </c>
      <c r="H112" s="18" t="n">
        <v>-112</v>
      </c>
      <c r="I112" s="20" t="n">
        <v>0.5817447276125769</v>
      </c>
      <c r="J112" s="20" t="n">
        <v>0.5043297540699688</v>
      </c>
      <c r="K112" s="20" t="n">
        <v>0.5283018867924528</v>
      </c>
      <c r="L112" s="19" t="n">
        <v>0.0877811496199879</v>
      </c>
      <c r="M112" s="19" t="n">
        <v>0.101159662980949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USA @ TULN</t>
        </is>
      </c>
      <c r="C113" s="12" t="inlineStr">
        <is>
          <t>2026-09-12 23:00</t>
        </is>
      </c>
      <c r="D113" s="22" t="n">
        <v>2</v>
      </c>
      <c r="E113" s="12" t="inlineStr">
        <is>
          <t>ATS</t>
        </is>
      </c>
      <c r="F113" s="12" t="inlineStr">
        <is>
          <t>USA +9.5</t>
        </is>
      </c>
      <c r="G113" s="23" t="n">
        <v>-9.5</v>
      </c>
      <c r="H113" s="13" t="n">
        <v>-115</v>
      </c>
      <c r="I113" s="15" t="n">
        <v>0.5874635879652688</v>
      </c>
      <c r="J113" s="15" t="n">
        <v>0.5108342361863488</v>
      </c>
      <c r="K113" s="15" t="n">
        <v>0.5348837209302325</v>
      </c>
      <c r="L113" s="14" t="n">
        <v>0.08725283905633634</v>
      </c>
      <c r="M113" s="14" t="n">
        <v>0.09830149054376336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GASO @ CLEM</t>
        </is>
      </c>
      <c r="C114" s="17" t="inlineStr">
        <is>
          <t>2026-09-12 23:30</t>
        </is>
      </c>
      <c r="D114" s="25" t="n">
        <v>2</v>
      </c>
      <c r="E114" s="17" t="inlineStr">
        <is>
          <t>TOTAL</t>
        </is>
      </c>
      <c r="F114" s="17" t="inlineStr">
        <is>
          <t>Under 55.5</t>
        </is>
      </c>
      <c r="G114" s="26" t="n">
        <v>55.5</v>
      </c>
      <c r="H114" s="18" t="n">
        <v>-110</v>
      </c>
      <c r="I114" s="20" t="n">
        <v>0.5740430381730615</v>
      </c>
      <c r="J114" s="20" t="n">
        <v>0.5</v>
      </c>
      <c r="K114" s="20" t="n">
        <v>0.5238095238095238</v>
      </c>
      <c r="L114" s="19" t="n">
        <v>0.08694646683015522</v>
      </c>
      <c r="M114" s="19" t="n">
        <v>0.09590034560311733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MTST @ NEV</t>
        </is>
      </c>
      <c r="C115" s="12" t="inlineStr">
        <is>
          <t>2026-09-13 02:30</t>
        </is>
      </c>
      <c r="D115" s="22" t="n">
        <v>2</v>
      </c>
      <c r="E115" s="12" t="inlineStr">
        <is>
          <t>TOTAL</t>
        </is>
      </c>
      <c r="F115" s="12" t="inlineStr">
        <is>
          <t>Over 49.5</t>
        </is>
      </c>
      <c r="G115" s="23" t="n">
        <v>49.5</v>
      </c>
      <c r="H115" s="13" t="n">
        <v>-112</v>
      </c>
      <c r="I115" s="15" t="n">
        <v>0.5780608169997503</v>
      </c>
      <c r="J115" s="15" t="n">
        <v>0.5043297540699688</v>
      </c>
      <c r="K115" s="15" t="n">
        <v>0.5283018867924528</v>
      </c>
      <c r="L115" s="14" t="n">
        <v>0.08663396526297071</v>
      </c>
      <c r="M115" s="14" t="n">
        <v>0.09418654646381297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MTST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MSST @ MINN</t>
        </is>
      </c>
      <c r="C116" s="17" t="inlineStr">
        <is>
          <t>2026-09-12 19:30</t>
        </is>
      </c>
      <c r="D116" s="25" t="n">
        <v>2</v>
      </c>
      <c r="E116" s="17" t="inlineStr">
        <is>
          <t>ML</t>
        </is>
      </c>
      <c r="F116" s="17" t="inlineStr">
        <is>
          <t>MINN ML</t>
        </is>
      </c>
      <c r="G116" s="26" t="n"/>
      <c r="H116" s="18" t="n">
        <v>-112</v>
      </c>
      <c r="I116" s="20" t="n">
        <v>0.577711981702679</v>
      </c>
      <c r="J116" s="20" t="n">
        <v>0.5043297540699688</v>
      </c>
      <c r="K116" s="20" t="n">
        <v>0.5283018867924528</v>
      </c>
      <c r="L116" s="19" t="n">
        <v>0.08651672931129545</v>
      </c>
      <c r="M116" s="19" t="n">
        <v>0.09352625108007095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APP @ ECU</t>
        </is>
      </c>
      <c r="C117" s="12" t="inlineStr">
        <is>
          <t>2026-09-12 16:00</t>
        </is>
      </c>
      <c r="D117" s="22" t="n">
        <v>2</v>
      </c>
      <c r="E117" s="12" t="inlineStr">
        <is>
          <t>ML</t>
        </is>
      </c>
      <c r="F117" s="12" t="inlineStr">
        <is>
          <t>APP ML</t>
        </is>
      </c>
      <c r="G117" s="23" t="n"/>
      <c r="H117" s="13" t="n">
        <v>225</v>
      </c>
      <c r="I117" s="15" t="n">
        <v>0.3364834533047651</v>
      </c>
      <c r="J117" s="15" t="n">
        <v>0.2949668357393679</v>
      </c>
      <c r="K117" s="15" t="n">
        <v>0.3076923076923077</v>
      </c>
      <c r="L117" s="14" t="n">
        <v>0.08566754463965158</v>
      </c>
      <c r="M117" s="14" t="n">
        <v>0.09357122324048683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APP @ ECU</t>
        </is>
      </c>
      <c r="C118" s="17" t="inlineStr">
        <is>
          <t>2026-09-12 16:00</t>
        </is>
      </c>
      <c r="D118" s="25" t="n">
        <v>2</v>
      </c>
      <c r="E118" s="17" t="inlineStr">
        <is>
          <t>TOTAL</t>
        </is>
      </c>
      <c r="F118" s="17" t="inlineStr">
        <is>
          <t>Under 56.5</t>
        </is>
      </c>
      <c r="G118" s="26" t="n">
        <v>56.5</v>
      </c>
      <c r="H118" s="18" t="n">
        <v>-112</v>
      </c>
      <c r="I118" s="20" t="n">
        <v>0.5743479870867317</v>
      </c>
      <c r="J118" s="20" t="n">
        <v>0.5043297540699688</v>
      </c>
      <c r="K118" s="20" t="n">
        <v>0.5283018867924528</v>
      </c>
      <c r="L118" s="19" t="n">
        <v>0.08530303388878784</v>
      </c>
      <c r="M118" s="19" t="n">
        <v>0.08715868984274211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UNLV @ UNT</t>
        </is>
      </c>
      <c r="C119" s="12" t="inlineStr">
        <is>
          <t>2026-09-12 19:45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-108</v>
      </c>
      <c r="I119" s="15" t="n">
        <v>0.5643976772926312</v>
      </c>
      <c r="J119" s="15" t="n">
        <v>0.4956702459300312</v>
      </c>
      <c r="K119" s="15" t="n">
        <v>0.5192307692307693</v>
      </c>
      <c r="L119" s="14" t="n">
        <v>0.08526836043980889</v>
      </c>
      <c r="M119" s="14" t="n">
        <v>0.08698811923025285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MSST @ MINN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MINN -1.5</t>
        </is>
      </c>
      <c r="G120" s="26" t="n">
        <v>-1.5</v>
      </c>
      <c r="H120" s="18" t="n">
        <v>-102</v>
      </c>
      <c r="I120" s="20" t="n">
        <v>0.5493556715910797</v>
      </c>
      <c r="J120" s="20" t="n">
        <v>0.4826358742837298</v>
      </c>
      <c r="K120" s="20" t="n">
        <v>0.504950495049505</v>
      </c>
      <c r="L120" s="19" t="n">
        <v>0.08518735328389501</v>
      </c>
      <c r="M120" s="19" t="n">
        <v>0.08793966334704018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FLA @ AUB</t>
        </is>
      </c>
      <c r="C121" s="12" t="inlineStr">
        <is>
          <t>2026-09-19 23:00</t>
        </is>
      </c>
      <c r="D121" s="22" t="n">
        <v>3</v>
      </c>
      <c r="E121" s="12" t="inlineStr">
        <is>
          <t>ML</t>
        </is>
      </c>
      <c r="F121" s="12" t="inlineStr">
        <is>
          <t>AUB ML</t>
        </is>
      </c>
      <c r="G121" s="23" t="n"/>
      <c r="H121" s="13" t="n">
        <v>-108</v>
      </c>
      <c r="I121" s="15" t="n">
        <v>0.5641798157992964</v>
      </c>
      <c r="J121" s="15" t="n">
        <v>0.4956702459300312</v>
      </c>
      <c r="K121" s="15" t="n">
        <v>0.5192307692307693</v>
      </c>
      <c r="L121" s="14" t="n">
        <v>0.08518256779261454</v>
      </c>
      <c r="M121" s="14" t="n">
        <v>0.0865685341319784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NORF @ UVA</t>
        </is>
      </c>
      <c r="C122" s="17" t="inlineStr">
        <is>
          <t>2026-09-11 23:00</t>
        </is>
      </c>
      <c r="D122" s="25" t="n">
        <v>2</v>
      </c>
      <c r="E122" s="17" t="inlineStr">
        <is>
          <t>TOTAL</t>
        </is>
      </c>
      <c r="F122" s="17" t="inlineStr">
        <is>
          <t>Under 54.5</t>
        </is>
      </c>
      <c r="G122" s="26" t="n">
        <v>54.5</v>
      </c>
      <c r="H122" s="18" t="n">
        <v>-108</v>
      </c>
      <c r="I122" s="20" t="n">
        <v>0.5606183098793355</v>
      </c>
      <c r="J122" s="20" t="n">
        <v>0.4956702459300312</v>
      </c>
      <c r="K122" s="20" t="n">
        <v>0.5192307692307693</v>
      </c>
      <c r="L122" s="19" t="n">
        <v>0.08367486269520305</v>
      </c>
      <c r="M122" s="19" t="n">
        <v>0.079709337545387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NORF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WSU @ KSU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48.5</t>
        </is>
      </c>
      <c r="G123" s="23" t="n">
        <v>48.5</v>
      </c>
      <c r="H123" s="13" t="n">
        <v>-112</v>
      </c>
      <c r="I123" s="15" t="n">
        <v>0.5687274640196442</v>
      </c>
      <c r="J123" s="15" t="n">
        <v>0.5043297540699688</v>
      </c>
      <c r="K123" s="15" t="n">
        <v>0.5283018867924528</v>
      </c>
      <c r="L123" s="14" t="n">
        <v>0.08290212814465281</v>
      </c>
      <c r="M123" s="14" t="n">
        <v>0.07651984260861222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outside the top 10 plays for this week</t>
        </is>
      </c>
    </row>
    <row r="124">
      <c r="A124" s="17" t="inlineStr">
        <is>
          <t>PASS</t>
        </is>
      </c>
      <c r="B124" s="17" t="inlineStr">
        <is>
          <t>RICE @ ND</t>
        </is>
      </c>
      <c r="C124" s="17" t="inlineStr">
        <is>
          <t>2026-09-12 19:30</t>
        </is>
      </c>
      <c r="D124" s="25" t="n">
        <v>2</v>
      </c>
      <c r="E124" s="17" t="inlineStr">
        <is>
          <t>TOTAL</t>
        </is>
      </c>
      <c r="F124" s="17" t="inlineStr">
        <is>
          <t>Under 55.5</t>
        </is>
      </c>
      <c r="G124" s="26" t="n">
        <v>55.5</v>
      </c>
      <c r="H124" s="18" t="n">
        <v>-115</v>
      </c>
      <c r="I124" s="20" t="n">
        <v>0.575733387248029</v>
      </c>
      <c r="J124" s="20" t="n">
        <v>0.5108342361863488</v>
      </c>
      <c r="K124" s="20" t="n">
        <v>0.5348837209302325</v>
      </c>
      <c r="L124" s="19" t="n">
        <v>0.08274757399113689</v>
      </c>
      <c r="M124" s="19" t="n">
        <v>0.07637111528979323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ARIZ @ BYU</t>
        </is>
      </c>
      <c r="C125" s="12" t="inlineStr">
        <is>
          <t>2026-09-12 19:30</t>
        </is>
      </c>
      <c r="D125" s="22" t="n">
        <v>2</v>
      </c>
      <c r="E125" s="12" t="inlineStr">
        <is>
          <t>ML</t>
        </is>
      </c>
      <c r="F125" s="12" t="inlineStr">
        <is>
          <t>ARIZ ML</t>
        </is>
      </c>
      <c r="G125" s="23" t="n"/>
      <c r="H125" s="13" t="n">
        <v>235</v>
      </c>
      <c r="I125" s="15" t="n">
        <v>0.3226652880198662</v>
      </c>
      <c r="J125" s="15" t="n">
        <v>0.2864487697392581</v>
      </c>
      <c r="K125" s="15" t="n">
        <v>0.2985074626865671</v>
      </c>
      <c r="L125" s="14" t="n">
        <v>0.08259890662994461</v>
      </c>
      <c r="M125" s="14" t="n">
        <v>0.08092871486655162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NAVY @ FAU</t>
        </is>
      </c>
      <c r="C126" s="17" t="inlineStr">
        <is>
          <t>2026-09-12 23:30</t>
        </is>
      </c>
      <c r="D126" s="25" t="n">
        <v>2</v>
      </c>
      <c r="E126" s="17" t="inlineStr">
        <is>
          <t>TOTAL</t>
        </is>
      </c>
      <c r="F126" s="17" t="inlineStr">
        <is>
          <t>Under 58.5</t>
        </is>
      </c>
      <c r="G126" s="26" t="n">
        <v>58.5</v>
      </c>
      <c r="H126" s="18" t="n">
        <v>-115</v>
      </c>
      <c r="I126" s="20" t="n">
        <v>0.5738598253896305</v>
      </c>
      <c r="J126" s="20" t="n">
        <v>0.5108342361863488</v>
      </c>
      <c r="K126" s="20" t="n">
        <v>0.5348837209302325</v>
      </c>
      <c r="L126" s="19" t="n">
        <v>0.0818321993197659</v>
      </c>
      <c r="M126" s="19" t="n">
        <v>0.07286836920670048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APP @ ECU</t>
        </is>
      </c>
      <c r="C127" s="12" t="inlineStr">
        <is>
          <t>2026-09-12 16:00</t>
        </is>
      </c>
      <c r="D127" s="22" t="n">
        <v>2</v>
      </c>
      <c r="E127" s="12" t="inlineStr">
        <is>
          <t>ATS</t>
        </is>
      </c>
      <c r="F127" s="12" t="inlineStr">
        <is>
          <t>APP +7</t>
        </is>
      </c>
      <c r="G127" s="23" t="n">
        <v>-7</v>
      </c>
      <c r="H127" s="13" t="n">
        <v>-108</v>
      </c>
      <c r="I127" s="15" t="n">
        <v>0.5562327628497133</v>
      </c>
      <c r="J127" s="15" t="n">
        <v>0.4956702459300312</v>
      </c>
      <c r="K127" s="15" t="n">
        <v>0.5192307692307693</v>
      </c>
      <c r="L127" s="14" t="n">
        <v>0.08152060453860521</v>
      </c>
      <c r="M127" s="14" t="n">
        <v>0.06772132281023324</v>
      </c>
      <c r="N127" s="15" t="n">
        <v>0.0497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ARIZ @ BYU</t>
        </is>
      </c>
      <c r="C128" s="17" t="inlineStr">
        <is>
          <t>2026-09-12 19:30</t>
        </is>
      </c>
      <c r="D128" s="25" t="n">
        <v>2</v>
      </c>
      <c r="E128" s="17" t="inlineStr">
        <is>
          <t>ATS</t>
        </is>
      </c>
      <c r="F128" s="17" t="inlineStr">
        <is>
          <t>ARIZ +7.5</t>
        </is>
      </c>
      <c r="G128" s="26" t="n">
        <v>-7.5</v>
      </c>
      <c r="H128" s="18" t="n">
        <v>-108</v>
      </c>
      <c r="I128" s="20" t="n">
        <v>0.5561221325195158</v>
      </c>
      <c r="J128" s="20" t="n">
        <v>0.4956702459300312</v>
      </c>
      <c r="K128" s="20" t="n">
        <v>0.5192307692307693</v>
      </c>
      <c r="L128" s="19" t="n">
        <v>0.08146164207621941</v>
      </c>
      <c r="M128" s="19" t="n">
        <v>0.07105003300054902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BUFF @ FIU</t>
        </is>
      </c>
      <c r="C129" s="12" t="inlineStr">
        <is>
          <t>2026-09-12 22:00</t>
        </is>
      </c>
      <c r="D129" s="22" t="n">
        <v>2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-112</v>
      </c>
      <c r="I129" s="15" t="n">
        <v>0.5649481317273501</v>
      </c>
      <c r="J129" s="15" t="n">
        <v>0.5043297540699688</v>
      </c>
      <c r="K129" s="15" t="n">
        <v>0.5283018867924528</v>
      </c>
      <c r="L129" s="14" t="n">
        <v>0.08098720398404229</v>
      </c>
      <c r="M129" s="14" t="n">
        <v>0.06936610648391284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WAKE @ PUR</t>
        </is>
      </c>
      <c r="C130" s="17" t="inlineStr">
        <is>
          <t>2026-09-12 16:00</t>
        </is>
      </c>
      <c r="D130" s="25" t="n">
        <v>2</v>
      </c>
      <c r="E130" s="17" t="inlineStr">
        <is>
          <t>TOTAL</t>
        </is>
      </c>
      <c r="F130" s="17" t="inlineStr">
        <is>
          <t>Over 49.5</t>
        </is>
      </c>
      <c r="G130" s="26" t="n">
        <v>49.5</v>
      </c>
      <c r="H130" s="18" t="n">
        <v>-112</v>
      </c>
      <c r="I130" s="20" t="n">
        <v>0.5649481005130805</v>
      </c>
      <c r="J130" s="20" t="n">
        <v>0.5043297540699688</v>
      </c>
      <c r="K130" s="20" t="n">
        <v>0.5283018867924528</v>
      </c>
      <c r="L130" s="19" t="n">
        <v>0.08098718707194345</v>
      </c>
      <c r="M130" s="19" t="n">
        <v>0.06936604739975949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UCF @ PITT</t>
        </is>
      </c>
      <c r="C131" s="12" t="inlineStr">
        <is>
          <t>2026-09-12 19:30</t>
        </is>
      </c>
      <c r="D131" s="22" t="n">
        <v>2</v>
      </c>
      <c r="E131" s="12" t="inlineStr">
        <is>
          <t>ML</t>
        </is>
      </c>
      <c r="F131" s="12" t="inlineStr">
        <is>
          <t>UCF ML</t>
        </is>
      </c>
      <c r="G131" s="23" t="n"/>
      <c r="H131" s="13" t="n">
        <v>215</v>
      </c>
      <c r="I131" s="15" t="n">
        <v>0.3401523865765108</v>
      </c>
      <c r="J131" s="15" t="n">
        <v>0.3042300479266514</v>
      </c>
      <c r="K131" s="15" t="n">
        <v>0.3174603174603174</v>
      </c>
      <c r="L131" s="14" t="n">
        <v>0.0803968717429752</v>
      </c>
      <c r="M131" s="14" t="n">
        <v>0.07148001771600909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OSU @ TEX</t>
        </is>
      </c>
      <c r="C132" s="17" t="inlineStr">
        <is>
          <t>2026-09-12 23:30</t>
        </is>
      </c>
      <c r="D132" s="25" t="n">
        <v>2</v>
      </c>
      <c r="E132" s="17" t="inlineStr">
        <is>
          <t>TOTAL</t>
        </is>
      </c>
      <c r="F132" s="17" t="inlineStr">
        <is>
          <t>Over 49.5</t>
        </is>
      </c>
      <c r="G132" s="26" t="n">
        <v>49.5</v>
      </c>
      <c r="H132" s="18" t="n">
        <v>-108</v>
      </c>
      <c r="I132" s="20" t="n">
        <v>0.5529881623448212</v>
      </c>
      <c r="J132" s="20" t="n">
        <v>0.4956702459300312</v>
      </c>
      <c r="K132" s="20" t="n">
        <v>0.5192307692307693</v>
      </c>
      <c r="L132" s="19" t="n">
        <v>0.07968944367100068</v>
      </c>
      <c r="M132" s="19" t="n">
        <v>0.06501423859002609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UCF @ PITT</t>
        </is>
      </c>
      <c r="C133" s="12" t="inlineStr">
        <is>
          <t>2026-09-12 19:30</t>
        </is>
      </c>
      <c r="D133" s="22" t="n">
        <v>2</v>
      </c>
      <c r="E133" s="12" t="inlineStr">
        <is>
          <t>ATS</t>
        </is>
      </c>
      <c r="F133" s="12" t="inlineStr">
        <is>
          <t>UCF +7</t>
        </is>
      </c>
      <c r="G133" s="23" t="n">
        <v>-7</v>
      </c>
      <c r="H133" s="13" t="n">
        <v>-110</v>
      </c>
      <c r="I133" s="15" t="n">
        <v>0.557378483445405</v>
      </c>
      <c r="J133" s="15" t="n">
        <v>0.5</v>
      </c>
      <c r="K133" s="15" t="n">
        <v>0.5238095238095238</v>
      </c>
      <c r="L133" s="14" t="n">
        <v>0.07942654928808537</v>
      </c>
      <c r="M133" s="14" t="n">
        <v>0.06089470312420906</v>
      </c>
      <c r="N133" s="15" t="n">
        <v>0.0498</v>
      </c>
      <c r="O133" s="24" t="n">
        <v>0.725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CAL @ SYR</t>
        </is>
      </c>
      <c r="C134" s="17" t="inlineStr">
        <is>
          <t>2026-09-12 19:30</t>
        </is>
      </c>
      <c r="D134" s="25" t="n">
        <v>2</v>
      </c>
      <c r="E134" s="17" t="inlineStr">
        <is>
          <t>ATS</t>
        </is>
      </c>
      <c r="F134" s="17" t="inlineStr">
        <is>
          <t>SYR -3.5</t>
        </is>
      </c>
      <c r="G134" s="26" t="n">
        <v>-3.5</v>
      </c>
      <c r="H134" s="18" t="n">
        <v>-102</v>
      </c>
      <c r="I134" s="20" t="n">
        <v>0.537831755928472</v>
      </c>
      <c r="J134" s="20" t="n">
        <v>0.4826358742837298</v>
      </c>
      <c r="K134" s="20" t="n">
        <v>0.504950495049505</v>
      </c>
      <c r="L134" s="19" t="n">
        <v>0.07930768036109964</v>
      </c>
      <c r="M134" s="19" t="n">
        <v>0.06511779115246408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ALA @ UK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Over 49.5</t>
        </is>
      </c>
      <c r="G135" s="23" t="n">
        <v>49.5</v>
      </c>
      <c r="H135" s="13" t="n">
        <v>-105</v>
      </c>
      <c r="I135" s="15" t="n">
        <v>0.5439562234882699</v>
      </c>
      <c r="J135" s="15" t="n">
        <v>0.4891657638136511</v>
      </c>
      <c r="K135" s="15" t="n">
        <v>0.5121951219512195</v>
      </c>
      <c r="L135" s="14" t="n">
        <v>0.07857885760197324</v>
      </c>
      <c r="M135" s="14" t="n">
        <v>0.06200976966757454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CAL @ SYR</t>
        </is>
      </c>
      <c r="C136" s="17" t="inlineStr">
        <is>
          <t>2026-09-12 19:30</t>
        </is>
      </c>
      <c r="D136" s="25" t="n">
        <v>2</v>
      </c>
      <c r="E136" s="17" t="inlineStr">
        <is>
          <t>TOTAL</t>
        </is>
      </c>
      <c r="F136" s="17" t="inlineStr">
        <is>
          <t>Under 56.5</t>
        </is>
      </c>
      <c r="G136" s="26" t="n">
        <v>56.5</v>
      </c>
      <c r="H136" s="18" t="n">
        <v>-105</v>
      </c>
      <c r="I136" s="20" t="n">
        <v>0.5439561960007426</v>
      </c>
      <c r="J136" s="20" t="n">
        <v>0.4891657638136511</v>
      </c>
      <c r="K136" s="20" t="n">
        <v>0.5121951219512195</v>
      </c>
      <c r="L136" s="19" t="n">
        <v>0.07857883985465186</v>
      </c>
      <c r="M136" s="19" t="n">
        <v>0.06200971600144989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NDSU @ AFA</t>
        </is>
      </c>
      <c r="C137" s="12" t="inlineStr">
        <is>
          <t>2026-09-13 02:00</t>
        </is>
      </c>
      <c r="D137" s="22" t="n">
        <v>2</v>
      </c>
      <c r="E137" s="12" t="inlineStr">
        <is>
          <t>TOTAL</t>
        </is>
      </c>
      <c r="F137" s="12" t="inlineStr">
        <is>
          <t>Over 47.5</t>
        </is>
      </c>
      <c r="G137" s="23" t="n">
        <v>47.5</v>
      </c>
      <c r="H137" s="13" t="n">
        <v>-108</v>
      </c>
      <c r="I137" s="15" t="n">
        <v>0.5510667749851725</v>
      </c>
      <c r="J137" s="15" t="n">
        <v>0.4956702459300312</v>
      </c>
      <c r="K137" s="15" t="n">
        <v>0.5192307692307693</v>
      </c>
      <c r="L137" s="14" t="n">
        <v>0.0785006452543725</v>
      </c>
      <c r="M137" s="14" t="n">
        <v>0.06131378886033234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LT @ LSU</t>
        </is>
      </c>
      <c r="C138" s="17" t="inlineStr">
        <is>
          <t>2026-09-12 23:30</t>
        </is>
      </c>
      <c r="D138" s="25" t="n">
        <v>2</v>
      </c>
      <c r="E138" s="17" t="inlineStr">
        <is>
          <t>TOTAL</t>
        </is>
      </c>
      <c r="F138" s="17" t="inlineStr">
        <is>
          <t>Under 55.5</t>
        </is>
      </c>
      <c r="G138" s="26" t="n">
        <v>55.5</v>
      </c>
      <c r="H138" s="18" t="n">
        <v>-102</v>
      </c>
      <c r="I138" s="20" t="n">
        <v>0.5348680039291995</v>
      </c>
      <c r="J138" s="20" t="n">
        <v>0.4826358742837298</v>
      </c>
      <c r="K138" s="20" t="n">
        <v>0.504950495049505</v>
      </c>
      <c r="L138" s="19" t="n">
        <v>0.07734327303660286</v>
      </c>
      <c r="M138" s="19" t="n">
        <v>0.05924839993821873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TTU @ ORST</t>
        </is>
      </c>
      <c r="C139" s="12" t="inlineStr">
        <is>
          <t>2026-09-12 23:30</t>
        </is>
      </c>
      <c r="D139" s="22" t="n">
        <v>2</v>
      </c>
      <c r="E139" s="12" t="inlineStr">
        <is>
          <t>TOTAL</t>
        </is>
      </c>
      <c r="F139" s="12" t="inlineStr">
        <is>
          <t>Under 53.5</t>
        </is>
      </c>
      <c r="G139" s="23" t="n">
        <v>53.5</v>
      </c>
      <c r="H139" s="13" t="n">
        <v>-105</v>
      </c>
      <c r="I139" s="15" t="n">
        <v>0.5420196905144345</v>
      </c>
      <c r="J139" s="15" t="n">
        <v>0.4891657638136511</v>
      </c>
      <c r="K139" s="15" t="n">
        <v>0.5121951219512195</v>
      </c>
      <c r="L139" s="14" t="n">
        <v>0.0772846757804399</v>
      </c>
      <c r="M139" s="14" t="n">
        <v>0.05822891957580079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OSU @ TEX</t>
        </is>
      </c>
      <c r="C140" s="17" t="inlineStr">
        <is>
          <t>2026-09-12 23:30</t>
        </is>
      </c>
      <c r="D140" s="25" t="n">
        <v>2</v>
      </c>
      <c r="E140" s="17" t="inlineStr">
        <is>
          <t>ML</t>
        </is>
      </c>
      <c r="F140" s="17" t="inlineStr">
        <is>
          <t>TEX ML</t>
        </is>
      </c>
      <c r="G140" s="26" t="n"/>
      <c r="H140" s="18" t="n">
        <v>-122</v>
      </c>
      <c r="I140" s="20" t="n">
        <v>0.5825177970630664</v>
      </c>
      <c r="J140" s="20" t="n">
        <v>0.5260865852617197</v>
      </c>
      <c r="K140" s="20" t="n">
        <v>0.5495495495495496</v>
      </c>
      <c r="L140" s="19" t="n">
        <v>0.07701806577196976</v>
      </c>
      <c r="M140" s="19" t="n">
        <v>0.05999140121312085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SMU @ LOU</t>
        </is>
      </c>
      <c r="C141" s="12" t="inlineStr">
        <is>
          <t>2026-09-19 19:30</t>
        </is>
      </c>
      <c r="D141" s="22" t="n">
        <v>3</v>
      </c>
      <c r="E141" s="12" t="inlineStr">
        <is>
          <t>ML</t>
        </is>
      </c>
      <c r="F141" s="12" t="inlineStr">
        <is>
          <t>LOU ML</t>
        </is>
      </c>
      <c r="G141" s="23" t="n"/>
      <c r="H141" s="13" t="n">
        <v>-115</v>
      </c>
      <c r="I141" s="15" t="n">
        <v>0.5636588120441809</v>
      </c>
      <c r="J141" s="15" t="n">
        <v>0.5108342361863488</v>
      </c>
      <c r="K141" s="15" t="n">
        <v>0.5348837209302325</v>
      </c>
      <c r="L141" s="14" t="n">
        <v>0.07565169815299477</v>
      </c>
      <c r="M141" s="14" t="n">
        <v>0.05379690947390325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WKU @ UGA</t>
        </is>
      </c>
      <c r="C142" s="17" t="inlineStr">
        <is>
          <t>2026-09-12 16:45</t>
        </is>
      </c>
      <c r="D142" s="25" t="n">
        <v>2</v>
      </c>
      <c r="E142" s="17" t="inlineStr">
        <is>
          <t>TOTAL</t>
        </is>
      </c>
      <c r="F142" s="17" t="inlineStr">
        <is>
          <t>Under 55.5</t>
        </is>
      </c>
      <c r="G142" s="26" t="n">
        <v>55.5</v>
      </c>
      <c r="H142" s="18" t="n">
        <v>-110</v>
      </c>
      <c r="I142" s="20" t="n">
        <v>0.5513049565527947</v>
      </c>
      <c r="J142" s="20" t="n">
        <v>0.5</v>
      </c>
      <c r="K142" s="20" t="n">
        <v>0.5238095238095238</v>
      </c>
      <c r="L142" s="19" t="n">
        <v>0.07535759004709286</v>
      </c>
      <c r="M142" s="19" t="n">
        <v>0.05249128069169884</v>
      </c>
      <c r="N142" s="20" t="n">
        <v>0</v>
      </c>
      <c r="O142" s="27" t="n">
        <v>0.725</v>
      </c>
      <c r="P142" s="17" t="inlineStr">
        <is>
          <t>DraftKings</t>
        </is>
      </c>
      <c r="Q142" s="17" t="inlineStr">
        <is>
          <t>outside the top 10 plays for this week</t>
        </is>
      </c>
    </row>
    <row r="143">
      <c r="A143" s="12" t="inlineStr">
        <is>
          <t>PASS</t>
        </is>
      </c>
      <c r="B143" s="12" t="inlineStr">
        <is>
          <t>UTSA @ TXST</t>
        </is>
      </c>
      <c r="C143" s="12" t="inlineStr">
        <is>
          <t>2026-09-12 19:30</t>
        </is>
      </c>
      <c r="D143" s="22" t="n">
        <v>2</v>
      </c>
      <c r="E143" s="12" t="inlineStr">
        <is>
          <t>ML</t>
        </is>
      </c>
      <c r="F143" s="12" t="inlineStr">
        <is>
          <t>TXST ML</t>
        </is>
      </c>
      <c r="G143" s="23" t="n"/>
      <c r="H143" s="13" t="n">
        <v>-118</v>
      </c>
      <c r="I143" s="15" t="n">
        <v>0.5683043145633857</v>
      </c>
      <c r="J143" s="15" t="n">
        <v>0.5173641257162701</v>
      </c>
      <c r="K143" s="15" t="n">
        <v>0.5412844036697247</v>
      </c>
      <c r="L143" s="14" t="n">
        <v>0.07376512624742226</v>
      </c>
      <c r="M143" s="14" t="n">
        <v>0.04991814046456011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OSU @ TEX</t>
        </is>
      </c>
      <c r="C144" s="17" t="inlineStr">
        <is>
          <t>2026-09-12 23:30</t>
        </is>
      </c>
      <c r="D144" s="25" t="n">
        <v>2</v>
      </c>
      <c r="E144" s="17" t="inlineStr">
        <is>
          <t>ATS</t>
        </is>
      </c>
      <c r="F144" s="17" t="inlineStr">
        <is>
          <t>TEX -1.5</t>
        </is>
      </c>
      <c r="G144" s="26" t="n">
        <v>-1.5</v>
      </c>
      <c r="H144" s="18" t="n">
        <v>-112</v>
      </c>
      <c r="I144" s="20" t="n">
        <v>0.5539516633179302</v>
      </c>
      <c r="J144" s="20" t="n">
        <v>0.5043297540699688</v>
      </c>
      <c r="K144" s="20" t="n">
        <v>0.5283018867924528</v>
      </c>
      <c r="L144" s="19" t="n">
        <v>0.07373763016659524</v>
      </c>
      <c r="M144" s="19" t="n">
        <v>0.04855136270893934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CAL @ SYR</t>
        </is>
      </c>
      <c r="C145" s="12" t="inlineStr">
        <is>
          <t>2026-09-12 19:30</t>
        </is>
      </c>
      <c r="D145" s="22" t="n">
        <v>2</v>
      </c>
      <c r="E145" s="12" t="inlineStr">
        <is>
          <t>ML</t>
        </is>
      </c>
      <c r="F145" s="12" t="inlineStr">
        <is>
          <t>SYR ML</t>
        </is>
      </c>
      <c r="G145" s="23" t="n"/>
      <c r="H145" s="13" t="n">
        <v>-162</v>
      </c>
      <c r="I145" s="15" t="n">
        <v>0.6512908226308802</v>
      </c>
      <c r="J145" s="15" t="n">
        <v>0.5933697541594239</v>
      </c>
      <c r="K145" s="15" t="n">
        <v>0.6183206106870229</v>
      </c>
      <c r="L145" s="14" t="n">
        <v>0.07342637263530791</v>
      </c>
      <c r="M145" s="14" t="n">
        <v>0.0533221946252509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TENN @ GT</t>
        </is>
      </c>
      <c r="C146" s="17" t="inlineStr">
        <is>
          <t>2026-09-12 23:00</t>
        </is>
      </c>
      <c r="D146" s="25" t="n">
        <v>2</v>
      </c>
      <c r="E146" s="17" t="inlineStr">
        <is>
          <t>TOTAL</t>
        </is>
      </c>
      <c r="F146" s="17" t="inlineStr">
        <is>
          <t>Under 55.5</t>
        </is>
      </c>
      <c r="G146" s="26" t="n">
        <v>55.5</v>
      </c>
      <c r="H146" s="18" t="n">
        <v>-115</v>
      </c>
      <c r="I146" s="20" t="n">
        <v>0.5605701280104128</v>
      </c>
      <c r="J146" s="20" t="n">
        <v>0.5108342361863488</v>
      </c>
      <c r="K146" s="20" t="n">
        <v>0.5348837209302325</v>
      </c>
      <c r="L146" s="19" t="n">
        <v>0.07332483140574481</v>
      </c>
      <c r="M146" s="19" t="n">
        <v>0.04802241323685874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MIZ @ KU</t>
        </is>
      </c>
      <c r="C147" s="12" t="inlineStr">
        <is>
          <t>2026-09-12 00:00</t>
        </is>
      </c>
      <c r="D147" s="22" t="n">
        <v>2</v>
      </c>
      <c r="E147" s="12" t="inlineStr">
        <is>
          <t>TOTAL</t>
        </is>
      </c>
      <c r="F147" s="12" t="inlineStr">
        <is>
          <t>Over 50.5</t>
        </is>
      </c>
      <c r="G147" s="23" t="n">
        <v>50.5</v>
      </c>
      <c r="H147" s="13" t="n">
        <v>-108</v>
      </c>
      <c r="I147" s="15" t="n">
        <v>0.5433308278886977</v>
      </c>
      <c r="J147" s="15" t="n">
        <v>0.4956702459300312</v>
      </c>
      <c r="K147" s="15" t="n">
        <v>0.5192307692307693</v>
      </c>
      <c r="L147" s="14" t="n">
        <v>0.0728315503242619</v>
      </c>
      <c r="M147" s="14" t="n">
        <v>0.04641492778564005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PSU @ TEM</t>
        </is>
      </c>
      <c r="C148" s="17" t="inlineStr">
        <is>
          <t>2026-09-12 16:00</t>
        </is>
      </c>
      <c r="D148" s="25" t="n">
        <v>2</v>
      </c>
      <c r="E148" s="17" t="inlineStr">
        <is>
          <t>TOTAL</t>
        </is>
      </c>
      <c r="F148" s="17" t="inlineStr">
        <is>
          <t>Over 49.5</t>
        </is>
      </c>
      <c r="G148" s="26" t="n">
        <v>49.5</v>
      </c>
      <c r="H148" s="18" t="n">
        <v>-112</v>
      </c>
      <c r="I148" s="20" t="n">
        <v>0.5515382186164288</v>
      </c>
      <c r="J148" s="20" t="n">
        <v>0.5043297540699688</v>
      </c>
      <c r="K148" s="20" t="n">
        <v>0.5283018867924528</v>
      </c>
      <c r="L148" s="19" t="n">
        <v>0.07175957484848108</v>
      </c>
      <c r="M148" s="19" t="n">
        <v>0.04398305666681157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SMU @ LOU</t>
        </is>
      </c>
      <c r="C149" s="12" t="inlineStr">
        <is>
          <t>2026-09-19 19:30</t>
        </is>
      </c>
      <c r="D149" s="22" t="n">
        <v>3</v>
      </c>
      <c r="E149" s="12" t="inlineStr">
        <is>
          <t>ATS</t>
        </is>
      </c>
      <c r="F149" s="12" t="inlineStr">
        <is>
          <t>LOU -1.5</t>
        </is>
      </c>
      <c r="G149" s="23" t="n">
        <v>-1.5</v>
      </c>
      <c r="H149" s="13" t="n">
        <v>-105</v>
      </c>
      <c r="I149" s="15" t="n">
        <v>0.5348572980815191</v>
      </c>
      <c r="J149" s="15" t="n">
        <v>0.4891657638136511</v>
      </c>
      <c r="K149" s="15" t="n">
        <v>0.5121951219512195</v>
      </c>
      <c r="L149" s="14" t="n">
        <v>0.07167386008705859</v>
      </c>
      <c r="M149" s="14" t="n">
        <v>0.04424520101629903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ASU @ TA&amp;M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-115</v>
      </c>
      <c r="I150" s="20" t="n">
        <v>0.556722096151242</v>
      </c>
      <c r="J150" s="20" t="n">
        <v>0.5108342361863488</v>
      </c>
      <c r="K150" s="20" t="n">
        <v>0.5348837209302325</v>
      </c>
      <c r="L150" s="19" t="n">
        <v>0.07008828584837989</v>
      </c>
      <c r="M150" s="19" t="n">
        <v>0.04082826671753925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DEL @ VAN</t>
        </is>
      </c>
      <c r="C151" s="12" t="inlineStr">
        <is>
          <t>2026-09-12 20:15</t>
        </is>
      </c>
      <c r="D151" s="22" t="n">
        <v>2</v>
      </c>
      <c r="E151" s="12" t="inlineStr">
        <is>
          <t>TOTAL</t>
        </is>
      </c>
      <c r="F151" s="12" t="inlineStr">
        <is>
          <t>Under 54.5</t>
        </is>
      </c>
      <c r="G151" s="23" t="n">
        <v>54.5</v>
      </c>
      <c r="H151" s="13" t="n">
        <v>-108</v>
      </c>
      <c r="I151" s="15" t="n">
        <v>0.5394352799340024</v>
      </c>
      <c r="J151" s="15" t="n">
        <v>0.4956702459300312</v>
      </c>
      <c r="K151" s="15" t="n">
        <v>0.5192307692307693</v>
      </c>
      <c r="L151" s="14" t="n">
        <v>0.06938060611159101</v>
      </c>
      <c r="M151" s="14" t="n">
        <v>0.03891239098400479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ODU @ VT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-105</v>
      </c>
      <c r="I152" s="20" t="n">
        <v>0.5322711390691282</v>
      </c>
      <c r="J152" s="20" t="n">
        <v>0.4891657638136511</v>
      </c>
      <c r="K152" s="20" t="n">
        <v>0.5121951219512195</v>
      </c>
      <c r="L152" s="19" t="n">
        <v>0.06929908115246836</v>
      </c>
      <c r="M152" s="19" t="n">
        <v>0.03919603342067868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LSU @ MISS</t>
        </is>
      </c>
      <c r="C153" s="12" t="inlineStr">
        <is>
          <t>2026-09-19 23:30</t>
        </is>
      </c>
      <c r="D153" s="22" t="n">
        <v>3</v>
      </c>
      <c r="E153" s="12" t="inlineStr">
        <is>
          <t>ML</t>
        </is>
      </c>
      <c r="F153" s="12" t="inlineStr">
        <is>
          <t>MISS ML</t>
        </is>
      </c>
      <c r="G153" s="23" t="n"/>
      <c r="H153" s="13" t="n">
        <v>-130</v>
      </c>
      <c r="I153" s="15" t="n">
        <v>0.5894875792475416</v>
      </c>
      <c r="J153" s="15" t="n">
        <v>0.5427435387673957</v>
      </c>
      <c r="K153" s="15" t="n">
        <v>0.5652173913043478</v>
      </c>
      <c r="L153" s="14" t="n">
        <v>0.0683514143002255</v>
      </c>
      <c r="M153" s="14" t="n">
        <v>0.04293956328411208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UCF @ PITT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56.5</t>
        </is>
      </c>
      <c r="G154" s="26" t="n">
        <v>56.5</v>
      </c>
      <c r="H154" s="18" t="n">
        <v>-108</v>
      </c>
      <c r="I154" s="20" t="n">
        <v>0.5374812812721366</v>
      </c>
      <c r="J154" s="20" t="n">
        <v>0.4956702459300312</v>
      </c>
      <c r="K154" s="20" t="n">
        <v>0.5192307692307693</v>
      </c>
      <c r="L154" s="19" t="n">
        <v>0.06748472210162004</v>
      </c>
      <c r="M154" s="19" t="n">
        <v>0.03514913430189281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LSU @ MISS</t>
        </is>
      </c>
      <c r="C155" s="12" t="inlineStr">
        <is>
          <t>2026-09-19 23:30</t>
        </is>
      </c>
      <c r="D155" s="22" t="n">
        <v>3</v>
      </c>
      <c r="E155" s="12" t="inlineStr">
        <is>
          <t>ATS</t>
        </is>
      </c>
      <c r="F155" s="12" t="inlineStr">
        <is>
          <t>MISS -1.5</t>
        </is>
      </c>
      <c r="G155" s="23" t="n">
        <v>-1.5</v>
      </c>
      <c r="H155" s="13" t="n">
        <v>-118</v>
      </c>
      <c r="I155" s="15" t="n">
        <v>0.5590728866486101</v>
      </c>
      <c r="J155" s="15" t="n">
        <v>0.5173641257162701</v>
      </c>
      <c r="K155" s="15" t="n">
        <v>0.5412844036697247</v>
      </c>
      <c r="L155" s="14" t="n">
        <v>0.06558247223531179</v>
      </c>
      <c r="M155" s="14" t="n">
        <v>0.03286346855421196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VILL @ LOU</t>
        </is>
      </c>
      <c r="C156" s="17" t="inlineStr">
        <is>
          <t>2026-09-11 23:00</t>
        </is>
      </c>
      <c r="D156" s="25" t="n">
        <v>2</v>
      </c>
      <c r="E156" s="17" t="inlineStr">
        <is>
          <t>TOTAL</t>
        </is>
      </c>
      <c r="F156" s="17" t="inlineStr">
        <is>
          <t>Under 56.5</t>
        </is>
      </c>
      <c r="G156" s="26" t="n">
        <v>56.5</v>
      </c>
      <c r="H156" s="18" t="n">
        <v>-115</v>
      </c>
      <c r="I156" s="20" t="n">
        <v>0.5509128041392807</v>
      </c>
      <c r="J156" s="20" t="n">
        <v>0.5108342361863488</v>
      </c>
      <c r="K156" s="20" t="n">
        <v>0.5348837209302325</v>
      </c>
      <c r="L156" s="19" t="n">
        <v>0.06443365271188364</v>
      </c>
      <c r="M156" s="19" t="n">
        <v>0.02996741643430734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VILL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UTSA @ TXST</t>
        </is>
      </c>
      <c r="C157" s="12" t="inlineStr">
        <is>
          <t>2026-09-12 19:30</t>
        </is>
      </c>
      <c r="D157" s="22" t="n">
        <v>2</v>
      </c>
      <c r="E157" s="12" t="inlineStr">
        <is>
          <t>ATS</t>
        </is>
      </c>
      <c r="F157" s="12" t="inlineStr">
        <is>
          <t>TXST -1.5</t>
        </is>
      </c>
      <c r="G157" s="23" t="n">
        <v>-1.5</v>
      </c>
      <c r="H157" s="13" t="n">
        <v>-112</v>
      </c>
      <c r="I157" s="15" t="n">
        <v>0.5438507322728614</v>
      </c>
      <c r="J157" s="15" t="n">
        <v>0.5043297540699688</v>
      </c>
      <c r="K157" s="15" t="n">
        <v>0.5283018867924528</v>
      </c>
      <c r="L157" s="14" t="n">
        <v>0.06438301076443451</v>
      </c>
      <c r="M157" s="14" t="n">
        <v>0.02943174323077336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MEM @ BOIS</t>
        </is>
      </c>
      <c r="C158" s="17" t="inlineStr">
        <is>
          <t>2026-09-12 22:00</t>
        </is>
      </c>
      <c r="D158" s="25" t="n">
        <v>2</v>
      </c>
      <c r="E158" s="17" t="inlineStr">
        <is>
          <t>TOTAL</t>
        </is>
      </c>
      <c r="F158" s="17" t="inlineStr">
        <is>
          <t>Under 54.5</t>
        </is>
      </c>
      <c r="G158" s="26" t="n">
        <v>54.5</v>
      </c>
      <c r="H158" s="18" t="n">
        <v>-105</v>
      </c>
      <c r="I158" s="20" t="n">
        <v>0.5263757436853719</v>
      </c>
      <c r="J158" s="20" t="n">
        <v>0.4891657638136511</v>
      </c>
      <c r="K158" s="20" t="n">
        <v>0.5121951219512195</v>
      </c>
      <c r="L158" s="19" t="n">
        <v>0.06312162621838784</v>
      </c>
      <c r="M158" s="19" t="n">
        <v>0.02768597576667831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RUTG @ BC</t>
        </is>
      </c>
      <c r="C159" s="12" t="inlineStr">
        <is>
          <t>2026-09-11 23:30</t>
        </is>
      </c>
      <c r="D159" s="22" t="n">
        <v>2</v>
      </c>
      <c r="E159" s="12" t="inlineStr">
        <is>
          <t>ATS</t>
        </is>
      </c>
      <c r="F159" s="12" t="inlineStr">
        <is>
          <t>BC -3</t>
        </is>
      </c>
      <c r="G159" s="23" t="n">
        <v>-3</v>
      </c>
      <c r="H159" s="13" t="n">
        <v>-112</v>
      </c>
      <c r="I159" s="15" t="n">
        <v>0.5424619183844503</v>
      </c>
      <c r="J159" s="15" t="n">
        <v>0.5043297540699688</v>
      </c>
      <c r="K159" s="15" t="n">
        <v>0.5283018867924528</v>
      </c>
      <c r="L159" s="14" t="n">
        <v>0.06286463463816297</v>
      </c>
      <c r="M159" s="14" t="n">
        <v>0.0251947419254755</v>
      </c>
      <c r="N159" s="15" t="n">
        <v>0.06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NMSU @ HAW</t>
        </is>
      </c>
      <c r="C160" s="17" t="inlineStr">
        <is>
          <t>2026-09-13 03:59</t>
        </is>
      </c>
      <c r="D160" s="25" t="n">
        <v>2</v>
      </c>
      <c r="E160" s="17" t="inlineStr">
        <is>
          <t>TOTAL</t>
        </is>
      </c>
      <c r="F160" s="17" t="inlineStr">
        <is>
          <t>Over 49.5</t>
        </is>
      </c>
      <c r="G160" s="26" t="n">
        <v>49.5</v>
      </c>
      <c r="H160" s="18" t="n">
        <v>-110</v>
      </c>
      <c r="I160" s="20" t="n">
        <v>0.5376882696790126</v>
      </c>
      <c r="J160" s="20" t="n">
        <v>0.5</v>
      </c>
      <c r="K160" s="20" t="n">
        <v>0.5238095238095238</v>
      </c>
      <c r="L160" s="19" t="n">
        <v>0.0627334237387708</v>
      </c>
      <c r="M160" s="19" t="n">
        <v>0.02649578756902415</v>
      </c>
      <c r="N160" s="20" t="n">
        <v>0</v>
      </c>
      <c r="O160" s="27" t="n">
        <v>0.839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RUTG @ BC</t>
        </is>
      </c>
      <c r="C161" s="12" t="inlineStr">
        <is>
          <t>2026-09-11 23:30</t>
        </is>
      </c>
      <c r="D161" s="22" t="n">
        <v>2</v>
      </c>
      <c r="E161" s="12" t="inlineStr">
        <is>
          <t>ML</t>
        </is>
      </c>
      <c r="F161" s="12" t="inlineStr">
        <is>
          <t>BC ML</t>
        </is>
      </c>
      <c r="G161" s="23" t="n"/>
      <c r="H161" s="13" t="n">
        <v>-155</v>
      </c>
      <c r="I161" s="15" t="n">
        <v>0.6247635287305748</v>
      </c>
      <c r="J161" s="15" t="n">
        <v>0.5829926410466066</v>
      </c>
      <c r="K161" s="15" t="n">
        <v>0.6078431372549019</v>
      </c>
      <c r="L161" s="14" t="n">
        <v>0.06057660231786385</v>
      </c>
      <c r="M161" s="14" t="n">
        <v>0.02783677307288102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EMU @ MSU</t>
        </is>
      </c>
      <c r="C162" s="17" t="inlineStr">
        <is>
          <t>2026-09-12 19:30</t>
        </is>
      </c>
      <c r="D162" s="25" t="n">
        <v>2</v>
      </c>
      <c r="E162" s="17" t="inlineStr">
        <is>
          <t>TOTAL</t>
        </is>
      </c>
      <c r="F162" s="17" t="inlineStr">
        <is>
          <t>Over 49.5</t>
        </is>
      </c>
      <c r="G162" s="26" t="n">
        <v>49.5</v>
      </c>
      <c r="H162" s="18" t="n">
        <v>-112</v>
      </c>
      <c r="I162" s="20" t="n">
        <v>0.539853146713997</v>
      </c>
      <c r="J162" s="20" t="n">
        <v>0.5043297540699688</v>
      </c>
      <c r="K162" s="20" t="n">
        <v>0.5283018867924528</v>
      </c>
      <c r="L162" s="19" t="n">
        <v>0.0598513890613973</v>
      </c>
      <c r="M162" s="19" t="n">
        <v>0.02186488485149418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JVST @ OHIO</t>
        </is>
      </c>
      <c r="C163" s="12" t="inlineStr">
        <is>
          <t>2026-09-12 22:00</t>
        </is>
      </c>
      <c r="D163" s="22" t="n">
        <v>2</v>
      </c>
      <c r="E163" s="12" t="inlineStr">
        <is>
          <t>ML</t>
        </is>
      </c>
      <c r="F163" s="12" t="inlineStr">
        <is>
          <t>OHIO ML</t>
        </is>
      </c>
      <c r="G163" s="23" t="n"/>
      <c r="H163" s="13" t="n">
        <v>-135</v>
      </c>
      <c r="I163" s="15" t="n">
        <v>0.5894671634403511</v>
      </c>
      <c r="J163" s="15" t="n">
        <v>0.551441114716549</v>
      </c>
      <c r="K163" s="15" t="n">
        <v>0.574468085106383</v>
      </c>
      <c r="L163" s="14" t="n">
        <v>0.05895051602408675</v>
      </c>
      <c r="M163" s="14" t="n">
        <v>0.02610950672950008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SDSU @ UCLA</t>
        </is>
      </c>
      <c r="C164" s="17" t="inlineStr">
        <is>
          <t>2026-09-12 23:15</t>
        </is>
      </c>
      <c r="D164" s="25" t="n">
        <v>2</v>
      </c>
      <c r="E164" s="17" t="inlineStr">
        <is>
          <t>TOTAL</t>
        </is>
      </c>
      <c r="F164" s="17" t="inlineStr">
        <is>
          <t>Under 55.5</t>
        </is>
      </c>
      <c r="G164" s="26" t="n">
        <v>55.5</v>
      </c>
      <c r="H164" s="18" t="n">
        <v>-118</v>
      </c>
      <c r="I164" s="20" t="n">
        <v>0.5522321296454697</v>
      </c>
      <c r="J164" s="20" t="n">
        <v>0.5173641257162701</v>
      </c>
      <c r="K164" s="20" t="n">
        <v>0.5412844036697247</v>
      </c>
      <c r="L164" s="19" t="n">
        <v>0.05798009948610279</v>
      </c>
      <c r="M164" s="19" t="n">
        <v>0.020225459853495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GAST @ KENN</t>
        </is>
      </c>
      <c r="C165" s="12" t="inlineStr">
        <is>
          <t>2026-09-12 23:00</t>
        </is>
      </c>
      <c r="D165" s="22" t="n">
        <v>2</v>
      </c>
      <c r="E165" s="12" t="inlineStr">
        <is>
          <t>TOTAL</t>
        </is>
      </c>
      <c r="F165" s="12" t="inlineStr">
        <is>
          <t>Under 54.5</t>
        </is>
      </c>
      <c r="G165" s="23" t="n">
        <v>54.5</v>
      </c>
      <c r="H165" s="13" t="n">
        <v>-108</v>
      </c>
      <c r="I165" s="15" t="n">
        <v>0.5276562977844587</v>
      </c>
      <c r="J165" s="15" t="n">
        <v>0.4956702459300312</v>
      </c>
      <c r="K165" s="15" t="n">
        <v>0.5192307692307693</v>
      </c>
      <c r="L165" s="14" t="n">
        <v>0.05614940727215639</v>
      </c>
      <c r="M165" s="14" t="n">
        <v>0.01622694388117973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ULM @ UAB</t>
        </is>
      </c>
      <c r="C166" s="17" t="inlineStr">
        <is>
          <t>2026-09-12 19:30</t>
        </is>
      </c>
      <c r="D166" s="25" t="n">
        <v>2</v>
      </c>
      <c r="E166" s="17" t="inlineStr">
        <is>
          <t>TOTAL</t>
        </is>
      </c>
      <c r="F166" s="17" t="inlineStr">
        <is>
          <t>Under 55.5</t>
        </is>
      </c>
      <c r="G166" s="26" t="n">
        <v>55.5</v>
      </c>
      <c r="H166" s="18" t="n">
        <v>-108</v>
      </c>
      <c r="I166" s="20" t="n">
        <v>0.5217242418676359</v>
      </c>
      <c r="J166" s="20" t="n">
        <v>0.4956702459300312</v>
      </c>
      <c r="K166" s="20" t="n">
        <v>0.5192307692307693</v>
      </c>
      <c r="L166" s="19" t="n">
        <v>0.04778374186135007</v>
      </c>
      <c r="M166" s="19" t="n">
        <v>0.004802243596928379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RUTG @ BC</t>
        </is>
      </c>
      <c r="C167" s="12" t="inlineStr">
        <is>
          <t>2026-09-11 23:30</t>
        </is>
      </c>
      <c r="D167" s="22" t="n">
        <v>2</v>
      </c>
      <c r="E167" s="12" t="inlineStr">
        <is>
          <t>TOTAL</t>
        </is>
      </c>
      <c r="F167" s="12" t="inlineStr">
        <is>
          <t>Under 54.5</t>
        </is>
      </c>
      <c r="G167" s="23" t="n">
        <v>54.5</v>
      </c>
      <c r="H167" s="13" t="n">
        <v>-112</v>
      </c>
      <c r="I167" s="15" t="n">
        <v>0.530011402679103</v>
      </c>
      <c r="J167" s="15" t="n">
        <v>0.5043297540699688</v>
      </c>
      <c r="K167" s="15" t="n">
        <v>0.5283018867924528</v>
      </c>
      <c r="L167" s="14" t="n">
        <v>0.0465474184735285</v>
      </c>
      <c r="M167" s="14" t="n">
        <v>0.003235869356873478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MD @ CONN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Over 52.5</t>
        </is>
      </c>
      <c r="G168" s="26" t="n">
        <v>52.5</v>
      </c>
      <c r="H168" s="18" t="n">
        <v>-110</v>
      </c>
      <c r="I168" s="20" t="n">
        <v>0.52388913170903</v>
      </c>
      <c r="J168" s="20" t="n">
        <v>0.5</v>
      </c>
      <c r="K168" s="20" t="n">
        <v>0.5238095238095238</v>
      </c>
      <c r="L168" s="19" t="n">
        <v>0.04411967313284553</v>
      </c>
      <c r="M168" s="19" t="n">
        <v>0.000151978717239043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JVST @ OHIO</t>
        </is>
      </c>
      <c r="C169" s="12" t="inlineStr">
        <is>
          <t>2026-09-12 22:00</t>
        </is>
      </c>
      <c r="D169" s="22" t="n">
        <v>2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-115</v>
      </c>
      <c r="I169" s="15" t="n">
        <v>0.5352383235064454</v>
      </c>
      <c r="J169" s="15" t="n">
        <v>0.5108342361863488</v>
      </c>
      <c r="K169" s="15" t="n">
        <v>0.5348837209302325</v>
      </c>
      <c r="L169" s="14" t="n">
        <v>0.04411554999319427</v>
      </c>
      <c r="M169" s="14" t="n">
        <v>0.0006629526424848375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USA @ TULN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Over 49.5</t>
        </is>
      </c>
      <c r="G170" s="26" t="n">
        <v>49.5</v>
      </c>
      <c r="H170" s="18" t="n">
        <v>-112</v>
      </c>
      <c r="I170" s="20" t="n">
        <v>0.5280340329827808</v>
      </c>
      <c r="J170" s="20" t="n">
        <v>0.5043297540699688</v>
      </c>
      <c r="K170" s="20" t="n">
        <v>0.5283018867924528</v>
      </c>
      <c r="L170" s="19" t="n">
        <v>0.04350817395246379</v>
      </c>
      <c r="M170" s="19" t="n">
        <v>-0.0005070089968791658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JVST @ OHIO</t>
        </is>
      </c>
      <c r="C171" s="12" t="inlineStr">
        <is>
          <t>2026-09-12 22:00</t>
        </is>
      </c>
      <c r="D171" s="22" t="n">
        <v>2</v>
      </c>
      <c r="E171" s="12" t="inlineStr">
        <is>
          <t>ATS</t>
        </is>
      </c>
      <c r="F171" s="12" t="inlineStr">
        <is>
          <t>OHIO -2.5</t>
        </is>
      </c>
      <c r="G171" s="23" t="n">
        <v>-2.5</v>
      </c>
      <c r="H171" s="13" t="n">
        <v>-118</v>
      </c>
      <c r="I171" s="15" t="n">
        <v>0.5411501749171691</v>
      </c>
      <c r="J171" s="15" t="n">
        <v>0.5173641257162701</v>
      </c>
      <c r="K171" s="15" t="n">
        <v>0.5412844036697247</v>
      </c>
      <c r="L171" s="14" t="n">
        <v>0.04269329852900967</v>
      </c>
      <c r="M171" s="14" t="n">
        <v>-0.000247981932687602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FSU @ ALA</t>
        </is>
      </c>
      <c r="C172" s="17" t="inlineStr">
        <is>
          <t>2026-09-19 19:30</t>
        </is>
      </c>
      <c r="D172" s="25" t="n">
        <v>3</v>
      </c>
      <c r="E172" s="17" t="inlineStr">
        <is>
          <t>TOTAL</t>
        </is>
      </c>
      <c r="F172" s="17" t="inlineStr">
        <is>
          <t>Under 52.5</t>
        </is>
      </c>
      <c r="G172" s="26" t="n">
        <v>52.5</v>
      </c>
      <c r="H172" s="18" t="n">
        <v>-108</v>
      </c>
      <c r="I172" s="20" t="n">
        <v>0.5177572960092036</v>
      </c>
      <c r="J172" s="20" t="n">
        <v>0.4956702459300312</v>
      </c>
      <c r="K172" s="20" t="n">
        <v>0.5192307692307693</v>
      </c>
      <c r="L172" s="19" t="n">
        <v>0.04155616017534567</v>
      </c>
      <c r="M172" s="19" t="n">
        <v>-0.002837800278570723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USF @ ARMY</t>
        </is>
      </c>
      <c r="C173" s="12" t="inlineStr">
        <is>
          <t>2026-09-12 16:00</t>
        </is>
      </c>
      <c r="D173" s="22" t="n">
        <v>2</v>
      </c>
      <c r="E173" s="12" t="inlineStr">
        <is>
          <t>ML</t>
        </is>
      </c>
      <c r="F173" s="12" t="inlineStr">
        <is>
          <t>ARMY ML</t>
        </is>
      </c>
      <c r="G173" s="23" t="n"/>
      <c r="H173" s="13" t="n">
        <v>-175</v>
      </c>
      <c r="I173" s="15" t="n">
        <v>0.6356355704374856</v>
      </c>
      <c r="J173" s="15" t="n">
        <v>0.6092362344582594</v>
      </c>
      <c r="K173" s="15" t="n">
        <v>0.6363636363636364</v>
      </c>
      <c r="L173" s="14" t="n">
        <v>0.0405574520904031</v>
      </c>
      <c r="M173" s="14" t="n">
        <v>-0.001144103598236912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FLA @ AUB</t>
        </is>
      </c>
      <c r="C174" s="17" t="inlineStr">
        <is>
          <t>2026-09-19 23:00</t>
        </is>
      </c>
      <c r="D174" s="25" t="n">
        <v>3</v>
      </c>
      <c r="E174" s="17" t="inlineStr">
        <is>
          <t>TOTAL</t>
        </is>
      </c>
      <c r="F174" s="17" t="inlineStr">
        <is>
          <t>Under 53.5</t>
        </is>
      </c>
      <c r="G174" s="26" t="n">
        <v>53.5</v>
      </c>
      <c r="H174" s="18" t="n">
        <v>-112</v>
      </c>
      <c r="I174" s="20" t="n">
        <v>0.5260539862537245</v>
      </c>
      <c r="J174" s="20" t="n">
        <v>0.5043297540699688</v>
      </c>
      <c r="K174" s="20" t="n">
        <v>0.5283018867924528</v>
      </c>
      <c r="L174" s="19" t="n">
        <v>0.04034754040957481</v>
      </c>
      <c r="M174" s="19" t="n">
        <v>-0.004254954591164428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USF @ ARMY</t>
        </is>
      </c>
      <c r="C175" s="12" t="inlineStr">
        <is>
          <t>2026-09-12 16:00</t>
        </is>
      </c>
      <c r="D175" s="22" t="n">
        <v>2</v>
      </c>
      <c r="E175" s="12" t="inlineStr">
        <is>
          <t>ATS</t>
        </is>
      </c>
      <c r="F175" s="12" t="inlineStr">
        <is>
          <t>ARMY -3.5</t>
        </is>
      </c>
      <c r="G175" s="23" t="n">
        <v>-3.5</v>
      </c>
      <c r="H175" s="13" t="n">
        <v>-110</v>
      </c>
      <c r="I175" s="15" t="n">
        <v>0.5204398789409042</v>
      </c>
      <c r="J175" s="15" t="n">
        <v>0.5</v>
      </c>
      <c r="K175" s="15" t="n">
        <v>0.5238095238095238</v>
      </c>
      <c r="L175" s="14" t="n">
        <v>0.03853039026501161</v>
      </c>
      <c r="M175" s="14" t="n">
        <v>-0.006432958385546583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MSST @ MINN</t>
        </is>
      </c>
      <c r="C176" s="17" t="inlineStr">
        <is>
          <t>2026-09-12 19:30</t>
        </is>
      </c>
      <c r="D176" s="25" t="n">
        <v>2</v>
      </c>
      <c r="E176" s="17" t="inlineStr">
        <is>
          <t>TOTAL</t>
        </is>
      </c>
      <c r="F176" s="17" t="inlineStr">
        <is>
          <t>Under 55.5</t>
        </is>
      </c>
      <c r="G176" s="26" t="n">
        <v>55.5</v>
      </c>
      <c r="H176" s="18" t="n">
        <v>-118</v>
      </c>
      <c r="I176" s="20" t="n">
        <v>0.538503241767099</v>
      </c>
      <c r="J176" s="20" t="n">
        <v>0.5173641257162701</v>
      </c>
      <c r="K176" s="20" t="n">
        <v>0.5412844036697247</v>
      </c>
      <c r="L176" s="19" t="n">
        <v>0.03851326390590454</v>
      </c>
      <c r="M176" s="19" t="n">
        <v>-0.00513807876925787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DUKE @ ILL</t>
        </is>
      </c>
      <c r="C177" s="12" t="inlineStr">
        <is>
          <t>2026-09-12 19:30</t>
        </is>
      </c>
      <c r="D177" s="22" t="n">
        <v>2</v>
      </c>
      <c r="E177" s="12" t="inlineStr">
        <is>
          <t>ATS</t>
        </is>
      </c>
      <c r="F177" s="12" t="inlineStr">
        <is>
          <t>DUKE +6</t>
        </is>
      </c>
      <c r="G177" s="23" t="n">
        <v>-6</v>
      </c>
      <c r="H177" s="13" t="n">
        <v>-110</v>
      </c>
      <c r="I177" s="15" t="n">
        <v>0.5182932957822852</v>
      </c>
      <c r="J177" s="15" t="n">
        <v>0.5</v>
      </c>
      <c r="K177" s="15" t="n">
        <v>0.5238095238095238</v>
      </c>
      <c r="L177" s="14" t="n">
        <v>0.0348789993134507</v>
      </c>
      <c r="M177" s="14" t="n">
        <v>-0.01022768853283053</v>
      </c>
      <c r="N177" s="15" t="n">
        <v>0.0288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DUKE @ ILL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-110</v>
      </c>
      <c r="I178" s="20" t="n">
        <v>0.5099735765478127</v>
      </c>
      <c r="J178" s="20" t="n">
        <v>0.5</v>
      </c>
      <c r="K178" s="20" t="n">
        <v>0.5238095238095238</v>
      </c>
      <c r="L178" s="19" t="n">
        <v>0.01965909250054799</v>
      </c>
      <c r="M178" s="19" t="n">
        <v>-0.02641408113599386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DUKE @ ILL</t>
        </is>
      </c>
      <c r="C179" s="12" t="inlineStr">
        <is>
          <t>2026-09-12 19:30</t>
        </is>
      </c>
      <c r="D179" s="22" t="n">
        <v>2</v>
      </c>
      <c r="E179" s="12" t="inlineStr">
        <is>
          <t>ML</t>
        </is>
      </c>
      <c r="F179" s="12" t="inlineStr">
        <is>
          <t>DUKE ML</t>
        </is>
      </c>
      <c r="G179" s="23" t="n"/>
      <c r="H179" s="13" t="n">
        <v>190</v>
      </c>
      <c r="I179" s="15" t="n">
        <v>0.3372732186576729</v>
      </c>
      <c r="J179" s="15" t="n">
        <v>0.3309929789368105</v>
      </c>
      <c r="K179" s="15" t="n">
        <v>0.3448275862068966</v>
      </c>
      <c r="L179" s="14" t="n">
        <v>0.01872560579565197</v>
      </c>
      <c r="M179" s="14" t="n">
        <v>-0.02190766589274862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ARK @ UTAH</t>
        </is>
      </c>
      <c r="C180" s="17" t="inlineStr">
        <is>
          <t>2026-09-13 02:15</t>
        </is>
      </c>
      <c r="D180" s="25" t="n">
        <v>2</v>
      </c>
      <c r="E180" s="17" t="inlineStr">
        <is>
          <t>TOTAL</t>
        </is>
      </c>
      <c r="F180" s="17" t="inlineStr">
        <is>
          <t>Under 54.5</t>
        </is>
      </c>
      <c r="G180" s="26" t="n">
        <v>54.5</v>
      </c>
      <c r="H180" s="18" t="n">
        <v>-105</v>
      </c>
      <c r="I180" s="20" t="n">
        <v>0.494582877220657</v>
      </c>
      <c r="J180" s="20" t="n">
        <v>0.4891657638136511</v>
      </c>
      <c r="K180" s="20" t="n">
        <v>0.5121951219512195</v>
      </c>
      <c r="L180" s="19" t="n">
        <v>0.0110242975861231</v>
      </c>
      <c r="M180" s="19" t="n">
        <v>-0.03438581114062211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TLSA @ SHSU</t>
        </is>
      </c>
      <c r="C181" s="12" t="inlineStr">
        <is>
          <t>2026-09-12 23:00</t>
        </is>
      </c>
      <c r="D181" s="22" t="n">
        <v>2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-102</v>
      </c>
      <c r="I181" s="15" t="n">
        <v>0.4873271438797994</v>
      </c>
      <c r="J181" s="15" t="n">
        <v>0.4826358742837298</v>
      </c>
      <c r="K181" s="15" t="n">
        <v>0.504950495049505</v>
      </c>
      <c r="L181" s="14" t="n">
        <v>0.009686323683237564</v>
      </c>
      <c r="M181" s="14" t="n">
        <v>-0.03490114643412279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BGSU @ NEB</t>
        </is>
      </c>
      <c r="C182" s="17" t="inlineStr">
        <is>
          <t>2026-09-12 23:00</t>
        </is>
      </c>
      <c r="D182" s="25" t="n">
        <v>2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0.5114028706928051</v>
      </c>
      <c r="J182" s="20" t="n">
        <v>0.5108342361863488</v>
      </c>
      <c r="K182" s="20" t="n">
        <v>0.5348837209302325</v>
      </c>
      <c r="L182" s="19" t="n">
        <v>0.001113097838357</v>
      </c>
      <c r="M182" s="19" t="n">
        <v>-0.04389898087866884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BGSU @ NEB</t>
        </is>
      </c>
      <c r="C183" s="12" t="inlineStr">
        <is>
          <t>2026-09-12 23:00</t>
        </is>
      </c>
      <c r="D183" s="22" t="n">
        <v>2</v>
      </c>
      <c r="E183" s="12" t="inlineStr">
        <is>
          <t>TOTAL</t>
        </is>
      </c>
      <c r="F183" s="12" t="inlineStr">
        <is>
          <t>Under 51.5</t>
        </is>
      </c>
      <c r="G183" s="23" t="n">
        <v>51.5</v>
      </c>
      <c r="H183" s="13" t="n">
        <v>-105</v>
      </c>
      <c r="I183" s="15" t="n">
        <v>0.4885971293071949</v>
      </c>
      <c r="J183" s="15" t="n">
        <v>0.4891657638136511</v>
      </c>
      <c r="K183" s="15" t="n">
        <v>0.5121951219512195</v>
      </c>
      <c r="L183" s="14" t="n">
        <v>-0.001162399680809929</v>
      </c>
      <c r="M183" s="14" t="n">
        <v>-0.04607227135261949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TLSA @ SHSU</t>
        </is>
      </c>
      <c r="C184" s="17" t="inlineStr">
        <is>
          <t>2026-09-12 23:00</t>
        </is>
      </c>
      <c r="D184" s="25" t="n">
        <v>2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-118</v>
      </c>
      <c r="I184" s="20" t="n">
        <v>0.5126728561202006</v>
      </c>
      <c r="J184" s="20" t="n">
        <v>0.5173641257162701</v>
      </c>
      <c r="K184" s="20" t="n">
        <v>0.5412844036697247</v>
      </c>
      <c r="L184" s="19" t="n">
        <v>-0.009040199208922843</v>
      </c>
      <c r="M184" s="19" t="n">
        <v>-0.05285862174403611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DUKE @ ILL</t>
        </is>
      </c>
      <c r="C185" s="12" t="inlineStr">
        <is>
          <t>2026-09-12 19:30</t>
        </is>
      </c>
      <c r="D185" s="22" t="n">
        <v>2</v>
      </c>
      <c r="E185" s="12" t="inlineStr">
        <is>
          <t>ML</t>
        </is>
      </c>
      <c r="F185" s="12" t="inlineStr">
        <is>
          <t>ILL ML</t>
        </is>
      </c>
      <c r="G185" s="23" t="n"/>
      <c r="H185" s="13" t="n">
        <v>-230</v>
      </c>
      <c r="I185" s="15" t="n">
        <v>0.6627267813423271</v>
      </c>
      <c r="J185" s="15" t="n">
        <v>0.6690070210631895</v>
      </c>
      <c r="K185" s="15" t="n">
        <v>0.696969696969697</v>
      </c>
      <c r="L185" s="14" t="n">
        <v>-0.009356969659647664</v>
      </c>
      <c r="M185" s="14" t="n">
        <v>-0.04913113981318296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ARK @ UTAH</t>
        </is>
      </c>
      <c r="C186" s="17" t="inlineStr">
        <is>
          <t>2026-09-13 02:15</t>
        </is>
      </c>
      <c r="D186" s="25" t="n">
        <v>2</v>
      </c>
      <c r="E186" s="17" t="inlineStr">
        <is>
          <t>TOTAL</t>
        </is>
      </c>
      <c r="F186" s="17" t="inlineStr">
        <is>
          <t>Over 54.5</t>
        </is>
      </c>
      <c r="G186" s="26" t="n">
        <v>54.5</v>
      </c>
      <c r="H186" s="18" t="n">
        <v>-115</v>
      </c>
      <c r="I186" s="20" t="n">
        <v>0.505417122779343</v>
      </c>
      <c r="J186" s="20" t="n">
        <v>0.5108342361863488</v>
      </c>
      <c r="K186" s="20" t="n">
        <v>0.5348837209302325</v>
      </c>
      <c r="L186" s="19" t="n">
        <v>-0.01056061825076895</v>
      </c>
      <c r="M186" s="19" t="n">
        <v>-0.05508972697775005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DUKE @ ILL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Under 51.5</t>
        </is>
      </c>
      <c r="G187" s="23" t="n">
        <v>51.5</v>
      </c>
      <c r="H187" s="13" t="n">
        <v>-110</v>
      </c>
      <c r="I187" s="15" t="n">
        <v>0.4900264234521873</v>
      </c>
      <c r="J187" s="15" t="n">
        <v>0.5</v>
      </c>
      <c r="K187" s="15" t="n">
        <v>0.5238095238095238</v>
      </c>
      <c r="L187" s="14" t="n">
        <v>-0.01965909250054799</v>
      </c>
      <c r="M187" s="14" t="n">
        <v>-0.06449500977309697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DUKE @ ILL</t>
        </is>
      </c>
      <c r="C188" s="17" t="inlineStr">
        <is>
          <t>2026-09-12 19:30</t>
        </is>
      </c>
      <c r="D188" s="25" t="n">
        <v>2</v>
      </c>
      <c r="E188" s="17" t="inlineStr">
        <is>
          <t>ATS</t>
        </is>
      </c>
      <c r="F188" s="17" t="inlineStr">
        <is>
          <t>ILL -6</t>
        </is>
      </c>
      <c r="G188" s="26" t="n">
        <v>-6</v>
      </c>
      <c r="H188" s="18" t="n">
        <v>-110</v>
      </c>
      <c r="I188" s="20" t="n">
        <v>0.4817067042177148</v>
      </c>
      <c r="J188" s="20" t="n">
        <v>0.5</v>
      </c>
      <c r="K188" s="20" t="n">
        <v>0.5238095238095238</v>
      </c>
      <c r="L188" s="19" t="n">
        <v>-0.0348789993134507</v>
      </c>
      <c r="M188" s="19" t="n">
        <v>-0.07806322055807847</v>
      </c>
      <c r="N188" s="20" t="n">
        <v>0.0288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USF @ ARMY</t>
        </is>
      </c>
      <c r="C189" s="12" t="inlineStr">
        <is>
          <t>2026-09-12 16:00</t>
        </is>
      </c>
      <c r="D189" s="22" t="n">
        <v>2</v>
      </c>
      <c r="E189" s="12" t="inlineStr">
        <is>
          <t>ATS</t>
        </is>
      </c>
      <c r="F189" s="12" t="inlineStr">
        <is>
          <t>USF +3.5</t>
        </is>
      </c>
      <c r="G189" s="23" t="n">
        <v>-3.5</v>
      </c>
      <c r="H189" s="13" t="n">
        <v>-110</v>
      </c>
      <c r="I189" s="15" t="n">
        <v>0.4795601210590958</v>
      </c>
      <c r="J189" s="15" t="n">
        <v>0.5</v>
      </c>
      <c r="K189" s="15" t="n">
        <v>0.5238095238095238</v>
      </c>
      <c r="L189" s="14" t="n">
        <v>-0.03853039026501161</v>
      </c>
      <c r="M189" s="14" t="n">
        <v>-0.08447613252354425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FSU @ ALA</t>
        </is>
      </c>
      <c r="C190" s="17" t="inlineStr">
        <is>
          <t>2026-09-19 19:30</t>
        </is>
      </c>
      <c r="D190" s="25" t="n">
        <v>3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0.4822427039907964</v>
      </c>
      <c r="J190" s="20" t="n">
        <v>0.5043297540699688</v>
      </c>
      <c r="K190" s="20" t="n">
        <v>0.5283018867924528</v>
      </c>
      <c r="L190" s="19" t="n">
        <v>-0.04093527894107275</v>
      </c>
      <c r="M190" s="19" t="n">
        <v>-0.08718345316027831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MSST @ MINN</t>
        </is>
      </c>
      <c r="C191" s="12" t="inlineStr">
        <is>
          <t>2026-09-12 19:30</t>
        </is>
      </c>
      <c r="D191" s="22" t="n">
        <v>2</v>
      </c>
      <c r="E191" s="12" t="inlineStr">
        <is>
          <t>TOTAL</t>
        </is>
      </c>
      <c r="F191" s="12" t="inlineStr">
        <is>
          <t>Over 55.5</t>
        </is>
      </c>
      <c r="G191" s="23" t="n">
        <v>55.5</v>
      </c>
      <c r="H191" s="13" t="n">
        <v>-102</v>
      </c>
      <c r="I191" s="15" t="n">
        <v>0.461496758232901</v>
      </c>
      <c r="J191" s="15" t="n">
        <v>0.4826358742837298</v>
      </c>
      <c r="K191" s="15" t="n">
        <v>0.504950495049505</v>
      </c>
      <c r="L191" s="14" t="n">
        <v>-0.04093890031529112</v>
      </c>
      <c r="M191" s="14" t="n">
        <v>-0.08605543957798023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FLA @ AUB</t>
        </is>
      </c>
      <c r="C192" s="17" t="inlineStr">
        <is>
          <t>2026-09-19 23:00</t>
        </is>
      </c>
      <c r="D192" s="25" t="n">
        <v>3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-108</v>
      </c>
      <c r="I192" s="20" t="n">
        <v>0.4739460137462755</v>
      </c>
      <c r="J192" s="20" t="n">
        <v>0.4956702459300312</v>
      </c>
      <c r="K192" s="20" t="n">
        <v>0.5192307692307693</v>
      </c>
      <c r="L192" s="19" t="n">
        <v>-0.04096225762066107</v>
      </c>
      <c r="M192" s="19" t="n">
        <v>-0.08721508463680261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MD @ CONN</t>
        </is>
      </c>
      <c r="C193" s="12" t="inlineStr">
        <is>
          <t>2026-09-12 19:30</t>
        </is>
      </c>
      <c r="D193" s="22" t="n">
        <v>2</v>
      </c>
      <c r="E193" s="12" t="inlineStr">
        <is>
          <t>TOTAL</t>
        </is>
      </c>
      <c r="F193" s="12" t="inlineStr">
        <is>
          <t>Under 52.5</t>
        </is>
      </c>
      <c r="G193" s="23" t="n">
        <v>52.5</v>
      </c>
      <c r="H193" s="13" t="n">
        <v>-110</v>
      </c>
      <c r="I193" s="15" t="n">
        <v>0.47611086829097</v>
      </c>
      <c r="J193" s="15" t="n">
        <v>0.5</v>
      </c>
      <c r="K193" s="15" t="n">
        <v>0.5238095238095238</v>
      </c>
      <c r="L193" s="14" t="n">
        <v>-0.04411967313284553</v>
      </c>
      <c r="M193" s="14" t="n">
        <v>-0.09106106962632987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USA @ TULN</t>
        </is>
      </c>
      <c r="C194" s="17" t="inlineStr">
        <is>
          <t>2026-09-12 23:00</t>
        </is>
      </c>
      <c r="D194" s="25" t="n">
        <v>2</v>
      </c>
      <c r="E194" s="17" t="inlineStr">
        <is>
          <t>TOTAL</t>
        </is>
      </c>
      <c r="F194" s="17" t="inlineStr">
        <is>
          <t>Under 49.5</t>
        </is>
      </c>
      <c r="G194" s="26" t="n">
        <v>49.5</v>
      </c>
      <c r="H194" s="18" t="n">
        <v>-108</v>
      </c>
      <c r="I194" s="20" t="n">
        <v>0.4719659670172192</v>
      </c>
      <c r="J194" s="20" t="n">
        <v>0.4956702459300312</v>
      </c>
      <c r="K194" s="20" t="n">
        <v>0.5192307692307693</v>
      </c>
      <c r="L194" s="19" t="n">
        <v>-0.04415450119778457</v>
      </c>
      <c r="M194" s="19" t="n">
        <v>-0.09102850796683715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JVST @ OHIO</t>
        </is>
      </c>
      <c r="C195" s="12" t="inlineStr">
        <is>
          <t>2026-09-12 22:00</t>
        </is>
      </c>
      <c r="D195" s="22" t="n">
        <v>2</v>
      </c>
      <c r="E195" s="12" t="inlineStr">
        <is>
          <t>ATS</t>
        </is>
      </c>
      <c r="F195" s="12" t="inlineStr">
        <is>
          <t>JVST +2.5</t>
        </is>
      </c>
      <c r="G195" s="23" t="n">
        <v>-2.5</v>
      </c>
      <c r="H195" s="13" t="n">
        <v>-102</v>
      </c>
      <c r="I195" s="15" t="n">
        <v>0.4588498250828309</v>
      </c>
      <c r="J195" s="15" t="n">
        <v>0.4826358742837298</v>
      </c>
      <c r="K195" s="15" t="n">
        <v>0.504950495049505</v>
      </c>
      <c r="L195" s="14" t="n">
        <v>-0.04529163609259904</v>
      </c>
      <c r="M195" s="14" t="n">
        <v>-0.09129740522811913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JVST @ OHIO</t>
        </is>
      </c>
      <c r="C196" s="17" t="inlineStr">
        <is>
          <t>2026-09-12 22:00</t>
        </is>
      </c>
      <c r="D196" s="25" t="n">
        <v>2</v>
      </c>
      <c r="E196" s="17" t="inlineStr">
        <is>
          <t>TOTAL</t>
        </is>
      </c>
      <c r="F196" s="17" t="inlineStr">
        <is>
          <t>Under 50.5</t>
        </is>
      </c>
      <c r="G196" s="26" t="n">
        <v>50.5</v>
      </c>
      <c r="H196" s="18" t="n">
        <v>-105</v>
      </c>
      <c r="I196" s="20" t="n">
        <v>0.4647616764935546</v>
      </c>
      <c r="J196" s="20" t="n">
        <v>0.4891657638136511</v>
      </c>
      <c r="K196" s="20" t="n">
        <v>0.5121951219512195</v>
      </c>
      <c r="L196" s="19" t="n">
        <v>-0.04575813517130591</v>
      </c>
      <c r="M196" s="19" t="n">
        <v>-0.09260815541734579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ARIZ @ BYU</t>
        </is>
      </c>
      <c r="C197" s="12" t="inlineStr">
        <is>
          <t>2026-09-12 19:30</t>
        </is>
      </c>
      <c r="D197" s="22" t="n">
        <v>2</v>
      </c>
      <c r="E197" s="12" t="inlineStr">
        <is>
          <t>ML</t>
        </is>
      </c>
      <c r="F197" s="12" t="inlineStr">
        <is>
          <t>BYU ML</t>
        </is>
      </c>
      <c r="G197" s="23" t="n"/>
      <c r="H197" s="13" t="n">
        <v>-290</v>
      </c>
      <c r="I197" s="15" t="n">
        <v>0.6773347119801338</v>
      </c>
      <c r="J197" s="15" t="n">
        <v>0.7135512302607419</v>
      </c>
      <c r="K197" s="15" t="n">
        <v>0.7435897435897436</v>
      </c>
      <c r="L197" s="14" t="n">
        <v>-0.04642038722286324</v>
      </c>
      <c r="M197" s="14" t="n">
        <v>-0.08910159423361308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UCF @ PITT</t>
        </is>
      </c>
      <c r="C198" s="17" t="inlineStr">
        <is>
          <t>2026-09-12 19:30</t>
        </is>
      </c>
      <c r="D198" s="25" t="n">
        <v>2</v>
      </c>
      <c r="E198" s="17" t="inlineStr">
        <is>
          <t>ML</t>
        </is>
      </c>
      <c r="F198" s="17" t="inlineStr">
        <is>
          <t>PITT ML</t>
        </is>
      </c>
      <c r="G198" s="26" t="n"/>
      <c r="H198" s="18" t="n">
        <v>-265</v>
      </c>
      <c r="I198" s="20" t="n">
        <v>0.6598476134234892</v>
      </c>
      <c r="J198" s="20" t="n">
        <v>0.6957699520733487</v>
      </c>
      <c r="K198" s="20" t="n">
        <v>0.726027397260274</v>
      </c>
      <c r="L198" s="19" t="n">
        <v>-0.04708294032641456</v>
      </c>
      <c r="M198" s="19" t="n">
        <v>-0.09115328717142057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ULM @ UAB</t>
        </is>
      </c>
      <c r="C199" s="12" t="inlineStr">
        <is>
          <t>2026-09-12 19:30</t>
        </is>
      </c>
      <c r="D199" s="22" t="n">
        <v>2</v>
      </c>
      <c r="E199" s="12" t="inlineStr">
        <is>
          <t>TOTAL</t>
        </is>
      </c>
      <c r="F199" s="12" t="inlineStr">
        <is>
          <t>Over 55.5</t>
        </is>
      </c>
      <c r="G199" s="23" t="n">
        <v>55.5</v>
      </c>
      <c r="H199" s="13" t="n">
        <v>-112</v>
      </c>
      <c r="I199" s="15" t="n">
        <v>0.4782757581323641</v>
      </c>
      <c r="J199" s="15" t="n">
        <v>0.5043297540699688</v>
      </c>
      <c r="K199" s="15" t="n">
        <v>0.5283018867924528</v>
      </c>
      <c r="L199" s="14" t="n">
        <v>-0.04710633378655392</v>
      </c>
      <c r="M199" s="14" t="n">
        <v>-0.09469231496373942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RUTG @ BC</t>
        </is>
      </c>
      <c r="C200" s="17" t="inlineStr">
        <is>
          <t>2026-09-11 23:30</t>
        </is>
      </c>
      <c r="D200" s="25" t="n">
        <v>2</v>
      </c>
      <c r="E200" s="17" t="inlineStr">
        <is>
          <t>TOTAL</t>
        </is>
      </c>
      <c r="F200" s="17" t="inlineStr">
        <is>
          <t>Over 54.5</t>
        </is>
      </c>
      <c r="G200" s="26" t="n">
        <v>54.5</v>
      </c>
      <c r="H200" s="18" t="n">
        <v>-108</v>
      </c>
      <c r="I200" s="20" t="n">
        <v>0.469988597320897</v>
      </c>
      <c r="J200" s="20" t="n">
        <v>0.4956702459300312</v>
      </c>
      <c r="K200" s="20" t="n">
        <v>0.5192307692307693</v>
      </c>
      <c r="L200" s="19" t="n">
        <v>-0.04722036347272805</v>
      </c>
      <c r="M200" s="19" t="n">
        <v>-0.09483677553012415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APP @ ECU</t>
        </is>
      </c>
      <c r="C201" s="12" t="inlineStr">
        <is>
          <t>2026-09-12 16:00</t>
        </is>
      </c>
      <c r="D201" s="22" t="n">
        <v>2</v>
      </c>
      <c r="E201" s="12" t="inlineStr">
        <is>
          <t>ML</t>
        </is>
      </c>
      <c r="F201" s="12" t="inlineStr">
        <is>
          <t>ECU ML</t>
        </is>
      </c>
      <c r="G201" s="23" t="n"/>
      <c r="H201" s="13" t="n">
        <v>-278</v>
      </c>
      <c r="I201" s="15" t="n">
        <v>0.6635165466952349</v>
      </c>
      <c r="J201" s="15" t="n">
        <v>0.705033164260632</v>
      </c>
      <c r="K201" s="15" t="n">
        <v>0.7354497354497355</v>
      </c>
      <c r="L201" s="14" t="n">
        <v>-0.0523474485378552</v>
      </c>
      <c r="M201" s="14" t="n">
        <v>-0.09780843650791804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GAST @ KENN</t>
        </is>
      </c>
      <c r="C202" s="17" t="inlineStr">
        <is>
          <t>2026-09-12 23:00</t>
        </is>
      </c>
      <c r="D202" s="25" t="n">
        <v>2</v>
      </c>
      <c r="E202" s="17" t="inlineStr">
        <is>
          <t>ML</t>
        </is>
      </c>
      <c r="F202" s="17" t="inlineStr">
        <is>
          <t>KENN ML</t>
        </is>
      </c>
      <c r="G202" s="26" t="n"/>
      <c r="H202" s="18" t="n">
        <v>-340</v>
      </c>
      <c r="I202" s="20" t="n">
        <v>0.6971889718830976</v>
      </c>
      <c r="J202" s="20" t="n">
        <v>0.740871613663133</v>
      </c>
      <c r="K202" s="20" t="n">
        <v>0.7727272727272727</v>
      </c>
      <c r="L202" s="19" t="n">
        <v>-0.05239972324738958</v>
      </c>
      <c r="M202" s="19" t="n">
        <v>-0.09775544815128545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ULM @ UAB</t>
        </is>
      </c>
      <c r="C203" s="12" t="inlineStr">
        <is>
          <t>2026-09-12 19:30</t>
        </is>
      </c>
      <c r="D203" s="22" t="n">
        <v>2</v>
      </c>
      <c r="E203" s="12" t="inlineStr">
        <is>
          <t>ML</t>
        </is>
      </c>
      <c r="F203" s="12" t="inlineStr">
        <is>
          <t>UAB ML</t>
        </is>
      </c>
      <c r="G203" s="23" t="n"/>
      <c r="H203" s="13" t="n">
        <v>-375</v>
      </c>
      <c r="I203" s="15" t="n">
        <v>0.7096117024096339</v>
      </c>
      <c r="J203" s="15" t="n">
        <v>0.7571884984025559</v>
      </c>
      <c r="K203" s="15" t="n">
        <v>0.7894736842105263</v>
      </c>
      <c r="L203" s="14" t="n">
        <v>-0.05503328911592583</v>
      </c>
      <c r="M203" s="14" t="n">
        <v>-0.1011585102811304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GAST @ KENN</t>
        </is>
      </c>
      <c r="C204" s="17" t="inlineStr">
        <is>
          <t>2026-09-12 23:00</t>
        </is>
      </c>
      <c r="D204" s="25" t="n">
        <v>2</v>
      </c>
      <c r="E204" s="17" t="inlineStr">
        <is>
          <t>TOTAL</t>
        </is>
      </c>
      <c r="F204" s="17" t="inlineStr">
        <is>
          <t>Over 54.5</t>
        </is>
      </c>
      <c r="G204" s="26" t="n">
        <v>54.5</v>
      </c>
      <c r="H204" s="18" t="n">
        <v>-112</v>
      </c>
      <c r="I204" s="20" t="n">
        <v>0.4723437022155413</v>
      </c>
      <c r="J204" s="20" t="n">
        <v>0.5043297540699688</v>
      </c>
      <c r="K204" s="20" t="n">
        <v>0.5283018867924528</v>
      </c>
      <c r="L204" s="19" t="n">
        <v>-0.05542348906997872</v>
      </c>
      <c r="M204" s="19" t="n">
        <v>-0.1059208493777254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USF @ ARMY</t>
        </is>
      </c>
      <c r="C205" s="12" t="inlineStr">
        <is>
          <t>2026-09-12 16:00</t>
        </is>
      </c>
      <c r="D205" s="22" t="n">
        <v>2</v>
      </c>
      <c r="E205" s="12" t="inlineStr">
        <is>
          <t>ML</t>
        </is>
      </c>
      <c r="F205" s="12" t="inlineStr">
        <is>
          <t>USF ML</t>
        </is>
      </c>
      <c r="G205" s="23" t="n"/>
      <c r="H205" s="13" t="n">
        <v>145</v>
      </c>
      <c r="I205" s="15" t="n">
        <v>0.3643644295625144</v>
      </c>
      <c r="J205" s="15" t="n">
        <v>0.3907637655417407</v>
      </c>
      <c r="K205" s="15" t="n">
        <v>0.4081632653061225</v>
      </c>
      <c r="L205" s="14" t="n">
        <v>-0.05808216438071737</v>
      </c>
      <c r="M205" s="14" t="n">
        <v>-0.1073071475718398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USA @ TULN</t>
        </is>
      </c>
      <c r="C206" s="17" t="inlineStr">
        <is>
          <t>2026-09-12 23:00</t>
        </is>
      </c>
      <c r="D206" s="25" t="n">
        <v>2</v>
      </c>
      <c r="E206" s="17" t="inlineStr">
        <is>
          <t>ML</t>
        </is>
      </c>
      <c r="F206" s="17" t="inlineStr">
        <is>
          <t>TULN ML</t>
        </is>
      </c>
      <c r="G206" s="26" t="n"/>
      <c r="H206" s="18" t="n">
        <v>-345</v>
      </c>
      <c r="I206" s="20" t="n">
        <v>0.6934056500760002</v>
      </c>
      <c r="J206" s="20" t="n">
        <v>0.7440690150970525</v>
      </c>
      <c r="K206" s="20" t="n">
        <v>0.7752808988764045</v>
      </c>
      <c r="L206" s="19" t="n">
        <v>-0.05841373010584163</v>
      </c>
      <c r="M206" s="19" t="n">
        <v>-0.1056072049744345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EMU @ MSU</t>
        </is>
      </c>
      <c r="C207" s="12" t="inlineStr">
        <is>
          <t>2026-09-12 19:30</t>
        </is>
      </c>
      <c r="D207" s="22" t="n">
        <v>2</v>
      </c>
      <c r="E207" s="12" t="inlineStr">
        <is>
          <t>TOTAL</t>
        </is>
      </c>
      <c r="F207" s="12" t="inlineStr">
        <is>
          <t>Under 49.5</t>
        </is>
      </c>
      <c r="G207" s="23" t="n">
        <v>49.5</v>
      </c>
      <c r="H207" s="13" t="n">
        <v>-108</v>
      </c>
      <c r="I207" s="15" t="n">
        <v>0.460146853286003</v>
      </c>
      <c r="J207" s="15" t="n">
        <v>0.4956702459300312</v>
      </c>
      <c r="K207" s="15" t="n">
        <v>0.5192307692307693</v>
      </c>
      <c r="L207" s="14" t="n">
        <v>-0.06058746467067351</v>
      </c>
      <c r="M207" s="14" t="n">
        <v>-0.1137912455232534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SDSU @ UCLA</t>
        </is>
      </c>
      <c r="C208" s="17" t="inlineStr">
        <is>
          <t>2026-09-12 23:15</t>
        </is>
      </c>
      <c r="D208" s="25" t="n">
        <v>2</v>
      </c>
      <c r="E208" s="17" t="inlineStr">
        <is>
          <t>TOTAL</t>
        </is>
      </c>
      <c r="F208" s="17" t="inlineStr">
        <is>
          <t>Over 55.5</t>
        </is>
      </c>
      <c r="G208" s="26" t="n">
        <v>55.5</v>
      </c>
      <c r="H208" s="18" t="n">
        <v>-102</v>
      </c>
      <c r="I208" s="20" t="n">
        <v>0.4477678703545303</v>
      </c>
      <c r="J208" s="20" t="n">
        <v>0.4826358742837298</v>
      </c>
      <c r="K208" s="20" t="n">
        <v>0.504950495049505</v>
      </c>
      <c r="L208" s="19" t="n">
        <v>-0.06092877892049214</v>
      </c>
      <c r="M208" s="19" t="n">
        <v>-0.1132440214547538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MEM @ BOIS</t>
        </is>
      </c>
      <c r="C209" s="12" t="inlineStr">
        <is>
          <t>2026-09-12 22:00</t>
        </is>
      </c>
      <c r="D209" s="22" t="n">
        <v>2</v>
      </c>
      <c r="E209" s="12" t="inlineStr">
        <is>
          <t>TOTAL</t>
        </is>
      </c>
      <c r="F209" s="12" t="inlineStr">
        <is>
          <t>Over 54.5</t>
        </is>
      </c>
      <c r="G209" s="23" t="n">
        <v>54.5</v>
      </c>
      <c r="H209" s="13" t="n">
        <v>-115</v>
      </c>
      <c r="I209" s="15" t="n">
        <v>0.4736242563146281</v>
      </c>
      <c r="J209" s="15" t="n">
        <v>0.5108342361863488</v>
      </c>
      <c r="K209" s="15" t="n">
        <v>0.5348837209302325</v>
      </c>
      <c r="L209" s="14" t="n">
        <v>-0.06127858819052729</v>
      </c>
      <c r="M209" s="14" t="n">
        <v>-0.1145285642813475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FSU @ ALA</t>
        </is>
      </c>
      <c r="C210" s="17" t="inlineStr">
        <is>
          <t>2026-09-19 19:30</t>
        </is>
      </c>
      <c r="D210" s="25" t="n">
        <v>3</v>
      </c>
      <c r="E210" s="17" t="inlineStr">
        <is>
          <t>ML</t>
        </is>
      </c>
      <c r="F210" s="17" t="inlineStr">
        <is>
          <t>ALA ML</t>
        </is>
      </c>
      <c r="G210" s="26" t="n"/>
      <c r="H210" s="18" t="n">
        <v>-600</v>
      </c>
      <c r="I210" s="20" t="n">
        <v>0.7612486857874892</v>
      </c>
      <c r="J210" s="20" t="n">
        <v>0.8223350253807106</v>
      </c>
      <c r="K210" s="20" t="n">
        <v>0.8571428571428571</v>
      </c>
      <c r="L210" s="19" t="n">
        <v>-0.06211261797872705</v>
      </c>
      <c r="M210" s="19" t="n">
        <v>-0.1118765332479292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price outside allowed range</t>
        </is>
      </c>
    </row>
    <row r="211">
      <c r="A211" s="12" t="inlineStr">
        <is>
          <t>PASS</t>
        </is>
      </c>
      <c r="B211" s="12" t="inlineStr">
        <is>
          <t>NMSU @ HAW</t>
        </is>
      </c>
      <c r="C211" s="12" t="inlineStr">
        <is>
          <t>2026-09-13 03:59</t>
        </is>
      </c>
      <c r="D211" s="22" t="n">
        <v>2</v>
      </c>
      <c r="E211" s="12" t="inlineStr">
        <is>
          <t>TOTAL</t>
        </is>
      </c>
      <c r="F211" s="12" t="inlineStr">
        <is>
          <t>Under 49.5</t>
        </is>
      </c>
      <c r="G211" s="23" t="n">
        <v>49.5</v>
      </c>
      <c r="H211" s="13" t="n">
        <v>-110</v>
      </c>
      <c r="I211" s="15" t="n">
        <v>0.4623117303209874</v>
      </c>
      <c r="J211" s="15" t="n">
        <v>0.5</v>
      </c>
      <c r="K211" s="15" t="n">
        <v>0.5238095238095238</v>
      </c>
      <c r="L211" s="14" t="n">
        <v>-0.0627334237387708</v>
      </c>
      <c r="M211" s="14" t="n">
        <v>-0.117404878478115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SDSU @ UCLA</t>
        </is>
      </c>
      <c r="C212" s="17" t="inlineStr">
        <is>
          <t>2026-09-12 23:15</t>
        </is>
      </c>
      <c r="D212" s="25" t="n">
        <v>2</v>
      </c>
      <c r="E212" s="17" t="inlineStr">
        <is>
          <t>ML</t>
        </is>
      </c>
      <c r="F212" s="17" t="inlineStr">
        <is>
          <t>UCLA ML</t>
        </is>
      </c>
      <c r="G212" s="26" t="n"/>
      <c r="H212" s="18" t="n">
        <v>-500</v>
      </c>
      <c r="I212" s="20" t="n">
        <v>0.7389071013728021</v>
      </c>
      <c r="J212" s="20" t="n">
        <v>0.7999999999999999</v>
      </c>
      <c r="K212" s="20" t="n">
        <v>0.8333333333333334</v>
      </c>
      <c r="L212" s="19" t="n">
        <v>-0.06328765280334503</v>
      </c>
      <c r="M212" s="19" t="n">
        <v>-0.1133114783526374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price outside allowed range</t>
        </is>
      </c>
    </row>
    <row r="213">
      <c r="A213" s="12" t="inlineStr">
        <is>
          <t>PASS</t>
        </is>
      </c>
      <c r="B213" s="12" t="inlineStr">
        <is>
          <t>RUTG @ BC</t>
        </is>
      </c>
      <c r="C213" s="12" t="inlineStr">
        <is>
          <t>2026-09-11 23:30</t>
        </is>
      </c>
      <c r="D213" s="22" t="n">
        <v>2</v>
      </c>
      <c r="E213" s="12" t="inlineStr">
        <is>
          <t>ATS</t>
        </is>
      </c>
      <c r="F213" s="12" t="inlineStr">
        <is>
          <t>RUTG +3</t>
        </is>
      </c>
      <c r="G213" s="23" t="n">
        <v>-3</v>
      </c>
      <c r="H213" s="13" t="n">
        <v>-108</v>
      </c>
      <c r="I213" s="15" t="n">
        <v>0.4575380816155497</v>
      </c>
      <c r="J213" s="15" t="n">
        <v>0.4956702459300312</v>
      </c>
      <c r="K213" s="15" t="n">
        <v>0.5192307692307693</v>
      </c>
      <c r="L213" s="14" t="n">
        <v>-0.06360032099701407</v>
      </c>
      <c r="M213" s="14" t="n">
        <v>-0.1116866137271085</v>
      </c>
      <c r="N213" s="15" t="n">
        <v>0.06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UTSA @ TXST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UTSA +1.5</t>
        </is>
      </c>
      <c r="G214" s="26" t="n">
        <v>-1.5</v>
      </c>
      <c r="H214" s="18" t="n">
        <v>-108</v>
      </c>
      <c r="I214" s="20" t="n">
        <v>0.4561492677271386</v>
      </c>
      <c r="J214" s="20" t="n">
        <v>0.4956702459300312</v>
      </c>
      <c r="K214" s="20" t="n">
        <v>0.5192307692307693</v>
      </c>
      <c r="L214" s="19" t="n">
        <v>-0.06511603789748256</v>
      </c>
      <c r="M214" s="19" t="n">
        <v>-0.1214902991921775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MEM @ BOIS</t>
        </is>
      </c>
      <c r="C215" s="12" t="inlineStr">
        <is>
          <t>2026-09-12 22:00</t>
        </is>
      </c>
      <c r="D215" s="22" t="n">
        <v>2</v>
      </c>
      <c r="E215" s="12" t="inlineStr">
        <is>
          <t>ML</t>
        </is>
      </c>
      <c r="F215" s="12" t="inlineStr">
        <is>
          <t>BOIS ML</t>
        </is>
      </c>
      <c r="G215" s="23" t="n"/>
      <c r="H215" s="13" t="n">
        <v>-355</v>
      </c>
      <c r="I215" s="15" t="n">
        <v>0.6873638319538238</v>
      </c>
      <c r="J215" s="15" t="n">
        <v>0.7477827050997783</v>
      </c>
      <c r="K215" s="15" t="n">
        <v>0.7802197802197802</v>
      </c>
      <c r="L215" s="14" t="n">
        <v>-0.06567633635913681</v>
      </c>
      <c r="M215" s="14" t="n">
        <v>-0.1190125534112962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BUFF @ FIU</t>
        </is>
      </c>
      <c r="C216" s="17" t="inlineStr">
        <is>
          <t>2026-09-12 22:00</t>
        </is>
      </c>
      <c r="D216" s="25" t="n">
        <v>2</v>
      </c>
      <c r="E216" s="17" t="inlineStr">
        <is>
          <t>ML</t>
        </is>
      </c>
      <c r="F216" s="17" t="inlineStr">
        <is>
          <t>FIU ML</t>
        </is>
      </c>
      <c r="G216" s="26" t="n"/>
      <c r="H216" s="18" t="n">
        <v>-440</v>
      </c>
      <c r="I216" s="20" t="n">
        <v>0.7179739338063564</v>
      </c>
      <c r="J216" s="20" t="n">
        <v>0.7819063004846527</v>
      </c>
      <c r="K216" s="20" t="n">
        <v>0.8148148148148148</v>
      </c>
      <c r="L216" s="19" t="n">
        <v>-0.06617781962937851</v>
      </c>
      <c r="M216" s="19" t="n">
        <v>-0.1188501721467443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VILL @ LOU</t>
        </is>
      </c>
      <c r="C217" s="12" t="inlineStr">
        <is>
          <t>2026-09-11 23:00</t>
        </is>
      </c>
      <c r="D217" s="22" t="n">
        <v>2</v>
      </c>
      <c r="E217" s="12" t="inlineStr">
        <is>
          <t>TOTAL</t>
        </is>
      </c>
      <c r="F217" s="12" t="inlineStr">
        <is>
          <t>Over 56.5</t>
        </is>
      </c>
      <c r="G217" s="23" t="n">
        <v>56.5</v>
      </c>
      <c r="H217" s="13" t="n">
        <v>-105</v>
      </c>
      <c r="I217" s="15" t="n">
        <v>0.4490871958607193</v>
      </c>
      <c r="J217" s="15" t="n">
        <v>0.4891657638136511</v>
      </c>
      <c r="K217" s="15" t="n">
        <v>0.5121951219512195</v>
      </c>
      <c r="L217" s="14" t="n">
        <v>-0.06626405847527382</v>
      </c>
      <c r="M217" s="14" t="n">
        <v>-0.1232107128433575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VILL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UCF @ PITT</t>
        </is>
      </c>
      <c r="C218" s="17" t="inlineStr">
        <is>
          <t>2026-09-12 19:30</t>
        </is>
      </c>
      <c r="D218" s="25" t="n">
        <v>2</v>
      </c>
      <c r="E218" s="17" t="inlineStr">
        <is>
          <t>TOTAL</t>
        </is>
      </c>
      <c r="F218" s="17" t="inlineStr">
        <is>
          <t>Over 56.5</t>
        </is>
      </c>
      <c r="G218" s="26" t="n">
        <v>56.5</v>
      </c>
      <c r="H218" s="18" t="n">
        <v>-112</v>
      </c>
      <c r="I218" s="20" t="n">
        <v>0.4625187187278635</v>
      </c>
      <c r="J218" s="20" t="n">
        <v>0.5043297540699688</v>
      </c>
      <c r="K218" s="20" t="n">
        <v>0.5283018867924528</v>
      </c>
      <c r="L218" s="19" t="n">
        <v>-0.066759433169868</v>
      </c>
      <c r="M218" s="19" t="n">
        <v>-0.1245181395508299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NMSU @ HAW</t>
        </is>
      </c>
      <c r="C219" s="12" t="inlineStr">
        <is>
          <t>2026-09-13 03:59</t>
        </is>
      </c>
      <c r="D219" s="22" t="n">
        <v>2</v>
      </c>
      <c r="E219" s="12" t="inlineStr">
        <is>
          <t>ML</t>
        </is>
      </c>
      <c r="F219" s="12" t="inlineStr">
        <is>
          <t>HAW ML</t>
        </is>
      </c>
      <c r="G219" s="23" t="n"/>
      <c r="H219" s="13" t="n">
        <v>-290</v>
      </c>
      <c r="I219" s="15" t="n">
        <v>0.6538780414041784</v>
      </c>
      <c r="J219" s="15" t="n">
        <v>0.7135512302607419</v>
      </c>
      <c r="K219" s="15" t="n">
        <v>0.7435897435897436</v>
      </c>
      <c r="L219" s="14" t="n">
        <v>-0.06712408891061361</v>
      </c>
      <c r="M219" s="14" t="n">
        <v>-0.1206467719047256</v>
      </c>
      <c r="N219" s="15" t="n">
        <v>0</v>
      </c>
      <c r="O219" s="24" t="n">
        <v>0.839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ODU @ VT</t>
        </is>
      </c>
      <c r="C220" s="17" t="inlineStr">
        <is>
          <t>2026-09-12 16:00</t>
        </is>
      </c>
      <c r="D220" s="25" t="n">
        <v>2</v>
      </c>
      <c r="E220" s="17" t="inlineStr">
        <is>
          <t>TOTAL</t>
        </is>
      </c>
      <c r="F220" s="17" t="inlineStr">
        <is>
          <t>Under 50.5</t>
        </is>
      </c>
      <c r="G220" s="26" t="n">
        <v>50.5</v>
      </c>
      <c r="H220" s="18" t="n">
        <v>-115</v>
      </c>
      <c r="I220" s="20" t="n">
        <v>0.4677288609308718</v>
      </c>
      <c r="J220" s="20" t="n">
        <v>0.5108342361863488</v>
      </c>
      <c r="K220" s="20" t="n">
        <v>0.5348837209302325</v>
      </c>
      <c r="L220" s="19" t="n">
        <v>-0.06749947750860791</v>
      </c>
      <c r="M220" s="19" t="n">
        <v>-0.1255503904335875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ARK @ UTAH</t>
        </is>
      </c>
      <c r="C221" s="12" t="inlineStr">
        <is>
          <t>2026-09-13 02:15</t>
        </is>
      </c>
      <c r="D221" s="22" t="n">
        <v>2</v>
      </c>
      <c r="E221" s="12" t="inlineStr">
        <is>
          <t>ML</t>
        </is>
      </c>
      <c r="F221" s="12" t="inlineStr">
        <is>
          <t>UTAH ML</t>
        </is>
      </c>
      <c r="G221" s="23" t="n"/>
      <c r="H221" s="13" t="n">
        <v>-520</v>
      </c>
      <c r="I221" s="15" t="n">
        <v>0.7363367988566363</v>
      </c>
      <c r="J221" s="15" t="n">
        <v>0.8042929292929294</v>
      </c>
      <c r="K221" s="15" t="n">
        <v>0.8387096774193549</v>
      </c>
      <c r="L221" s="14" t="n">
        <v>-0.06755362938362248</v>
      </c>
      <c r="M221" s="14" t="n">
        <v>-0.1220599705940106</v>
      </c>
      <c r="N221" s="15" t="n">
        <v>0</v>
      </c>
      <c r="O221" s="24" t="n">
        <v>0.725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JVST @ OHIO</t>
        </is>
      </c>
      <c r="C222" s="17" t="inlineStr">
        <is>
          <t>2026-09-12 22:00</t>
        </is>
      </c>
      <c r="D222" s="25" t="n">
        <v>2</v>
      </c>
      <c r="E222" s="17" t="inlineStr">
        <is>
          <t>ML</t>
        </is>
      </c>
      <c r="F222" s="17" t="inlineStr">
        <is>
          <t>JVST ML</t>
        </is>
      </c>
      <c r="G222" s="26" t="n"/>
      <c r="H222" s="18" t="n">
        <v>114</v>
      </c>
      <c r="I222" s="20" t="n">
        <v>0.4105328365596489</v>
      </c>
      <c r="J222" s="20" t="n">
        <v>0.448558885283451</v>
      </c>
      <c r="K222" s="20" t="n">
        <v>0.4672897196261682</v>
      </c>
      <c r="L222" s="19" t="n">
        <v>-0.06769276666487938</v>
      </c>
      <c r="M222" s="19" t="n">
        <v>-0.1214597297623515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LSU @ MISS</t>
        </is>
      </c>
      <c r="C223" s="12" t="inlineStr">
        <is>
          <t>2026-09-19 23:30</t>
        </is>
      </c>
      <c r="D223" s="22" t="n">
        <v>3</v>
      </c>
      <c r="E223" s="12" t="inlineStr">
        <is>
          <t>ATS</t>
        </is>
      </c>
      <c r="F223" s="12" t="inlineStr">
        <is>
          <t>LSU +1.5</t>
        </is>
      </c>
      <c r="G223" s="23" t="n">
        <v>-1.5</v>
      </c>
      <c r="H223" s="13" t="n">
        <v>-102</v>
      </c>
      <c r="I223" s="15" t="n">
        <v>0.4409271133513899</v>
      </c>
      <c r="J223" s="15" t="n">
        <v>0.4826358742837298</v>
      </c>
      <c r="K223" s="15" t="n">
        <v>0.504950495049505</v>
      </c>
      <c r="L223" s="14" t="n">
        <v>-0.06849253368375845</v>
      </c>
      <c r="M223" s="14" t="n">
        <v>-0.1267914029707768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DEL @ VAN</t>
        </is>
      </c>
      <c r="C224" s="17" t="inlineStr">
        <is>
          <t>2026-09-12 20:15</t>
        </is>
      </c>
      <c r="D224" s="25" t="n">
        <v>2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-112</v>
      </c>
      <c r="I224" s="20" t="n">
        <v>0.4605647200659976</v>
      </c>
      <c r="J224" s="20" t="n">
        <v>0.5043297540699688</v>
      </c>
      <c r="K224" s="20" t="n">
        <v>0.5283018867924528</v>
      </c>
      <c r="L224" s="19" t="n">
        <v>-0.06866489245517526</v>
      </c>
      <c r="M224" s="19" t="n">
        <v>-0.1282167798750761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SMU @ LOU</t>
        </is>
      </c>
      <c r="C225" s="12" t="inlineStr">
        <is>
          <t>2026-09-19 19:30</t>
        </is>
      </c>
      <c r="D225" s="22" t="n">
        <v>3</v>
      </c>
      <c r="E225" s="12" t="inlineStr">
        <is>
          <t>ATS</t>
        </is>
      </c>
      <c r="F225" s="12" t="inlineStr">
        <is>
          <t>SMU +1.5</t>
        </is>
      </c>
      <c r="G225" s="23" t="n">
        <v>-1.5</v>
      </c>
      <c r="H225" s="13" t="n">
        <v>-115</v>
      </c>
      <c r="I225" s="15" t="n">
        <v>0.4651427019184809</v>
      </c>
      <c r="J225" s="15" t="n">
        <v>0.5108342361863488</v>
      </c>
      <c r="K225" s="15" t="n">
        <v>0.5348837209302325</v>
      </c>
      <c r="L225" s="14" t="n">
        <v>-0.06991262879374505</v>
      </c>
      <c r="M225" s="14" t="n">
        <v>-0.1303853833697965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ASU @ TA&amp;M</t>
        </is>
      </c>
      <c r="C226" s="17" t="inlineStr">
        <is>
          <t>2026-09-12 16:00</t>
        </is>
      </c>
      <c r="D226" s="25" t="n">
        <v>2</v>
      </c>
      <c r="E226" s="17" t="inlineStr">
        <is>
          <t>TOTAL</t>
        </is>
      </c>
      <c r="F226" s="17" t="inlineStr">
        <is>
          <t>Under 50.5</t>
        </is>
      </c>
      <c r="G226" s="26" t="n">
        <v>50.5</v>
      </c>
      <c r="H226" s="18" t="n">
        <v>-105</v>
      </c>
      <c r="I226" s="20" t="n">
        <v>0.443277903848758</v>
      </c>
      <c r="J226" s="20" t="n">
        <v>0.4891657638136511</v>
      </c>
      <c r="K226" s="20" t="n">
        <v>0.5121951219512195</v>
      </c>
      <c r="L226" s="19" t="n">
        <v>-0.0718462054549022</v>
      </c>
      <c r="M226" s="19" t="n">
        <v>-0.1345526639143296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MIZ @ KU</t>
        </is>
      </c>
      <c r="C227" s="12" t="inlineStr">
        <is>
          <t>2026-09-12 00:00</t>
        </is>
      </c>
      <c r="D227" s="22" t="n">
        <v>2</v>
      </c>
      <c r="E227" s="12" t="inlineStr">
        <is>
          <t>TOTAL</t>
        </is>
      </c>
      <c r="F227" s="12" t="inlineStr">
        <is>
          <t>Under 50.5</t>
        </is>
      </c>
      <c r="G227" s="23" t="n">
        <v>50.5</v>
      </c>
      <c r="H227" s="13" t="n">
        <v>-112</v>
      </c>
      <c r="I227" s="15" t="n">
        <v>0.4566691721113023</v>
      </c>
      <c r="J227" s="15" t="n">
        <v>0.5043297540699688</v>
      </c>
      <c r="K227" s="15" t="n">
        <v>0.5283018867924528</v>
      </c>
      <c r="L227" s="14" t="n">
        <v>-0.07214180663309301</v>
      </c>
      <c r="M227" s="14" t="n">
        <v>-0.1355904956464635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PSU @ TEM</t>
        </is>
      </c>
      <c r="C228" s="17" t="inlineStr">
        <is>
          <t>2026-09-12 16:00</t>
        </is>
      </c>
      <c r="D228" s="25" t="n">
        <v>2</v>
      </c>
      <c r="E228" s="17" t="inlineStr">
        <is>
          <t>TOTAL</t>
        </is>
      </c>
      <c r="F228" s="17" t="inlineStr">
        <is>
          <t>Under 49.5</t>
        </is>
      </c>
      <c r="G228" s="26" t="n">
        <v>49.5</v>
      </c>
      <c r="H228" s="18" t="n">
        <v>-108</v>
      </c>
      <c r="I228" s="20" t="n">
        <v>0.4484617813835712</v>
      </c>
      <c r="J228" s="20" t="n">
        <v>0.4956702459300312</v>
      </c>
      <c r="K228" s="20" t="n">
        <v>0.5192307692307693</v>
      </c>
      <c r="L228" s="19" t="n">
        <v>-0.07245274569496415</v>
      </c>
      <c r="M228" s="19" t="n">
        <v>-0.1362958284464555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OSU @ TEX</t>
        </is>
      </c>
      <c r="C229" s="12" t="inlineStr">
        <is>
          <t>2026-09-12 23:30</t>
        </is>
      </c>
      <c r="D229" s="22" t="n">
        <v>2</v>
      </c>
      <c r="E229" s="12" t="inlineStr">
        <is>
          <t>ATS</t>
        </is>
      </c>
      <c r="F229" s="12" t="inlineStr">
        <is>
          <t>OSU +1.5</t>
        </is>
      </c>
      <c r="G229" s="23" t="n">
        <v>-1.5</v>
      </c>
      <c r="H229" s="13" t="n">
        <v>-108</v>
      </c>
      <c r="I229" s="15" t="n">
        <v>0.4460483366820698</v>
      </c>
      <c r="J229" s="15" t="n">
        <v>0.4956702459300312</v>
      </c>
      <c r="K229" s="15" t="n">
        <v>0.5192307692307693</v>
      </c>
      <c r="L229" s="14" t="n">
        <v>-0.07441143167313176</v>
      </c>
      <c r="M229" s="14" t="n">
        <v>-0.1409439441678656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RUTG @ BC</t>
        </is>
      </c>
      <c r="C230" s="17" t="inlineStr">
        <is>
          <t>2026-09-11 23:30</t>
        </is>
      </c>
      <c r="D230" s="25" t="n">
        <v>2</v>
      </c>
      <c r="E230" s="17" t="inlineStr">
        <is>
          <t>ML</t>
        </is>
      </c>
      <c r="F230" s="17" t="inlineStr">
        <is>
          <t>RUTG ML</t>
        </is>
      </c>
      <c r="G230" s="26" t="n"/>
      <c r="H230" s="18" t="n">
        <v>130</v>
      </c>
      <c r="I230" s="20" t="n">
        <v>0.3752364712694252</v>
      </c>
      <c r="J230" s="20" t="n">
        <v>0.4170073589533933</v>
      </c>
      <c r="K230" s="20" t="n">
        <v>0.4347826086956522</v>
      </c>
      <c r="L230" s="19" t="n">
        <v>-0.07443364291632118</v>
      </c>
      <c r="M230" s="19" t="n">
        <v>-0.1369561160803222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LT @ LSU</t>
        </is>
      </c>
      <c r="C231" s="12" t="inlineStr">
        <is>
          <t>2026-09-12 23:30</t>
        </is>
      </c>
      <c r="D231" s="22" t="n">
        <v>2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-118</v>
      </c>
      <c r="I231" s="15" t="n">
        <v>0.4651319960708004</v>
      </c>
      <c r="J231" s="15" t="n">
        <v>0.5173641257162701</v>
      </c>
      <c r="K231" s="15" t="n">
        <v>0.5412844036697247</v>
      </c>
      <c r="L231" s="14" t="n">
        <v>-0.0747366616368441</v>
      </c>
      <c r="M231" s="14" t="n">
        <v>-0.1406883462420806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TENN @ GT</t>
        </is>
      </c>
      <c r="C232" s="17" t="inlineStr">
        <is>
          <t>2026-09-12 23:00</t>
        </is>
      </c>
      <c r="D232" s="25" t="n">
        <v>2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-105</v>
      </c>
      <c r="I232" s="20" t="n">
        <v>0.4394298719895872</v>
      </c>
      <c r="J232" s="20" t="n">
        <v>0.4891657638136511</v>
      </c>
      <c r="K232" s="20" t="n">
        <v>0.5121951219512195</v>
      </c>
      <c r="L232" s="19" t="n">
        <v>-0.07500820416043656</v>
      </c>
      <c r="M232" s="19" t="n">
        <v>-0.1420654880203298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LSU @ MISS</t>
        </is>
      </c>
      <c r="C233" s="12" t="inlineStr">
        <is>
          <t>2026-09-19 23:30</t>
        </is>
      </c>
      <c r="D233" s="22" t="n">
        <v>3</v>
      </c>
      <c r="E233" s="12" t="inlineStr">
        <is>
          <t>ML</t>
        </is>
      </c>
      <c r="F233" s="12" t="inlineStr">
        <is>
          <t>LSU ML</t>
        </is>
      </c>
      <c r="G233" s="23" t="n"/>
      <c r="H233" s="13" t="n">
        <v>110</v>
      </c>
      <c r="I233" s="15" t="n">
        <v>0.4105124207524584</v>
      </c>
      <c r="J233" s="15" t="n">
        <v>0.4572564612326044</v>
      </c>
      <c r="K233" s="15" t="n">
        <v>0.4761904761904762</v>
      </c>
      <c r="L233" s="14" t="n">
        <v>-0.0752152300108012</v>
      </c>
      <c r="M233" s="14" t="n">
        <v>-0.1379239164198373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WKU @ UGA</t>
        </is>
      </c>
      <c r="C234" s="17" t="inlineStr">
        <is>
          <t>2026-09-12 16:45</t>
        </is>
      </c>
      <c r="D234" s="25" t="n">
        <v>2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-110</v>
      </c>
      <c r="I234" s="20" t="n">
        <v>0.4486950434472053</v>
      </c>
      <c r="J234" s="20" t="n">
        <v>0.5</v>
      </c>
      <c r="K234" s="20" t="n">
        <v>0.5238095238095238</v>
      </c>
      <c r="L234" s="19" t="n">
        <v>-0.07535759004709286</v>
      </c>
      <c r="M234" s="19" t="n">
        <v>-0.1434003716007898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TTU @ ORST</t>
        </is>
      </c>
      <c r="C235" s="12" t="inlineStr">
        <is>
          <t>2026-09-12 23:30</t>
        </is>
      </c>
      <c r="D235" s="22" t="n">
        <v>2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-115</v>
      </c>
      <c r="I235" s="15" t="n">
        <v>0.4579803094855655</v>
      </c>
      <c r="J235" s="15" t="n">
        <v>0.5108342361863488</v>
      </c>
      <c r="K235" s="15" t="n">
        <v>0.5348837209302325</v>
      </c>
      <c r="L235" s="14" t="n">
        <v>-0.07567270871499397</v>
      </c>
      <c r="M235" s="14" t="n">
        <v>-0.143775943135682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UTSA @ TXST</t>
        </is>
      </c>
      <c r="C236" s="17" t="inlineStr">
        <is>
          <t>2026-09-12 19:30</t>
        </is>
      </c>
      <c r="D236" s="25" t="n">
        <v>2</v>
      </c>
      <c r="E236" s="17" t="inlineStr">
        <is>
          <t>ML</t>
        </is>
      </c>
      <c r="F236" s="17" t="inlineStr">
        <is>
          <t>UTSA ML</t>
        </is>
      </c>
      <c r="G236" s="26" t="n"/>
      <c r="H236" s="18" t="n">
        <v>-102</v>
      </c>
      <c r="I236" s="20" t="n">
        <v>0.4316956854366143</v>
      </c>
      <c r="J236" s="20" t="n">
        <v>0.4826358742837298</v>
      </c>
      <c r="K236" s="20" t="n">
        <v>0.504950495049505</v>
      </c>
      <c r="L236" s="19" t="n">
        <v>-0.07641976302392381</v>
      </c>
      <c r="M236" s="19" t="n">
        <v>-0.1450732504098422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CAL @ SYR</t>
        </is>
      </c>
      <c r="C237" s="12" t="inlineStr">
        <is>
          <t>2026-09-12 19:30</t>
        </is>
      </c>
      <c r="D237" s="22" t="n">
        <v>2</v>
      </c>
      <c r="E237" s="12" t="inlineStr">
        <is>
          <t>ATS</t>
        </is>
      </c>
      <c r="F237" s="12" t="inlineStr">
        <is>
          <t>CAL +3.5</t>
        </is>
      </c>
      <c r="G237" s="23" t="n">
        <v>-3.5</v>
      </c>
      <c r="H237" s="13" t="n">
        <v>-118</v>
      </c>
      <c r="I237" s="15" t="n">
        <v>0.462168244071528</v>
      </c>
      <c r="J237" s="15" t="n">
        <v>0.5173641257162701</v>
      </c>
      <c r="K237" s="15" t="n">
        <v>0.5412844036697247</v>
      </c>
      <c r="L237" s="14" t="n">
        <v>-0.07681853482494669</v>
      </c>
      <c r="M237" s="14" t="n">
        <v>-0.1461637524780245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CAL @ SYR</t>
        </is>
      </c>
      <c r="C238" s="17" t="inlineStr">
        <is>
          <t>2026-09-12 19:30</t>
        </is>
      </c>
      <c r="D238" s="25" t="n">
        <v>2</v>
      </c>
      <c r="E238" s="17" t="inlineStr">
        <is>
          <t>TOTAL</t>
        </is>
      </c>
      <c r="F238" s="17" t="inlineStr">
        <is>
          <t>Over 56.5</t>
        </is>
      </c>
      <c r="G238" s="26" t="n">
        <v>56.5</v>
      </c>
      <c r="H238" s="18" t="n">
        <v>-115</v>
      </c>
      <c r="I238" s="20" t="n">
        <v>0.4560438039992573</v>
      </c>
      <c r="J238" s="20" t="n">
        <v>0.5108342361863488</v>
      </c>
      <c r="K238" s="20" t="n">
        <v>0.5348837209302325</v>
      </c>
      <c r="L238" s="19" t="n">
        <v>-0.0770148980831775</v>
      </c>
      <c r="M238" s="19" t="n">
        <v>-0.1473963664361712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ALA @ UK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Under 49.5</t>
        </is>
      </c>
      <c r="G239" s="23" t="n">
        <v>49.5</v>
      </c>
      <c r="H239" s="13" t="n">
        <v>-115</v>
      </c>
      <c r="I239" s="15" t="n">
        <v>0.4560437765117301</v>
      </c>
      <c r="J239" s="15" t="n">
        <v>0.5108342361863488</v>
      </c>
      <c r="K239" s="15" t="n">
        <v>0.5348837209302325</v>
      </c>
      <c r="L239" s="14" t="n">
        <v>-0.07701491652854156</v>
      </c>
      <c r="M239" s="14" t="n">
        <v>-0.147396417825896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ASU @ TA&amp;M</t>
        </is>
      </c>
      <c r="C240" s="17" t="inlineStr">
        <is>
          <t>2026-09-12 16:00</t>
        </is>
      </c>
      <c r="D240" s="25" t="n">
        <v>2</v>
      </c>
      <c r="E240" s="17" t="inlineStr">
        <is>
          <t>ML</t>
        </is>
      </c>
      <c r="F240" s="17" t="inlineStr">
        <is>
          <t>TA&amp;M ML</t>
        </is>
      </c>
      <c r="G240" s="26" t="n"/>
      <c r="H240" s="18" t="n">
        <v>-650</v>
      </c>
      <c r="I240" s="20" t="n">
        <v>0.7419084049890994</v>
      </c>
      <c r="J240" s="20" t="n">
        <v>0.8316498316498315</v>
      </c>
      <c r="K240" s="20" t="n">
        <v>0.8666666666666667</v>
      </c>
      <c r="L240" s="19" t="n">
        <v>-0.07723679734249882</v>
      </c>
      <c r="M240" s="19" t="n">
        <v>-0.1439518403971931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SMU @ LOU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SMU ML</t>
        </is>
      </c>
      <c r="G241" s="23" t="n"/>
      <c r="H241" s="13" t="n">
        <v>-105</v>
      </c>
      <c r="I241" s="15" t="n">
        <v>0.4363411879558191</v>
      </c>
      <c r="J241" s="15" t="n">
        <v>0.4891657638136511</v>
      </c>
      <c r="K241" s="15" t="n">
        <v>0.5121951219512195</v>
      </c>
      <c r="L241" s="14" t="n">
        <v>-0.07726437390223544</v>
      </c>
      <c r="M241" s="14" t="n">
        <v>-0.1480957758957817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NDSU @ AFA</t>
        </is>
      </c>
      <c r="C242" s="17" t="inlineStr">
        <is>
          <t>2026-09-13 02:00</t>
        </is>
      </c>
      <c r="D242" s="25" t="n">
        <v>2</v>
      </c>
      <c r="E242" s="17" t="inlineStr">
        <is>
          <t>TOTAL</t>
        </is>
      </c>
      <c r="F242" s="17" t="inlineStr">
        <is>
          <t>Under 47.5</t>
        </is>
      </c>
      <c r="G242" s="26" t="n">
        <v>47.5</v>
      </c>
      <c r="H242" s="18" t="n">
        <v>-112</v>
      </c>
      <c r="I242" s="20" t="n">
        <v>0.4489332250148275</v>
      </c>
      <c r="J242" s="20" t="n">
        <v>0.5043297540699688</v>
      </c>
      <c r="K242" s="20" t="n">
        <v>0.5283018867924528</v>
      </c>
      <c r="L242" s="19" t="n">
        <v>-0.07788171842845988</v>
      </c>
      <c r="M242" s="19" t="n">
        <v>-0.1502335383647909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ISU @ IOWA</t>
        </is>
      </c>
      <c r="C243" s="12" t="inlineStr">
        <is>
          <t>2026-09-12 23:30</t>
        </is>
      </c>
      <c r="D243" s="22" t="n">
        <v>2</v>
      </c>
      <c r="E243" s="12" t="inlineStr">
        <is>
          <t>ML</t>
        </is>
      </c>
      <c r="F243" s="12" t="inlineStr">
        <is>
          <t>IOWA ML</t>
        </is>
      </c>
      <c r="G243" s="23" t="n"/>
      <c r="H243" s="13" t="n">
        <v>-625</v>
      </c>
      <c r="I243" s="15" t="n">
        <v>0.734662442778927</v>
      </c>
      <c r="J243" s="15" t="n">
        <v>0.827123695976155</v>
      </c>
      <c r="K243" s="15" t="n">
        <v>0.8620689655172413</v>
      </c>
      <c r="L243" s="14" t="n">
        <v>-0.07850877494352608</v>
      </c>
      <c r="M243" s="14" t="n">
        <v>-0.1477915663764447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price outside allowed range</t>
        </is>
      </c>
    </row>
    <row r="244">
      <c r="A244" s="17" t="inlineStr">
        <is>
          <t>PASS</t>
        </is>
      </c>
      <c r="B244" s="17" t="inlineStr">
        <is>
          <t>OSU @ TEX</t>
        </is>
      </c>
      <c r="C244" s="17" t="inlineStr">
        <is>
          <t>2026-09-12 23:30</t>
        </is>
      </c>
      <c r="D244" s="25" t="n">
        <v>2</v>
      </c>
      <c r="E244" s="17" t="inlineStr">
        <is>
          <t>TOTAL</t>
        </is>
      </c>
      <c r="F244" s="17" t="inlineStr">
        <is>
          <t>Under 49.5</t>
        </is>
      </c>
      <c r="G244" s="26" t="n">
        <v>49.5</v>
      </c>
      <c r="H244" s="18" t="n">
        <v>-112</v>
      </c>
      <c r="I244" s="20" t="n">
        <v>0.4470118376551788</v>
      </c>
      <c r="J244" s="20" t="n">
        <v>0.5043297540699688</v>
      </c>
      <c r="K244" s="20" t="n">
        <v>0.5283018867924528</v>
      </c>
      <c r="L244" s="19" t="n">
        <v>-0.0790906133269271</v>
      </c>
      <c r="M244" s="19" t="n">
        <v>-0.1538704501526973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ML</t>
        </is>
      </c>
      <c r="F245" s="12" t="inlineStr">
        <is>
          <t>MRSH ML</t>
        </is>
      </c>
      <c r="G245" s="23" t="n"/>
      <c r="H245" s="13" t="n">
        <v>-550</v>
      </c>
      <c r="I245" s="15" t="n">
        <v>0.7188572940824418</v>
      </c>
      <c r="J245" s="15" t="n">
        <v>0.8118668596237336</v>
      </c>
      <c r="K245" s="15" t="n">
        <v>0.8461538461538461</v>
      </c>
      <c r="L245" s="14" t="n">
        <v>-0.0793679421396995</v>
      </c>
      <c r="M245" s="14" t="n">
        <v>-0.1504413797207506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UCF @ PITT</t>
        </is>
      </c>
      <c r="C246" s="17" t="inlineStr">
        <is>
          <t>2026-09-12 19:30</t>
        </is>
      </c>
      <c r="D246" s="25" t="n">
        <v>2</v>
      </c>
      <c r="E246" s="17" t="inlineStr">
        <is>
          <t>ATS</t>
        </is>
      </c>
      <c r="F246" s="17" t="inlineStr">
        <is>
          <t>PITT -7</t>
        </is>
      </c>
      <c r="G246" s="26" t="n">
        <v>-7</v>
      </c>
      <c r="H246" s="18" t="n">
        <v>-110</v>
      </c>
      <c r="I246" s="20" t="n">
        <v>0.442621516554595</v>
      </c>
      <c r="J246" s="20" t="n">
        <v>0.5</v>
      </c>
      <c r="K246" s="20" t="n">
        <v>0.5238095238095238</v>
      </c>
      <c r="L246" s="19" t="n">
        <v>-0.07942654928808537</v>
      </c>
      <c r="M246" s="19" t="n">
        <v>-0.1472765213060273</v>
      </c>
      <c r="N246" s="20" t="n">
        <v>0.0498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EMU @ MSU</t>
        </is>
      </c>
      <c r="C247" s="12" t="inlineStr">
        <is>
          <t>2026-09-12 19:30</t>
        </is>
      </c>
      <c r="D247" s="22" t="n">
        <v>2</v>
      </c>
      <c r="E247" s="12" t="inlineStr">
        <is>
          <t>ML</t>
        </is>
      </c>
      <c r="F247" s="12" t="inlineStr">
        <is>
          <t>MSU ML</t>
        </is>
      </c>
      <c r="G247" s="23" t="n"/>
      <c r="H247" s="13" t="n">
        <v>-850</v>
      </c>
      <c r="I247" s="15" t="n">
        <v>0.7587939227528936</v>
      </c>
      <c r="J247" s="15" t="n">
        <v>0.8579439252336449</v>
      </c>
      <c r="K247" s="15" t="n">
        <v>0.8947368421052632</v>
      </c>
      <c r="L247" s="14" t="n">
        <v>-0.07966862742153721</v>
      </c>
      <c r="M247" s="14" t="n">
        <v>-0.1519362039820601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price outside allowed range</t>
        </is>
      </c>
    </row>
    <row r="248">
      <c r="A248" s="17" t="inlineStr">
        <is>
          <t>PASS</t>
        </is>
      </c>
      <c r="B248" s="17" t="inlineStr">
        <is>
          <t>OSU @ TEX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OSU ML</t>
        </is>
      </c>
      <c r="G248" s="26" t="n"/>
      <c r="H248" s="18" t="n">
        <v>102</v>
      </c>
      <c r="I248" s="20" t="n">
        <v>0.4174822029369336</v>
      </c>
      <c r="J248" s="20" t="n">
        <v>0.4739134147382802</v>
      </c>
      <c r="K248" s="20" t="n">
        <v>0.495049504950495</v>
      </c>
      <c r="L248" s="19" t="n">
        <v>-0.08067780005773795</v>
      </c>
      <c r="M248" s="19" t="n">
        <v>-0.1566859500673941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ARIZ @ BYU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BYU -7.5</t>
        </is>
      </c>
      <c r="G249" s="23" t="n">
        <v>-7.5</v>
      </c>
      <c r="H249" s="13" t="n">
        <v>-112</v>
      </c>
      <c r="I249" s="15" t="n">
        <v>0.4438778674804842</v>
      </c>
      <c r="J249" s="15" t="n">
        <v>0.5043297540699688</v>
      </c>
      <c r="K249" s="15" t="n">
        <v>0.5283018867924528</v>
      </c>
      <c r="L249" s="14" t="n">
        <v>-0.08089673041053884</v>
      </c>
      <c r="M249" s="14" t="n">
        <v>-0.1598026079833692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APP @ ECU</t>
        </is>
      </c>
      <c r="C250" s="17" t="inlineStr">
        <is>
          <t>2026-09-12 16:00</t>
        </is>
      </c>
      <c r="D250" s="25" t="n">
        <v>2</v>
      </c>
      <c r="E250" s="17" t="inlineStr">
        <is>
          <t>ATS</t>
        </is>
      </c>
      <c r="F250" s="17" t="inlineStr">
        <is>
          <t>ECU -7</t>
        </is>
      </c>
      <c r="G250" s="26" t="n">
        <v>-7</v>
      </c>
      <c r="H250" s="18" t="n">
        <v>-112</v>
      </c>
      <c r="I250" s="20" t="n">
        <v>0.4437672371502867</v>
      </c>
      <c r="J250" s="20" t="n">
        <v>0.5043297540699688</v>
      </c>
      <c r="K250" s="20" t="n">
        <v>0.5283018867924528</v>
      </c>
      <c r="L250" s="19" t="n">
        <v>-0.08095690818314528</v>
      </c>
      <c r="M250" s="19" t="n">
        <v>-0.1520594182290135</v>
      </c>
      <c r="N250" s="20" t="n">
        <v>0.0497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WAKE @ PUR</t>
        </is>
      </c>
      <c r="C251" s="12" t="inlineStr">
        <is>
          <t>2026-09-12 16:00</t>
        </is>
      </c>
      <c r="D251" s="22" t="n">
        <v>2</v>
      </c>
      <c r="E251" s="12" t="inlineStr">
        <is>
          <t>TOTAL</t>
        </is>
      </c>
      <c r="F251" s="12" t="inlineStr">
        <is>
          <t>Under 49.5</t>
        </is>
      </c>
      <c r="G251" s="23" t="n">
        <v>49.5</v>
      </c>
      <c r="H251" s="13" t="n">
        <v>-108</v>
      </c>
      <c r="I251" s="15" t="n">
        <v>0.4350518994869195</v>
      </c>
      <c r="J251" s="15" t="n">
        <v>0.4956702459300312</v>
      </c>
      <c r="K251" s="15" t="n">
        <v>0.5192307692307693</v>
      </c>
      <c r="L251" s="14" t="n">
        <v>-0.08155026977762213</v>
      </c>
      <c r="M251" s="14" t="n">
        <v>-0.1621222676548217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BUFF @ FIU</t>
        </is>
      </c>
      <c r="C252" s="17" t="inlineStr">
        <is>
          <t>2026-09-12 22:00</t>
        </is>
      </c>
      <c r="D252" s="25" t="n">
        <v>2</v>
      </c>
      <c r="E252" s="17" t="inlineStr">
        <is>
          <t>TOTAL</t>
        </is>
      </c>
      <c r="F252" s="17" t="inlineStr">
        <is>
          <t>Under 47.5</t>
        </is>
      </c>
      <c r="G252" s="26" t="n">
        <v>47.5</v>
      </c>
      <c r="H252" s="18" t="n">
        <v>-108</v>
      </c>
      <c r="I252" s="20" t="n">
        <v>0.4350518682726499</v>
      </c>
      <c r="J252" s="20" t="n">
        <v>0.4956702459300312</v>
      </c>
      <c r="K252" s="20" t="n">
        <v>0.5192307692307693</v>
      </c>
      <c r="L252" s="19" t="n">
        <v>-0.08155028634656608</v>
      </c>
      <c r="M252" s="19" t="n">
        <v>-0.1621223277711928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WSU @ KSU</t>
        </is>
      </c>
      <c r="C253" s="12" t="inlineStr">
        <is>
          <t>2026-09-12 16:00</t>
        </is>
      </c>
      <c r="D253" s="22" t="n">
        <v>2</v>
      </c>
      <c r="E253" s="12" t="inlineStr">
        <is>
          <t>ML</t>
        </is>
      </c>
      <c r="F253" s="12" t="inlineStr">
        <is>
          <t>KSU ML</t>
        </is>
      </c>
      <c r="G253" s="23" t="n"/>
      <c r="H253" s="13" t="n">
        <v>-1100</v>
      </c>
      <c r="I253" s="15" t="n">
        <v>0.7668869923541149</v>
      </c>
      <c r="J253" s="15" t="n">
        <v>0.8800000000000001</v>
      </c>
      <c r="K253" s="15" t="n">
        <v>0.9166666666666666</v>
      </c>
      <c r="L253" s="14" t="n">
        <v>-0.08310274402828097</v>
      </c>
      <c r="M253" s="14" t="n">
        <v>-0.1633960083409656</v>
      </c>
      <c r="N253" s="15" t="n">
        <v>0</v>
      </c>
      <c r="O253" s="24" t="n">
        <v>0.725</v>
      </c>
      <c r="P253" s="12" t="inlineStr">
        <is>
          <t>DraftKings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NORF @ UVA</t>
        </is>
      </c>
      <c r="C254" s="17" t="inlineStr">
        <is>
          <t>2026-09-11 23:00</t>
        </is>
      </c>
      <c r="D254" s="25" t="n">
        <v>2</v>
      </c>
      <c r="E254" s="17" t="inlineStr">
        <is>
          <t>TOTAL</t>
        </is>
      </c>
      <c r="F254" s="17" t="inlineStr">
        <is>
          <t>Over 54.5</t>
        </is>
      </c>
      <c r="G254" s="26" t="n">
        <v>54.5</v>
      </c>
      <c r="H254" s="18" t="n">
        <v>-112</v>
      </c>
      <c r="I254" s="20" t="n">
        <v>0.4393816901206645</v>
      </c>
      <c r="J254" s="20" t="n">
        <v>0.5043297540699688</v>
      </c>
      <c r="K254" s="20" t="n">
        <v>0.5283018867924528</v>
      </c>
      <c r="L254" s="19" t="n">
        <v>-0.08315977200314456</v>
      </c>
      <c r="M254" s="19" t="n">
        <v>-0.1683132294144565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NORF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NAVY @ FAU</t>
        </is>
      </c>
      <c r="C255" s="12" t="inlineStr">
        <is>
          <t>2026-09-12 23:30</t>
        </is>
      </c>
      <c r="D255" s="22" t="n">
        <v>2</v>
      </c>
      <c r="E255" s="12" t="inlineStr">
        <is>
          <t>TOTAL</t>
        </is>
      </c>
      <c r="F255" s="12" t="inlineStr">
        <is>
          <t>Over 58.5</t>
        </is>
      </c>
      <c r="G255" s="23" t="n">
        <v>58.5</v>
      </c>
      <c r="H255" s="13" t="n">
        <v>-105</v>
      </c>
      <c r="I255" s="15" t="n">
        <v>0.4261401746103694</v>
      </c>
      <c r="J255" s="15" t="n">
        <v>0.4891657638136511</v>
      </c>
      <c r="K255" s="15" t="n">
        <v>0.5121951219512195</v>
      </c>
      <c r="L255" s="14" t="n">
        <v>-0.08317426958353834</v>
      </c>
      <c r="M255" s="14" t="n">
        <v>-0.1680120400464217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MSST @ MINN</t>
        </is>
      </c>
      <c r="C256" s="17" t="inlineStr">
        <is>
          <t>2026-09-12 19:30</t>
        </is>
      </c>
      <c r="D256" s="25" t="n">
        <v>2</v>
      </c>
      <c r="E256" s="17" t="inlineStr">
        <is>
          <t>ATS</t>
        </is>
      </c>
      <c r="F256" s="17" t="inlineStr">
        <is>
          <t>MSST +1.5</t>
        </is>
      </c>
      <c r="G256" s="26" t="n">
        <v>-1.5</v>
      </c>
      <c r="H256" s="18" t="n">
        <v>-118</v>
      </c>
      <c r="I256" s="20" t="n">
        <v>0.4506443284089203</v>
      </c>
      <c r="J256" s="20" t="n">
        <v>0.5173641257162701</v>
      </c>
      <c r="K256" s="20" t="n">
        <v>0.5412844036697247</v>
      </c>
      <c r="L256" s="19" t="n">
        <v>-0.08320178755939721</v>
      </c>
      <c r="M256" s="19" t="n">
        <v>-0.1674536983631811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SMU @ LOU</t>
        </is>
      </c>
      <c r="C257" s="12" t="inlineStr">
        <is>
          <t>2026-09-19 19:30</t>
        </is>
      </c>
      <c r="D257" s="22" t="n">
        <v>3</v>
      </c>
      <c r="E257" s="12" t="inlineStr">
        <is>
          <t>TOTAL</t>
        </is>
      </c>
      <c r="F257" s="12" t="inlineStr">
        <is>
          <t>Over 56.5</t>
        </is>
      </c>
      <c r="G257" s="23" t="n">
        <v>56.5</v>
      </c>
      <c r="H257" s="13" t="n">
        <v>-108</v>
      </c>
      <c r="I257" s="15" t="n">
        <v>0.4312725686373999</v>
      </c>
      <c r="J257" s="15" t="n">
        <v>0.4956702459300312</v>
      </c>
      <c r="K257" s="15" t="n">
        <v>0.5192307692307693</v>
      </c>
      <c r="L257" s="14" t="n">
        <v>-0.08342332157768881</v>
      </c>
      <c r="M257" s="14" t="n">
        <v>-0.1694009789205631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WSU @ KSU</t>
        </is>
      </c>
      <c r="C258" s="17" t="inlineStr">
        <is>
          <t>2026-09-12 16:00</t>
        </is>
      </c>
      <c r="D258" s="25" t="n">
        <v>2</v>
      </c>
      <c r="E258" s="17" t="inlineStr">
        <is>
          <t>TOTAL</t>
        </is>
      </c>
      <c r="F258" s="17" t="inlineStr">
        <is>
          <t>Under 48.5</t>
        </is>
      </c>
      <c r="G258" s="26" t="n">
        <v>48.5</v>
      </c>
      <c r="H258" s="18" t="n">
        <v>-108</v>
      </c>
      <c r="I258" s="20" t="n">
        <v>0.4312725359803558</v>
      </c>
      <c r="J258" s="20" t="n">
        <v>0.4956702459300312</v>
      </c>
      <c r="K258" s="20" t="n">
        <v>0.5192307692307693</v>
      </c>
      <c r="L258" s="19" t="n">
        <v>-0.08342333665667483</v>
      </c>
      <c r="M258" s="19" t="n">
        <v>-0.1694010418156111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RICE @ ND</t>
        </is>
      </c>
      <c r="C259" s="12" t="inlineStr">
        <is>
          <t>2026-09-12 19:30</t>
        </is>
      </c>
      <c r="D259" s="22" t="n">
        <v>2</v>
      </c>
      <c r="E259" s="12" t="inlineStr">
        <is>
          <t>TOTAL</t>
        </is>
      </c>
      <c r="F259" s="12" t="inlineStr">
        <is>
          <t>Over 55.5</t>
        </is>
      </c>
      <c r="G259" s="23" t="n">
        <v>55.5</v>
      </c>
      <c r="H259" s="13" t="n">
        <v>-105</v>
      </c>
      <c r="I259" s="15" t="n">
        <v>0.424266612751971</v>
      </c>
      <c r="J259" s="15" t="n">
        <v>0.4891657638136511</v>
      </c>
      <c r="K259" s="15" t="n">
        <v>0.5121951219512195</v>
      </c>
      <c r="L259" s="14" t="n">
        <v>-0.08403753636777839</v>
      </c>
      <c r="M259" s="14" t="n">
        <v>-0.1716699465318661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FLA @ AUB</t>
        </is>
      </c>
      <c r="C260" s="17" t="inlineStr">
        <is>
          <t>2026-09-19 23:00</t>
        </is>
      </c>
      <c r="D260" s="25" t="n">
        <v>3</v>
      </c>
      <c r="E260" s="17" t="inlineStr">
        <is>
          <t>ML</t>
        </is>
      </c>
      <c r="F260" s="17" t="inlineStr">
        <is>
          <t>FLA ML</t>
        </is>
      </c>
      <c r="G260" s="26" t="n"/>
      <c r="H260" s="18" t="n">
        <v>-112</v>
      </c>
      <c r="I260" s="20" t="n">
        <v>0.4358201842007036</v>
      </c>
      <c r="J260" s="20" t="n">
        <v>0.5043297540699688</v>
      </c>
      <c r="K260" s="20" t="n">
        <v>0.5283018867924528</v>
      </c>
      <c r="L260" s="19" t="n">
        <v>-0.08470685291450576</v>
      </c>
      <c r="M260" s="19" t="n">
        <v>-0.1750546513343826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ODU @ VT</t>
        </is>
      </c>
      <c r="C261" s="12" t="inlineStr">
        <is>
          <t>2026-09-12 16:00</t>
        </is>
      </c>
      <c r="D261" s="22" t="n">
        <v>2</v>
      </c>
      <c r="E261" s="12" t="inlineStr">
        <is>
          <t>ML</t>
        </is>
      </c>
      <c r="F261" s="12" t="inlineStr">
        <is>
          <t>VT ML</t>
        </is>
      </c>
      <c r="G261" s="23" t="n"/>
      <c r="H261" s="13" t="n">
        <v>-1200</v>
      </c>
      <c r="I261" s="15" t="n">
        <v>0.7664698426733156</v>
      </c>
      <c r="J261" s="15" t="n">
        <v>0.8869565217391304</v>
      </c>
      <c r="K261" s="15" t="n">
        <v>0.9230769230769231</v>
      </c>
      <c r="L261" s="14" t="n">
        <v>-0.08470685631653613</v>
      </c>
      <c r="M261" s="14" t="n">
        <v>-0.1696576704372414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UNLV @ UNT</t>
        </is>
      </c>
      <c r="C262" s="17" t="inlineStr">
        <is>
          <t>2026-09-12 19:45</t>
        </is>
      </c>
      <c r="D262" s="25" t="n">
        <v>2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-112</v>
      </c>
      <c r="I262" s="20" t="n">
        <v>0.4356023227073688</v>
      </c>
      <c r="J262" s="20" t="n">
        <v>0.5043297540699688</v>
      </c>
      <c r="K262" s="20" t="n">
        <v>0.5283018867924528</v>
      </c>
      <c r="L262" s="19" t="n">
        <v>-0.0847950331438909</v>
      </c>
      <c r="M262" s="19" t="n">
        <v>-0.1754670320181949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UCD @ SMU</t>
        </is>
      </c>
      <c r="C263" s="12" t="inlineStr">
        <is>
          <t>2026-09-12 20:00</t>
        </is>
      </c>
      <c r="D263" s="22" t="n">
        <v>2</v>
      </c>
      <c r="E263" s="12" t="inlineStr">
        <is>
          <t>ML</t>
        </is>
      </c>
      <c r="F263" s="12" t="inlineStr">
        <is>
          <t>SMU ML</t>
        </is>
      </c>
      <c r="G263" s="23" t="n"/>
      <c r="H263" s="13" t="n">
        <v>-2400</v>
      </c>
      <c r="I263" s="15" t="n">
        <v>0.798807614479729</v>
      </c>
      <c r="J263" s="15" t="n">
        <v>0.9258160237388724</v>
      </c>
      <c r="K263" s="15" t="n">
        <v>0.96</v>
      </c>
      <c r="L263" s="14" t="n">
        <v>-0.08497857913105726</v>
      </c>
      <c r="M263" s="14" t="n">
        <v>-0.1679087349169489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UCD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APP @ ECU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-108</v>
      </c>
      <c r="I264" s="20" t="n">
        <v>0.4256520129132683</v>
      </c>
      <c r="J264" s="20" t="n">
        <v>0.4956702459300312</v>
      </c>
      <c r="K264" s="20" t="n">
        <v>0.5192307692307693</v>
      </c>
      <c r="L264" s="19" t="n">
        <v>-0.08576228740980593</v>
      </c>
      <c r="M264" s="19" t="n">
        <v>-0.1802257529077796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CAL @ SYR</t>
        </is>
      </c>
      <c r="C265" s="12" t="inlineStr">
        <is>
          <t>2026-09-12 19:30</t>
        </is>
      </c>
      <c r="D265" s="22" t="n">
        <v>2</v>
      </c>
      <c r="E265" s="12" t="inlineStr">
        <is>
          <t>ML</t>
        </is>
      </c>
      <c r="F265" s="12" t="inlineStr">
        <is>
          <t>CAL ML</t>
        </is>
      </c>
      <c r="G265" s="23" t="n"/>
      <c r="H265" s="13" t="n">
        <v>136</v>
      </c>
      <c r="I265" s="15" t="n">
        <v>0.3487091773691198</v>
      </c>
      <c r="J265" s="15" t="n">
        <v>0.4066302458405761</v>
      </c>
      <c r="K265" s="15" t="n">
        <v>0.423728813559322</v>
      </c>
      <c r="L265" s="14" t="n">
        <v>-0.08597852746614673</v>
      </c>
      <c r="M265" s="14" t="n">
        <v>-0.1770463414088772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BGSU @ NEB</t>
        </is>
      </c>
      <c r="C266" s="17" t="inlineStr">
        <is>
          <t>2026-09-12 23:00</t>
        </is>
      </c>
      <c r="D266" s="25" t="n">
        <v>2</v>
      </c>
      <c r="E266" s="17" t="inlineStr">
        <is>
          <t>ML</t>
        </is>
      </c>
      <c r="F266" s="17" t="inlineStr">
        <is>
          <t>NEB ML</t>
        </is>
      </c>
      <c r="G266" s="26" t="n"/>
      <c r="H266" s="18" t="n">
        <v>-8000</v>
      </c>
      <c r="I266" s="20" t="n">
        <v>0.8213270635033745</v>
      </c>
      <c r="J266" s="20" t="n">
        <v>0.9578344612181156</v>
      </c>
      <c r="K266" s="20" t="n">
        <v>0.9876543209876543</v>
      </c>
      <c r="L266" s="19" t="n">
        <v>-0.08599209974894105</v>
      </c>
      <c r="M266" s="19" t="n">
        <v>-0.1684063482028334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SAC @ FRES</t>
        </is>
      </c>
      <c r="C267" s="12" t="inlineStr">
        <is>
          <t>2026-09-13 02:30</t>
        </is>
      </c>
      <c r="D267" s="22" t="n">
        <v>2</v>
      </c>
      <c r="E267" s="12" t="inlineStr">
        <is>
          <t>ML</t>
        </is>
      </c>
      <c r="F267" s="12" t="inlineStr">
        <is>
          <t>FRES ML</t>
        </is>
      </c>
      <c r="G267" s="23" t="n"/>
      <c r="H267" s="13" t="n">
        <v>-1000</v>
      </c>
      <c r="I267" s="15" t="n">
        <v>0.7460823787543684</v>
      </c>
      <c r="J267" s="15" t="n">
        <v>0.8720930232558138</v>
      </c>
      <c r="K267" s="15" t="n">
        <v>0.9090909090909091</v>
      </c>
      <c r="L267" s="14" t="n">
        <v>-0.08634233194063562</v>
      </c>
      <c r="M267" s="14" t="n">
        <v>-0.1793093833701946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USU @ WASH</t>
        </is>
      </c>
      <c r="C268" s="17" t="inlineStr">
        <is>
          <t>2026-09-12 19:30</t>
        </is>
      </c>
      <c r="D268" s="25" t="n">
        <v>2</v>
      </c>
      <c r="E268" s="17" t="inlineStr">
        <is>
          <t>ML</t>
        </is>
      </c>
      <c r="F268" s="17" t="inlineStr">
        <is>
          <t>WASH ML</t>
        </is>
      </c>
      <c r="G268" s="26" t="n"/>
      <c r="H268" s="18" t="n">
        <v>-3600</v>
      </c>
      <c r="I268" s="20" t="n">
        <v>0.8032197548434139</v>
      </c>
      <c r="J268" s="20" t="n">
        <v>0.9396411092985318</v>
      </c>
      <c r="K268" s="20" t="n">
        <v>0.972972972972973</v>
      </c>
      <c r="L268" s="19" t="n">
        <v>-0.08646197537862689</v>
      </c>
      <c r="M268" s="19" t="n">
        <v>-0.1744685852998247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MSST @ MINN</t>
        </is>
      </c>
      <c r="C269" s="12" t="inlineStr">
        <is>
          <t>2026-09-12 19:30</t>
        </is>
      </c>
      <c r="D269" s="22" t="n">
        <v>2</v>
      </c>
      <c r="E269" s="12" t="inlineStr">
        <is>
          <t>ML</t>
        </is>
      </c>
      <c r="F269" s="12" t="inlineStr">
        <is>
          <t>MSST ML</t>
        </is>
      </c>
      <c r="G269" s="23" t="n"/>
      <c r="H269" s="13" t="n">
        <v>-108</v>
      </c>
      <c r="I269" s="15" t="n">
        <v>0.422288018297321</v>
      </c>
      <c r="J269" s="15" t="n">
        <v>0.4956702459300312</v>
      </c>
      <c r="K269" s="15" t="n">
        <v>0.5192307692307693</v>
      </c>
      <c r="L269" s="14" t="n">
        <v>-0.08694003299331611</v>
      </c>
      <c r="M269" s="14" t="n">
        <v>-0.1867045573533077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GASO @ CLEM</t>
        </is>
      </c>
      <c r="C270" s="17" t="inlineStr">
        <is>
          <t>2026-09-12 23:30</t>
        </is>
      </c>
      <c r="D270" s="25" t="n">
        <v>2</v>
      </c>
      <c r="E270" s="17" t="inlineStr">
        <is>
          <t>TOTAL</t>
        </is>
      </c>
      <c r="F270" s="17" t="inlineStr">
        <is>
          <t>Over 55.5</t>
        </is>
      </c>
      <c r="G270" s="26" t="n">
        <v>55.5</v>
      </c>
      <c r="H270" s="18" t="n">
        <v>-110</v>
      </c>
      <c r="I270" s="20" t="n">
        <v>0.4259569618269385</v>
      </c>
      <c r="J270" s="20" t="n">
        <v>0.5</v>
      </c>
      <c r="K270" s="20" t="n">
        <v>0.5238095238095238</v>
      </c>
      <c r="L270" s="19" t="n">
        <v>-0.08694646683015522</v>
      </c>
      <c r="M270" s="19" t="n">
        <v>-0.1868094365122082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MTST @ NEV</t>
        </is>
      </c>
      <c r="C271" s="12" t="inlineStr">
        <is>
          <t>2026-09-13 02:30</t>
        </is>
      </c>
      <c r="D271" s="22" t="n">
        <v>2</v>
      </c>
      <c r="E271" s="12" t="inlineStr">
        <is>
          <t>TOTAL</t>
        </is>
      </c>
      <c r="F271" s="12" t="inlineStr">
        <is>
          <t>Under 49.5</t>
        </is>
      </c>
      <c r="G271" s="23" t="n">
        <v>49.5</v>
      </c>
      <c r="H271" s="13" t="n">
        <v>-108</v>
      </c>
      <c r="I271" s="15" t="n">
        <v>0.4219391830002497</v>
      </c>
      <c r="J271" s="15" t="n">
        <v>0.4956702459300312</v>
      </c>
      <c r="K271" s="15" t="n">
        <v>0.5192307692307693</v>
      </c>
      <c r="L271" s="14" t="n">
        <v>-0.08705361240735447</v>
      </c>
      <c r="M271" s="14" t="n">
        <v>-0.1873763882958154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MTST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LSU @ MISS</t>
        </is>
      </c>
      <c r="C272" s="17" t="inlineStr">
        <is>
          <t>2026-09-19 23:30</t>
        </is>
      </c>
      <c r="D272" s="25" t="n">
        <v>3</v>
      </c>
      <c r="E272" s="17" t="inlineStr">
        <is>
          <t>TOTAL</t>
        </is>
      </c>
      <c r="F272" s="17" t="inlineStr">
        <is>
          <t>Over 57.5</t>
        </is>
      </c>
      <c r="G272" s="26" t="n">
        <v>57.5</v>
      </c>
      <c r="H272" s="18" t="n">
        <v>-110</v>
      </c>
      <c r="I272" s="20" t="n">
        <v>0.4241040767916703</v>
      </c>
      <c r="J272" s="20" t="n">
        <v>0.5</v>
      </c>
      <c r="K272" s="20" t="n">
        <v>0.5238095238095238</v>
      </c>
      <c r="L272" s="19" t="n">
        <v>-0.08752711656549092</v>
      </c>
      <c r="M272" s="19" t="n">
        <v>-0.1903467624886294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USU @ WASH</t>
        </is>
      </c>
      <c r="C273" s="12" t="inlineStr">
        <is>
          <t>2026-09-12 19:30</t>
        </is>
      </c>
      <c r="D273" s="22" t="n">
        <v>2</v>
      </c>
      <c r="E273" s="12" t="inlineStr">
        <is>
          <t>TOTAL</t>
        </is>
      </c>
      <c r="F273" s="12" t="inlineStr">
        <is>
          <t>Over 55.5</t>
        </is>
      </c>
      <c r="G273" s="23" t="n">
        <v>55.5</v>
      </c>
      <c r="H273" s="13" t="n">
        <v>-108</v>
      </c>
      <c r="I273" s="15" t="n">
        <v>0.4182552723874231</v>
      </c>
      <c r="J273" s="15" t="n">
        <v>0.4956702459300312</v>
      </c>
      <c r="K273" s="15" t="n">
        <v>0.5192307692307693</v>
      </c>
      <c r="L273" s="14" t="n">
        <v>-0.08816315361840843</v>
      </c>
      <c r="M273" s="14" t="n">
        <v>-0.1944713272538517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GAST @ KENN</t>
        </is>
      </c>
      <c r="C274" s="17" t="inlineStr">
        <is>
          <t>2026-09-12 23:00</t>
        </is>
      </c>
      <c r="D274" s="25" t="n">
        <v>2</v>
      </c>
      <c r="E274" s="17" t="inlineStr">
        <is>
          <t>ATS</t>
        </is>
      </c>
      <c r="F274" s="17" t="inlineStr">
        <is>
          <t>KENN -9.5</t>
        </is>
      </c>
      <c r="G274" s="26" t="n">
        <v>-9.5</v>
      </c>
      <c r="H274" s="18" t="n">
        <v>-112</v>
      </c>
      <c r="I274" s="20" t="n">
        <v>0.4254922449679684</v>
      </c>
      <c r="J274" s="20" t="n">
        <v>0.5043297540699688</v>
      </c>
      <c r="K274" s="20" t="n">
        <v>0.5283018867924528</v>
      </c>
      <c r="L274" s="19" t="n">
        <v>-0.08818240631941497</v>
      </c>
      <c r="M274" s="19" t="n">
        <v>-0.1946039648820598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USA @ TULN</t>
        </is>
      </c>
      <c r="C275" s="12" t="inlineStr">
        <is>
          <t>2026-09-12 23:00</t>
        </is>
      </c>
      <c r="D275" s="22" t="n">
        <v>2</v>
      </c>
      <c r="E275" s="12" t="inlineStr">
        <is>
          <t>ATS</t>
        </is>
      </c>
      <c r="F275" s="12" t="inlineStr">
        <is>
          <t>TULN -9.5</t>
        </is>
      </c>
      <c r="G275" s="23" t="n">
        <v>-9.5</v>
      </c>
      <c r="H275" s="13" t="n">
        <v>-105</v>
      </c>
      <c r="I275" s="15" t="n">
        <v>0.4125364120347312</v>
      </c>
      <c r="J275" s="15" t="n">
        <v>0.4891657638136511</v>
      </c>
      <c r="K275" s="15" t="n">
        <v>0.5121951219512195</v>
      </c>
      <c r="L275" s="14" t="n">
        <v>-0.08822816966321924</v>
      </c>
      <c r="M275" s="14" t="n">
        <v>-0.1945717669798105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GASO @ CLEM</t>
        </is>
      </c>
      <c r="C276" s="17" t="inlineStr">
        <is>
          <t>2026-09-12 23:30</t>
        </is>
      </c>
      <c r="D276" s="25" t="n">
        <v>2</v>
      </c>
      <c r="E276" s="17" t="inlineStr">
        <is>
          <t>ML</t>
        </is>
      </c>
      <c r="F276" s="17" t="inlineStr">
        <is>
          <t>CLEM ML</t>
        </is>
      </c>
      <c r="G276" s="26" t="n"/>
      <c r="H276" s="18" t="n">
        <v>-1350</v>
      </c>
      <c r="I276" s="20" t="n">
        <v>0.7520247189195493</v>
      </c>
      <c r="J276" s="20" t="n">
        <v>0.8933823529411765</v>
      </c>
      <c r="K276" s="20" t="n">
        <v>0.9310344827586207</v>
      </c>
      <c r="L276" s="19" t="n">
        <v>-0.0884413153660606</v>
      </c>
      <c r="M276" s="19" t="n">
        <v>-0.1922697463456694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NDSU @ AFA</t>
        </is>
      </c>
      <c r="C277" s="12" t="inlineStr">
        <is>
          <t>2026-09-13 02:00</t>
        </is>
      </c>
      <c r="D277" s="22" t="n">
        <v>2</v>
      </c>
      <c r="E277" s="12" t="inlineStr">
        <is>
          <t>ML</t>
        </is>
      </c>
      <c r="F277" s="12" t="inlineStr">
        <is>
          <t>NDSU ML</t>
        </is>
      </c>
      <c r="G277" s="23" t="n"/>
      <c r="H277" s="13" t="n">
        <v>-130</v>
      </c>
      <c r="I277" s="15" t="n">
        <v>0.4566666779953428</v>
      </c>
      <c r="J277" s="15" t="n">
        <v>0.5427435387673957</v>
      </c>
      <c r="K277" s="15" t="n">
        <v>0.5652173913043478</v>
      </c>
      <c r="L277" s="14" t="n">
        <v>-0.08849024403682941</v>
      </c>
      <c r="M277" s="14" t="n">
        <v>-0.1920512620082397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DEL @ VAN</t>
        </is>
      </c>
      <c r="C278" s="17" t="inlineStr">
        <is>
          <t>2026-09-12 20:15</t>
        </is>
      </c>
      <c r="D278" s="25" t="n">
        <v>2</v>
      </c>
      <c r="E278" s="17" t="inlineStr">
        <is>
          <t>ML</t>
        </is>
      </c>
      <c r="F278" s="17" t="inlineStr">
        <is>
          <t>VAN ML</t>
        </is>
      </c>
      <c r="G278" s="26" t="n"/>
      <c r="H278" s="18" t="n">
        <v>-1450</v>
      </c>
      <c r="I278" s="20" t="n">
        <v>0.7560103953909126</v>
      </c>
      <c r="J278" s="20" t="n">
        <v>0.8988580750407831</v>
      </c>
      <c r="K278" s="20" t="n">
        <v>0.9354838709677419</v>
      </c>
      <c r="L278" s="19" t="n">
        <v>-0.0885331816702418</v>
      </c>
      <c r="M278" s="19" t="n">
        <v>-0.1918509566510934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price outside allowed range</t>
        </is>
      </c>
    </row>
    <row r="279">
      <c r="A279" s="12" t="inlineStr">
        <is>
          <t>PASS</t>
        </is>
      </c>
      <c r="B279" s="12" t="inlineStr">
        <is>
          <t>FLA @ AUB</t>
        </is>
      </c>
      <c r="C279" s="12" t="inlineStr">
        <is>
          <t>2026-09-19 23:00</t>
        </is>
      </c>
      <c r="D279" s="22" t="n">
        <v>3</v>
      </c>
      <c r="E279" s="12" t="inlineStr">
        <is>
          <t>ATS</t>
        </is>
      </c>
      <c r="F279" s="12" t="inlineStr">
        <is>
          <t>FLA -1.5</t>
        </is>
      </c>
      <c r="G279" s="23" t="n">
        <v>1.5</v>
      </c>
      <c r="H279" s="13" t="n">
        <v>-105</v>
      </c>
      <c r="I279" s="15" t="n">
        <v>0.4112440938755677</v>
      </c>
      <c r="J279" s="15" t="n">
        <v>0.4891657638136511</v>
      </c>
      <c r="K279" s="15" t="n">
        <v>0.5121951219512195</v>
      </c>
      <c r="L279" s="14" t="n">
        <v>-0.08858215173363679</v>
      </c>
      <c r="M279" s="14" t="n">
        <v>-0.1970948643381774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NMSU @ HAW</t>
        </is>
      </c>
      <c r="C280" s="17" t="inlineStr">
        <is>
          <t>2026-09-13 03:59</t>
        </is>
      </c>
      <c r="D280" s="25" t="n">
        <v>2</v>
      </c>
      <c r="E280" s="17" t="inlineStr">
        <is>
          <t>ATS</t>
        </is>
      </c>
      <c r="F280" s="17" t="inlineStr">
        <is>
          <t>HAW -7.5</t>
        </is>
      </c>
      <c r="G280" s="26" t="n">
        <v>-7.5</v>
      </c>
      <c r="H280" s="18" t="n">
        <v>-108</v>
      </c>
      <c r="I280" s="20" t="n">
        <v>0.4164601268831099</v>
      </c>
      <c r="J280" s="20" t="n">
        <v>0.4956702459300312</v>
      </c>
      <c r="K280" s="20" t="n">
        <v>0.5192307692307693</v>
      </c>
      <c r="L280" s="19" t="n">
        <v>-0.08864827565400268</v>
      </c>
      <c r="M280" s="19" t="n">
        <v>-0.1979286445214179</v>
      </c>
      <c r="N280" s="20" t="n">
        <v>0</v>
      </c>
      <c r="O280" s="27" t="n">
        <v>0.839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ULM @ UAB</t>
        </is>
      </c>
      <c r="C281" s="12" t="inlineStr">
        <is>
          <t>2026-09-12 19:30</t>
        </is>
      </c>
      <c r="D281" s="22" t="n">
        <v>2</v>
      </c>
      <c r="E281" s="12" t="inlineStr">
        <is>
          <t>ATS</t>
        </is>
      </c>
      <c r="F281" s="12" t="inlineStr">
        <is>
          <t>UAB -10</t>
        </is>
      </c>
      <c r="G281" s="23" t="n">
        <v>-10</v>
      </c>
      <c r="H281" s="13" t="n">
        <v>-105</v>
      </c>
      <c r="I281" s="15" t="n">
        <v>0.4093527473847661</v>
      </c>
      <c r="J281" s="15" t="n">
        <v>0.4891657638136511</v>
      </c>
      <c r="K281" s="15" t="n">
        <v>0.5121951219512195</v>
      </c>
      <c r="L281" s="14" t="n">
        <v>-0.0890682009805128</v>
      </c>
      <c r="M281" s="14" t="n">
        <v>-0.1930571747129259</v>
      </c>
      <c r="N281" s="15" t="n">
        <v>0.0385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MEM @ BOIS</t>
        </is>
      </c>
      <c r="C282" s="17" t="inlineStr">
        <is>
          <t>2026-09-12 22:00</t>
        </is>
      </c>
      <c r="D282" s="25" t="n">
        <v>2</v>
      </c>
      <c r="E282" s="17" t="inlineStr">
        <is>
          <t>ATS</t>
        </is>
      </c>
      <c r="F282" s="17" t="inlineStr">
        <is>
          <t>BOIS -8.5</t>
        </is>
      </c>
      <c r="G282" s="26" t="n">
        <v>-8.5</v>
      </c>
      <c r="H282" s="18" t="n">
        <v>-115</v>
      </c>
      <c r="I282" s="20" t="n">
        <v>0.4267539024062355</v>
      </c>
      <c r="J282" s="20" t="n">
        <v>0.5108342361863488</v>
      </c>
      <c r="K282" s="20" t="n">
        <v>0.5348837209302325</v>
      </c>
      <c r="L282" s="19" t="n">
        <v>-0.08923909790876469</v>
      </c>
      <c r="M282" s="19" t="n">
        <v>-0.2021557476752989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UL @ USC</t>
        </is>
      </c>
      <c r="C283" s="12" t="inlineStr">
        <is>
          <t>2026-09-13 03:00</t>
        </is>
      </c>
      <c r="D283" s="22" t="n">
        <v>2</v>
      </c>
      <c r="E283" s="12" t="inlineStr">
        <is>
          <t>ML</t>
        </is>
      </c>
      <c r="F283" s="12" t="inlineStr">
        <is>
          <t>USC ML</t>
        </is>
      </c>
      <c r="G283" s="23" t="n"/>
      <c r="H283" s="13" t="n">
        <v>-10000</v>
      </c>
      <c r="I283" s="15" t="n">
        <v>0.8089651437286941</v>
      </c>
      <c r="J283" s="15" t="n">
        <v>0.9684473601999376</v>
      </c>
      <c r="K283" s="15" t="n">
        <v>0.9900990099009901</v>
      </c>
      <c r="L283" s="14" t="n">
        <v>-0.0892489786675941</v>
      </c>
      <c r="M283" s="14" t="n">
        <v>-0.182945204834019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price outside allowed range</t>
        </is>
      </c>
    </row>
    <row r="284">
      <c r="A284" s="17" t="inlineStr">
        <is>
          <t>PASS</t>
        </is>
      </c>
      <c r="B284" s="17" t="inlineStr">
        <is>
          <t>RICH @ NCSU</t>
        </is>
      </c>
      <c r="C284" s="17" t="inlineStr">
        <is>
          <t>2026-09-11 23:00</t>
        </is>
      </c>
      <c r="D284" s="25" t="n">
        <v>2</v>
      </c>
      <c r="E284" s="17" t="inlineStr">
        <is>
          <t>ML</t>
        </is>
      </c>
      <c r="F284" s="17" t="inlineStr">
        <is>
          <t>NCSU ML</t>
        </is>
      </c>
      <c r="G284" s="26" t="n"/>
      <c r="H284" s="18" t="n">
        <v>-8000</v>
      </c>
      <c r="I284" s="20" t="n">
        <v>0.7958074552650879</v>
      </c>
      <c r="J284" s="20" t="n">
        <v>0.9578344612181156</v>
      </c>
      <c r="K284" s="20" t="n">
        <v>0.9876543209876543</v>
      </c>
      <c r="L284" s="19" t="n">
        <v>-0.08975245852366692</v>
      </c>
      <c r="M284" s="19" t="n">
        <v>-0.1942449515440986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RICH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ARIZ @ BYU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Under 47.5</t>
        </is>
      </c>
      <c r="G285" s="23" t="n">
        <v>47.5</v>
      </c>
      <c r="H285" s="13" t="n">
        <v>-105</v>
      </c>
      <c r="I285" s="15" t="n">
        <v>0.4059274912691666</v>
      </c>
      <c r="J285" s="15" t="n">
        <v>0.4891657638136511</v>
      </c>
      <c r="K285" s="15" t="n">
        <v>0.5121951219512195</v>
      </c>
      <c r="L285" s="14" t="n">
        <v>-0.08985924321048379</v>
      </c>
      <c r="M285" s="14" t="n">
        <v>-0.2074748979982938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USM @ AUB</t>
        </is>
      </c>
      <c r="C286" s="17" t="inlineStr">
        <is>
          <t>2026-09-12 23:45</t>
        </is>
      </c>
      <c r="D286" s="25" t="n">
        <v>2</v>
      </c>
      <c r="E286" s="17" t="inlineStr">
        <is>
          <t>ML</t>
        </is>
      </c>
      <c r="F286" s="17" t="inlineStr">
        <is>
          <t>AUB ML</t>
        </is>
      </c>
      <c r="G286" s="26" t="n"/>
      <c r="H286" s="18" t="n">
        <v>-9000</v>
      </c>
      <c r="I286" s="20" t="n">
        <v>0.7972186357297476</v>
      </c>
      <c r="J286" s="20" t="n">
        <v>0.9625668449197861</v>
      </c>
      <c r="K286" s="20" t="n">
        <v>0.9890109890109891</v>
      </c>
      <c r="L286" s="19" t="n">
        <v>-0.09002656050573209</v>
      </c>
      <c r="M286" s="19" t="n">
        <v>-0.1939233794288108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price outside allowed range</t>
        </is>
      </c>
    </row>
    <row r="287">
      <c r="A287" s="12" t="inlineStr">
        <is>
          <t>PASS</t>
        </is>
      </c>
      <c r="B287" s="12" t="inlineStr">
        <is>
          <t>RICH @ NCSU</t>
        </is>
      </c>
      <c r="C287" s="12" t="inlineStr">
        <is>
          <t>2026-09-11 23:00</t>
        </is>
      </c>
      <c r="D287" s="22" t="n">
        <v>2</v>
      </c>
      <c r="E287" s="12" t="inlineStr">
        <is>
          <t>TOTAL</t>
        </is>
      </c>
      <c r="F287" s="12" t="inlineStr">
        <is>
          <t>Under 48.5</t>
        </is>
      </c>
      <c r="G287" s="23" t="n">
        <v>48.5</v>
      </c>
      <c r="H287" s="13" t="n">
        <v>-110</v>
      </c>
      <c r="I287" s="15" t="n">
        <v>0.4131437684963022</v>
      </c>
      <c r="J287" s="15" t="n">
        <v>0.5</v>
      </c>
      <c r="K287" s="15" t="n">
        <v>0.5238095238095238</v>
      </c>
      <c r="L287" s="14" t="n">
        <v>-0.09022000336958862</v>
      </c>
      <c r="M287" s="14" t="n">
        <v>-0.2112709874161504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RICH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LT @ LSU</t>
        </is>
      </c>
      <c r="C288" s="17" t="inlineStr">
        <is>
          <t>2026-09-12 23:30</t>
        </is>
      </c>
      <c r="D288" s="25" t="n">
        <v>2</v>
      </c>
      <c r="E288" s="17" t="inlineStr">
        <is>
          <t>ML</t>
        </is>
      </c>
      <c r="F288" s="17" t="inlineStr">
        <is>
          <t>LSU ML</t>
        </is>
      </c>
      <c r="G288" s="26" t="n"/>
      <c r="H288" s="18" t="n">
        <v>-50000</v>
      </c>
      <c r="I288" s="20" t="n">
        <v>0.8035974486473313</v>
      </c>
      <c r="J288" s="20" t="n">
        <v>0.9761439931431837</v>
      </c>
      <c r="K288" s="20" t="n">
        <v>0.998003992015968</v>
      </c>
      <c r="L288" s="19" t="n">
        <v>-0.0905103460436059</v>
      </c>
      <c r="M288" s="19" t="n">
        <v>-0.194795356455374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price outside allowed range</t>
        </is>
      </c>
    </row>
    <row r="289">
      <c r="A289" s="12" t="inlineStr">
        <is>
          <t>PASS</t>
        </is>
      </c>
      <c r="B289" s="12" t="inlineStr">
        <is>
          <t>BUFF @ FIU</t>
        </is>
      </c>
      <c r="C289" s="12" t="inlineStr">
        <is>
          <t>2026-09-12 22:00</t>
        </is>
      </c>
      <c r="D289" s="22" t="n">
        <v>2</v>
      </c>
      <c r="E289" s="12" t="inlineStr">
        <is>
          <t>ATS</t>
        </is>
      </c>
      <c r="F289" s="12" t="inlineStr">
        <is>
          <t>FIU -10.5</t>
        </is>
      </c>
      <c r="G289" s="23" t="n">
        <v>-10.5</v>
      </c>
      <c r="H289" s="13" t="n">
        <v>100</v>
      </c>
      <c r="I289" s="15" t="n">
        <v>0.3936466015414187</v>
      </c>
      <c r="J289" s="15" t="n">
        <v>0.4782608695652174</v>
      </c>
      <c r="K289" s="15" t="n">
        <v>0.5</v>
      </c>
      <c r="L289" s="14" t="n">
        <v>-0.09052484231035232</v>
      </c>
      <c r="M289" s="14" t="n">
        <v>-0.2127067969171625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WAKE @ PUR</t>
        </is>
      </c>
      <c r="C290" s="17" t="inlineStr">
        <is>
          <t>2026-09-12 16:00</t>
        </is>
      </c>
      <c r="D290" s="25" t="n">
        <v>2</v>
      </c>
      <c r="E290" s="17" t="inlineStr">
        <is>
          <t>ML</t>
        </is>
      </c>
      <c r="F290" s="17" t="inlineStr">
        <is>
          <t>WAKE ML</t>
        </is>
      </c>
      <c r="G290" s="26" t="n"/>
      <c r="H290" s="18" t="n">
        <v>-148</v>
      </c>
      <c r="I290" s="20" t="n">
        <v>0.4699580799488208</v>
      </c>
      <c r="J290" s="20" t="n">
        <v>0.5720596355604638</v>
      </c>
      <c r="K290" s="20" t="n">
        <v>0.5967741935483871</v>
      </c>
      <c r="L290" s="19" t="n">
        <v>-0.09066611932590563</v>
      </c>
      <c r="M290" s="19" t="n">
        <v>-0.2125026768425166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NDSU @ AFA</t>
        </is>
      </c>
      <c r="C291" s="12" t="inlineStr">
        <is>
          <t>2026-09-13 02:00</t>
        </is>
      </c>
      <c r="D291" s="22" t="n">
        <v>2</v>
      </c>
      <c r="E291" s="12" t="inlineStr">
        <is>
          <t>ATS</t>
        </is>
      </c>
      <c r="F291" s="12" t="inlineStr">
        <is>
          <t>NDSU -2.5</t>
        </is>
      </c>
      <c r="G291" s="23" t="n">
        <v>2.5</v>
      </c>
      <c r="H291" s="13" t="n">
        <v>-108</v>
      </c>
      <c r="I291" s="15" t="n">
        <v>0.4040241387259175</v>
      </c>
      <c r="J291" s="15" t="n">
        <v>0.4956702459300312</v>
      </c>
      <c r="K291" s="15" t="n">
        <v>0.5192307692307693</v>
      </c>
      <c r="L291" s="14" t="n">
        <v>-0.09120249508314078</v>
      </c>
      <c r="M291" s="14" t="n">
        <v>-0.2218794365278626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MTSU @ MRSH</t>
        </is>
      </c>
      <c r="C292" s="17" t="inlineStr">
        <is>
          <t>2026-09-12 23:00</t>
        </is>
      </c>
      <c r="D292" s="25" t="n">
        <v>2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-108</v>
      </c>
      <c r="I292" s="20" t="n">
        <v>0.4020671982288241</v>
      </c>
      <c r="J292" s="20" t="n">
        <v>0.4956702459300312</v>
      </c>
      <c r="K292" s="20" t="n">
        <v>0.5192307692307693</v>
      </c>
      <c r="L292" s="19" t="n">
        <v>-0.09149979212069673</v>
      </c>
      <c r="M292" s="19" t="n">
        <v>-0.2256483589667091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UNLV @ UNT</t>
        </is>
      </c>
      <c r="C293" s="12" t="inlineStr">
        <is>
          <t>2026-09-12 19:45</t>
        </is>
      </c>
      <c r="D293" s="22" t="n">
        <v>2</v>
      </c>
      <c r="E293" s="12" t="inlineStr">
        <is>
          <t>ML</t>
        </is>
      </c>
      <c r="F293" s="12" t="inlineStr">
        <is>
          <t>UNLV ML</t>
        </is>
      </c>
      <c r="G293" s="23" t="n"/>
      <c r="H293" s="13" t="n">
        <v>-175</v>
      </c>
      <c r="I293" s="15" t="n">
        <v>0.4903236220312247</v>
      </c>
      <c r="J293" s="15" t="n">
        <v>0.6092362344582594</v>
      </c>
      <c r="K293" s="15" t="n">
        <v>0.6363636363636364</v>
      </c>
      <c r="L293" s="14" t="n">
        <v>-0.09193018450278273</v>
      </c>
      <c r="M293" s="14" t="n">
        <v>-0.2294914510937898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USF @ ARMY</t>
        </is>
      </c>
      <c r="C294" s="17" t="inlineStr">
        <is>
          <t>2026-09-12 16:00</t>
        </is>
      </c>
      <c r="D294" s="25" t="n">
        <v>2</v>
      </c>
      <c r="E294" s="17" t="inlineStr">
        <is>
          <t>TOTAL</t>
        </is>
      </c>
      <c r="F294" s="17" t="inlineStr">
        <is>
          <t>Under 46.5</t>
        </is>
      </c>
      <c r="G294" s="26" t="n">
        <v>46.5</v>
      </c>
      <c r="H294" s="18" t="n">
        <v>-112</v>
      </c>
      <c r="I294" s="20" t="n">
        <v>0.4046404617610823</v>
      </c>
      <c r="J294" s="20" t="n">
        <v>0.5043297540699688</v>
      </c>
      <c r="K294" s="20" t="n">
        <v>0.5283018867924528</v>
      </c>
      <c r="L294" s="19" t="n">
        <v>-0.09208418157016582</v>
      </c>
      <c r="M294" s="19" t="n">
        <v>-0.2340734116665228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UCD @ SMU</t>
        </is>
      </c>
      <c r="C295" s="12" t="inlineStr">
        <is>
          <t>2026-09-12 20:00</t>
        </is>
      </c>
      <c r="D295" s="22" t="n">
        <v>2</v>
      </c>
      <c r="E295" s="12" t="inlineStr">
        <is>
          <t>TOTAL</t>
        </is>
      </c>
      <c r="F295" s="12" t="inlineStr">
        <is>
          <t>Over 58.5</t>
        </is>
      </c>
      <c r="G295" s="23" t="n">
        <v>58.5</v>
      </c>
      <c r="H295" s="13" t="n">
        <v>-108</v>
      </c>
      <c r="I295" s="15" t="n">
        <v>0.396824803168214</v>
      </c>
      <c r="J295" s="15" t="n">
        <v>0.4956702459300312</v>
      </c>
      <c r="K295" s="15" t="n">
        <v>0.5192307692307693</v>
      </c>
      <c r="L295" s="14" t="n">
        <v>-0.09218814082238629</v>
      </c>
      <c r="M295" s="14" t="n">
        <v>-0.2357448235278841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UCD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NAVY @ FAU</t>
        </is>
      </c>
      <c r="C296" s="17" t="inlineStr">
        <is>
          <t>2026-09-12 23:30</t>
        </is>
      </c>
      <c r="D296" s="25" t="n">
        <v>2</v>
      </c>
      <c r="E296" s="17" t="inlineStr">
        <is>
          <t>ML</t>
        </is>
      </c>
      <c r="F296" s="17" t="inlineStr">
        <is>
          <t>NAVY ML</t>
        </is>
      </c>
      <c r="G296" s="26" t="n"/>
      <c r="H296" s="18" t="n">
        <v>-205</v>
      </c>
      <c r="I296" s="20" t="n">
        <v>0.5135703349731109</v>
      </c>
      <c r="J296" s="20" t="n">
        <v>0.6447291788002329</v>
      </c>
      <c r="K296" s="20" t="n">
        <v>0.6721311475409836</v>
      </c>
      <c r="L296" s="19" t="n">
        <v>-0.09241293066241837</v>
      </c>
      <c r="M296" s="19" t="n">
        <v>-0.2359075504058594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SDSU @ UCLA</t>
        </is>
      </c>
      <c r="C297" s="12" t="inlineStr">
        <is>
          <t>2026-09-12 23:15</t>
        </is>
      </c>
      <c r="D297" s="22" t="n">
        <v>2</v>
      </c>
      <c r="E297" s="12" t="inlineStr">
        <is>
          <t>ATS</t>
        </is>
      </c>
      <c r="F297" s="12" t="inlineStr">
        <is>
          <t>UCLA -11.5</t>
        </is>
      </c>
      <c r="G297" s="23" t="n">
        <v>-11.5</v>
      </c>
      <c r="H297" s="13" t="n">
        <v>-118</v>
      </c>
      <c r="I297" s="15" t="n">
        <v>0.4115138211029385</v>
      </c>
      <c r="J297" s="15" t="n">
        <v>0.5173641257162701</v>
      </c>
      <c r="K297" s="15" t="n">
        <v>0.5412844036697247</v>
      </c>
      <c r="L297" s="14" t="n">
        <v>-0.0924746673764287</v>
      </c>
      <c r="M297" s="14" t="n">
        <v>-0.239745652538639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SAC @ FRES</t>
        </is>
      </c>
      <c r="C298" s="17" t="inlineStr">
        <is>
          <t>2026-09-13 02:30</t>
        </is>
      </c>
      <c r="D298" s="25" t="n">
        <v>2</v>
      </c>
      <c r="E298" s="17" t="inlineStr">
        <is>
          <t>TOTAL</t>
        </is>
      </c>
      <c r="F298" s="17" t="inlineStr">
        <is>
          <t>Under 45.5</t>
        </is>
      </c>
      <c r="G298" s="26" t="n">
        <v>45.5</v>
      </c>
      <c r="H298" s="18" t="n">
        <v>-115</v>
      </c>
      <c r="I298" s="20" t="n">
        <v>0.4061451756604578</v>
      </c>
      <c r="J298" s="20" t="n">
        <v>0.5108342361863488</v>
      </c>
      <c r="K298" s="20" t="n">
        <v>0.5348837209302325</v>
      </c>
      <c r="L298" s="19" t="n">
        <v>-0.09249254902514331</v>
      </c>
      <c r="M298" s="19" t="n">
        <v>-0.2406851063739267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OU @ MICH</t>
        </is>
      </c>
      <c r="C299" s="12" t="inlineStr">
        <is>
          <t>2026-09-12 16:00</t>
        </is>
      </c>
      <c r="D299" s="22" t="n">
        <v>2</v>
      </c>
      <c r="E299" s="12" t="inlineStr">
        <is>
          <t>ML</t>
        </is>
      </c>
      <c r="F299" s="12" t="inlineStr">
        <is>
          <t>OU ML</t>
        </is>
      </c>
      <c r="G299" s="23" t="n"/>
      <c r="H299" s="13" t="n">
        <v>-230</v>
      </c>
      <c r="I299" s="15" t="n">
        <v>0.5315327694435721</v>
      </c>
      <c r="J299" s="15" t="n">
        <v>0.6690070210631895</v>
      </c>
      <c r="K299" s="15" t="n">
        <v>0.696969696969697</v>
      </c>
      <c r="L299" s="14" t="n">
        <v>-0.09252117038235043</v>
      </c>
      <c r="M299" s="14" t="n">
        <v>-0.2373660264505271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CLT @ MISS</t>
        </is>
      </c>
      <c r="C300" s="17" t="inlineStr">
        <is>
          <t>2026-09-12 23:45</t>
        </is>
      </c>
      <c r="D300" s="25" t="n">
        <v>2</v>
      </c>
      <c r="E300" s="17" t="inlineStr">
        <is>
          <t>TOTAL</t>
        </is>
      </c>
      <c r="F300" s="17" t="inlineStr">
        <is>
          <t>Over 60.5</t>
        </is>
      </c>
      <c r="G300" s="26" t="n">
        <v>60.5</v>
      </c>
      <c r="H300" s="18" t="n">
        <v>-115</v>
      </c>
      <c r="I300" s="20" t="n">
        <v>0.4026775554559343</v>
      </c>
      <c r="J300" s="20" t="n">
        <v>0.5108342361863488</v>
      </c>
      <c r="K300" s="20" t="n">
        <v>0.5348837209302325</v>
      </c>
      <c r="L300" s="19" t="n">
        <v>-0.09282263115503173</v>
      </c>
      <c r="M300" s="19" t="n">
        <v>-0.2471680484954272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MIZ @ KU</t>
        </is>
      </c>
      <c r="C301" s="12" t="inlineStr">
        <is>
          <t>2026-09-12 00:00</t>
        </is>
      </c>
      <c r="D301" s="22" t="n">
        <v>2</v>
      </c>
      <c r="E301" s="12" t="inlineStr">
        <is>
          <t>ML</t>
        </is>
      </c>
      <c r="F301" s="12" t="inlineStr">
        <is>
          <t>MIZ ML</t>
        </is>
      </c>
      <c r="G301" s="23" t="n"/>
      <c r="H301" s="13" t="n">
        <v>-218</v>
      </c>
      <c r="I301" s="15" t="n">
        <v>0.5136222021991772</v>
      </c>
      <c r="J301" s="15" t="n">
        <v>0.6574752261956054</v>
      </c>
      <c r="K301" s="15" t="n">
        <v>0.6855345911949685</v>
      </c>
      <c r="L301" s="14" t="n">
        <v>-0.09312079219683073</v>
      </c>
      <c r="M301" s="14" t="n">
        <v>-0.2507712830305581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ORE @ OKST</t>
        </is>
      </c>
      <c r="C302" s="17" t="inlineStr">
        <is>
          <t>2026-09-12 16:00</t>
        </is>
      </c>
      <c r="D302" s="25" t="n">
        <v>2</v>
      </c>
      <c r="E302" s="17" t="inlineStr">
        <is>
          <t>TOTAL</t>
        </is>
      </c>
      <c r="F302" s="17" t="inlineStr">
        <is>
          <t>Over 57.5</t>
        </is>
      </c>
      <c r="G302" s="26" t="n">
        <v>57.5</v>
      </c>
      <c r="H302" s="18" t="n">
        <v>-108</v>
      </c>
      <c r="I302" s="20" t="n">
        <v>0.3849200101564422</v>
      </c>
      <c r="J302" s="20" t="n">
        <v>0.4956702459300312</v>
      </c>
      <c r="K302" s="20" t="n">
        <v>0.5192307692307693</v>
      </c>
      <c r="L302" s="19" t="n">
        <v>-0.09329408144083856</v>
      </c>
      <c r="M302" s="19" t="n">
        <v>-0.2586725730320373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ARK @ UTAH</t>
        </is>
      </c>
      <c r="C303" s="12" t="inlineStr">
        <is>
          <t>2026-09-13 02:15</t>
        </is>
      </c>
      <c r="D303" s="22" t="n">
        <v>2</v>
      </c>
      <c r="E303" s="12" t="inlineStr">
        <is>
          <t>ATS</t>
        </is>
      </c>
      <c r="F303" s="12" t="inlineStr">
        <is>
          <t>UTAH -12.5</t>
        </is>
      </c>
      <c r="G303" s="23" t="n">
        <v>-12.5</v>
      </c>
      <c r="H303" s="13" t="n">
        <v>-110</v>
      </c>
      <c r="I303" s="15" t="n">
        <v>0.388175153472793</v>
      </c>
      <c r="J303" s="15" t="n">
        <v>0.5</v>
      </c>
      <c r="K303" s="15" t="n">
        <v>0.5238095238095238</v>
      </c>
      <c r="L303" s="14" t="n">
        <v>-0.09330169474458291</v>
      </c>
      <c r="M303" s="14" t="n">
        <v>-0.2589383433701224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MTST @ NEV</t>
        </is>
      </c>
      <c r="C304" s="17" t="inlineStr">
        <is>
          <t>2026-09-13 02:30</t>
        </is>
      </c>
      <c r="D304" s="25" t="n">
        <v>2</v>
      </c>
      <c r="E304" s="17" t="inlineStr">
        <is>
          <t>ML</t>
        </is>
      </c>
      <c r="F304" s="17" t="inlineStr">
        <is>
          <t>MTST ML</t>
        </is>
      </c>
      <c r="G304" s="26" t="n"/>
      <c r="H304" s="18" t="n">
        <v>-198</v>
      </c>
      <c r="I304" s="20" t="n">
        <v>0.4931733917505505</v>
      </c>
      <c r="J304" s="20" t="n">
        <v>0.6369041816941223</v>
      </c>
      <c r="K304" s="20" t="n">
        <v>0.6644295302013423</v>
      </c>
      <c r="L304" s="19" t="n">
        <v>-0.0933718410188301</v>
      </c>
      <c r="M304" s="19" t="n">
        <v>-0.2577491376683633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MTST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WAKE @ PUR</t>
        </is>
      </c>
      <c r="C305" s="12" t="inlineStr">
        <is>
          <t>2026-09-12 16:00</t>
        </is>
      </c>
      <c r="D305" s="22" t="n">
        <v>2</v>
      </c>
      <c r="E305" s="12" t="inlineStr">
        <is>
          <t>ATS</t>
        </is>
      </c>
      <c r="F305" s="12" t="inlineStr">
        <is>
          <t>WAKE -3</t>
        </is>
      </c>
      <c r="G305" s="23" t="n">
        <v>3</v>
      </c>
      <c r="H305" s="13" t="n">
        <v>-110</v>
      </c>
      <c r="I305" s="15" t="n">
        <v>0.3861721315342672</v>
      </c>
      <c r="J305" s="15" t="n">
        <v>0.5</v>
      </c>
      <c r="K305" s="15" t="n">
        <v>0.5238095238095238</v>
      </c>
      <c r="L305" s="14" t="n">
        <v>-0.09343792310958346</v>
      </c>
      <c r="M305" s="14" t="n">
        <v>-0.2492300361849725</v>
      </c>
      <c r="N305" s="15" t="n">
        <v>0.0515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USM @ AUB</t>
        </is>
      </c>
      <c r="C306" s="17" t="inlineStr">
        <is>
          <t>2026-09-12 23:45</t>
        </is>
      </c>
      <c r="D306" s="25" t="n">
        <v>2</v>
      </c>
      <c r="E306" s="17" t="inlineStr">
        <is>
          <t>TOTAL</t>
        </is>
      </c>
      <c r="F306" s="17" t="inlineStr">
        <is>
          <t>Over 57.5</t>
        </is>
      </c>
      <c r="G306" s="26" t="n">
        <v>57.5</v>
      </c>
      <c r="H306" s="18" t="n">
        <v>-105</v>
      </c>
      <c r="I306" s="20" t="n">
        <v>0.3767135744141182</v>
      </c>
      <c r="J306" s="20" t="n">
        <v>0.4891657638136511</v>
      </c>
      <c r="K306" s="20" t="n">
        <v>0.5121951219512195</v>
      </c>
      <c r="L306" s="19" t="n">
        <v>-0.0935089987751223</v>
      </c>
      <c r="M306" s="19" t="n">
        <v>-0.264511592810531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UNLV @ UNT</t>
        </is>
      </c>
      <c r="C307" s="12" t="inlineStr">
        <is>
          <t>2026-09-12 19:45</t>
        </is>
      </c>
      <c r="D307" s="22" t="n">
        <v>2</v>
      </c>
      <c r="E307" s="12" t="inlineStr">
        <is>
          <t>ATS</t>
        </is>
      </c>
      <c r="F307" s="12" t="inlineStr">
        <is>
          <t>UNLV -3.5</t>
        </is>
      </c>
      <c r="G307" s="23" t="n">
        <v>3.5</v>
      </c>
      <c r="H307" s="13" t="n">
        <v>-105</v>
      </c>
      <c r="I307" s="15" t="n">
        <v>0.3752539128895398</v>
      </c>
      <c r="J307" s="15" t="n">
        <v>0.4891657638136511</v>
      </c>
      <c r="K307" s="15" t="n">
        <v>0.5121951219512195</v>
      </c>
      <c r="L307" s="14" t="n">
        <v>-0.0935991136785707</v>
      </c>
      <c r="M307" s="14" t="n">
        <v>-0.2673614081680413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OU @ MICH</t>
        </is>
      </c>
      <c r="C308" s="17" t="inlineStr">
        <is>
          <t>2026-09-12 16:00</t>
        </is>
      </c>
      <c r="D308" s="25" t="n">
        <v>2</v>
      </c>
      <c r="E308" s="17" t="inlineStr">
        <is>
          <t>TOTAL</t>
        </is>
      </c>
      <c r="F308" s="17" t="inlineStr">
        <is>
          <t>Under 43.5</t>
        </is>
      </c>
      <c r="G308" s="26" t="n">
        <v>43.5</v>
      </c>
      <c r="H308" s="18" t="n">
        <v>-105</v>
      </c>
      <c r="I308" s="20" t="n">
        <v>0.3750825722655767</v>
      </c>
      <c r="J308" s="20" t="n">
        <v>0.4891657638136511</v>
      </c>
      <c r="K308" s="20" t="n">
        <v>0.5121951219512195</v>
      </c>
      <c r="L308" s="19" t="n">
        <v>-0.09360933066604486</v>
      </c>
      <c r="M308" s="19" t="n">
        <v>-0.2676959303386359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HOU @ TTU</t>
        </is>
      </c>
      <c r="C309" s="12" t="inlineStr">
        <is>
          <t>2026-09-19 00:00</t>
        </is>
      </c>
      <c r="D309" s="22" t="n">
        <v>3</v>
      </c>
      <c r="E309" s="12" t="inlineStr">
        <is>
          <t>ATS</t>
        </is>
      </c>
      <c r="F309" s="12" t="inlineStr">
        <is>
          <t>TTU -13.5</t>
        </is>
      </c>
      <c r="G309" s="23" t="n">
        <v>-13.5</v>
      </c>
      <c r="H309" s="13" t="n">
        <v>-105</v>
      </c>
      <c r="I309" s="15" t="n">
        <v>0.3669178441682482</v>
      </c>
      <c r="J309" s="15" t="n">
        <v>0.4891657638136511</v>
      </c>
      <c r="K309" s="15" t="n">
        <v>0.5121951219512195</v>
      </c>
      <c r="L309" s="14" t="n">
        <v>-0.09401924831848796</v>
      </c>
      <c r="M309" s="14" t="n">
        <v>-0.2836365899572297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NAVY @ FAU</t>
        </is>
      </c>
      <c r="C310" s="17" t="inlineStr">
        <is>
          <t>2026-09-12 23:30</t>
        </is>
      </c>
      <c r="D310" s="25" t="n">
        <v>2</v>
      </c>
      <c r="E310" s="17" t="inlineStr">
        <is>
          <t>ATS</t>
        </is>
      </c>
      <c r="F310" s="17" t="inlineStr">
        <is>
          <t>NAVY -4.5</t>
        </is>
      </c>
      <c r="G310" s="26" t="n">
        <v>4.5</v>
      </c>
      <c r="H310" s="18" t="n">
        <v>-115</v>
      </c>
      <c r="I310" s="20" t="n">
        <v>0.3779535299536088</v>
      </c>
      <c r="J310" s="20" t="n">
        <v>0.5108342361863488</v>
      </c>
      <c r="K310" s="20" t="n">
        <v>0.5348837209302325</v>
      </c>
      <c r="L310" s="19" t="n">
        <v>-0.09420821522653783</v>
      </c>
      <c r="M310" s="19" t="n">
        <v>-0.2933912266084706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TENN @ GT</t>
        </is>
      </c>
      <c r="C311" s="12" t="inlineStr">
        <is>
          <t>2026-09-12 23:00</t>
        </is>
      </c>
      <c r="D311" s="22" t="n">
        <v>2</v>
      </c>
      <c r="E311" s="12" t="inlineStr">
        <is>
          <t>ML</t>
        </is>
      </c>
      <c r="F311" s="12" t="inlineStr">
        <is>
          <t>TENN ML</t>
        </is>
      </c>
      <c r="G311" s="23" t="n"/>
      <c r="H311" s="13" t="n">
        <v>-535</v>
      </c>
      <c r="I311" s="15" t="n">
        <v>0.5976357307332321</v>
      </c>
      <c r="J311" s="15" t="n">
        <v>0.8081570996978852</v>
      </c>
      <c r="K311" s="15" t="n">
        <v>0.84251968503937</v>
      </c>
      <c r="L311" s="14" t="n">
        <v>-0.09421434493550142</v>
      </c>
      <c r="M311" s="14" t="n">
        <v>-0.2906566560456031</v>
      </c>
      <c r="N311" s="15" t="n">
        <v>0</v>
      </c>
      <c r="O311" s="24" t="n">
        <v>0.725</v>
      </c>
      <c r="P311" s="12" t="inlineStr">
        <is>
          <t>DraftKings</t>
        </is>
      </c>
      <c r="Q311" s="12" t="inlineStr">
        <is>
          <t>price outside allowed range</t>
        </is>
      </c>
    </row>
    <row r="312">
      <c r="A312" s="17" t="inlineStr">
        <is>
          <t>PASS</t>
        </is>
      </c>
      <c r="B312" s="17" t="inlineStr">
        <is>
          <t>OU @ MICH</t>
        </is>
      </c>
      <c r="C312" s="17" t="inlineStr">
        <is>
          <t>2026-09-12 16:00</t>
        </is>
      </c>
      <c r="D312" s="25" t="n">
        <v>2</v>
      </c>
      <c r="E312" s="17" t="inlineStr">
        <is>
          <t>ATS</t>
        </is>
      </c>
      <c r="F312" s="17" t="inlineStr">
        <is>
          <t>OU -5.5</t>
        </is>
      </c>
      <c r="G312" s="26" t="n">
        <v>5.5</v>
      </c>
      <c r="H312" s="18" t="n">
        <v>-110</v>
      </c>
      <c r="I312" s="20" t="n">
        <v>0.36746011436501</v>
      </c>
      <c r="J312" s="20" t="n">
        <v>0.5</v>
      </c>
      <c r="K312" s="20" t="n">
        <v>0.5238095238095238</v>
      </c>
      <c r="L312" s="19" t="n">
        <v>-0.09428635226288594</v>
      </c>
      <c r="M312" s="19" t="n">
        <v>-0.2984852362122535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SOU @ HOU</t>
        </is>
      </c>
      <c r="C313" s="12" t="inlineStr">
        <is>
          <t>2026-09-12 23:00</t>
        </is>
      </c>
      <c r="D313" s="22" t="n">
        <v>2</v>
      </c>
      <c r="E313" s="12" t="inlineStr">
        <is>
          <t>TOTAL</t>
        </is>
      </c>
      <c r="F313" s="12" t="inlineStr">
        <is>
          <t>Over 60.5</t>
        </is>
      </c>
      <c r="G313" s="23" t="n">
        <v>60.5</v>
      </c>
      <c r="H313" s="13" t="n">
        <v>-112</v>
      </c>
      <c r="I313" s="15" t="n">
        <v>0.3699999191105539</v>
      </c>
      <c r="J313" s="15" t="n">
        <v>0.5043297540699688</v>
      </c>
      <c r="K313" s="15" t="n">
        <v>0.5283018867924528</v>
      </c>
      <c r="L313" s="14" t="n">
        <v>-0.094305160987468</v>
      </c>
      <c r="M313" s="14" t="n">
        <v>-0.299643010255023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SOU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WCU @ CIN</t>
        </is>
      </c>
      <c r="C314" s="17" t="inlineStr">
        <is>
          <t>2026-09-12 23:00</t>
        </is>
      </c>
      <c r="D314" s="25" t="n">
        <v>2</v>
      </c>
      <c r="E314" s="17" t="inlineStr">
        <is>
          <t>TOTAL</t>
        </is>
      </c>
      <c r="F314" s="17" t="inlineStr">
        <is>
          <t>Over 60.5</t>
        </is>
      </c>
      <c r="G314" s="26" t="n">
        <v>60.5</v>
      </c>
      <c r="H314" s="18" t="n">
        <v>-110</v>
      </c>
      <c r="I314" s="20" t="n">
        <v>0.3663010363554844</v>
      </c>
      <c r="J314" s="20" t="n">
        <v>0.5</v>
      </c>
      <c r="K314" s="20" t="n">
        <v>0.5238095238095238</v>
      </c>
      <c r="L314" s="19" t="n">
        <v>-0.09432022278967082</v>
      </c>
      <c r="M314" s="19" t="n">
        <v>-0.3006980215031662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WCU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ALA @ UK</t>
        </is>
      </c>
      <c r="C315" s="12" t="inlineStr">
        <is>
          <t>2026-09-12 19:30</t>
        </is>
      </c>
      <c r="D315" s="22" t="n">
        <v>2</v>
      </c>
      <c r="E315" s="12" t="inlineStr">
        <is>
          <t>ML</t>
        </is>
      </c>
      <c r="F315" s="12" t="inlineStr">
        <is>
          <t>ALA ML</t>
        </is>
      </c>
      <c r="G315" s="23" t="n"/>
      <c r="H315" s="13" t="n">
        <v>-425</v>
      </c>
      <c r="I315" s="15" t="n">
        <v>0.5688063839757291</v>
      </c>
      <c r="J315" s="15" t="n">
        <v>0.7768331562167907</v>
      </c>
      <c r="K315" s="15" t="n">
        <v>0.8095238095238095</v>
      </c>
      <c r="L315" s="14" t="n">
        <v>-0.09432576575794695</v>
      </c>
      <c r="M315" s="14" t="n">
        <v>-0.2973568197946875</v>
      </c>
      <c r="N315" s="15" t="n">
        <v>0</v>
      </c>
      <c r="O315" s="24" t="n">
        <v>0.725</v>
      </c>
      <c r="P315" s="12" t="inlineStr">
        <is>
          <t>DraftKings</t>
        </is>
      </c>
      <c r="Q315" s="12" t="inlineStr">
        <is>
          <t>price outside allowed range</t>
        </is>
      </c>
    </row>
    <row r="316">
      <c r="A316" s="17" t="inlineStr">
        <is>
          <t>PASS</t>
        </is>
      </c>
      <c r="B316" s="17" t="inlineStr">
        <is>
          <t>FSU @ ALA</t>
        </is>
      </c>
      <c r="C316" s="17" t="inlineStr">
        <is>
          <t>2026-09-19 19:30</t>
        </is>
      </c>
      <c r="D316" s="25" t="n">
        <v>3</v>
      </c>
      <c r="E316" s="17" t="inlineStr">
        <is>
          <t>ATS</t>
        </is>
      </c>
      <c r="F316" s="17" t="inlineStr">
        <is>
          <t>ALA -15.5</t>
        </is>
      </c>
      <c r="G316" s="26" t="n">
        <v>-15.5</v>
      </c>
      <c r="H316" s="18" t="n">
        <v>-110</v>
      </c>
      <c r="I316" s="20" t="n">
        <v>0.3641817459312134</v>
      </c>
      <c r="J316" s="20" t="n">
        <v>0.5</v>
      </c>
      <c r="K316" s="20" t="n">
        <v>0.5238095238095238</v>
      </c>
      <c r="L316" s="19" t="n">
        <v>-0.09437806393064171</v>
      </c>
      <c r="M316" s="19" t="n">
        <v>-0.3047439395858653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UL @ USC</t>
        </is>
      </c>
      <c r="C317" s="12" t="inlineStr">
        <is>
          <t>2026-09-13 03:00</t>
        </is>
      </c>
      <c r="D317" s="22" t="n">
        <v>2</v>
      </c>
      <c r="E317" s="12" t="inlineStr">
        <is>
          <t>TOTAL</t>
        </is>
      </c>
      <c r="F317" s="12" t="inlineStr">
        <is>
          <t>Over 59.5</t>
        </is>
      </c>
      <c r="G317" s="23" t="n">
        <v>59.5</v>
      </c>
      <c r="H317" s="13" t="n">
        <v>-112</v>
      </c>
      <c r="I317" s="15" t="n">
        <v>0.3654314755253057</v>
      </c>
      <c r="J317" s="15" t="n">
        <v>0.5043297540699688</v>
      </c>
      <c r="K317" s="15" t="n">
        <v>0.5283018867924528</v>
      </c>
      <c r="L317" s="14" t="n">
        <v>-0.09442543615902534</v>
      </c>
      <c r="M317" s="14" t="n">
        <v>-0.3082904213270999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MTSU @ MRSH</t>
        </is>
      </c>
      <c r="C318" s="17" t="inlineStr">
        <is>
          <t>2026-09-12 23:00</t>
        </is>
      </c>
      <c r="D318" s="25" t="n">
        <v>2</v>
      </c>
      <c r="E318" s="17" t="inlineStr">
        <is>
          <t>ATS</t>
        </is>
      </c>
      <c r="F318" s="17" t="inlineStr">
        <is>
          <t>MRSH -13.5</t>
        </is>
      </c>
      <c r="G318" s="26" t="n">
        <v>-13.5</v>
      </c>
      <c r="H318" s="18" t="n">
        <v>-108</v>
      </c>
      <c r="I318" s="20" t="n">
        <v>0.357207263841892</v>
      </c>
      <c r="J318" s="20" t="n">
        <v>0.4956702459300312</v>
      </c>
      <c r="K318" s="20" t="n">
        <v>0.5192307692307693</v>
      </c>
      <c r="L318" s="19" t="n">
        <v>-0.09447097023399888</v>
      </c>
      <c r="M318" s="19" t="n">
        <v>-0.3120452696378376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MTST @ NEV</t>
        </is>
      </c>
      <c r="C319" s="12" t="inlineStr">
        <is>
          <t>2026-09-13 02:30</t>
        </is>
      </c>
      <c r="D319" s="22" t="n">
        <v>2</v>
      </c>
      <c r="E319" s="12" t="inlineStr">
        <is>
          <t>ATS</t>
        </is>
      </c>
      <c r="F319" s="12" t="inlineStr">
        <is>
          <t>MTST -4.5</t>
        </is>
      </c>
      <c r="G319" s="23" t="n">
        <v>4.5</v>
      </c>
      <c r="H319" s="13" t="n">
        <v>-108</v>
      </c>
      <c r="I319" s="15" t="n">
        <v>0.3571068038575103</v>
      </c>
      <c r="J319" s="15" t="n">
        <v>0.4956702459300312</v>
      </c>
      <c r="K319" s="15" t="n">
        <v>0.5192307692307693</v>
      </c>
      <c r="L319" s="14" t="n">
        <v>-0.0944732164668694</v>
      </c>
      <c r="M319" s="14" t="n">
        <v>-0.3122387481262765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MTST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MD @ CONN</t>
        </is>
      </c>
      <c r="C320" s="17" t="inlineStr">
        <is>
          <t>2026-09-12 19:30</t>
        </is>
      </c>
      <c r="D320" s="25" t="n">
        <v>2</v>
      </c>
      <c r="E320" s="17" t="inlineStr">
        <is>
          <t>ML</t>
        </is>
      </c>
      <c r="F320" s="17" t="inlineStr">
        <is>
          <t>MD ML</t>
        </is>
      </c>
      <c r="G320" s="26" t="n"/>
      <c r="H320" s="18" t="n">
        <v>-470</v>
      </c>
      <c r="I320" s="20" t="n">
        <v>0.5695973307479686</v>
      </c>
      <c r="J320" s="20" t="n">
        <v>0.7913616398243045</v>
      </c>
      <c r="K320" s="20" t="n">
        <v>0.8245614035087719</v>
      </c>
      <c r="L320" s="19" t="n">
        <v>-0.09448072373265273</v>
      </c>
      <c r="M320" s="19" t="n">
        <v>-0.3092117478162933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MIZ @ KU</t>
        </is>
      </c>
      <c r="C321" s="12" t="inlineStr">
        <is>
          <t>2026-09-12 00:00</t>
        </is>
      </c>
      <c r="D321" s="22" t="n">
        <v>2</v>
      </c>
      <c r="E321" s="12" t="inlineStr">
        <is>
          <t>ATS</t>
        </is>
      </c>
      <c r="F321" s="12" t="inlineStr">
        <is>
          <t>MIZ -5.5</t>
        </is>
      </c>
      <c r="G321" s="23" t="n">
        <v>5.5</v>
      </c>
      <c r="H321" s="13" t="n">
        <v>-108</v>
      </c>
      <c r="I321" s="15" t="n">
        <v>0.3557974006719666</v>
      </c>
      <c r="J321" s="15" t="n">
        <v>0.4956702459300312</v>
      </c>
      <c r="K321" s="15" t="n">
        <v>0.5192307692307693</v>
      </c>
      <c r="L321" s="14" t="n">
        <v>-0.09450163868421607</v>
      </c>
      <c r="M321" s="14" t="n">
        <v>-0.314760561668805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ASU @ TA&amp;M</t>
        </is>
      </c>
      <c r="C322" s="17" t="inlineStr">
        <is>
          <t>2026-09-12 16:00</t>
        </is>
      </c>
      <c r="D322" s="25" t="n">
        <v>2</v>
      </c>
      <c r="E322" s="17" t="inlineStr">
        <is>
          <t>ATS</t>
        </is>
      </c>
      <c r="F322" s="17" t="inlineStr">
        <is>
          <t>TA&amp;M -14.5</t>
        </is>
      </c>
      <c r="G322" s="26" t="n">
        <v>-14.5</v>
      </c>
      <c r="H322" s="18" t="n">
        <v>100</v>
      </c>
      <c r="I322" s="20" t="n">
        <v>0.3425633244146926</v>
      </c>
      <c r="J322" s="20" t="n">
        <v>0.4782608695652174</v>
      </c>
      <c r="K322" s="20" t="n">
        <v>0.5</v>
      </c>
      <c r="L322" s="19" t="n">
        <v>-0.09451751604643364</v>
      </c>
      <c r="M322" s="19" t="n">
        <v>-0.3148733511706148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ISU @ IOWA</t>
        </is>
      </c>
      <c r="C323" s="12" t="inlineStr">
        <is>
          <t>2026-09-12 23:30</t>
        </is>
      </c>
      <c r="D323" s="22" t="n">
        <v>2</v>
      </c>
      <c r="E323" s="12" t="inlineStr">
        <is>
          <t>ATS</t>
        </is>
      </c>
      <c r="F323" s="12" t="inlineStr">
        <is>
          <t>IOWA -14</t>
        </is>
      </c>
      <c r="G323" s="23" t="n">
        <v>-14</v>
      </c>
      <c r="H323" s="13" t="n">
        <v>-105</v>
      </c>
      <c r="I323" s="15" t="n">
        <v>0.3475265471808841</v>
      </c>
      <c r="J323" s="15" t="n">
        <v>0.4891657638136511</v>
      </c>
      <c r="K323" s="15" t="n">
        <v>0.5121951219512195</v>
      </c>
      <c r="L323" s="14" t="n">
        <v>-0.09457304203931204</v>
      </c>
      <c r="M323" s="14" t="n">
        <v>-0.3108864278056899</v>
      </c>
      <c r="N323" s="15" t="n">
        <v>0.033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TLSA @ SHSU</t>
        </is>
      </c>
      <c r="C324" s="17" t="inlineStr">
        <is>
          <t>2026-09-12 23:00</t>
        </is>
      </c>
      <c r="D324" s="25" t="n">
        <v>2</v>
      </c>
      <c r="E324" s="17" t="inlineStr">
        <is>
          <t>ML</t>
        </is>
      </c>
      <c r="F324" s="17" t="inlineStr">
        <is>
          <t>TLSA ML</t>
        </is>
      </c>
      <c r="G324" s="26" t="n"/>
      <c r="H324" s="18" t="n">
        <v>-600</v>
      </c>
      <c r="I324" s="20" t="n">
        <v>0.577636359365257</v>
      </c>
      <c r="J324" s="20" t="n">
        <v>0.8223350253807106</v>
      </c>
      <c r="K324" s="20" t="n">
        <v>0.8571428571428571</v>
      </c>
      <c r="L324" s="19" t="n">
        <v>-0.09463919475570638</v>
      </c>
      <c r="M324" s="19" t="n">
        <v>-0.3260909140738667</v>
      </c>
      <c r="N324" s="20" t="n">
        <v>0</v>
      </c>
      <c r="O324" s="27" t="n">
        <v>0.725</v>
      </c>
      <c r="P324" s="17" t="inlineStr">
        <is>
          <t>DraftKings</t>
        </is>
      </c>
      <c r="Q324" s="17" t="inlineStr">
        <is>
          <t>price outside allowed range</t>
        </is>
      </c>
    </row>
    <row r="325">
      <c r="A325" s="12" t="inlineStr">
        <is>
          <t>PASS</t>
        </is>
      </c>
      <c r="B325" s="12" t="inlineStr">
        <is>
          <t>PSU @ TEM</t>
        </is>
      </c>
      <c r="C325" s="12" t="inlineStr">
        <is>
          <t>2026-09-12 16:00</t>
        </is>
      </c>
      <c r="D325" s="22" t="n">
        <v>2</v>
      </c>
      <c r="E325" s="12" t="inlineStr">
        <is>
          <t>ML</t>
        </is>
      </c>
      <c r="F325" s="12" t="inlineStr">
        <is>
          <t>PSU ML</t>
        </is>
      </c>
      <c r="G325" s="23" t="n"/>
      <c r="H325" s="13" t="n">
        <v>-3200</v>
      </c>
      <c r="I325" s="15" t="n">
        <v>0.6512187353720603</v>
      </c>
      <c r="J325" s="15" t="n">
        <v>0.9356725146198831</v>
      </c>
      <c r="K325" s="15" t="n">
        <v>0.9696969696969697</v>
      </c>
      <c r="L325" s="14" t="n">
        <v>-0.09468489387463093</v>
      </c>
      <c r="M325" s="14" t="n">
        <v>-0.3284306791475627</v>
      </c>
      <c r="N325" s="15" t="n">
        <v>0</v>
      </c>
      <c r="O325" s="24" t="n">
        <v>0.725</v>
      </c>
      <c r="P325" s="12" t="inlineStr">
        <is>
          <t>DraftKings</t>
        </is>
      </c>
      <c r="Q325" s="12" t="inlineStr">
        <is>
          <t>price outside allowed range</t>
        </is>
      </c>
    </row>
    <row r="326">
      <c r="A326" s="17" t="inlineStr">
        <is>
          <t>PASS</t>
        </is>
      </c>
      <c r="B326" s="17" t="inlineStr">
        <is>
          <t>TTU @ ORST</t>
        </is>
      </c>
      <c r="C326" s="17" t="inlineStr">
        <is>
          <t>2026-09-12 23:30</t>
        </is>
      </c>
      <c r="D326" s="25" t="n">
        <v>2</v>
      </c>
      <c r="E326" s="17" t="inlineStr">
        <is>
          <t>ML</t>
        </is>
      </c>
      <c r="F326" s="17" t="inlineStr">
        <is>
          <t>TTU ML</t>
        </is>
      </c>
      <c r="G326" s="26" t="n"/>
      <c r="H326" s="18" t="n">
        <v>-4500</v>
      </c>
      <c r="I326" s="20" t="n">
        <v>0.6537920592526947</v>
      </c>
      <c r="J326" s="20" t="n">
        <v>0.9462616822429908</v>
      </c>
      <c r="K326" s="20" t="n">
        <v>0.9782608695652174</v>
      </c>
      <c r="L326" s="19" t="n">
        <v>-0.09471674121963741</v>
      </c>
      <c r="M326" s="19" t="n">
        <v>-0.3316792283194677</v>
      </c>
      <c r="N326" s="20" t="n">
        <v>0</v>
      </c>
      <c r="O326" s="27" t="n">
        <v>0.725</v>
      </c>
      <c r="P326" s="17" t="inlineStr">
        <is>
          <t>DraftKings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ORE @ OKST</t>
        </is>
      </c>
      <c r="C327" s="12" t="inlineStr">
        <is>
          <t>2026-09-12 16:00</t>
        </is>
      </c>
      <c r="D327" s="22" t="n">
        <v>2</v>
      </c>
      <c r="E327" s="12" t="inlineStr">
        <is>
          <t>ML</t>
        </is>
      </c>
      <c r="F327" s="12" t="inlineStr">
        <is>
          <t>ORE ML</t>
        </is>
      </c>
      <c r="G327" s="23" t="n"/>
      <c r="H327" s="13" t="n">
        <v>-2100</v>
      </c>
      <c r="I327" s="15" t="n">
        <v>0.6309639759430963</v>
      </c>
      <c r="J327" s="15" t="n">
        <v>0.9197080291970804</v>
      </c>
      <c r="K327" s="15" t="n">
        <v>0.9545454545454546</v>
      </c>
      <c r="L327" s="14" t="n">
        <v>-0.09474432176190228</v>
      </c>
      <c r="M327" s="14" t="n">
        <v>-0.3389901204405658</v>
      </c>
      <c r="N327" s="15" t="n">
        <v>0</v>
      </c>
      <c r="O327" s="24" t="n">
        <v>0.725</v>
      </c>
      <c r="P327" s="12" t="inlineStr">
        <is>
          <t>DraftKings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EMU @ MSU</t>
        </is>
      </c>
      <c r="C328" s="17" t="inlineStr">
        <is>
          <t>2026-09-12 19:30</t>
        </is>
      </c>
      <c r="D328" s="25" t="n">
        <v>2</v>
      </c>
      <c r="E328" s="17" t="inlineStr">
        <is>
          <t>ATS</t>
        </is>
      </c>
      <c r="F328" s="17" t="inlineStr">
        <is>
          <t>MSU -17.5</t>
        </is>
      </c>
      <c r="G328" s="26" t="n">
        <v>-17.5</v>
      </c>
      <c r="H328" s="18" t="n">
        <v>-105</v>
      </c>
      <c r="I328" s="20" t="n">
        <v>0.3207812888146905</v>
      </c>
      <c r="J328" s="20" t="n">
        <v>0.4891657638136511</v>
      </c>
      <c r="K328" s="20" t="n">
        <v>0.5121951219512195</v>
      </c>
      <c r="L328" s="19" t="n">
        <v>-0.09486474453803982</v>
      </c>
      <c r="M328" s="19" t="n">
        <v>-0.3737127218379853</v>
      </c>
      <c r="N328" s="20" t="n">
        <v>0</v>
      </c>
      <c r="O328" s="27" t="n">
        <v>0.725</v>
      </c>
      <c r="P328" s="17" t="inlineStr">
        <is>
          <t>DraftKings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ISU @ IOWA</t>
        </is>
      </c>
      <c r="C329" s="12" t="inlineStr">
        <is>
          <t>2026-09-12 23:30</t>
        </is>
      </c>
      <c r="D329" s="22" t="n">
        <v>2</v>
      </c>
      <c r="E329" s="12" t="inlineStr">
        <is>
          <t>TOTAL</t>
        </is>
      </c>
      <c r="F329" s="12" t="inlineStr">
        <is>
          <t>Under 40.5</t>
        </is>
      </c>
      <c r="G329" s="23" t="n">
        <v>40.5</v>
      </c>
      <c r="H329" s="13" t="n">
        <v>-108</v>
      </c>
      <c r="I329" s="15" t="n">
        <v>0.3247167548762651</v>
      </c>
      <c r="J329" s="15" t="n">
        <v>0.4956702459300312</v>
      </c>
      <c r="K329" s="15" t="n">
        <v>0.5192307692307693</v>
      </c>
      <c r="L329" s="14" t="n">
        <v>-0.09486662570415136</v>
      </c>
      <c r="M329" s="14" t="n">
        <v>-0.3746195832012673</v>
      </c>
      <c r="N329" s="15" t="n">
        <v>0</v>
      </c>
      <c r="O329" s="24" t="n">
        <v>0.725</v>
      </c>
      <c r="P329" s="12" t="inlineStr">
        <is>
          <t>DraftKings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FAMU @ MIA</t>
        </is>
      </c>
      <c r="C330" s="17" t="inlineStr">
        <is>
          <t>2026-09-11 00:00</t>
        </is>
      </c>
      <c r="D330" s="25" t="n">
        <v>2</v>
      </c>
      <c r="E330" s="17" t="inlineStr">
        <is>
          <t>TOTAL</t>
        </is>
      </c>
      <c r="F330" s="17" t="inlineStr">
        <is>
          <t>Over 62.5</t>
        </is>
      </c>
      <c r="G330" s="26" t="n">
        <v>62.5</v>
      </c>
      <c r="H330" s="18" t="n">
        <v>-108</v>
      </c>
      <c r="I330" s="20" t="n">
        <v>0.3235372352930747</v>
      </c>
      <c r="J330" s="20" t="n">
        <v>0.4956702459300312</v>
      </c>
      <c r="K330" s="20" t="n">
        <v>0.5192307692307693</v>
      </c>
      <c r="L330" s="19" t="n">
        <v>-0.09487313850171228</v>
      </c>
      <c r="M330" s="19" t="n">
        <v>-0.3768912505466709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FAMU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HOW @ IU</t>
        </is>
      </c>
      <c r="C331" s="12" t="inlineStr">
        <is>
          <t>2026-09-12 16:00</t>
        </is>
      </c>
      <c r="D331" s="22" t="n">
        <v>2</v>
      </c>
      <c r="E331" s="12" t="inlineStr">
        <is>
          <t>TOTAL</t>
        </is>
      </c>
      <c r="F331" s="12" t="inlineStr">
        <is>
          <t>Over 64.5</t>
        </is>
      </c>
      <c r="G331" s="23" t="n">
        <v>64.5</v>
      </c>
      <c r="H331" s="13" t="n">
        <v>-112</v>
      </c>
      <c r="I331" s="15" t="n">
        <v>0.3221503002915364</v>
      </c>
      <c r="J331" s="15" t="n">
        <v>0.5043297540699688</v>
      </c>
      <c r="K331" s="15" t="n">
        <v>0.5283018867924528</v>
      </c>
      <c r="L331" s="14" t="n">
        <v>-0.09490542227821966</v>
      </c>
      <c r="M331" s="14" t="n">
        <v>-0.390215503019592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HOW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UTSA @ TXST</t>
        </is>
      </c>
      <c r="C332" s="17" t="inlineStr">
        <is>
          <t>2026-09-12 19:30</t>
        </is>
      </c>
      <c r="D332" s="25" t="n">
        <v>2</v>
      </c>
      <c r="E332" s="17" t="inlineStr">
        <is>
          <t>TOTAL</t>
        </is>
      </c>
      <c r="F332" s="17" t="inlineStr">
        <is>
          <t>Over 66.5</t>
        </is>
      </c>
      <c r="G332" s="26" t="n">
        <v>66.5</v>
      </c>
      <c r="H332" s="18" t="n">
        <v>-105</v>
      </c>
      <c r="I332" s="20" t="n">
        <v>0.3050340559266454</v>
      </c>
      <c r="J332" s="20" t="n">
        <v>0.4891657638136511</v>
      </c>
      <c r="K332" s="20" t="n">
        <v>0.5121951219512195</v>
      </c>
      <c r="L332" s="19" t="n">
        <v>-0.09493129726014071</v>
      </c>
      <c r="M332" s="19" t="n">
        <v>-0.4044573193813114</v>
      </c>
      <c r="N332" s="20" t="n">
        <v>0</v>
      </c>
      <c r="O332" s="27" t="n">
        <v>0.725</v>
      </c>
      <c r="P332" s="17" t="inlineStr">
        <is>
          <t>DraftKings</t>
        </is>
      </c>
      <c r="Q332" s="17" t="inlineStr">
        <is>
          <t>raw model/market disagreement exceeds the safety limit</t>
        </is>
      </c>
    </row>
    <row r="333">
      <c r="A333" s="12" t="inlineStr">
        <is>
          <t>PASS</t>
        </is>
      </c>
      <c r="B333" s="12" t="inlineStr">
        <is>
          <t>WSU @ KSU</t>
        </is>
      </c>
      <c r="C333" s="12" t="inlineStr">
        <is>
          <t>2026-09-12 16:00</t>
        </is>
      </c>
      <c r="D333" s="22" t="n">
        <v>2</v>
      </c>
      <c r="E333" s="12" t="inlineStr">
        <is>
          <t>ATS</t>
        </is>
      </c>
      <c r="F333" s="12" t="inlineStr">
        <is>
          <t>KSU -19.5</t>
        </is>
      </c>
      <c r="G333" s="23" t="n">
        <v>-19.5</v>
      </c>
      <c r="H333" s="13" t="n">
        <v>-108</v>
      </c>
      <c r="I333" s="15" t="n">
        <v>0.308242751589649</v>
      </c>
      <c r="J333" s="15" t="n">
        <v>0.4956702459300312</v>
      </c>
      <c r="K333" s="15" t="n">
        <v>0.5192307692307693</v>
      </c>
      <c r="L333" s="14" t="n">
        <v>-0.09493372508580138</v>
      </c>
      <c r="M333" s="14" t="n">
        <v>-0.4063472932347501</v>
      </c>
      <c r="N333" s="15" t="n">
        <v>0</v>
      </c>
      <c r="O333" s="24" t="n">
        <v>0.725</v>
      </c>
      <c r="P333" s="12" t="inlineStr">
        <is>
          <t>DraftKings</t>
        </is>
      </c>
      <c r="Q333" s="12" t="inlineStr">
        <is>
          <t>raw model/market disagreement exceeds the safety limit</t>
        </is>
      </c>
    </row>
    <row r="334">
      <c r="A334" s="17" t="inlineStr">
        <is>
          <t>PASS</t>
        </is>
      </c>
      <c r="B334" s="17" t="inlineStr">
        <is>
          <t>ODU @ VT</t>
        </is>
      </c>
      <c r="C334" s="17" t="inlineStr">
        <is>
          <t>2026-09-12 16:00</t>
        </is>
      </c>
      <c r="D334" s="25" t="n">
        <v>2</v>
      </c>
      <c r="E334" s="17" t="inlineStr">
        <is>
          <t>ATS</t>
        </is>
      </c>
      <c r="F334" s="17" t="inlineStr">
        <is>
          <t>VT -19.5</t>
        </is>
      </c>
      <c r="G334" s="26" t="n">
        <v>-19.5</v>
      </c>
      <c r="H334" s="18" t="n">
        <v>-110</v>
      </c>
      <c r="I334" s="20" t="n">
        <v>0.3082418178700567</v>
      </c>
      <c r="J334" s="20" t="n">
        <v>0.5</v>
      </c>
      <c r="K334" s="20" t="n">
        <v>0.5238095238095238</v>
      </c>
      <c r="L334" s="19" t="n">
        <v>-0.09494082855055345</v>
      </c>
      <c r="M334" s="19" t="n">
        <v>-0.411538347702619</v>
      </c>
      <c r="N334" s="20" t="n">
        <v>0</v>
      </c>
      <c r="O334" s="27" t="n">
        <v>0.725</v>
      </c>
      <c r="P334" s="17" t="inlineStr">
        <is>
          <t>DraftKings</t>
        </is>
      </c>
      <c r="Q334" s="17" t="inlineStr">
        <is>
          <t>raw model/market disagreement exceeds the safety limit</t>
        </is>
      </c>
    </row>
    <row r="335">
      <c r="A335" s="12" t="inlineStr">
        <is>
          <t>PASS</t>
        </is>
      </c>
      <c r="B335" s="12" t="inlineStr">
        <is>
          <t>SAC @ FRES</t>
        </is>
      </c>
      <c r="C335" s="12" t="inlineStr">
        <is>
          <t>2026-09-13 02:30</t>
        </is>
      </c>
      <c r="D335" s="22" t="n">
        <v>2</v>
      </c>
      <c r="E335" s="12" t="inlineStr">
        <is>
          <t>ATS</t>
        </is>
      </c>
      <c r="F335" s="12" t="inlineStr">
        <is>
          <t>FRES -18.5</t>
        </is>
      </c>
      <c r="G335" s="23" t="n">
        <v>-18.5</v>
      </c>
      <c r="H335" s="13" t="n">
        <v>-108</v>
      </c>
      <c r="I335" s="15" t="n">
        <v>0.3051900671102978</v>
      </c>
      <c r="J335" s="15" t="n">
        <v>0.4956702459300312</v>
      </c>
      <c r="K335" s="15" t="n">
        <v>0.5192307692307693</v>
      </c>
      <c r="L335" s="14" t="n">
        <v>-0.09494178185781017</v>
      </c>
      <c r="M335" s="14" t="n">
        <v>-0.4122265374172042</v>
      </c>
      <c r="N335" s="15" t="n">
        <v>0</v>
      </c>
      <c r="O335" s="24" t="n">
        <v>0.725</v>
      </c>
      <c r="P335" s="12" t="inlineStr">
        <is>
          <t>DraftKings</t>
        </is>
      </c>
      <c r="Q335" s="12" t="inlineStr">
        <is>
          <t>raw model/market disagreement exceeds the safety limit</t>
        </is>
      </c>
    </row>
    <row r="336">
      <c r="A336" s="17" t="inlineStr">
        <is>
          <t>PASS</t>
        </is>
      </c>
      <c r="B336" s="17" t="inlineStr">
        <is>
          <t>ALA @ UK</t>
        </is>
      </c>
      <c r="C336" s="17" t="inlineStr">
        <is>
          <t>2026-09-12 19:30</t>
        </is>
      </c>
      <c r="D336" s="25" t="n">
        <v>2</v>
      </c>
      <c r="E336" s="17" t="inlineStr">
        <is>
          <t>ATS</t>
        </is>
      </c>
      <c r="F336" s="17" t="inlineStr">
        <is>
          <t>ALA -10.5</t>
        </is>
      </c>
      <c r="G336" s="26" t="n">
        <v>10.5</v>
      </c>
      <c r="H336" s="18" t="n">
        <v>-110</v>
      </c>
      <c r="I336" s="20" t="n">
        <v>0.3022825859390117</v>
      </c>
      <c r="J336" s="20" t="n">
        <v>0.5</v>
      </c>
      <c r="K336" s="20" t="n">
        <v>0.5238095238095238</v>
      </c>
      <c r="L336" s="19" t="n">
        <v>-0.094953956194537</v>
      </c>
      <c r="M336" s="19" t="n">
        <v>-0.4229150632073413</v>
      </c>
      <c r="N336" s="20" t="n">
        <v>0</v>
      </c>
      <c r="O336" s="27" t="n">
        <v>0.725</v>
      </c>
      <c r="P336" s="17" t="inlineStr">
        <is>
          <t>DraftKings</t>
        </is>
      </c>
      <c r="Q336" s="17" t="inlineStr">
        <is>
          <t>raw model/market disagreement exceeds the safety limit</t>
        </is>
      </c>
    </row>
    <row r="337">
      <c r="A337" s="12" t="inlineStr">
        <is>
          <t>PASS</t>
        </is>
      </c>
      <c r="B337" s="12" t="inlineStr">
        <is>
          <t>TENN @ GT</t>
        </is>
      </c>
      <c r="C337" s="12" t="inlineStr">
        <is>
          <t>2026-09-12 23:00</t>
        </is>
      </c>
      <c r="D337" s="22" t="n">
        <v>2</v>
      </c>
      <c r="E337" s="12" t="inlineStr">
        <is>
          <t>ATS</t>
        </is>
      </c>
      <c r="F337" s="12" t="inlineStr">
        <is>
          <t>TENN -12.5</t>
        </is>
      </c>
      <c r="G337" s="23" t="n">
        <v>12.5</v>
      </c>
      <c r="H337" s="13" t="n">
        <v>-112</v>
      </c>
      <c r="I337" s="15" t="n">
        <v>0.2984355716142071</v>
      </c>
      <c r="J337" s="15" t="n">
        <v>0.5043297540699688</v>
      </c>
      <c r="K337" s="15" t="n">
        <v>0.5283018867924528</v>
      </c>
      <c r="L337" s="14" t="n">
        <v>-0.09496484410458911</v>
      </c>
      <c r="M337" s="14" t="n">
        <v>-0.4351040965873938</v>
      </c>
      <c r="N337" s="15" t="n">
        <v>0</v>
      </c>
      <c r="O337" s="24" t="n">
        <v>0.725</v>
      </c>
      <c r="P337" s="12" t="inlineStr">
        <is>
          <t>DraftKings</t>
        </is>
      </c>
      <c r="Q337" s="12" t="inlineStr">
        <is>
          <t>raw model/market disagreement exceeds the safety limit</t>
        </is>
      </c>
    </row>
    <row r="338">
      <c r="A338" s="17" t="inlineStr">
        <is>
          <t>PASS</t>
        </is>
      </c>
      <c r="B338" s="17" t="inlineStr">
        <is>
          <t>DEL @ VAN</t>
        </is>
      </c>
      <c r="C338" s="17" t="inlineStr">
        <is>
          <t>2026-09-12 20:15</t>
        </is>
      </c>
      <c r="D338" s="25" t="n">
        <v>2</v>
      </c>
      <c r="E338" s="17" t="inlineStr">
        <is>
          <t>ATS</t>
        </is>
      </c>
      <c r="F338" s="17" t="inlineStr">
        <is>
          <t>VAN -20.5</t>
        </is>
      </c>
      <c r="G338" s="26" t="n">
        <v>-20.5</v>
      </c>
      <c r="H338" s="18" t="n">
        <v>-115</v>
      </c>
      <c r="I338" s="20" t="n">
        <v>0.2995124481690852</v>
      </c>
      <c r="J338" s="20" t="n">
        <v>0.5108342361863488</v>
      </c>
      <c r="K338" s="20" t="n">
        <v>0.5348837209302325</v>
      </c>
      <c r="L338" s="19" t="n">
        <v>-0.09496863895416795</v>
      </c>
      <c r="M338" s="19" t="n">
        <v>-0.4400419447273626</v>
      </c>
      <c r="N338" s="20" t="n">
        <v>0</v>
      </c>
      <c r="O338" s="27" t="n">
        <v>0.725</v>
      </c>
      <c r="P338" s="17" t="inlineStr">
        <is>
          <t>DraftKings</t>
        </is>
      </c>
      <c r="Q338" s="17" t="inlineStr">
        <is>
          <t>raw model/market disagreement exceeds the safety limit</t>
        </is>
      </c>
    </row>
    <row r="339">
      <c r="A339" s="12" t="inlineStr">
        <is>
          <t>PASS</t>
        </is>
      </c>
      <c r="B339" s="12" t="inlineStr">
        <is>
          <t>GASO @ CLEM</t>
        </is>
      </c>
      <c r="C339" s="12" t="inlineStr">
        <is>
          <t>2026-09-12 23:30</t>
        </is>
      </c>
      <c r="D339" s="22" t="n">
        <v>2</v>
      </c>
      <c r="E339" s="12" t="inlineStr">
        <is>
          <t>ATS</t>
        </is>
      </c>
      <c r="F339" s="12" t="inlineStr">
        <is>
          <t>CLEM -20.5</t>
        </is>
      </c>
      <c r="G339" s="23" t="n">
        <v>-20.5</v>
      </c>
      <c r="H339" s="13" t="n">
        <v>-115</v>
      </c>
      <c r="I339" s="15" t="n">
        <v>0.2989746518462922</v>
      </c>
      <c r="J339" s="15" t="n">
        <v>0.5108342361863488</v>
      </c>
      <c r="K339" s="15" t="n">
        <v>0.5348837209302325</v>
      </c>
      <c r="L339" s="14" t="n">
        <v>-0.09496932627692349</v>
      </c>
      <c r="M339" s="14" t="n">
        <v>-0.4410473900264972</v>
      </c>
      <c r="N339" s="15" t="n">
        <v>0</v>
      </c>
      <c r="O339" s="24" t="n">
        <v>0.725</v>
      </c>
      <c r="P339" s="12" t="inlineStr">
        <is>
          <t>DraftKings</t>
        </is>
      </c>
      <c r="Q339" s="12" t="inlineStr">
        <is>
          <t>raw model/market disagreement exceeds the safety limit</t>
        </is>
      </c>
    </row>
    <row r="340">
      <c r="A340" s="17" t="inlineStr">
        <is>
          <t>PASS</t>
        </is>
      </c>
      <c r="B340" s="17" t="inlineStr">
        <is>
          <t>MD @ CONN</t>
        </is>
      </c>
      <c r="C340" s="17" t="inlineStr">
        <is>
          <t>2026-09-12 19:30</t>
        </is>
      </c>
      <c r="D340" s="25" t="n">
        <v>2</v>
      </c>
      <c r="E340" s="17" t="inlineStr">
        <is>
          <t>ATS</t>
        </is>
      </c>
      <c r="F340" s="17" t="inlineStr">
        <is>
          <t>MD -12.5</t>
        </is>
      </c>
      <c r="G340" s="26" t="n">
        <v>12.5</v>
      </c>
      <c r="H340" s="18" t="n">
        <v>-108</v>
      </c>
      <c r="I340" s="20" t="n">
        <v>0.2860214689813204</v>
      </c>
      <c r="J340" s="20" t="n">
        <v>0.4956702459300312</v>
      </c>
      <c r="K340" s="20" t="n">
        <v>0.5192307692307693</v>
      </c>
      <c r="L340" s="19" t="n">
        <v>-0.09497420401886435</v>
      </c>
      <c r="M340" s="19" t="n">
        <v>-0.4491438375174569</v>
      </c>
      <c r="N340" s="20" t="n">
        <v>0</v>
      </c>
      <c r="O340" s="27" t="n">
        <v>0.725</v>
      </c>
      <c r="P340" s="17" t="inlineStr">
        <is>
          <t>DraftKings</t>
        </is>
      </c>
      <c r="Q340" s="17" t="inlineStr">
        <is>
          <t>raw model/market disagreement exceeds the safety limit</t>
        </is>
      </c>
    </row>
    <row r="341">
      <c r="A341" s="12" t="inlineStr">
        <is>
          <t>PASS</t>
        </is>
      </c>
      <c r="B341" s="12" t="inlineStr">
        <is>
          <t>UCD @ SMU</t>
        </is>
      </c>
      <c r="C341" s="12" t="inlineStr">
        <is>
          <t>2026-09-12 20:00</t>
        </is>
      </c>
      <c r="D341" s="22" t="n">
        <v>2</v>
      </c>
      <c r="E341" s="12" t="inlineStr">
        <is>
          <t>ATS</t>
        </is>
      </c>
      <c r="F341" s="12" t="inlineStr">
        <is>
          <t>SMU -24.5</t>
        </is>
      </c>
      <c r="G341" s="23" t="n">
        <v>-24.5</v>
      </c>
      <c r="H341" s="13" t="n">
        <v>-105</v>
      </c>
      <c r="I341" s="15" t="n">
        <v>0.2780403066040846</v>
      </c>
      <c r="J341" s="15" t="n">
        <v>0.4891657638136511</v>
      </c>
      <c r="K341" s="15" t="n">
        <v>0.5121951219512195</v>
      </c>
      <c r="L341" s="14" t="n">
        <v>-0.09497849500505273</v>
      </c>
      <c r="M341" s="14" t="n">
        <v>-0.4571594013920254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UCD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TLSA @ SHSU</t>
        </is>
      </c>
      <c r="C342" s="17" t="inlineStr">
        <is>
          <t>2026-09-12 23:00</t>
        </is>
      </c>
      <c r="D342" s="25" t="n">
        <v>2</v>
      </c>
      <c r="E342" s="17" t="inlineStr">
        <is>
          <t>ATS</t>
        </is>
      </c>
      <c r="F342" s="17" t="inlineStr">
        <is>
          <t>TLSA -14</t>
        </is>
      </c>
      <c r="G342" s="26" t="n">
        <v>14</v>
      </c>
      <c r="H342" s="18" t="n">
        <v>-108</v>
      </c>
      <c r="I342" s="20" t="n">
        <v>0.2727743810454126</v>
      </c>
      <c r="J342" s="20" t="n">
        <v>0.4956702459300312</v>
      </c>
      <c r="K342" s="20" t="n">
        <v>0.5192307692307693</v>
      </c>
      <c r="L342" s="19" t="n">
        <v>-0.09498530315587041</v>
      </c>
      <c r="M342" s="19" t="n">
        <v>-0.4685336755719928</v>
      </c>
      <c r="N342" s="20" t="n">
        <v>0.0129</v>
      </c>
      <c r="O342" s="27" t="n">
        <v>0.725</v>
      </c>
      <c r="P342" s="17" t="inlineStr">
        <is>
          <t>DraftKings</t>
        </is>
      </c>
      <c r="Q342" s="17" t="inlineStr">
        <is>
          <t>raw model/market disagreement exceeds the safety limit</t>
        </is>
      </c>
    </row>
    <row r="343">
      <c r="A343" s="12" t="inlineStr">
        <is>
          <t>PASS</t>
        </is>
      </c>
      <c r="B343" s="12" t="inlineStr">
        <is>
          <t>USU @ WASH</t>
        </is>
      </c>
      <c r="C343" s="12" t="inlineStr">
        <is>
          <t>2026-09-12 19:30</t>
        </is>
      </c>
      <c r="D343" s="22" t="n">
        <v>2</v>
      </c>
      <c r="E343" s="12" t="inlineStr">
        <is>
          <t>ATS</t>
        </is>
      </c>
      <c r="F343" s="12" t="inlineStr">
        <is>
          <t>WASH -26.5</t>
        </is>
      </c>
      <c r="G343" s="23" t="n">
        <v>-26.5</v>
      </c>
      <c r="H343" s="13" t="n">
        <v>-110</v>
      </c>
      <c r="I343" s="15" t="n">
        <v>0.2747272428932513</v>
      </c>
      <c r="J343" s="15" t="n">
        <v>0.5</v>
      </c>
      <c r="K343" s="15" t="n">
        <v>0.5238095238095238</v>
      </c>
      <c r="L343" s="14" t="n">
        <v>-0.09498556674868887</v>
      </c>
      <c r="M343" s="14" t="n">
        <v>-0.4755207181128839</v>
      </c>
      <c r="N343" s="15" t="n">
        <v>0</v>
      </c>
      <c r="O343" s="24" t="n">
        <v>0.725</v>
      </c>
      <c r="P343" s="12" t="inlineStr">
        <is>
          <t>DraftKings</t>
        </is>
      </c>
      <c r="Q343" s="12" t="inlineStr">
        <is>
          <t>raw model/market disagreement exceeds the safety limit</t>
        </is>
      </c>
    </row>
    <row r="344">
      <c r="A344" s="17" t="inlineStr">
        <is>
          <t>PASS</t>
        </is>
      </c>
      <c r="B344" s="17" t="inlineStr">
        <is>
          <t>BGSU @ NEB</t>
        </is>
      </c>
      <c r="C344" s="17" t="inlineStr">
        <is>
          <t>2026-09-12 23:00</t>
        </is>
      </c>
      <c r="D344" s="25" t="n">
        <v>2</v>
      </c>
      <c r="E344" s="17" t="inlineStr">
        <is>
          <t>ATS</t>
        </is>
      </c>
      <c r="F344" s="17" t="inlineStr">
        <is>
          <t>NEB -28.5</t>
        </is>
      </c>
      <c r="G344" s="26" t="n">
        <v>-28.5</v>
      </c>
      <c r="H344" s="18" t="n">
        <v>-112</v>
      </c>
      <c r="I344" s="20" t="n">
        <v>0.2721202693495723</v>
      </c>
      <c r="J344" s="20" t="n">
        <v>0.5043297540699688</v>
      </c>
      <c r="K344" s="20" t="n">
        <v>0.5283018867924528</v>
      </c>
      <c r="L344" s="19" t="n">
        <v>-0.09498827860944226</v>
      </c>
      <c r="M344" s="19" t="n">
        <v>-0.4849152044454523</v>
      </c>
      <c r="N344" s="20" t="n">
        <v>0</v>
      </c>
      <c r="O344" s="27" t="n">
        <v>0.725</v>
      </c>
      <c r="P344" s="17" t="inlineStr">
        <is>
          <t>DraftKings</t>
        </is>
      </c>
      <c r="Q344" s="17" t="inlineStr">
        <is>
          <t>raw model/market disagreement exceeds the safety limit</t>
        </is>
      </c>
    </row>
    <row r="345">
      <c r="A345" s="12" t="inlineStr">
        <is>
          <t>PASS</t>
        </is>
      </c>
      <c r="B345" s="12" t="inlineStr">
        <is>
          <t>UL @ USC</t>
        </is>
      </c>
      <c r="C345" s="12" t="inlineStr">
        <is>
          <t>2026-09-13 03:00</t>
        </is>
      </c>
      <c r="D345" s="22" t="n">
        <v>2</v>
      </c>
      <c r="E345" s="12" t="inlineStr">
        <is>
          <t>ATS</t>
        </is>
      </c>
      <c r="F345" s="12" t="inlineStr">
        <is>
          <t>USC -30.5</t>
        </is>
      </c>
      <c r="G345" s="23" t="n">
        <v>-30.5</v>
      </c>
      <c r="H345" s="13" t="n">
        <v>-118</v>
      </c>
      <c r="I345" s="15" t="n">
        <v>0.2699769487855671</v>
      </c>
      <c r="J345" s="15" t="n">
        <v>0.5173641257162701</v>
      </c>
      <c r="K345" s="15" t="n">
        <v>0.5412844036697247</v>
      </c>
      <c r="L345" s="14" t="n">
        <v>-0.09499193096662975</v>
      </c>
      <c r="M345" s="14" t="n">
        <v>-0.5012290268198845</v>
      </c>
      <c r="N345" s="15" t="n">
        <v>0</v>
      </c>
      <c r="O345" s="24" t="n">
        <v>0.725</v>
      </c>
      <c r="P345" s="12" t="inlineStr">
        <is>
          <t>DraftKings</t>
        </is>
      </c>
      <c r="Q345" s="12" t="inlineStr">
        <is>
          <t>raw model/market disagreement exceeds the safety limit</t>
        </is>
      </c>
    </row>
    <row r="346">
      <c r="A346" s="17" t="inlineStr">
        <is>
          <t>PASS</t>
        </is>
      </c>
      <c r="B346" s="17" t="inlineStr">
        <is>
          <t>RICH @ NCSU</t>
        </is>
      </c>
      <c r="C346" s="17" t="inlineStr">
        <is>
          <t>2026-09-11 23:00</t>
        </is>
      </c>
      <c r="D346" s="25" t="n">
        <v>2</v>
      </c>
      <c r="E346" s="17" t="inlineStr">
        <is>
          <t>ATS</t>
        </is>
      </c>
      <c r="F346" s="17" t="inlineStr">
        <is>
          <t>NCSU -30.5</t>
        </is>
      </c>
      <c r="G346" s="26" t="n">
        <v>-30.5</v>
      </c>
      <c r="H346" s="18" t="n">
        <v>-105</v>
      </c>
      <c r="I346" s="20" t="n">
        <v>0.2547418576119829</v>
      </c>
      <c r="J346" s="20" t="n">
        <v>0.4891657638136511</v>
      </c>
      <c r="K346" s="20" t="n">
        <v>0.5121951219512195</v>
      </c>
      <c r="L346" s="19" t="n">
        <v>-0.09499210963596363</v>
      </c>
      <c r="M346" s="19" t="n">
        <v>-0.502646849424224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RICH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USM @ AUB</t>
        </is>
      </c>
      <c r="C347" s="12" t="inlineStr">
        <is>
          <t>2026-09-12 23:45</t>
        </is>
      </c>
      <c r="D347" s="22" t="n">
        <v>2</v>
      </c>
      <c r="E347" s="12" t="inlineStr">
        <is>
          <t>ATS</t>
        </is>
      </c>
      <c r="F347" s="12" t="inlineStr">
        <is>
          <t>AUB -32.5</t>
        </is>
      </c>
      <c r="G347" s="23" t="n">
        <v>-32.5</v>
      </c>
      <c r="H347" s="13" t="n">
        <v>-112</v>
      </c>
      <c r="I347" s="15" t="n">
        <v>0.2590060932091898</v>
      </c>
      <c r="J347" s="15" t="n">
        <v>0.5043297540699688</v>
      </c>
      <c r="K347" s="15" t="n">
        <v>0.5283018867924528</v>
      </c>
      <c r="L347" s="14" t="n">
        <v>-0.09499321980328172</v>
      </c>
      <c r="M347" s="14" t="n">
        <v>-0.5097384664254623</v>
      </c>
      <c r="N347" s="15" t="n">
        <v>0</v>
      </c>
      <c r="O347" s="24" t="n">
        <v>0.725</v>
      </c>
      <c r="P347" s="12" t="inlineStr">
        <is>
          <t>DraftKings</t>
        </is>
      </c>
      <c r="Q347" s="12" t="inlineStr">
        <is>
          <t>raw model/market disagreement exceeds the safety limit</t>
        </is>
      </c>
    </row>
    <row r="348">
      <c r="A348" s="17" t="inlineStr">
        <is>
          <t>PASS</t>
        </is>
      </c>
      <c r="B348" s="17" t="inlineStr">
        <is>
          <t>ORE @ OKST</t>
        </is>
      </c>
      <c r="C348" s="17" t="inlineStr">
        <is>
          <t>2026-09-12 16:00</t>
        </is>
      </c>
      <c r="D348" s="25" t="n">
        <v>2</v>
      </c>
      <c r="E348" s="17" t="inlineStr">
        <is>
          <t>ATS</t>
        </is>
      </c>
      <c r="F348" s="17" t="inlineStr">
        <is>
          <t>ORE -22.5</t>
        </is>
      </c>
      <c r="G348" s="26" t="n">
        <v>22.5</v>
      </c>
      <c r="H348" s="18" t="n">
        <v>-112</v>
      </c>
      <c r="I348" s="20" t="n">
        <v>0.2585691260368181</v>
      </c>
      <c r="J348" s="20" t="n">
        <v>0.5043297540699688</v>
      </c>
      <c r="K348" s="20" t="n">
        <v>0.5283018867924528</v>
      </c>
      <c r="L348" s="19" t="n">
        <v>-0.09499334235313577</v>
      </c>
      <c r="M348" s="19" t="n">
        <v>-0.51056558285888</v>
      </c>
      <c r="N348" s="20" t="n">
        <v>0</v>
      </c>
      <c r="O348" s="27" t="n">
        <v>0.725</v>
      </c>
      <c r="P348" s="17" t="inlineStr">
        <is>
          <t>DraftKings</t>
        </is>
      </c>
      <c r="Q348" s="17" t="inlineStr">
        <is>
          <t>raw model/market disagreement exceeds the safety limit</t>
        </is>
      </c>
    </row>
    <row r="349">
      <c r="A349" s="12" t="inlineStr">
        <is>
          <t>PASS</t>
        </is>
      </c>
      <c r="B349" s="12" t="inlineStr">
        <is>
          <t>PSU @ TEM</t>
        </is>
      </c>
      <c r="C349" s="12" t="inlineStr">
        <is>
          <t>2026-09-12 16:00</t>
        </is>
      </c>
      <c r="D349" s="22" t="n">
        <v>2</v>
      </c>
      <c r="E349" s="12" t="inlineStr">
        <is>
          <t>ATS</t>
        </is>
      </c>
      <c r="F349" s="12" t="inlineStr">
        <is>
          <t>PSU -24.5</t>
        </is>
      </c>
      <c r="G349" s="23" t="n">
        <v>24.5</v>
      </c>
      <c r="H349" s="13" t="n">
        <v>-102</v>
      </c>
      <c r="I349" s="15" t="n">
        <v>0.2464697985115378</v>
      </c>
      <c r="J349" s="15" t="n">
        <v>0.4826358742837298</v>
      </c>
      <c r="K349" s="15" t="n">
        <v>0.504950495049505</v>
      </c>
      <c r="L349" s="14" t="n">
        <v>-0.09499362008509242</v>
      </c>
      <c r="M349" s="14" t="n">
        <v>-0.5118931441242094</v>
      </c>
      <c r="N349" s="15" t="n">
        <v>0</v>
      </c>
      <c r="O349" s="24" t="n">
        <v>0.725</v>
      </c>
      <c r="P349" s="12" t="inlineStr">
        <is>
          <t>DraftKings</t>
        </is>
      </c>
      <c r="Q349" s="12" t="inlineStr">
        <is>
          <t>raw model/market disagreement exceeds the safety limit</t>
        </is>
      </c>
    </row>
    <row r="350">
      <c r="A350" s="17" t="inlineStr">
        <is>
          <t>PASS</t>
        </is>
      </c>
      <c r="B350" s="17" t="inlineStr">
        <is>
          <t>LT @ LSU</t>
        </is>
      </c>
      <c r="C350" s="17" t="inlineStr">
        <is>
          <t>2026-09-12 23:30</t>
        </is>
      </c>
      <c r="D350" s="25" t="n">
        <v>2</v>
      </c>
      <c r="E350" s="17" t="inlineStr">
        <is>
          <t>ATS</t>
        </is>
      </c>
      <c r="F350" s="17" t="inlineStr">
        <is>
          <t>LSU -35.5</t>
        </is>
      </c>
      <c r="G350" s="26" t="n">
        <v>-35.5</v>
      </c>
      <c r="H350" s="18" t="n">
        <v>-110</v>
      </c>
      <c r="I350" s="20" t="n">
        <v>0.2537274414127643</v>
      </c>
      <c r="J350" s="20" t="n">
        <v>0.5</v>
      </c>
      <c r="K350" s="20" t="n">
        <v>0.5238095238095238</v>
      </c>
      <c r="L350" s="19" t="n">
        <v>-0.09499403817236209</v>
      </c>
      <c r="M350" s="19" t="n">
        <v>-0.5156112482119954</v>
      </c>
      <c r="N350" s="20" t="n">
        <v>0</v>
      </c>
      <c r="O350" s="27" t="n">
        <v>0.725</v>
      </c>
      <c r="P350" s="17" t="inlineStr">
        <is>
          <t>DraftKings</t>
        </is>
      </c>
      <c r="Q350" s="17" t="inlineStr">
        <is>
          <t>raw model/market disagreement exceeds the safety limit</t>
        </is>
      </c>
    </row>
    <row r="351">
      <c r="A351" s="12" t="inlineStr">
        <is>
          <t>PASS</t>
        </is>
      </c>
      <c r="B351" s="12" t="inlineStr">
        <is>
          <t>TTU @ ORST</t>
        </is>
      </c>
      <c r="C351" s="12" t="inlineStr">
        <is>
          <t>2026-09-12 23:30</t>
        </is>
      </c>
      <c r="D351" s="22" t="n">
        <v>2</v>
      </c>
      <c r="E351" s="12" t="inlineStr">
        <is>
          <t>ATS</t>
        </is>
      </c>
      <c r="F351" s="12" t="inlineStr">
        <is>
          <t>TTU -26.5</t>
        </is>
      </c>
      <c r="G351" s="23" t="n">
        <v>26.5</v>
      </c>
      <c r="H351" s="13" t="n">
        <v>-110</v>
      </c>
      <c r="I351" s="15" t="n">
        <v>0.2533925438507338</v>
      </c>
      <c r="J351" s="15" t="n">
        <v>0.5</v>
      </c>
      <c r="K351" s="15" t="n">
        <v>0.5238095238095238</v>
      </c>
      <c r="L351" s="14" t="n">
        <v>-0.09499412164727353</v>
      </c>
      <c r="M351" s="14" t="n">
        <v>-0.5162505981031444</v>
      </c>
      <c r="N351" s="15" t="n">
        <v>0</v>
      </c>
      <c r="O351" s="24" t="n">
        <v>0.725</v>
      </c>
      <c r="P351" s="12" t="inlineStr">
        <is>
          <t>DraftKings</t>
        </is>
      </c>
      <c r="Q351" s="12" t="inlineStr">
        <is>
          <t>raw model/market disagreement exceeds the safety limit</t>
        </is>
      </c>
    </row>
    <row r="352">
      <c r="A352" s="17" t="inlineStr">
        <is>
          <t>PASS</t>
        </is>
      </c>
      <c r="B352" s="17" t="inlineStr">
        <is>
          <t>WCU @ CIN</t>
        </is>
      </c>
      <c r="C352" s="17" t="inlineStr">
        <is>
          <t>2026-09-12 23:00</t>
        </is>
      </c>
      <c r="D352" s="25" t="n">
        <v>2</v>
      </c>
      <c r="E352" s="17" t="inlineStr">
        <is>
          <t>ATS</t>
        </is>
      </c>
      <c r="F352" s="17" t="inlineStr">
        <is>
          <t>CIN -36.5</t>
        </is>
      </c>
      <c r="G352" s="26" t="n">
        <v>-36.5</v>
      </c>
      <c r="H352" s="18" t="n">
        <v>-108</v>
      </c>
      <c r="I352" s="20" t="n">
        <v>0.2510758718123928</v>
      </c>
      <c r="J352" s="20" t="n">
        <v>0.4956702459300312</v>
      </c>
      <c r="K352" s="20" t="n">
        <v>0.5192307692307693</v>
      </c>
      <c r="L352" s="19" t="n">
        <v>-0.09499415213112618</v>
      </c>
      <c r="M352" s="19" t="n">
        <v>-0.5164464691020583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WCU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VILL @ LOU</t>
        </is>
      </c>
      <c r="C353" s="12" t="inlineStr">
        <is>
          <t>2026-09-11 23:00</t>
        </is>
      </c>
      <c r="D353" s="22" t="n">
        <v>2</v>
      </c>
      <c r="E353" s="12" t="inlineStr">
        <is>
          <t>ATS</t>
        </is>
      </c>
      <c r="F353" s="12" t="inlineStr">
        <is>
          <t>LOU -36.5</t>
        </is>
      </c>
      <c r="G353" s="23" t="n">
        <v>-36.5</v>
      </c>
      <c r="H353" s="13" t="n">
        <v>-115</v>
      </c>
      <c r="I353" s="15" t="n">
        <v>0.2586162872807677</v>
      </c>
      <c r="J353" s="15" t="n">
        <v>0.5108342361863488</v>
      </c>
      <c r="K353" s="15" t="n">
        <v>0.5348837209302325</v>
      </c>
      <c r="L353" s="14" t="n">
        <v>-0.0949941859468599</v>
      </c>
      <c r="M353" s="14" t="n">
        <v>-0.5164999846489995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VILL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WKU @ UGA</t>
        </is>
      </c>
      <c r="C354" s="17" t="inlineStr">
        <is>
          <t>2026-09-12 16:45</t>
        </is>
      </c>
      <c r="D354" s="25" t="n">
        <v>2</v>
      </c>
      <c r="E354" s="17" t="inlineStr">
        <is>
          <t>ATS</t>
        </is>
      </c>
      <c r="F354" s="17" t="inlineStr">
        <is>
          <t>UGA -41.5</t>
        </is>
      </c>
      <c r="G354" s="26" t="n">
        <v>-41.5</v>
      </c>
      <c r="H354" s="18" t="n">
        <v>-102</v>
      </c>
      <c r="I354" s="20" t="n">
        <v>0.2427424161904501</v>
      </c>
      <c r="J354" s="20" t="n">
        <v>0.4826358742837298</v>
      </c>
      <c r="K354" s="20" t="n">
        <v>0.504950495049505</v>
      </c>
      <c r="L354" s="19" t="n">
        <v>-0.09499457742410974</v>
      </c>
      <c r="M354" s="19" t="n">
        <v>-0.5192748228385204</v>
      </c>
      <c r="N354" s="20" t="n">
        <v>0</v>
      </c>
      <c r="O354" s="27" t="n">
        <v>0.725</v>
      </c>
      <c r="P354" s="17" t="inlineStr">
        <is>
          <t>DraftKings</t>
        </is>
      </c>
      <c r="Q354" s="17" t="inlineStr">
        <is>
          <t>raw model/market disagreement exceeds the safety limit</t>
        </is>
      </c>
    </row>
    <row r="355">
      <c r="A355" s="12" t="inlineStr">
        <is>
          <t>PASS</t>
        </is>
      </c>
      <c r="B355" s="12" t="inlineStr">
        <is>
          <t>NORF @ UVA</t>
        </is>
      </c>
      <c r="C355" s="12" t="inlineStr">
        <is>
          <t>2026-09-11 23:00</t>
        </is>
      </c>
      <c r="D355" s="22" t="n">
        <v>2</v>
      </c>
      <c r="E355" s="12" t="inlineStr">
        <is>
          <t>ATS</t>
        </is>
      </c>
      <c r="F355" s="12" t="inlineStr">
        <is>
          <t>UVA -44.5</t>
        </is>
      </c>
      <c r="G355" s="23" t="n">
        <v>-44.5</v>
      </c>
      <c r="H355" s="13" t="n">
        <v>-115</v>
      </c>
      <c r="I355" s="15" t="n">
        <v>0.2564625488587616</v>
      </c>
      <c r="J355" s="15" t="n">
        <v>0.5108342361863488</v>
      </c>
      <c r="K355" s="15" t="n">
        <v>0.5348837209302325</v>
      </c>
      <c r="L355" s="14" t="n">
        <v>-0.0949946797509251</v>
      </c>
      <c r="M355" s="14" t="n">
        <v>-0.5205265390901415</v>
      </c>
      <c r="N355" s="15" t="n">
        <v>0</v>
      </c>
      <c r="O355" s="24" t="n">
        <v>0.725</v>
      </c>
      <c r="P355" s="12" t="inlineStr">
        <is>
          <t>DraftKings</t>
        </is>
      </c>
      <c r="Q355" s="12" t="inlineStr">
        <is>
          <t>NORF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RICE @ ND</t>
        </is>
      </c>
      <c r="C356" s="17" t="inlineStr">
        <is>
          <t>2026-09-12 19:30</t>
        </is>
      </c>
      <c r="D356" s="25" t="n">
        <v>2</v>
      </c>
      <c r="E356" s="17" t="inlineStr">
        <is>
          <t>ATS</t>
        </is>
      </c>
      <c r="F356" s="17" t="inlineStr">
        <is>
          <t>ND -44.5</t>
        </is>
      </c>
      <c r="G356" s="26" t="n">
        <v>-44.5</v>
      </c>
      <c r="H356" s="18" t="n">
        <v>-112</v>
      </c>
      <c r="I356" s="20" t="n">
        <v>0.2527859006253381</v>
      </c>
      <c r="J356" s="20" t="n">
        <v>0.5043297540699688</v>
      </c>
      <c r="K356" s="20" t="n">
        <v>0.5283018867924528</v>
      </c>
      <c r="L356" s="19" t="n">
        <v>-0.09499477026864767</v>
      </c>
      <c r="M356" s="19" t="n">
        <v>-0.5215124023877529</v>
      </c>
      <c r="N356" s="20" t="n">
        <v>0</v>
      </c>
      <c r="O356" s="27" t="n">
        <v>0.725</v>
      </c>
      <c r="P356" s="17" t="inlineStr">
        <is>
          <t>DraftKings</t>
        </is>
      </c>
      <c r="Q356" s="17" t="inlineStr">
        <is>
          <t>raw model/market disagreement exceeds the safety limit</t>
        </is>
      </c>
    </row>
    <row r="357">
      <c r="A357" s="12" t="inlineStr">
        <is>
          <t>PASS</t>
        </is>
      </c>
      <c r="B357" s="12" t="inlineStr">
        <is>
          <t>CLT @ MISS</t>
        </is>
      </c>
      <c r="C357" s="12" t="inlineStr">
        <is>
          <t>2026-09-12 23:45</t>
        </is>
      </c>
      <c r="D357" s="22" t="n">
        <v>2</v>
      </c>
      <c r="E357" s="12" t="inlineStr">
        <is>
          <t>ATS</t>
        </is>
      </c>
      <c r="F357" s="12" t="inlineStr">
        <is>
          <t>MISS -47.5</t>
        </is>
      </c>
      <c r="G357" s="23" t="n">
        <v>-47.5</v>
      </c>
      <c r="H357" s="13" t="n">
        <v>-108</v>
      </c>
      <c r="I357" s="15" t="n">
        <v>0.2481395147017809</v>
      </c>
      <c r="J357" s="15" t="n">
        <v>0.4956702459300312</v>
      </c>
      <c r="K357" s="15" t="n">
        <v>0.5192307692307693</v>
      </c>
      <c r="L357" s="14" t="n">
        <v>-0.09499483778970277</v>
      </c>
      <c r="M357" s="14" t="n">
        <v>-0.5221016753891626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raw model/market disagreement exceeds the safety limit</t>
        </is>
      </c>
    </row>
    <row r="358">
      <c r="A358" s="17" t="inlineStr">
        <is>
          <t>PASS</t>
        </is>
      </c>
      <c r="B358" s="17" t="inlineStr">
        <is>
          <t>SOU @ HOU</t>
        </is>
      </c>
      <c r="C358" s="17" t="inlineStr">
        <is>
          <t>2026-09-12 23:00</t>
        </is>
      </c>
      <c r="D358" s="25" t="n">
        <v>2</v>
      </c>
      <c r="E358" s="17" t="inlineStr">
        <is>
          <t>ATS</t>
        </is>
      </c>
      <c r="F358" s="17" t="inlineStr">
        <is>
          <t>HOU -51.5</t>
        </is>
      </c>
      <c r="G358" s="26" t="n">
        <v>-51.5</v>
      </c>
      <c r="H358" s="18" t="n">
        <v>-112</v>
      </c>
      <c r="I358" s="20" t="n">
        <v>0.2522328065736266</v>
      </c>
      <c r="J358" s="20" t="n">
        <v>0.5043297540699688</v>
      </c>
      <c r="K358" s="20" t="n">
        <v>0.5283018867924528</v>
      </c>
      <c r="L358" s="19" t="n">
        <v>-0.09499488962748642</v>
      </c>
      <c r="M358" s="19" t="n">
        <v>-0.5225593304142068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SOU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FAMU @ MIA</t>
        </is>
      </c>
      <c r="C359" s="12" t="inlineStr">
        <is>
          <t>2026-09-11 00:00</t>
        </is>
      </c>
      <c r="D359" s="22" t="n">
        <v>2</v>
      </c>
      <c r="E359" s="12" t="inlineStr">
        <is>
          <t>ATS</t>
        </is>
      </c>
      <c r="F359" s="12" t="inlineStr">
        <is>
          <t>MIA -56.5</t>
        </is>
      </c>
      <c r="G359" s="23" t="n">
        <v>-56.5</v>
      </c>
      <c r="H359" s="13" t="n">
        <v>-112</v>
      </c>
      <c r="I359" s="15" t="n">
        <v>0.252198049099286</v>
      </c>
      <c r="J359" s="15" t="n">
        <v>0.5043297540699688</v>
      </c>
      <c r="K359" s="15" t="n">
        <v>0.5283018867924528</v>
      </c>
      <c r="L359" s="14" t="n">
        <v>-0.09499489703659368</v>
      </c>
      <c r="M359" s="14" t="n">
        <v>-0.5226251213477802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FAMU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HOW @ IU</t>
        </is>
      </c>
      <c r="C360" s="17" t="inlineStr">
        <is>
          <t>2026-09-12 16:00</t>
        </is>
      </c>
      <c r="D360" s="25" t="n">
        <v>2</v>
      </c>
      <c r="E360" s="17" t="inlineStr">
        <is>
          <t>ATS</t>
        </is>
      </c>
      <c r="F360" s="17" t="inlineStr">
        <is>
          <t>IU -56.5</t>
        </is>
      </c>
      <c r="G360" s="26" t="n">
        <v>-56.5</v>
      </c>
      <c r="H360" s="18" t="n">
        <v>-112</v>
      </c>
      <c r="I360" s="20" t="n">
        <v>0.2521839140833119</v>
      </c>
      <c r="J360" s="20" t="n">
        <v>0.5043297540699688</v>
      </c>
      <c r="K360" s="20" t="n">
        <v>0.5283018867924528</v>
      </c>
      <c r="L360" s="19" t="n">
        <v>-0.09499490004662337</v>
      </c>
      <c r="M360" s="19" t="n">
        <v>-0.5226518769137309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TOTAL</t>
        </is>
      </c>
      <c r="D6" s="12" t="inlineStr">
        <is>
          <t>Under 57.5</t>
        </is>
      </c>
      <c r="E6" s="13" t="n">
        <v>-110</v>
      </c>
      <c r="F6" s="16" t="n">
        <v>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0.08749999999999999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FLA @ AUB</t>
        </is>
      </c>
      <c r="C7" s="17" t="inlineStr">
        <is>
          <t>ATS</t>
        </is>
      </c>
      <c r="D7" s="17" t="inlineStr">
        <is>
          <t>AUB +1.5</t>
        </is>
      </c>
      <c r="E7" s="18" t="n">
        <v>-115</v>
      </c>
      <c r="F7" s="21" t="n">
        <v>6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FSU @ ALA</t>
        </is>
      </c>
      <c r="C8" s="12" t="inlineStr">
        <is>
          <t>ML</t>
        </is>
      </c>
      <c r="D8" s="12" t="inlineStr">
        <is>
          <t>FSU ML</t>
        </is>
      </c>
      <c r="E8" s="13" t="n">
        <v>440</v>
      </c>
      <c r="F8" s="16" t="n">
        <v>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0.0949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SMU @ LOU</t>
        </is>
      </c>
      <c r="C9" s="17" t="inlineStr">
        <is>
          <t>TOTAL</t>
        </is>
      </c>
      <c r="D9" s="17" t="inlineStr">
        <is>
          <t>Under 56.5</t>
        </is>
      </c>
      <c r="E9" s="18" t="n">
        <v>-112</v>
      </c>
      <c r="F9" s="21" t="n">
        <v>4.5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0.0829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HOU @ TTU</t>
        </is>
      </c>
      <c r="C10" s="12" t="inlineStr">
        <is>
          <t>ATS</t>
        </is>
      </c>
      <c r="D10" s="12" t="inlineStr">
        <is>
          <t>HOU +13.5</t>
        </is>
      </c>
      <c r="E10" s="13" t="n">
        <v>-115</v>
      </c>
      <c r="F10" s="16" t="n">
        <v>7.5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0.09379999999999999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NMSU @ HAW</t>
        </is>
      </c>
      <c r="C11" s="17" t="inlineStr">
        <is>
          <t>ATS</t>
        </is>
      </c>
      <c r="D11" s="17" t="inlineStr">
        <is>
          <t>NMSU +11.5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0.0994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2026-09-13</t>
        </is>
      </c>
      <c r="B12" s="12" t="inlineStr">
        <is>
          <t>NMSU @ HAW</t>
        </is>
      </c>
      <c r="C12" s="12" t="inlineStr">
        <is>
          <t>ML</t>
        </is>
      </c>
      <c r="D12" s="12" t="inlineStr">
        <is>
          <t>NMSU ML</t>
        </is>
      </c>
      <c r="E12" s="13" t="n">
        <v>300</v>
      </c>
      <c r="F12" s="16" t="n">
        <v>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BEST BET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2026-09-13</t>
        </is>
      </c>
      <c r="B13" s="17" t="inlineStr">
        <is>
          <t>UL @ USC</t>
        </is>
      </c>
      <c r="C13" s="17" t="inlineStr">
        <is>
          <t>TOTAL</t>
        </is>
      </c>
      <c r="D13" s="17" t="inlineStr">
        <is>
          <t>Under 59.5</t>
        </is>
      </c>
      <c r="E13" s="18" t="n">
        <v>-112</v>
      </c>
      <c r="F13" s="21" t="n">
        <v>18.5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0.1106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2026-09-13</t>
        </is>
      </c>
      <c r="B14" s="12" t="inlineStr">
        <is>
          <t>ARK @ UTAH</t>
        </is>
      </c>
      <c r="C14" s="12" t="inlineStr">
        <is>
          <t>ATS</t>
        </is>
      </c>
      <c r="D14" s="12" t="inlineStr">
        <is>
          <t>ARK +9.5</t>
        </is>
      </c>
      <c r="E14" s="13" t="n">
        <v>-105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0.09180000000000001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2026-09-13</t>
        </is>
      </c>
      <c r="B15" s="17" t="inlineStr">
        <is>
          <t>ARK @ UTAH</t>
        </is>
      </c>
      <c r="C15" s="17" t="inlineStr">
        <is>
          <t>ML</t>
        </is>
      </c>
      <c r="D15" s="17" t="inlineStr">
        <is>
          <t>ARK ML</t>
        </is>
      </c>
      <c r="E15" s="18" t="n">
        <v>380</v>
      </c>
      <c r="F15" s="21" t="n">
        <v>2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2026-09-13</t>
        </is>
      </c>
      <c r="B16" s="12" t="inlineStr">
        <is>
          <t>NDSU @ AFA</t>
        </is>
      </c>
      <c r="C16" s="12" t="inlineStr">
        <is>
          <t>ML</t>
        </is>
      </c>
      <c r="D16" s="12" t="inlineStr">
        <is>
          <t>AFA ML</t>
        </is>
      </c>
      <c r="E16" s="13" t="n">
        <v>180</v>
      </c>
      <c r="F16" s="16" t="n">
        <v>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CLT @ MISS</t>
        </is>
      </c>
      <c r="C17" s="17" t="inlineStr">
        <is>
          <t>TOTAL</t>
        </is>
      </c>
      <c r="D17" s="17" t="inlineStr">
        <is>
          <t>Under 61.5</t>
        </is>
      </c>
      <c r="E17" s="18" t="n">
        <v>-108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0.1108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OSU @ TEX</t>
        </is>
      </c>
      <c r="C18" s="12" t="inlineStr">
        <is>
          <t>TOTAL</t>
        </is>
      </c>
      <c r="D18" s="12" t="inlineStr">
        <is>
          <t>Over 47.5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0.1189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TTU @ ORST</t>
        </is>
      </c>
      <c r="C19" s="17" t="inlineStr">
        <is>
          <t>TOTAL</t>
        </is>
      </c>
      <c r="D19" s="17" t="inlineStr">
        <is>
          <t>Over 49.5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0.1092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ISU @ IOWA</t>
        </is>
      </c>
      <c r="C20" s="12" t="inlineStr">
        <is>
          <t>ATS</t>
        </is>
      </c>
      <c r="D20" s="12" t="inlineStr">
        <is>
          <t>ISU +12.5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0.1201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ISU @ IOWA</t>
        </is>
      </c>
      <c r="C21" s="17" t="inlineStr">
        <is>
          <t>ML</t>
        </is>
      </c>
      <c r="D21" s="17" t="inlineStr">
        <is>
          <t>ISU ML</t>
        </is>
      </c>
      <c r="E21" s="18" t="n">
        <v>550</v>
      </c>
      <c r="F21" s="21" t="n">
        <v>19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GASO @ CLEM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-108</v>
      </c>
      <c r="F22" s="16" t="n">
        <v>24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0.0882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NAVY @ FAU</t>
        </is>
      </c>
      <c r="C23" s="17" t="inlineStr">
        <is>
          <t>ML</t>
        </is>
      </c>
      <c r="D23" s="17" t="inlineStr">
        <is>
          <t>FAU ML</t>
        </is>
      </c>
      <c r="E23" s="18" t="n">
        <v>195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0.1327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SDSU @ UCLA</t>
        </is>
      </c>
      <c r="C24" s="12" t="inlineStr">
        <is>
          <t>TOTAL</t>
        </is>
      </c>
      <c r="D24" s="12" t="inlineStr">
        <is>
          <t>Over 48.5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0.1218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SDSU @ UCLA</t>
        </is>
      </c>
      <c r="C25" s="17" t="inlineStr">
        <is>
          <t>ML</t>
        </is>
      </c>
      <c r="D25" s="17" t="inlineStr">
        <is>
          <t>SDSU ML</t>
        </is>
      </c>
      <c r="E25" s="18" t="n">
        <v>380</v>
      </c>
      <c r="F25" s="21" t="n">
        <v>2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0.09470000000000001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USA @ TULN</t>
        </is>
      </c>
      <c r="C26" s="12" t="inlineStr">
        <is>
          <t>ML</t>
        </is>
      </c>
      <c r="D26" s="12" t="inlineStr">
        <is>
          <t>USA ML</t>
        </is>
      </c>
      <c r="E26" s="13" t="n">
        <v>330</v>
      </c>
      <c r="F26" s="16" t="n">
        <v>2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0.09470000000000001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MTSU @ MRSH</t>
        </is>
      </c>
      <c r="C27" s="17" t="inlineStr">
        <is>
          <t>ML</t>
        </is>
      </c>
      <c r="D27" s="17" t="inlineStr">
        <is>
          <t>MTSU ML</t>
        </is>
      </c>
      <c r="E27" s="18" t="n">
        <v>490</v>
      </c>
      <c r="F27" s="21" t="n">
        <v>1.5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MTSU @ MRSH</t>
        </is>
      </c>
      <c r="C28" s="12" t="inlineStr">
        <is>
          <t>TOTAL</t>
        </is>
      </c>
      <c r="D28" s="12" t="inlineStr">
        <is>
          <t>Under 57.5</t>
        </is>
      </c>
      <c r="E28" s="13" t="n">
        <v>-105</v>
      </c>
      <c r="F28" s="16" t="n">
        <v>14.5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0.07820000000000001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BUFF @ FIU</t>
        </is>
      </c>
      <c r="C29" s="17" t="inlineStr">
        <is>
          <t>ML</t>
        </is>
      </c>
      <c r="D29" s="17" t="inlineStr">
        <is>
          <t>BUFF ML</t>
        </is>
      </c>
      <c r="E29" s="18" t="n">
        <v>340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0.0946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JVST @ OHIO</t>
        </is>
      </c>
      <c r="C30" s="12" t="inlineStr">
        <is>
          <t>TOTAL</t>
        </is>
      </c>
      <c r="D30" s="12" t="inlineStr">
        <is>
          <t>Over 48.5</t>
        </is>
      </c>
      <c r="E30" s="13" t="n">
        <v>-110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0.1159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UNLV @ UNT</t>
        </is>
      </c>
      <c r="C31" s="17" t="inlineStr">
        <is>
          <t>ATS</t>
        </is>
      </c>
      <c r="D31" s="17" t="inlineStr">
        <is>
          <t>UNT +5.5</t>
        </is>
      </c>
      <c r="E31" s="18" t="n">
        <v>-105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0.1238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UNLV @ UNT</t>
        </is>
      </c>
      <c r="C32" s="12" t="inlineStr">
        <is>
          <t>ML</t>
        </is>
      </c>
      <c r="D32" s="12" t="inlineStr">
        <is>
          <t>UNT ML</t>
        </is>
      </c>
      <c r="E32" s="13" t="n">
        <v>185</v>
      </c>
      <c r="F32" s="16" t="n">
        <v>24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0.1187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UCF @ PITT</t>
        </is>
      </c>
      <c r="C33" s="17" t="inlineStr">
        <is>
          <t>ATS</t>
        </is>
      </c>
      <c r="D33" s="17" t="inlineStr">
        <is>
          <t>UCF +8.5</t>
        </is>
      </c>
      <c r="E33" s="18" t="n">
        <v>-110</v>
      </c>
      <c r="F33" s="21" t="n">
        <v>15.5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0.0569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UCF @ PITT</t>
        </is>
      </c>
      <c r="C34" s="12" t="inlineStr">
        <is>
          <t>TOTAL</t>
        </is>
      </c>
      <c r="D34" s="12" t="inlineStr">
        <is>
          <t>Over 51.5</t>
        </is>
      </c>
      <c r="E34" s="13" t="n">
        <v>-108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0.1061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CAL @ SYR</t>
        </is>
      </c>
      <c r="C35" s="17" t="inlineStr">
        <is>
          <t>ATS</t>
        </is>
      </c>
      <c r="D35" s="17" t="inlineStr">
        <is>
          <t>SYR +1.5</t>
        </is>
      </c>
      <c r="E35" s="18" t="n">
        <v>-108</v>
      </c>
      <c r="F35" s="21" t="n">
        <v>23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0.0987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EMU @ MSU</t>
        </is>
      </c>
      <c r="C36" s="12" t="inlineStr">
        <is>
          <t>ML</t>
        </is>
      </c>
      <c r="D36" s="12" t="inlineStr">
        <is>
          <t>EMU ML</t>
        </is>
      </c>
      <c r="E36" s="13" t="n">
        <v>550</v>
      </c>
      <c r="F36" s="16" t="n">
        <v>16.5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OU @ MICH</t>
        </is>
      </c>
      <c r="C37" s="17" t="inlineStr">
        <is>
          <t>ML</t>
        </is>
      </c>
      <c r="D37" s="17" t="inlineStr">
        <is>
          <t>MICH ML</t>
        </is>
      </c>
      <c r="E37" s="18" t="n">
        <v>170</v>
      </c>
      <c r="F37" s="21" t="n">
        <v>20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0.1101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OU @ MICH</t>
        </is>
      </c>
      <c r="C38" s="12" t="inlineStr">
        <is>
          <t>TOTAL</t>
        </is>
      </c>
      <c r="D38" s="12" t="inlineStr">
        <is>
          <t>Over 46.5</t>
        </is>
      </c>
      <c r="E38" s="13" t="n">
        <v>-105</v>
      </c>
      <c r="F38" s="16" t="n">
        <v>23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0.0851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ASU @ TA&amp;M</t>
        </is>
      </c>
      <c r="C39" s="17" t="inlineStr">
        <is>
          <t>ATS</t>
        </is>
      </c>
      <c r="D39" s="17" t="inlineStr">
        <is>
          <t>ASU +14.5</t>
        </is>
      </c>
      <c r="E39" s="18" t="n">
        <v>-110</v>
      </c>
      <c r="F39" s="21" t="n">
        <v>26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0.1221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ASU @ TA&amp;M</t>
        </is>
      </c>
      <c r="C40" s="12" t="inlineStr">
        <is>
          <t>ML</t>
        </is>
      </c>
      <c r="D40" s="12" t="inlineStr">
        <is>
          <t>ASU ML</t>
        </is>
      </c>
      <c r="E40" s="13" t="n">
        <v>410</v>
      </c>
      <c r="F40" s="16" t="n">
        <v>16.5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0.1061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ASU @ TA&amp;M</t>
        </is>
      </c>
      <c r="C41" s="17" t="inlineStr">
        <is>
          <t>TOTAL</t>
        </is>
      </c>
      <c r="D41" s="17" t="inlineStr">
        <is>
          <t>Over 50.5</t>
        </is>
      </c>
      <c r="E41" s="18" t="n">
        <v>-112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0.09660000000000001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ORE @ OKST</t>
        </is>
      </c>
      <c r="C42" s="12" t="inlineStr">
        <is>
          <t>TOTAL</t>
        </is>
      </c>
      <c r="D42" s="12" t="inlineStr">
        <is>
          <t>Under 60.5</t>
        </is>
      </c>
      <c r="E42" s="13" t="n">
        <v>-112</v>
      </c>
      <c r="F42" s="16" t="n">
        <v>26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ODU @ VT</t>
        </is>
      </c>
      <c r="C43" s="17" t="inlineStr">
        <is>
          <t>ML</t>
        </is>
      </c>
      <c r="D43" s="17" t="inlineStr">
        <is>
          <t>ODU ML</t>
        </is>
      </c>
      <c r="E43" s="18" t="n">
        <v>455</v>
      </c>
      <c r="F43" s="21" t="n">
        <v>15.5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0.1006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WAKE @ PUR</t>
        </is>
      </c>
      <c r="C44" s="12" t="inlineStr">
        <is>
          <t>ATS</t>
        </is>
      </c>
      <c r="D44" s="12" t="inlineStr">
        <is>
          <t>PUR +3.5</t>
        </is>
      </c>
      <c r="E44" s="13" t="n">
        <v>-115</v>
      </c>
      <c r="F44" s="16" t="n">
        <v>26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0.0922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WAKE @ PUR</t>
        </is>
      </c>
      <c r="C45" s="17" t="inlineStr">
        <is>
          <t>ML</t>
        </is>
      </c>
      <c r="D45" s="17" t="inlineStr">
        <is>
          <t>PUR ML</t>
        </is>
      </c>
      <c r="E45" s="18" t="n">
        <v>164</v>
      </c>
      <c r="F45" s="21" t="n">
        <v>4.5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0.0949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WAKE @ PUR</t>
        </is>
      </c>
      <c r="C46" s="12" t="inlineStr">
        <is>
          <t>TOTAL</t>
        </is>
      </c>
      <c r="D46" s="12" t="inlineStr">
        <is>
          <t>Over 49.5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0.1129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PSU @ TEM</t>
        </is>
      </c>
      <c r="C47" s="17" t="inlineStr">
        <is>
          <t>TOTAL</t>
        </is>
      </c>
      <c r="D47" s="17" t="inlineStr">
        <is>
          <t>Over 51.5</t>
        </is>
      </c>
      <c r="E47" s="18" t="n">
        <v>-105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0.09859999999999999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APP @ ECU</t>
        </is>
      </c>
      <c r="C48" s="12" t="inlineStr">
        <is>
          <t>ATS</t>
        </is>
      </c>
      <c r="D48" s="12" t="inlineStr">
        <is>
          <t>APP +10</t>
        </is>
      </c>
      <c r="E48" s="13" t="n">
        <v>-110</v>
      </c>
      <c r="F48" s="16" t="n">
        <v>22.5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GOOD</t>
        </is>
      </c>
      <c r="L48" s="14" t="n">
        <v>0.0818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MIZ @ KU</t>
        </is>
      </c>
      <c r="C49" s="17" t="inlineStr">
        <is>
          <t>ATS</t>
        </is>
      </c>
      <c r="D49" s="17" t="inlineStr">
        <is>
          <t>KU +6.5</t>
        </is>
      </c>
      <c r="E49" s="18" t="n">
        <v>-105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0.1173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MIZ @ KU</t>
        </is>
      </c>
      <c r="C50" s="12" t="inlineStr">
        <is>
          <t>ML</t>
        </is>
      </c>
      <c r="D50" s="12" t="inlineStr">
        <is>
          <t>KU ML</t>
        </is>
      </c>
      <c r="E50" s="13" t="n">
        <v>205</v>
      </c>
      <c r="F50" s="16" t="n">
        <v>22.5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0.1213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2026-09-07</t>
        </is>
      </c>
      <c r="B51" s="17" t="inlineStr">
        <is>
          <t>SMU @ FSU</t>
        </is>
      </c>
      <c r="C51" s="17" t="inlineStr">
        <is>
          <t>ML</t>
        </is>
      </c>
      <c r="D51" s="17" t="inlineStr">
        <is>
          <t>FSU ML</t>
        </is>
      </c>
      <c r="E51" s="18" t="n">
        <v>130</v>
      </c>
      <c r="F51" s="21" t="n">
        <v>21.5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0.0935</v>
      </c>
      <c r="M51" s="19" t="n">
        <v>0.0116</v>
      </c>
      <c r="N51" s="17" t="inlineStr">
        <is>
          <t>SMU 27 - FSU 24</t>
        </is>
      </c>
      <c r="O51" s="17" t="inlineStr">
        <is>
          <t>Draft Kings</t>
        </is>
      </c>
    </row>
    <row r="52">
      <c r="A52" s="12" t="inlineStr">
        <is>
          <t>2026-09-06</t>
        </is>
      </c>
      <c r="B52" s="12" t="inlineStr">
        <is>
          <t>UNLV @ HAW</t>
        </is>
      </c>
      <c r="C52" s="12" t="inlineStr">
        <is>
          <t>ATS</t>
        </is>
      </c>
      <c r="D52" s="12" t="inlineStr">
        <is>
          <t>HAW +3</t>
        </is>
      </c>
      <c r="E52" s="13" t="n">
        <v>-108</v>
      </c>
      <c r="F52" s="16" t="n">
        <v>23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0.08989999999999999</v>
      </c>
      <c r="M52" s="14" t="n">
        <v>0</v>
      </c>
      <c r="N52" s="12" t="inlineStr">
        <is>
          <t>UNLV 21 - HAW 6</t>
        </is>
      </c>
      <c r="O52" s="12" t="inlineStr">
        <is>
          <t>Draft Kings</t>
        </is>
      </c>
    </row>
    <row r="53">
      <c r="A53" s="17" t="inlineStr">
        <is>
          <t>2026-09-06</t>
        </is>
      </c>
      <c r="B53" s="17" t="inlineStr">
        <is>
          <t>UNLV @ HAW</t>
        </is>
      </c>
      <c r="C53" s="17" t="inlineStr">
        <is>
          <t>ML</t>
        </is>
      </c>
      <c r="D53" s="17" t="inlineStr">
        <is>
          <t>HAW ML</t>
        </is>
      </c>
      <c r="E53" s="18" t="n">
        <v>136</v>
      </c>
      <c r="F53" s="21" t="n">
        <v>24.5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0.1085</v>
      </c>
      <c r="M53" s="19" t="n">
        <v>0.0111</v>
      </c>
      <c r="N53" s="17" t="inlineStr">
        <is>
          <t>UNLV 21 - HAW 6</t>
        </is>
      </c>
      <c r="O53" s="17" t="inlineStr">
        <is>
          <t>DraftKings</t>
        </is>
      </c>
    </row>
    <row r="54">
      <c r="A54" s="12" t="inlineStr">
        <is>
          <t>2026-09-06</t>
        </is>
      </c>
      <c r="B54" s="12" t="inlineStr">
        <is>
          <t>CMU @ UNM</t>
        </is>
      </c>
      <c r="C54" s="12" t="inlineStr">
        <is>
          <t>ATS</t>
        </is>
      </c>
      <c r="D54" s="12" t="inlineStr">
        <is>
          <t>CMU +10.5</t>
        </is>
      </c>
      <c r="E54" s="13" t="n">
        <v>-112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0.0988</v>
      </c>
      <c r="M54" s="14" t="n">
        <v>-0.0045</v>
      </c>
      <c r="N54" s="12" t="inlineStr">
        <is>
          <t>CMU 7 - UNM 38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CLEM @ LSU</t>
        </is>
      </c>
      <c r="C55" s="17" t="inlineStr">
        <is>
          <t>ATS</t>
        </is>
      </c>
      <c r="D55" s="17" t="inlineStr">
        <is>
          <t>CLEM +10.5</t>
        </is>
      </c>
      <c r="E55" s="18" t="n">
        <v>-110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0.109</v>
      </c>
      <c r="M55" s="19" t="n">
        <v>0.0236</v>
      </c>
      <c r="N55" s="17" t="inlineStr">
        <is>
          <t>CLEM 10 - LSU 51</t>
        </is>
      </c>
      <c r="O55" s="17" t="inlineStr">
        <is>
          <t>Draft Kings</t>
        </is>
      </c>
    </row>
    <row r="56">
      <c r="A56" s="12" t="inlineStr">
        <is>
          <t>2026-09-05</t>
        </is>
      </c>
      <c r="B56" s="12" t="inlineStr">
        <is>
          <t>CLEM @ LSU</t>
        </is>
      </c>
      <c r="C56" s="12" t="inlineStr">
        <is>
          <t>ML</t>
        </is>
      </c>
      <c r="D56" s="12" t="inlineStr">
        <is>
          <t>CLEM ML</t>
        </is>
      </c>
      <c r="E56" s="13" t="n">
        <v>275</v>
      </c>
      <c r="F56" s="16" t="n">
        <v>15.5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0.0896</v>
      </c>
      <c r="M56" s="14" t="n">
        <v>-0.0069</v>
      </c>
      <c r="N56" s="12" t="inlineStr">
        <is>
          <t>CLEM 10 - LSU 51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CLEM @ LSU</t>
        </is>
      </c>
      <c r="C57" s="17" t="inlineStr">
        <is>
          <t>TOTAL</t>
        </is>
      </c>
      <c r="D57" s="17" t="inlineStr">
        <is>
          <t>Over 50.5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0.0901</v>
      </c>
      <c r="M57" s="19" t="n">
        <v>-0.0345</v>
      </c>
      <c r="N57" s="17" t="inlineStr">
        <is>
          <t>CLEM 10 - LSU 51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WMU @ MICH</t>
        </is>
      </c>
      <c r="C58" s="12" t="inlineStr">
        <is>
          <t>TOTAL</t>
        </is>
      </c>
      <c r="D58" s="12" t="inlineStr">
        <is>
          <t>Over 47.5</t>
        </is>
      </c>
      <c r="E58" s="13" t="n">
        <v>-115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0.1073</v>
      </c>
      <c r="M58" s="14" t="n">
        <v>0.0443</v>
      </c>
      <c r="N58" s="12" t="inlineStr">
        <is>
          <t>WMU 12 - MICH 13</t>
        </is>
      </c>
      <c r="O58" s="12" t="inlineStr">
        <is>
          <t>Draft Kings</t>
        </is>
      </c>
    </row>
    <row r="59">
      <c r="A59" s="17" t="inlineStr">
        <is>
          <t>2026-09-05</t>
        </is>
      </c>
      <c r="B59" s="17" t="inlineStr">
        <is>
          <t>ARST @ MEM</t>
        </is>
      </c>
      <c r="C59" s="17" t="inlineStr">
        <is>
          <t>ATS</t>
        </is>
      </c>
      <c r="D59" s="17" t="inlineStr">
        <is>
          <t>ARST +11.5</t>
        </is>
      </c>
      <c r="E59" s="18" t="n">
        <v>-112</v>
      </c>
      <c r="F59" s="21" t="n">
        <v>25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0.1011</v>
      </c>
      <c r="M59" s="19" t="n">
        <v>0.0159</v>
      </c>
      <c r="N59" s="17" t="inlineStr">
        <is>
          <t>ARST 24 - MEM 42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FIU @ USF</t>
        </is>
      </c>
      <c r="C60" s="12" t="inlineStr">
        <is>
          <t>ATS</t>
        </is>
      </c>
      <c r="D60" s="12" t="inlineStr">
        <is>
          <t>FIU +14.5</t>
        </is>
      </c>
      <c r="E60" s="13" t="n">
        <v>-115</v>
      </c>
      <c r="F60" s="16" t="n">
        <v>26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0.1214</v>
      </c>
      <c r="M60" s="14" t="n">
        <v>0</v>
      </c>
      <c r="N60" s="12" t="inlineStr">
        <is>
          <t>FIU 9 - USF 19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FIU @ USF</t>
        </is>
      </c>
      <c r="C61" s="17" t="inlineStr">
        <is>
          <t>ML</t>
        </is>
      </c>
      <c r="D61" s="17" t="inlineStr">
        <is>
          <t>FIU ML</t>
        </is>
      </c>
      <c r="E61" s="18" t="n">
        <v>425</v>
      </c>
      <c r="F61" s="21" t="n">
        <v>18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0.1165</v>
      </c>
      <c r="M61" s="19" t="n">
        <v>-0.015</v>
      </c>
      <c r="N61" s="17" t="inlineStr">
        <is>
          <t>FIU 9 - USF 19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FIU @ USF</t>
        </is>
      </c>
      <c r="C62" s="12" t="inlineStr">
        <is>
          <t>TOTAL</t>
        </is>
      </c>
      <c r="D62" s="12" t="inlineStr">
        <is>
          <t>Over 53.5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0.09329999999999999</v>
      </c>
      <c r="M62" s="14" t="n">
        <v>-0.0227</v>
      </c>
      <c r="N62" s="12" t="inlineStr">
        <is>
          <t>FIU 9 - USF 19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SHSU @ TROY</t>
        </is>
      </c>
      <c r="C63" s="17" t="inlineStr">
        <is>
          <t>ML</t>
        </is>
      </c>
      <c r="D63" s="17" t="inlineStr">
        <is>
          <t>SHSU ML</t>
        </is>
      </c>
      <c r="E63" s="18" t="n">
        <v>600</v>
      </c>
      <c r="F63" s="21" t="n">
        <v>19.5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0.1337</v>
      </c>
      <c r="M63" s="19" t="n">
        <v>0.0053</v>
      </c>
      <c r="N63" s="17" t="inlineStr">
        <is>
          <t>SHSU 21 - TROY 24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WYO @ CSU</t>
        </is>
      </c>
      <c r="C64" s="12" t="inlineStr">
        <is>
          <t>TOTAL</t>
        </is>
      </c>
      <c r="D64" s="12" t="inlineStr">
        <is>
          <t>Over 47.5</t>
        </is>
      </c>
      <c r="E64" s="13" t="n">
        <v>-112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0.1091</v>
      </c>
      <c r="M64" s="14" t="n">
        <v>-0.0345</v>
      </c>
      <c r="N64" s="12" t="inlineStr">
        <is>
          <t>WYO 13 - CSU 35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OKST @ TLSA</t>
        </is>
      </c>
      <c r="C65" s="17" t="inlineStr">
        <is>
          <t>TOTAL</t>
        </is>
      </c>
      <c r="D65" s="17" t="inlineStr">
        <is>
          <t>Under 60.5</t>
        </is>
      </c>
      <c r="E65" s="18" t="n">
        <v>-102</v>
      </c>
      <c r="F65" s="21" t="n">
        <v>25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0.1091</v>
      </c>
      <c r="M65" s="19" t="n">
        <v>0.1089</v>
      </c>
      <c r="N65" s="17" t="inlineStr">
        <is>
          <t>OKST 10 - TLSA 24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BAY @ AUB</t>
        </is>
      </c>
      <c r="C66" s="12" t="inlineStr">
        <is>
          <t>ATS</t>
        </is>
      </c>
      <c r="D66" s="12" t="inlineStr">
        <is>
          <t>BAY +7</t>
        </is>
      </c>
      <c r="E66" s="13" t="n">
        <v>-105</v>
      </c>
      <c r="F66" s="16" t="n">
        <v>26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0.099</v>
      </c>
      <c r="M66" s="14" t="n">
        <v>0</v>
      </c>
      <c r="N66" s="12" t="inlineStr">
        <is>
          <t>BAY 16 - AUB 17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BAY @ AUB</t>
        </is>
      </c>
      <c r="C67" s="17" t="inlineStr">
        <is>
          <t>ML</t>
        </is>
      </c>
      <c r="D67" s="17" t="inlineStr">
        <is>
          <t>BAY ML</t>
        </is>
      </c>
      <c r="E67" s="18" t="n">
        <v>240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0.0969</v>
      </c>
      <c r="M67" s="19" t="n">
        <v>0.0184</v>
      </c>
      <c r="N67" s="17" t="inlineStr">
        <is>
          <t>BAY 16 - AUB 17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BAY @ AUB</t>
        </is>
      </c>
      <c r="C68" s="12" t="inlineStr">
        <is>
          <t>TOTAL</t>
        </is>
      </c>
      <c r="D68" s="12" t="inlineStr">
        <is>
          <t>Under 59.5</t>
        </is>
      </c>
      <c r="E68" s="13" t="n">
        <v>-115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0.098</v>
      </c>
      <c r="M68" s="14" t="n">
        <v>0.0373</v>
      </c>
      <c r="N68" s="12" t="inlineStr">
        <is>
          <t>BAY 16 - AUB 17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BC @ CIN</t>
        </is>
      </c>
      <c r="C69" s="17" t="inlineStr">
        <is>
          <t>TOTAL</t>
        </is>
      </c>
      <c r="D69" s="17" t="inlineStr">
        <is>
          <t>Over 49.5</t>
        </is>
      </c>
      <c r="E69" s="18" t="n">
        <v>-115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0.1042</v>
      </c>
      <c r="M69" s="19" t="n">
        <v>0.0301</v>
      </c>
      <c r="N69" s="17" t="inlineStr">
        <is>
          <t>BC 15 - CIN 34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TULN @ DUKE</t>
        </is>
      </c>
      <c r="C70" s="12" t="inlineStr">
        <is>
          <t>TOTAL</t>
        </is>
      </c>
      <c r="D70" s="12" t="inlineStr">
        <is>
          <t>Over 51.5</t>
        </is>
      </c>
      <c r="E70" s="13" t="n">
        <v>-108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0.1029</v>
      </c>
      <c r="M70" s="14" t="n">
        <v>-0.0143</v>
      </c>
      <c r="N70" s="12" t="inlineStr">
        <is>
          <t>TULN 3 - DUKE 17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BOIS @ ORE</t>
        </is>
      </c>
      <c r="C71" s="17" t="inlineStr">
        <is>
          <t>TOTAL</t>
        </is>
      </c>
      <c r="D71" s="17" t="inlineStr">
        <is>
          <t>Over 51.5</t>
        </is>
      </c>
      <c r="E71" s="18" t="n">
        <v>-108</v>
      </c>
      <c r="F71" s="21" t="n">
        <v>23.5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0.0898</v>
      </c>
      <c r="M71" s="19" t="n">
        <v>0.0091</v>
      </c>
      <c r="N71" s="17" t="inlineStr">
        <is>
          <t>BOIS 27 - ORE 34</t>
        </is>
      </c>
      <c r="O71" s="17" t="inlineStr">
        <is>
          <t>Draft Kings</t>
        </is>
      </c>
    </row>
    <row r="72">
      <c r="A72" s="12" t="inlineStr">
        <is>
          <t>2026-09-05</t>
        </is>
      </c>
      <c r="B72" s="12" t="inlineStr">
        <is>
          <t>MRSH @ PSU</t>
        </is>
      </c>
      <c r="C72" s="12" t="inlineStr">
        <is>
          <t>TOTAL</t>
        </is>
      </c>
      <c r="D72" s="12" t="inlineStr">
        <is>
          <t>Over 52.5</t>
        </is>
      </c>
      <c r="E72" s="13" t="n">
        <v>-102</v>
      </c>
      <c r="F72" s="16" t="n">
        <v>24.5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0.0925</v>
      </c>
      <c r="M72" s="14" t="n">
        <v>0</v>
      </c>
      <c r="N72" s="12" t="inlineStr">
        <is>
          <t>MRSH 0 - PSU 45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M-OH @ PITT</t>
        </is>
      </c>
      <c r="C73" s="17" t="inlineStr">
        <is>
          <t>ML</t>
        </is>
      </c>
      <c r="D73" s="17" t="inlineStr">
        <is>
          <t>M-OH ML</t>
        </is>
      </c>
      <c r="E73" s="18" t="n">
        <v>550</v>
      </c>
      <c r="F73" s="21" t="n">
        <v>19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0.1283</v>
      </c>
      <c r="M73" s="19" t="n">
        <v>0</v>
      </c>
      <c r="N73" s="17" t="inlineStr">
        <is>
          <t>M-OH 14 - PITT 59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BALL @ OSU</t>
        </is>
      </c>
      <c r="C74" s="12" t="inlineStr">
        <is>
          <t>TOTAL</t>
        </is>
      </c>
      <c r="D74" s="12" t="inlineStr">
        <is>
          <t>Under 56.5</t>
        </is>
      </c>
      <c r="E74" s="13" t="n">
        <v>-105</v>
      </c>
      <c r="F74" s="16" t="n">
        <v>22.5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0.0886</v>
      </c>
      <c r="M74" s="14" t="n">
        <v>0.0161</v>
      </c>
      <c r="N74" s="12" t="inlineStr">
        <is>
          <t>BALL 3 - OSU 56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ORST @ HOU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0.0973</v>
      </c>
      <c r="M75" s="19" t="n">
        <v>0.0475</v>
      </c>
      <c r="N75" s="17" t="inlineStr">
        <is>
          <t>ORST 20 - HOU 33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UNT @ IU</t>
        </is>
      </c>
      <c r="C76" s="12" t="inlineStr">
        <is>
          <t>TOTAL</t>
        </is>
      </c>
      <c r="D76" s="12" t="inlineStr">
        <is>
          <t>Over 55.5</t>
        </is>
      </c>
      <c r="E76" s="13" t="n">
        <v>-108</v>
      </c>
      <c r="F76" s="16" t="n">
        <v>23.5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0.0898</v>
      </c>
      <c r="M76" s="14" t="n">
        <v>0.03</v>
      </c>
      <c r="N76" s="12" t="inlineStr">
        <is>
          <t>UNT 16 - IU 52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OHIO @ NEB</t>
        </is>
      </c>
      <c r="C77" s="17" t="inlineStr">
        <is>
          <t>TOTAL</t>
        </is>
      </c>
      <c r="D77" s="17" t="inlineStr">
        <is>
          <t>Over 47.5</t>
        </is>
      </c>
      <c r="E77" s="18" t="n">
        <v>-108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0.1092</v>
      </c>
      <c r="M77" s="19" t="n">
        <v>-0.0254</v>
      </c>
      <c r="N77" s="17" t="inlineStr">
        <is>
          <t>OHIO 21 - NEB 49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LIB @ JMU</t>
        </is>
      </c>
      <c r="C78" s="12" t="inlineStr">
        <is>
          <t>TOTAL</t>
        </is>
      </c>
      <c r="D78" s="12" t="inlineStr">
        <is>
          <t>Over 50.5</t>
        </is>
      </c>
      <c r="E78" s="13" t="n">
        <v>-112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0.0982</v>
      </c>
      <c r="M78" s="14" t="n">
        <v>0</v>
      </c>
      <c r="N78" s="12" t="inlineStr">
        <is>
          <t>LIB 13 - JMU 20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MIA @ STAN</t>
        </is>
      </c>
      <c r="C79" s="17" t="inlineStr">
        <is>
          <t>TOTAL</t>
        </is>
      </c>
      <c r="D79" s="17" t="inlineStr">
        <is>
          <t>Over 48.5</t>
        </is>
      </c>
      <c r="E79" s="18" t="n">
        <v>100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0.1103</v>
      </c>
      <c r="M79" s="19" t="n">
        <v>-0.0362</v>
      </c>
      <c r="N79" s="17" t="inlineStr">
        <is>
          <t>MIA 45 - STAN 6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TOL @ MSU</t>
        </is>
      </c>
      <c r="C80" s="12" t="inlineStr">
        <is>
          <t>ATS</t>
        </is>
      </c>
      <c r="D80" s="12" t="inlineStr">
        <is>
          <t>TOL +10</t>
        </is>
      </c>
      <c r="E80" s="13" t="n">
        <v>-105</v>
      </c>
      <c r="F80" s="16" t="n">
        <v>25</v>
      </c>
      <c r="G80" s="12" t="inlineStr">
        <is>
          <t>Push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0.111</v>
      </c>
      <c r="M80" s="14" t="n">
        <v>0.0241</v>
      </c>
      <c r="N80" s="12" t="inlineStr">
        <is>
          <t>TOL 20 - MSU 30</t>
        </is>
      </c>
      <c r="O80" s="12" t="inlineStr">
        <is>
          <t>Draft Kings</t>
        </is>
      </c>
    </row>
    <row r="81">
      <c r="A81" s="17" t="inlineStr">
        <is>
          <t>2026-09-04</t>
        </is>
      </c>
      <c r="B81" s="17" t="inlineStr">
        <is>
          <t>COLO @ GT</t>
        </is>
      </c>
      <c r="C81" s="17" t="inlineStr">
        <is>
          <t>TOTAL</t>
        </is>
      </c>
      <c r="D81" s="17" t="inlineStr">
        <is>
          <t>Over 50.5</t>
        </is>
      </c>
      <c r="E81" s="18" t="n">
        <v>-115</v>
      </c>
      <c r="F81" s="21" t="n">
        <v>21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0.0784</v>
      </c>
      <c r="M81" s="19" t="n">
        <v>0.0189</v>
      </c>
      <c r="N81" s="17" t="inlineStr">
        <is>
          <t>COLO 14 - GT 13</t>
        </is>
      </c>
      <c r="O81" s="17" t="inlineStr">
        <is>
          <t>DraftKings</t>
        </is>
      </c>
    </row>
    <row r="82">
      <c r="A82" s="12" t="inlineStr">
        <is>
          <t>2026-09-03</t>
        </is>
      </c>
      <c r="B82" s="12" t="inlineStr">
        <is>
          <t>AKR @ WAKE</t>
        </is>
      </c>
      <c r="C82" s="12" t="inlineStr">
        <is>
          <t>TOTAL</t>
        </is>
      </c>
      <c r="D82" s="12" t="inlineStr">
        <is>
          <t>Over 48.5</t>
        </is>
      </c>
      <c r="E82" s="13" t="n">
        <v>-112</v>
      </c>
      <c r="F82" s="16" t="n">
        <v>24.5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0.0917</v>
      </c>
      <c r="M82" s="14" t="n">
        <v>0.0509</v>
      </c>
      <c r="N82" s="12" t="inlineStr">
        <is>
          <t>AKR 16 - WAKE 38</t>
        </is>
      </c>
      <c r="O82" s="12" t="inlineStr">
        <is>
          <t>DraftKings</t>
        </is>
      </c>
    </row>
    <row r="83">
      <c r="A83" s="17" t="inlineStr">
        <is>
          <t>2026-08-29</t>
        </is>
      </c>
      <c r="B83" s="17" t="inlineStr">
        <is>
          <t>HAW @ STAN</t>
        </is>
      </c>
      <c r="C83" s="17" t="inlineStr">
        <is>
          <t>TOTAL</t>
        </is>
      </c>
      <c r="D83" s="17" t="inlineStr">
        <is>
          <t>Over 49.5</t>
        </is>
      </c>
      <c r="E83" s="18" t="n">
        <v>-105</v>
      </c>
      <c r="F83" s="21" t="n">
        <v>21.5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0.0834</v>
      </c>
      <c r="M83" s="19" t="n">
        <v>-0.0139</v>
      </c>
      <c r="N83" s="17" t="inlineStr">
        <is>
          <t>HAW 27 - STAN 37</t>
        </is>
      </c>
      <c r="O83" s="17" t="inlineStr">
        <is>
          <t>Draft Kings</t>
        </is>
      </c>
    </row>
    <row r="84">
      <c r="A84" s="12" t="inlineStr">
        <is>
          <t>2026-08-29</t>
        </is>
      </c>
      <c r="B84" s="12" t="inlineStr">
        <is>
          <t>SAC @ EMU</t>
        </is>
      </c>
      <c r="C84" s="12" t="inlineStr">
        <is>
          <t>ATS</t>
        </is>
      </c>
      <c r="D84" s="12" t="inlineStr">
        <is>
          <t>SAC +8.5</t>
        </is>
      </c>
      <c r="E84" s="13" t="n">
        <v>-108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0.1065</v>
      </c>
      <c r="M84" s="14" t="n">
        <v>0.0046</v>
      </c>
      <c r="N84" s="12" t="inlineStr">
        <is>
          <t>SAC 17 - EMU 28</t>
        </is>
      </c>
      <c r="O84" s="12" t="inlineStr">
        <is>
          <t>DraftKings</t>
        </is>
      </c>
    </row>
    <row r="85">
      <c r="A85" s="17" t="inlineStr">
        <is>
          <t>2026-08-29</t>
        </is>
      </c>
      <c r="B85" s="17" t="inlineStr">
        <is>
          <t>SAC @ EMU</t>
        </is>
      </c>
      <c r="C85" s="17" t="inlineStr">
        <is>
          <t>ML</t>
        </is>
      </c>
      <c r="D85" s="17" t="inlineStr">
        <is>
          <t>SAC ML</t>
        </is>
      </c>
      <c r="E85" s="18" t="n">
        <v>280</v>
      </c>
      <c r="F85" s="21" t="n">
        <v>18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0.1055</v>
      </c>
      <c r="M85" s="19" t="n">
        <v>0</v>
      </c>
      <c r="N85" s="17" t="inlineStr">
        <is>
          <t>SAC 17 - EMU 28</t>
        </is>
      </c>
      <c r="O85" s="17" t="inlineStr">
        <is>
          <t>Draft Kings</t>
        </is>
      </c>
    </row>
    <row r="86">
      <c r="A86" s="12" t="inlineStr">
        <is>
          <t>2026-08-29</t>
        </is>
      </c>
      <c r="B86" s="12" t="inlineStr">
        <is>
          <t>UNC @ TCU</t>
        </is>
      </c>
      <c r="C86" s="12" t="inlineStr">
        <is>
          <t>ATS</t>
        </is>
      </c>
      <c r="D86" s="12" t="inlineStr">
        <is>
          <t>UNC +7.5</t>
        </is>
      </c>
      <c r="E86" s="13" t="n">
        <v>-108</v>
      </c>
      <c r="F86" s="16" t="n">
        <v>21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0.0801</v>
      </c>
      <c r="M86" s="14" t="n">
        <v>-0.009299999999999999</v>
      </c>
      <c r="N86" s="12" t="inlineStr">
        <is>
          <t>UNC 15 - TCU 10</t>
        </is>
      </c>
      <c r="O86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-56.5</v>
      </c>
      <c r="J104" s="30" t="n">
        <v>62.5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130</v>
      </c>
      <c r="L108" s="18" t="n">
        <v>-155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-230</v>
      </c>
      <c r="L110" s="18" t="n">
        <v>190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470</v>
      </c>
      <c r="L111" s="13" t="n">
        <v>-650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48.5</v>
      </c>
      <c r="K112" s="18" t="n">
        <v>700</v>
      </c>
      <c r="L112" s="18" t="n">
        <v>-1100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50.5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24.5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145</v>
      </c>
      <c r="L119" s="13" t="n">
        <v>-175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</v>
      </c>
      <c r="J120" s="30" t="n">
        <v>56.5</v>
      </c>
      <c r="K120" s="18" t="n">
        <v>225</v>
      </c>
      <c r="L120" s="18" t="n">
        <v>-278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-41.5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-425</v>
      </c>
      <c r="L127" s="13" t="n">
        <v>330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215</v>
      </c>
      <c r="L130" s="18" t="n">
        <v>-265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235</v>
      </c>
      <c r="L131" s="13" t="n">
        <v>-290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136</v>
      </c>
      <c r="L132" s="18" t="n">
        <v>-162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1500</v>
      </c>
      <c r="L136" s="18" t="n">
        <v>-3600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-175</v>
      </c>
      <c r="L144" s="18" t="n">
        <v>145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-24.5</v>
      </c>
      <c r="J145" s="29" t="n">
        <v>58.5</v>
      </c>
      <c r="K145" s="13" t="n">
        <v>1200</v>
      </c>
      <c r="L145" s="13" t="n">
        <v>-2400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850</v>
      </c>
      <c r="L149" s="13" t="n">
        <v>-1450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-535</v>
      </c>
      <c r="L157" s="13" t="n">
        <v>400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275</v>
      </c>
      <c r="L164" s="18" t="n">
        <v>-345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57.5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55.5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57.5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4.5</v>
      </c>
      <c r="J187" s="29" t="n">
        <v>49.5</v>
      </c>
      <c r="K187" s="13" t="n">
        <v>-198</v>
      </c>
      <c r="L187" s="13" t="n">
        <v>164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49.5</v>
      </c>
      <c r="K189" s="13" t="n">
        <v>235</v>
      </c>
      <c r="L189" s="13" t="n">
        <v>-290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-15.5</v>
      </c>
      <c r="J211" s="29" t="n">
        <v>52.5</v>
      </c>
      <c r="K211" s="13" t="n">
        <v>440</v>
      </c>
      <c r="L211" s="13" t="n">
        <v>-600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56.5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53.5</v>
      </c>
      <c r="K232" s="18" t="n">
        <v>-112</v>
      </c>
      <c r="L232" s="18" t="n">
        <v>-108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505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204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2026-09-09T13:09:37Z</dcterms:created>
  <dcterms:modified xsi:type="dcterms:W3CDTF">2026-09-09T13:09:38Z</dcterms:modified>
</cp:coreProperties>
</file>
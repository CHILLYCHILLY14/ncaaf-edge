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298" headerRowCount="1">
  <autoFilter ref="A4:Q298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189" headerRowCount="1">
  <autoFilter ref="A4:G189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2026-09-07T13:09:56+00:00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Ledger'!$G$6:$G$79,"&lt;&gt;Pending",'Bet Ledger'!$H$6:$H$79)</f>
        <v/>
      </c>
    </row>
    <row r="6">
      <c r="A6" s="3" t="inlineStr">
        <is>
          <t>Total Staked</t>
        </is>
      </c>
      <c r="B6" s="5">
        <f>SUMIF('Bet Ledger'!$G$6:$G$79,"&lt;&gt;Pending",'Bet Ledger'!$F$6:$F$79)</f>
        <v/>
      </c>
    </row>
    <row r="7">
      <c r="A7" s="3" t="inlineStr">
        <is>
          <t>Profit / Loss</t>
        </is>
      </c>
      <c r="B7" s="5">
        <f>SUMIF('Bet Ledger'!$G$6:$G$79,"&lt;&gt;Pending",'Bet Ledger'!$H$6:$H$79)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Ledger'!$G$6:$G$79,"&lt;&gt;Pending",'Bet Ledger'!$G$6:$G$79,"&lt;&gt;")</f>
        <v/>
      </c>
    </row>
    <row r="10">
      <c r="A10" s="3" t="inlineStr">
        <is>
          <t>Wins</t>
        </is>
      </c>
      <c r="B10" s="7">
        <f>COUNTIF('Bet Ledger'!$G$6:$G$79,"Win")</f>
        <v/>
      </c>
    </row>
    <row r="11">
      <c r="A11" s="3" t="inlineStr">
        <is>
          <t>Losses</t>
        </is>
      </c>
      <c r="B11" s="7">
        <f>COUNTIF('Bet Ledger'!$G$6:$G$79,"Loss")</f>
        <v/>
      </c>
    </row>
    <row r="12">
      <c r="A12" s="3" t="inlineStr">
        <is>
          <t>Pushes</t>
        </is>
      </c>
      <c r="B12" s="7">
        <f>COUNTIF('Bet Ledger'!$G$6:$G$79,"Push")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Ledger'!$G$6:$G$79,"Pending")</f>
        <v/>
      </c>
    </row>
    <row r="15">
      <c r="A15" s="3" t="inlineStr">
        <is>
          <t>Live Plays On The Board</t>
        </is>
      </c>
      <c r="B15" s="7" t="n">
        <v>10</v>
      </c>
    </row>
    <row r="16">
      <c r="A16" s="3" t="inlineStr">
        <is>
          <t>Solved Home Field (pts)</t>
        </is>
      </c>
      <c r="B16" s="9" t="n">
        <v>5</v>
      </c>
    </row>
    <row r="17">
      <c r="A17" s="3" t="inlineStr">
        <is>
          <t>Brier Score</t>
        </is>
      </c>
      <c r="B17" s="10" t="n">
        <v>0.2361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EMU @ MSU</t>
        </is>
      </c>
      <c r="C21" s="12" t="inlineStr">
        <is>
          <t>ML</t>
        </is>
      </c>
      <c r="D21" s="12" t="inlineStr">
        <is>
          <t>EMU ML</t>
        </is>
      </c>
      <c r="E21" s="13" t="n">
        <v>600</v>
      </c>
      <c r="F21" s="14" t="n">
        <v>0.09499996832239738</v>
      </c>
      <c r="G21" s="15" t="n">
        <v>0.2385382078445584</v>
      </c>
      <c r="H21" s="16" t="n"/>
      <c r="I21" s="12" t="inlineStr">
        <is>
          <t>2026-09-12 19:30</t>
        </is>
      </c>
    </row>
    <row r="22">
      <c r="A22" s="17" t="inlineStr">
        <is>
          <t>BEST BET</t>
        </is>
      </c>
      <c r="B22" s="17" t="inlineStr">
        <is>
          <t>MTSU @ MRSH</t>
        </is>
      </c>
      <c r="C22" s="17" t="inlineStr">
        <is>
          <t>ML</t>
        </is>
      </c>
      <c r="D22" s="17" t="inlineStr">
        <is>
          <t>MTSU ML</t>
        </is>
      </c>
      <c r="E22" s="18" t="n">
        <v>455</v>
      </c>
      <c r="F22" s="19" t="n">
        <v>0.09499908063199763</v>
      </c>
      <c r="G22" s="20" t="n">
        <v>0.2733770888900471</v>
      </c>
      <c r="H22" s="21" t="n"/>
      <c r="I22" s="17" t="inlineStr">
        <is>
          <t>2026-09-12 23:00</t>
        </is>
      </c>
    </row>
    <row r="23">
      <c r="A23" s="12" t="inlineStr">
        <is>
          <t>BEST BET</t>
        </is>
      </c>
      <c r="B23" s="12" t="inlineStr">
        <is>
          <t>ISU @ IOWA</t>
        </is>
      </c>
      <c r="C23" s="12" t="inlineStr">
        <is>
          <t>ML</t>
        </is>
      </c>
      <c r="D23" s="12" t="inlineStr">
        <is>
          <t>ISU ML</t>
        </is>
      </c>
      <c r="E23" s="13" t="n">
        <v>470</v>
      </c>
      <c r="F23" s="14" t="n">
        <v>0.09499863760175696</v>
      </c>
      <c r="G23" s="15" t="n">
        <v>0.2630744893842347</v>
      </c>
      <c r="H23" s="16" t="n"/>
      <c r="I23" s="12" t="inlineStr">
        <is>
          <t>2026-09-12 23:30</t>
        </is>
      </c>
    </row>
    <row r="24">
      <c r="A24" s="17" t="inlineStr">
        <is>
          <t>BEST BET</t>
        </is>
      </c>
      <c r="B24" s="17" t="inlineStr">
        <is>
          <t>ASU @ TA&amp;M</t>
        </is>
      </c>
      <c r="C24" s="17" t="inlineStr">
        <is>
          <t>ML</t>
        </is>
      </c>
      <c r="D24" s="17" t="inlineStr">
        <is>
          <t>ASU ML</t>
        </is>
      </c>
      <c r="E24" s="18" t="n">
        <v>440</v>
      </c>
      <c r="F24" s="19" t="n">
        <v>0.09499205454069445</v>
      </c>
      <c r="G24" s="20" t="n">
        <v>0.262748998145461</v>
      </c>
      <c r="H24" s="21" t="n"/>
      <c r="I24" s="17" t="inlineStr">
        <is>
          <t>2026-09-12 16:00</t>
        </is>
      </c>
    </row>
    <row r="25">
      <c r="A25" s="12" t="inlineStr">
        <is>
          <t>BEST BET</t>
        </is>
      </c>
      <c r="B25" s="12" t="inlineStr">
        <is>
          <t>NMSU @ HAW</t>
        </is>
      </c>
      <c r="C25" s="12" t="inlineStr">
        <is>
          <t>ML</t>
        </is>
      </c>
      <c r="D25" s="12" t="inlineStr">
        <is>
          <t>NMSU ML</t>
        </is>
      </c>
      <c r="E25" s="13" t="n">
        <v>300</v>
      </c>
      <c r="F25" s="14" t="n">
        <v>0.09487744216867752</v>
      </c>
      <c r="G25" s="15" t="n">
        <v>0.3237392824349373</v>
      </c>
      <c r="H25" s="16" t="n"/>
      <c r="I25" s="12" t="inlineStr">
        <is>
          <t>2026-09-13 03:59</t>
        </is>
      </c>
    </row>
    <row r="26">
      <c r="A26" s="17" t="inlineStr">
        <is>
          <t>GOOD</t>
        </is>
      </c>
      <c r="B26" s="17" t="inlineStr">
        <is>
          <t>OU @ MICH</t>
        </is>
      </c>
      <c r="C26" s="17" t="inlineStr">
        <is>
          <t>ML</t>
        </is>
      </c>
      <c r="D26" s="17" t="inlineStr">
        <is>
          <t>MICH ML</t>
        </is>
      </c>
      <c r="E26" s="18" t="n">
        <v>195</v>
      </c>
      <c r="F26" s="19" t="n">
        <v>0.09497861949249942</v>
      </c>
      <c r="G26" s="20" t="n">
        <v>0.4653158975752656</v>
      </c>
      <c r="H26" s="21" t="n"/>
      <c r="I26" s="17" t="inlineStr">
        <is>
          <t>2026-09-12 16:00</t>
        </is>
      </c>
    </row>
    <row r="27">
      <c r="A27" s="12" t="inlineStr">
        <is>
          <t>GOOD</t>
        </is>
      </c>
      <c r="B27" s="12" t="inlineStr">
        <is>
          <t>NAVY @ FAU</t>
        </is>
      </c>
      <c r="C27" s="12" t="inlineStr">
        <is>
          <t>ML</t>
        </is>
      </c>
      <c r="D27" s="12" t="inlineStr">
        <is>
          <t>FAU ML</t>
        </is>
      </c>
      <c r="E27" s="13" t="n">
        <v>180</v>
      </c>
      <c r="F27" s="14" t="n">
        <v>0.09496017617921348</v>
      </c>
      <c r="G27" s="15" t="n">
        <v>0.4803327533826769</v>
      </c>
      <c r="H27" s="16" t="n"/>
      <c r="I27" s="12" t="inlineStr">
        <is>
          <t>2026-09-12 23:30</t>
        </is>
      </c>
    </row>
    <row r="28">
      <c r="A28" s="17" t="inlineStr">
        <is>
          <t>GOOD</t>
        </is>
      </c>
      <c r="B28" s="17" t="inlineStr">
        <is>
          <t>WAKE @ PUR</t>
        </is>
      </c>
      <c r="C28" s="17" t="inlineStr">
        <is>
          <t>ML</t>
        </is>
      </c>
      <c r="D28" s="17" t="inlineStr">
        <is>
          <t>PUR ML</t>
        </is>
      </c>
      <c r="E28" s="18" t="n">
        <v>164</v>
      </c>
      <c r="F28" s="19" t="n">
        <v>0.09492216793129024</v>
      </c>
      <c r="G28" s="20" t="n">
        <v>0.49761964698435</v>
      </c>
      <c r="H28" s="21" t="n"/>
      <c r="I28" s="17" t="inlineStr">
        <is>
          <t>2026-09-12 16:00</t>
        </is>
      </c>
    </row>
    <row r="29">
      <c r="A29" s="12" t="inlineStr">
        <is>
          <t>GOOD</t>
        </is>
      </c>
      <c r="B29" s="12" t="inlineStr">
        <is>
          <t>UNLV @ UNT</t>
        </is>
      </c>
      <c r="C29" s="12" t="inlineStr">
        <is>
          <t>ML</t>
        </is>
      </c>
      <c r="D29" s="12" t="inlineStr">
        <is>
          <t>UNT ML</t>
        </is>
      </c>
      <c r="E29" s="13" t="n">
        <v>154</v>
      </c>
      <c r="F29" s="14" t="n">
        <v>0.09482688001610376</v>
      </c>
      <c r="G29" s="15" t="n">
        <v>0.5030612192673181</v>
      </c>
      <c r="H29" s="16" t="n"/>
      <c r="I29" s="12" t="inlineStr">
        <is>
          <t>2026-09-12 19:45</t>
        </is>
      </c>
    </row>
    <row r="30">
      <c r="A30" s="17" t="inlineStr">
        <is>
          <t>GOOD</t>
        </is>
      </c>
      <c r="B30" s="17" t="inlineStr">
        <is>
          <t>ARK @ UTAH</t>
        </is>
      </c>
      <c r="C30" s="17" t="inlineStr">
        <is>
          <t>ML</t>
        </is>
      </c>
      <c r="D30" s="17" t="inlineStr">
        <is>
          <t>ARK ML</t>
        </is>
      </c>
      <c r="E30" s="18" t="n">
        <v>380</v>
      </c>
      <c r="F30" s="19" t="n">
        <v>0.09481126999637934</v>
      </c>
      <c r="G30" s="20" t="n">
        <v>0.2656779469522288</v>
      </c>
      <c r="H30" s="21" t="n"/>
      <c r="I30" s="17" t="inlineStr">
        <is>
          <t>2026-09-13 02:15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9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EMU @ MSU</t>
        </is>
      </c>
      <c r="C5" s="12" t="inlineStr">
        <is>
          <t>2026-09-12 19:30</t>
        </is>
      </c>
      <c r="D5" s="22" t="n">
        <v>2</v>
      </c>
      <c r="E5" s="12" t="inlineStr">
        <is>
          <t>ML</t>
        </is>
      </c>
      <c r="F5" s="12" t="inlineStr">
        <is>
          <t>EMU ML</t>
        </is>
      </c>
      <c r="G5" s="23" t="n"/>
      <c r="H5" s="13" t="n">
        <v>600</v>
      </c>
      <c r="I5" s="15" t="n">
        <v>0.2385382078445584</v>
      </c>
      <c r="J5" s="15" t="n">
        <v>0.136986301369863</v>
      </c>
      <c r="K5" s="15" t="n">
        <v>0.1428571428571428</v>
      </c>
      <c r="L5" s="14" t="n">
        <v>0.09499996832239738</v>
      </c>
      <c r="M5" s="14" t="n">
        <v>0.6697674549119086</v>
      </c>
      <c r="N5" s="15" t="n">
        <v>0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BEST BET</t>
        </is>
      </c>
      <c r="B6" s="17" t="inlineStr">
        <is>
          <t>MTSU @ MRSH</t>
        </is>
      </c>
      <c r="C6" s="17" t="inlineStr">
        <is>
          <t>2026-09-12 23:00</t>
        </is>
      </c>
      <c r="D6" s="25" t="n">
        <v>2</v>
      </c>
      <c r="E6" s="17" t="inlineStr">
        <is>
          <t>ML</t>
        </is>
      </c>
      <c r="F6" s="17" t="inlineStr">
        <is>
          <t>MTSU ML</t>
        </is>
      </c>
      <c r="G6" s="26" t="n"/>
      <c r="H6" s="18" t="n">
        <v>455</v>
      </c>
      <c r="I6" s="20" t="n">
        <v>0.2733770888900471</v>
      </c>
      <c r="J6" s="20" t="n">
        <v>0.172876304023845</v>
      </c>
      <c r="K6" s="20" t="n">
        <v>0.1801801801801802</v>
      </c>
      <c r="L6" s="19" t="n">
        <v>0.09499908063199763</v>
      </c>
      <c r="M6" s="19" t="n">
        <v>0.5172428433397613</v>
      </c>
      <c r="N6" s="20" t="n">
        <v>0</v>
      </c>
      <c r="O6" s="27" t="n">
        <v>0.725</v>
      </c>
      <c r="P6" s="17" t="inlineStr">
        <is>
          <t>DraftKings</t>
        </is>
      </c>
      <c r="Q6" s="17" t="n"/>
    </row>
    <row r="7">
      <c r="A7" s="12" t="inlineStr">
        <is>
          <t>BEST BET</t>
        </is>
      </c>
      <c r="B7" s="12" t="inlineStr">
        <is>
          <t>ISU @ IOWA</t>
        </is>
      </c>
      <c r="C7" s="12" t="inlineStr">
        <is>
          <t>2026-09-12 23:30</t>
        </is>
      </c>
      <c r="D7" s="22" t="n">
        <v>2</v>
      </c>
      <c r="E7" s="12" t="inlineStr">
        <is>
          <t>ML</t>
        </is>
      </c>
      <c r="F7" s="12" t="inlineStr">
        <is>
          <t>ISU ML</t>
        </is>
      </c>
      <c r="G7" s="23" t="n"/>
      <c r="H7" s="13" t="n">
        <v>470</v>
      </c>
      <c r="I7" s="15" t="n">
        <v>0.2630744893842347</v>
      </c>
      <c r="J7" s="15" t="n">
        <v>0.1683501683501683</v>
      </c>
      <c r="K7" s="15" t="n">
        <v>0.1754385964912281</v>
      </c>
      <c r="L7" s="14" t="n">
        <v>0.09499863760175696</v>
      </c>
      <c r="M7" s="14" t="n">
        <v>0.4995245894901379</v>
      </c>
      <c r="N7" s="15" t="n">
        <v>0</v>
      </c>
      <c r="O7" s="24" t="n">
        <v>0.725</v>
      </c>
      <c r="P7" s="12" t="inlineStr">
        <is>
          <t>DraftKings</t>
        </is>
      </c>
      <c r="Q7" s="12" t="n"/>
    </row>
    <row r="8">
      <c r="A8" s="17" t="inlineStr">
        <is>
          <t>BEST BET</t>
        </is>
      </c>
      <c r="B8" s="17" t="inlineStr">
        <is>
          <t>ASU @ TA&amp;M</t>
        </is>
      </c>
      <c r="C8" s="17" t="inlineStr">
        <is>
          <t>2026-09-12 16:00</t>
        </is>
      </c>
      <c r="D8" s="25" t="n">
        <v>2</v>
      </c>
      <c r="E8" s="17" t="inlineStr">
        <is>
          <t>ML</t>
        </is>
      </c>
      <c r="F8" s="17" t="inlineStr">
        <is>
          <t>ASU ML</t>
        </is>
      </c>
      <c r="G8" s="26" t="n"/>
      <c r="H8" s="18" t="n">
        <v>440</v>
      </c>
      <c r="I8" s="20" t="n">
        <v>0.262748998145461</v>
      </c>
      <c r="J8" s="20" t="n">
        <v>0.1776649746192893</v>
      </c>
      <c r="K8" s="20" t="n">
        <v>0.1851851851851852</v>
      </c>
      <c r="L8" s="19" t="n">
        <v>0.09499205454069445</v>
      </c>
      <c r="M8" s="19" t="n">
        <v>0.4188445899854898</v>
      </c>
      <c r="N8" s="20" t="n">
        <v>0</v>
      </c>
      <c r="O8" s="27" t="n">
        <v>0.725</v>
      </c>
      <c r="P8" s="17" t="inlineStr">
        <is>
          <t>DraftKings</t>
        </is>
      </c>
      <c r="Q8" s="17" t="n"/>
    </row>
    <row r="9">
      <c r="A9" s="12" t="inlineStr">
        <is>
          <t>BEST BET</t>
        </is>
      </c>
      <c r="B9" s="12" t="inlineStr">
        <is>
          <t>NMSU @ HAW</t>
        </is>
      </c>
      <c r="C9" s="12" t="inlineStr">
        <is>
          <t>2026-09-13 03:59</t>
        </is>
      </c>
      <c r="D9" s="22" t="n">
        <v>2</v>
      </c>
      <c r="E9" s="12" t="inlineStr">
        <is>
          <t>ML</t>
        </is>
      </c>
      <c r="F9" s="12" t="inlineStr">
        <is>
          <t>NMSU ML</t>
        </is>
      </c>
      <c r="G9" s="23" t="n"/>
      <c r="H9" s="13" t="n">
        <v>300</v>
      </c>
      <c r="I9" s="15" t="n">
        <v>0.3237392824349373</v>
      </c>
      <c r="J9" s="15" t="n">
        <v>0.24</v>
      </c>
      <c r="K9" s="15" t="n">
        <v>0.25</v>
      </c>
      <c r="L9" s="14" t="n">
        <v>0.09487744216867752</v>
      </c>
      <c r="M9" s="14" t="n">
        <v>0.2949571297397493</v>
      </c>
      <c r="N9" s="15" t="n">
        <v>0</v>
      </c>
      <c r="O9" s="24" t="n">
        <v>0.839</v>
      </c>
      <c r="P9" s="12" t="inlineStr">
        <is>
          <t>DraftKings</t>
        </is>
      </c>
      <c r="Q9" s="12" t="n"/>
    </row>
    <row r="10">
      <c r="A10" s="17" t="inlineStr">
        <is>
          <t>GOOD</t>
        </is>
      </c>
      <c r="B10" s="17" t="inlineStr">
        <is>
          <t>OU @ MICH</t>
        </is>
      </c>
      <c r="C10" s="17" t="inlineStr">
        <is>
          <t>2026-09-12 16:00</t>
        </is>
      </c>
      <c r="D10" s="25" t="n">
        <v>2</v>
      </c>
      <c r="E10" s="17" t="inlineStr">
        <is>
          <t>ML</t>
        </is>
      </c>
      <c r="F10" s="17" t="inlineStr">
        <is>
          <t>MICH ML</t>
        </is>
      </c>
      <c r="G10" s="26" t="n"/>
      <c r="H10" s="18" t="n">
        <v>195</v>
      </c>
      <c r="I10" s="20" t="n">
        <v>0.4653158975752656</v>
      </c>
      <c r="J10" s="20" t="n">
        <v>0.3249687530045188</v>
      </c>
      <c r="K10" s="20" t="n">
        <v>0.3389830508474576</v>
      </c>
      <c r="L10" s="19" t="n">
        <v>0.09497861949249942</v>
      </c>
      <c r="M10" s="19" t="n">
        <v>0.3726818978470336</v>
      </c>
      <c r="N10" s="20" t="n">
        <v>0</v>
      </c>
      <c r="O10" s="27" t="n">
        <v>0.725</v>
      </c>
      <c r="P10" s="17" t="inlineStr">
        <is>
          <t>DraftKings</t>
        </is>
      </c>
      <c r="Q10" s="17" t="n"/>
    </row>
    <row r="11">
      <c r="A11" s="12" t="inlineStr">
        <is>
          <t>GOOD</t>
        </is>
      </c>
      <c r="B11" s="12" t="inlineStr">
        <is>
          <t>NAVY @ FAU</t>
        </is>
      </c>
      <c r="C11" s="12" t="inlineStr">
        <is>
          <t>2026-09-12 23:30</t>
        </is>
      </c>
      <c r="D11" s="22" t="n">
        <v>2</v>
      </c>
      <c r="E11" s="12" t="inlineStr">
        <is>
          <t>ML</t>
        </is>
      </c>
      <c r="F11" s="12" t="inlineStr">
        <is>
          <t>FAU ML</t>
        </is>
      </c>
      <c r="G11" s="23" t="n"/>
      <c r="H11" s="13" t="n">
        <v>180</v>
      </c>
      <c r="I11" s="15" t="n">
        <v>0.4803327533826769</v>
      </c>
      <c r="J11" s="15" t="n">
        <v>0.3425247738043947</v>
      </c>
      <c r="K11" s="15" t="n">
        <v>0.3571428571428572</v>
      </c>
      <c r="L11" s="14" t="n">
        <v>0.09496017617921348</v>
      </c>
      <c r="M11" s="14" t="n">
        <v>0.3449317094714952</v>
      </c>
      <c r="N11" s="15" t="n">
        <v>0</v>
      </c>
      <c r="O11" s="24" t="n">
        <v>0.725</v>
      </c>
      <c r="P11" s="12" t="inlineStr">
        <is>
          <t>DraftKings</t>
        </is>
      </c>
      <c r="Q11" s="12" t="n"/>
    </row>
    <row r="12">
      <c r="A12" s="17" t="inlineStr">
        <is>
          <t>GOOD</t>
        </is>
      </c>
      <c r="B12" s="17" t="inlineStr">
        <is>
          <t>WAKE @ PUR</t>
        </is>
      </c>
      <c r="C12" s="17" t="inlineStr">
        <is>
          <t>2026-09-12 16:00</t>
        </is>
      </c>
      <c r="D12" s="25" t="n">
        <v>2</v>
      </c>
      <c r="E12" s="17" t="inlineStr">
        <is>
          <t>ML</t>
        </is>
      </c>
      <c r="F12" s="17" t="inlineStr">
        <is>
          <t>PUR ML</t>
        </is>
      </c>
      <c r="G12" s="26" t="n"/>
      <c r="H12" s="18" t="n">
        <v>164</v>
      </c>
      <c r="I12" s="20" t="n">
        <v>0.49761964698435</v>
      </c>
      <c r="J12" s="20" t="n">
        <v>0.3630958183058778</v>
      </c>
      <c r="K12" s="20" t="n">
        <v>0.3787878787878788</v>
      </c>
      <c r="L12" s="19" t="n">
        <v>0.09492216793129024</v>
      </c>
      <c r="M12" s="19" t="n">
        <v>0.3137158680386838</v>
      </c>
      <c r="N12" s="20" t="n">
        <v>0</v>
      </c>
      <c r="O12" s="27" t="n">
        <v>0.725</v>
      </c>
      <c r="P12" s="17" t="inlineStr">
        <is>
          <t>DraftKings</t>
        </is>
      </c>
      <c r="Q12" s="17" t="n"/>
    </row>
    <row r="13">
      <c r="A13" s="12" t="inlineStr">
        <is>
          <t>GOOD</t>
        </is>
      </c>
      <c r="B13" s="12" t="inlineStr">
        <is>
          <t>UNLV @ UNT</t>
        </is>
      </c>
      <c r="C13" s="12" t="inlineStr">
        <is>
          <t>2026-09-12 19:45</t>
        </is>
      </c>
      <c r="D13" s="22" t="n">
        <v>2</v>
      </c>
      <c r="E13" s="12" t="inlineStr">
        <is>
          <t>ML</t>
        </is>
      </c>
      <c r="F13" s="12" t="inlineStr">
        <is>
          <t>UNT ML</t>
        </is>
      </c>
      <c r="G13" s="23" t="n"/>
      <c r="H13" s="13" t="n">
        <v>154</v>
      </c>
      <c r="I13" s="15" t="n">
        <v>0.5030612192673181</v>
      </c>
      <c r="J13" s="15" t="n">
        <v>0.3775334481388264</v>
      </c>
      <c r="K13" s="15" t="n">
        <v>0.3937007874015748</v>
      </c>
      <c r="L13" s="14" t="n">
        <v>0.09482688001610376</v>
      </c>
      <c r="M13" s="14" t="n">
        <v>0.2777754969389878</v>
      </c>
      <c r="N13" s="15" t="n">
        <v>0</v>
      </c>
      <c r="O13" s="24" t="n">
        <v>0.725</v>
      </c>
      <c r="P13" s="12" t="inlineStr">
        <is>
          <t>DraftKings</t>
        </is>
      </c>
      <c r="Q13" s="12" t="n"/>
    </row>
    <row r="14">
      <c r="A14" s="17" t="inlineStr">
        <is>
          <t>GOOD</t>
        </is>
      </c>
      <c r="B14" s="17" t="inlineStr">
        <is>
          <t>ARK @ UTAH</t>
        </is>
      </c>
      <c r="C14" s="17" t="inlineStr">
        <is>
          <t>2026-09-13 02:15</t>
        </is>
      </c>
      <c r="D14" s="25" t="n">
        <v>2</v>
      </c>
      <c r="E14" s="17" t="inlineStr">
        <is>
          <t>ML</t>
        </is>
      </c>
      <c r="F14" s="17" t="inlineStr">
        <is>
          <t>ARK ML</t>
        </is>
      </c>
      <c r="G14" s="26" t="n"/>
      <c r="H14" s="18" t="n">
        <v>380</v>
      </c>
      <c r="I14" s="20" t="n">
        <v>0.2656779469522288</v>
      </c>
      <c r="J14" s="20" t="n">
        <v>0.2</v>
      </c>
      <c r="K14" s="20" t="n">
        <v>0.2083333333333333</v>
      </c>
      <c r="L14" s="19" t="n">
        <v>0.09481126999637934</v>
      </c>
      <c r="M14" s="19" t="n">
        <v>0.2752541453706983</v>
      </c>
      <c r="N14" s="20" t="n">
        <v>0</v>
      </c>
      <c r="O14" s="27" t="n">
        <v>0.725</v>
      </c>
      <c r="P14" s="17" t="inlineStr">
        <is>
          <t>DraftKings</t>
        </is>
      </c>
      <c r="Q14" s="17" t="n"/>
    </row>
    <row r="15">
      <c r="A15" s="12" t="inlineStr">
        <is>
          <t>PASS</t>
        </is>
      </c>
      <c r="B15" s="12" t="inlineStr">
        <is>
          <t>ORE @ OKST</t>
        </is>
      </c>
      <c r="C15" s="12" t="inlineStr">
        <is>
          <t>2026-09-12 16:00</t>
        </is>
      </c>
      <c r="D15" s="22" t="n">
        <v>2</v>
      </c>
      <c r="E15" s="12" t="inlineStr">
        <is>
          <t>ML</t>
        </is>
      </c>
      <c r="F15" s="12" t="inlineStr">
        <is>
          <t>OKST ML</t>
        </is>
      </c>
      <c r="G15" s="23" t="n"/>
      <c r="H15" s="13" t="n">
        <v>1100</v>
      </c>
      <c r="I15" s="15" t="n">
        <v>0.3694356418145349</v>
      </c>
      <c r="J15" s="15" t="n">
        <v>0.08029197080291971</v>
      </c>
      <c r="K15" s="15" t="n">
        <v>0.08333333333333333</v>
      </c>
      <c r="L15" s="14" t="n">
        <v>0.095</v>
      </c>
      <c r="M15" s="14" t="n">
        <v>3.433227701774419</v>
      </c>
      <c r="N15" s="15" t="n">
        <v>0</v>
      </c>
      <c r="O15" s="24" t="n">
        <v>0.725</v>
      </c>
      <c r="P15" s="12" t="inlineStr">
        <is>
          <t>DraftKings</t>
        </is>
      </c>
      <c r="Q15" s="12" t="inlineStr">
        <is>
          <t>price outside allowed range</t>
        </is>
      </c>
    </row>
    <row r="16">
      <c r="A16" s="17" t="inlineStr">
        <is>
          <t>PASS</t>
        </is>
      </c>
      <c r="B16" s="17" t="inlineStr">
        <is>
          <t>PSU @ TEM</t>
        </is>
      </c>
      <c r="C16" s="17" t="inlineStr">
        <is>
          <t>2026-09-12 16:00</t>
        </is>
      </c>
      <c r="D16" s="25" t="n">
        <v>2</v>
      </c>
      <c r="E16" s="17" t="inlineStr">
        <is>
          <t>ML</t>
        </is>
      </c>
      <c r="F16" s="17" t="inlineStr">
        <is>
          <t>TEM ML</t>
        </is>
      </c>
      <c r="G16" s="26" t="n"/>
      <c r="H16" s="18" t="n">
        <v>1300</v>
      </c>
      <c r="I16" s="20" t="n">
        <v>0.3510593271635344</v>
      </c>
      <c r="J16" s="20" t="n">
        <v>0.06888361045130641</v>
      </c>
      <c r="K16" s="20" t="n">
        <v>0.07142857142857142</v>
      </c>
      <c r="L16" s="19" t="n">
        <v>0.095</v>
      </c>
      <c r="M16" s="19" t="n">
        <v>3.914830580289482</v>
      </c>
      <c r="N16" s="20" t="n">
        <v>0</v>
      </c>
      <c r="O16" s="27" t="n">
        <v>0.725</v>
      </c>
      <c r="P16" s="17" t="inlineStr">
        <is>
          <t>DraftKings</t>
        </is>
      </c>
      <c r="Q16" s="17" t="inlineStr">
        <is>
          <t>price outside allowed range</t>
        </is>
      </c>
    </row>
    <row r="17">
      <c r="A17" s="12" t="inlineStr">
        <is>
          <t>PASS</t>
        </is>
      </c>
      <c r="B17" s="12" t="inlineStr">
        <is>
          <t>USU @ WASH</t>
        </is>
      </c>
      <c r="C17" s="12" t="inlineStr">
        <is>
          <t>2026-09-12 19:30</t>
        </is>
      </c>
      <c r="D17" s="22" t="n">
        <v>2</v>
      </c>
      <c r="E17" s="12" t="inlineStr">
        <is>
          <t>ML</t>
        </is>
      </c>
      <c r="F17" s="12" t="inlineStr">
        <is>
          <t>USU ML</t>
        </is>
      </c>
      <c r="G17" s="23" t="n"/>
      <c r="H17" s="13" t="n">
        <v>1600</v>
      </c>
      <c r="I17" s="15" t="n">
        <v>0.1949015789911291</v>
      </c>
      <c r="J17" s="15" t="n">
        <v>0.05686546463245493</v>
      </c>
      <c r="K17" s="15" t="n">
        <v>0.05882352941176471</v>
      </c>
      <c r="L17" s="14" t="n">
        <v>0.095</v>
      </c>
      <c r="M17" s="14" t="n">
        <v>2.313326842849195</v>
      </c>
      <c r="N17" s="15" t="n">
        <v>0</v>
      </c>
      <c r="O17" s="24" t="n">
        <v>0.725</v>
      </c>
      <c r="P17" s="12" t="inlineStr">
        <is>
          <t>DraftKings</t>
        </is>
      </c>
      <c r="Q17" s="12" t="inlineStr">
        <is>
          <t>price outside allowed range</t>
        </is>
      </c>
    </row>
    <row r="18">
      <c r="A18" s="17" t="inlineStr">
        <is>
          <t>PASS</t>
        </is>
      </c>
      <c r="B18" s="17" t="inlineStr">
        <is>
          <t>BGSU @ NEB</t>
        </is>
      </c>
      <c r="C18" s="17" t="inlineStr">
        <is>
          <t>2026-09-12 23:00</t>
        </is>
      </c>
      <c r="D18" s="25" t="n">
        <v>2</v>
      </c>
      <c r="E18" s="17" t="inlineStr">
        <is>
          <t>ML</t>
        </is>
      </c>
      <c r="F18" s="17" t="inlineStr">
        <is>
          <t>BGSU ML</t>
        </is>
      </c>
      <c r="G18" s="26" t="n"/>
      <c r="H18" s="18" t="n">
        <v>2200</v>
      </c>
      <c r="I18" s="20" t="n">
        <v>0.1784146962300148</v>
      </c>
      <c r="J18" s="20" t="n">
        <v>0.04216553878188443</v>
      </c>
      <c r="K18" s="20" t="n">
        <v>0.04347826086956522</v>
      </c>
      <c r="L18" s="19" t="n">
        <v>0.095</v>
      </c>
      <c r="M18" s="19" t="n">
        <v>3.103538013290341</v>
      </c>
      <c r="N18" s="20" t="n">
        <v>0</v>
      </c>
      <c r="O18" s="27" t="n">
        <v>0.725</v>
      </c>
      <c r="P18" s="17" t="inlineStr">
        <is>
          <t>DraftKings</t>
        </is>
      </c>
      <c r="Q18" s="17" t="inlineStr">
        <is>
          <t>price outside allowed range</t>
        </is>
      </c>
    </row>
    <row r="19">
      <c r="A19" s="12" t="inlineStr">
        <is>
          <t>PASS</t>
        </is>
      </c>
      <c r="B19" s="12" t="inlineStr">
        <is>
          <t>TTU @ ORST</t>
        </is>
      </c>
      <c r="C19" s="12" t="inlineStr">
        <is>
          <t>2026-09-12 23:30</t>
        </is>
      </c>
      <c r="D19" s="22" t="n">
        <v>2</v>
      </c>
      <c r="E19" s="12" t="inlineStr">
        <is>
          <t>ML</t>
        </is>
      </c>
      <c r="F19" s="12" t="inlineStr">
        <is>
          <t>ORST ML</t>
        </is>
      </c>
      <c r="G19" s="23" t="n"/>
      <c r="H19" s="13" t="n">
        <v>1500</v>
      </c>
      <c r="I19" s="15" t="n">
        <v>0.3499252962610467</v>
      </c>
      <c r="J19" s="15" t="n">
        <v>0.06035889070146819</v>
      </c>
      <c r="K19" s="15" t="n">
        <v>0.0625</v>
      </c>
      <c r="L19" s="14" t="n">
        <v>0.095</v>
      </c>
      <c r="M19" s="14" t="n">
        <v>4.598804740176747</v>
      </c>
      <c r="N19" s="15" t="n">
        <v>0</v>
      </c>
      <c r="O19" s="24" t="n">
        <v>0.725</v>
      </c>
      <c r="P19" s="12" t="inlineStr">
        <is>
          <t>DraftKings</t>
        </is>
      </c>
      <c r="Q19" s="12" t="inlineStr">
        <is>
          <t>price outside allowed range</t>
        </is>
      </c>
    </row>
    <row r="20">
      <c r="A20" s="17" t="inlineStr">
        <is>
          <t>PASS</t>
        </is>
      </c>
      <c r="B20" s="17" t="inlineStr">
        <is>
          <t>LT @ LSU</t>
        </is>
      </c>
      <c r="C20" s="17" t="inlineStr">
        <is>
          <t>2026-09-12 23:30</t>
        </is>
      </c>
      <c r="D20" s="25" t="n">
        <v>2</v>
      </c>
      <c r="E20" s="17" t="inlineStr">
        <is>
          <t>ML</t>
        </is>
      </c>
      <c r="F20" s="17" t="inlineStr">
        <is>
          <t>LT ML</t>
        </is>
      </c>
      <c r="G20" s="26" t="n"/>
      <c r="H20" s="18" t="n">
        <v>3500</v>
      </c>
      <c r="I20" s="20" t="n">
        <v>0.1980537939720919</v>
      </c>
      <c r="J20" s="20" t="n">
        <v>0.02715849209566274</v>
      </c>
      <c r="K20" s="20" t="n">
        <v>0.02777777777777778</v>
      </c>
      <c r="L20" s="19" t="n">
        <v>0.095</v>
      </c>
      <c r="M20" s="19" t="n">
        <v>6.129936582995308</v>
      </c>
      <c r="N20" s="20" t="n">
        <v>0</v>
      </c>
      <c r="O20" s="27" t="n">
        <v>0.725</v>
      </c>
      <c r="P20" s="17" t="inlineStr">
        <is>
          <t>DraftKings</t>
        </is>
      </c>
      <c r="Q20" s="17" t="inlineStr">
        <is>
          <t>price outside allowed range</t>
        </is>
      </c>
    </row>
    <row r="21">
      <c r="A21" s="12" t="inlineStr">
        <is>
          <t>PASS</t>
        </is>
      </c>
      <c r="B21" s="12" t="inlineStr">
        <is>
          <t>USM @ AUB</t>
        </is>
      </c>
      <c r="C21" s="12" t="inlineStr">
        <is>
          <t>2026-09-12 23:45</t>
        </is>
      </c>
      <c r="D21" s="22" t="n">
        <v>2</v>
      </c>
      <c r="E21" s="12" t="inlineStr">
        <is>
          <t>ML</t>
        </is>
      </c>
      <c r="F21" s="12" t="inlineStr">
        <is>
          <t>USM ML</t>
        </is>
      </c>
      <c r="G21" s="23" t="n"/>
      <c r="H21" s="13" t="n">
        <v>2200</v>
      </c>
      <c r="I21" s="15" t="n">
        <v>0.205011031559531</v>
      </c>
      <c r="J21" s="15" t="n">
        <v>0.04216553878188443</v>
      </c>
      <c r="K21" s="15" t="n">
        <v>0.04347826086956522</v>
      </c>
      <c r="L21" s="14" t="n">
        <v>0.095</v>
      </c>
      <c r="M21" s="14" t="n">
        <v>3.715253725869214</v>
      </c>
      <c r="N21" s="15" t="n">
        <v>0</v>
      </c>
      <c r="O21" s="24" t="n">
        <v>0.725</v>
      </c>
      <c r="P21" s="12" t="inlineStr">
        <is>
          <t>DraftKings</t>
        </is>
      </c>
      <c r="Q21" s="12" t="inlineStr">
        <is>
          <t>price outside allowed range</t>
        </is>
      </c>
    </row>
    <row r="22">
      <c r="A22" s="17" t="inlineStr">
        <is>
          <t>PASS</t>
        </is>
      </c>
      <c r="B22" s="17" t="inlineStr">
        <is>
          <t>UL @ USC</t>
        </is>
      </c>
      <c r="C22" s="17" t="inlineStr">
        <is>
          <t>2026-09-13 03:00</t>
        </is>
      </c>
      <c r="D22" s="25" t="n">
        <v>2</v>
      </c>
      <c r="E22" s="17" t="inlineStr">
        <is>
          <t>ML</t>
        </is>
      </c>
      <c r="F22" s="17" t="inlineStr">
        <is>
          <t>UL ML</t>
        </is>
      </c>
      <c r="G22" s="26" t="n"/>
      <c r="H22" s="18" t="n">
        <v>3000</v>
      </c>
      <c r="I22" s="20" t="n">
        <v>0.1911692532002726</v>
      </c>
      <c r="J22" s="20" t="n">
        <v>0.03155263980006248</v>
      </c>
      <c r="K22" s="20" t="n">
        <v>0.03225806451612903</v>
      </c>
      <c r="L22" s="19" t="n">
        <v>0.095</v>
      </c>
      <c r="M22" s="19" t="n">
        <v>4.926246849208449</v>
      </c>
      <c r="N22" s="20" t="n">
        <v>0</v>
      </c>
      <c r="O22" s="27" t="n">
        <v>0.725</v>
      </c>
      <c r="P22" s="17" t="inlineStr">
        <is>
          <t>DraftKings</t>
        </is>
      </c>
      <c r="Q22" s="17" t="inlineStr">
        <is>
          <t>price outside allowed range</t>
        </is>
      </c>
    </row>
    <row r="23">
      <c r="A23" s="12" t="inlineStr">
        <is>
          <t>PASS</t>
        </is>
      </c>
      <c r="B23" s="12" t="inlineStr">
        <is>
          <t>DEL @ VAN</t>
        </is>
      </c>
      <c r="C23" s="12" t="inlineStr">
        <is>
          <t>2026-09-12 20:15</t>
        </is>
      </c>
      <c r="D23" s="22" t="n">
        <v>2</v>
      </c>
      <c r="E23" s="12" t="inlineStr">
        <is>
          <t>ML</t>
        </is>
      </c>
      <c r="F23" s="12" t="inlineStr">
        <is>
          <t>DEL ML</t>
        </is>
      </c>
      <c r="G23" s="23" t="n"/>
      <c r="H23" s="13" t="n">
        <v>900</v>
      </c>
      <c r="I23" s="15" t="n">
        <v>0.241579779754346</v>
      </c>
      <c r="J23" s="15" t="n">
        <v>0.096045197740113</v>
      </c>
      <c r="K23" s="15" t="n">
        <v>0.1</v>
      </c>
      <c r="L23" s="14" t="n">
        <v>0.09499999999999734</v>
      </c>
      <c r="M23" s="14" t="n">
        <v>1.41579779754346</v>
      </c>
      <c r="N23" s="15" t="n">
        <v>0</v>
      </c>
      <c r="O23" s="24" t="n">
        <v>0.725</v>
      </c>
      <c r="P23" s="12" t="inlineStr">
        <is>
          <t>DraftKings</t>
        </is>
      </c>
      <c r="Q23" s="12" t="inlineStr">
        <is>
          <t>price outside allowed range</t>
        </is>
      </c>
    </row>
    <row r="24">
      <c r="A24" s="17" t="inlineStr">
        <is>
          <t>PASS</t>
        </is>
      </c>
      <c r="B24" s="17" t="inlineStr">
        <is>
          <t>TLSA @ SHSU</t>
        </is>
      </c>
      <c r="C24" s="17" t="inlineStr">
        <is>
          <t>2026-09-12 23:00</t>
        </is>
      </c>
      <c r="D24" s="25" t="n">
        <v>2</v>
      </c>
      <c r="E24" s="17" t="inlineStr">
        <is>
          <t>ML</t>
        </is>
      </c>
      <c r="F24" s="17" t="inlineStr">
        <is>
          <t>SHSU ML</t>
        </is>
      </c>
      <c r="G24" s="26" t="n"/>
      <c r="H24" s="18" t="n">
        <v>440</v>
      </c>
      <c r="I24" s="20" t="n">
        <v>0.422759266340142</v>
      </c>
      <c r="J24" s="20" t="n">
        <v>0.1776649746192893</v>
      </c>
      <c r="K24" s="20" t="n">
        <v>0.1851851851851852</v>
      </c>
      <c r="L24" s="19" t="n">
        <v>0.0949999999999537</v>
      </c>
      <c r="M24" s="19" t="n">
        <v>1.282900038236767</v>
      </c>
      <c r="N24" s="20" t="n">
        <v>0</v>
      </c>
      <c r="O24" s="27" t="n">
        <v>0.725</v>
      </c>
      <c r="P24" s="17" t="inlineStr">
        <is>
          <t>DraftKings</t>
        </is>
      </c>
      <c r="Q24" s="17" t="inlineStr">
        <is>
          <t>raw model/market disagreement exceeds the safety limit</t>
        </is>
      </c>
    </row>
    <row r="25">
      <c r="A25" s="12" t="inlineStr">
        <is>
          <t>PASS</t>
        </is>
      </c>
      <c r="B25" s="12" t="inlineStr">
        <is>
          <t>GASO @ CLEM</t>
        </is>
      </c>
      <c r="C25" s="12" t="inlineStr">
        <is>
          <t>2026-09-12 23:30</t>
        </is>
      </c>
      <c r="D25" s="22" t="n">
        <v>2</v>
      </c>
      <c r="E25" s="12" t="inlineStr">
        <is>
          <t>ML</t>
        </is>
      </c>
      <c r="F25" s="12" t="inlineStr">
        <is>
          <t>GASO ML</t>
        </is>
      </c>
      <c r="G25" s="23" t="n"/>
      <c r="H25" s="13" t="n">
        <v>800</v>
      </c>
      <c r="I25" s="15" t="n">
        <v>0.2478365281126655</v>
      </c>
      <c r="J25" s="15" t="n">
        <v>0.1066176470588235</v>
      </c>
      <c r="K25" s="15" t="n">
        <v>0.1111111111111111</v>
      </c>
      <c r="L25" s="14" t="n">
        <v>0.09499999999985262</v>
      </c>
      <c r="M25" s="14" t="n">
        <v>1.23052875301399</v>
      </c>
      <c r="N25" s="15" t="n">
        <v>0</v>
      </c>
      <c r="O25" s="24" t="n">
        <v>0.725</v>
      </c>
      <c r="P25" s="12" t="inlineStr">
        <is>
          <t>DraftKings</t>
        </is>
      </c>
      <c r="Q25" s="12" t="inlineStr">
        <is>
          <t>price outside allowed range</t>
        </is>
      </c>
    </row>
    <row r="26">
      <c r="A26" s="17" t="inlineStr">
        <is>
          <t>PASS</t>
        </is>
      </c>
      <c r="B26" s="17" t="inlineStr">
        <is>
          <t>TENN @ GT</t>
        </is>
      </c>
      <c r="C26" s="17" t="inlineStr">
        <is>
          <t>2026-09-12 23:00</t>
        </is>
      </c>
      <c r="D26" s="25" t="n">
        <v>2</v>
      </c>
      <c r="E26" s="17" t="inlineStr">
        <is>
          <t>ML</t>
        </is>
      </c>
      <c r="F26" s="17" t="inlineStr">
        <is>
          <t>GT ML</t>
        </is>
      </c>
      <c r="G26" s="26" t="n"/>
      <c r="H26" s="18" t="n">
        <v>425</v>
      </c>
      <c r="I26" s="20" t="n">
        <v>0.3976748117375405</v>
      </c>
      <c r="J26" s="20" t="n">
        <v>0.182741116751269</v>
      </c>
      <c r="K26" s="20" t="n">
        <v>0.1904761904761905</v>
      </c>
      <c r="L26" s="19" t="n">
        <v>0.09499999999665013</v>
      </c>
      <c r="M26" s="19" t="n">
        <v>1.087792761622088</v>
      </c>
      <c r="N26" s="20" t="n">
        <v>0</v>
      </c>
      <c r="O26" s="27" t="n">
        <v>0.725</v>
      </c>
      <c r="P26" s="17" t="inlineStr">
        <is>
          <t>DraftKings</t>
        </is>
      </c>
      <c r="Q26" s="17" t="inlineStr">
        <is>
          <t>raw model/market disagreement exceeds the safety limit</t>
        </is>
      </c>
    </row>
    <row r="27">
      <c r="A27" s="12" t="inlineStr">
        <is>
          <t>PASS</t>
        </is>
      </c>
      <c r="B27" s="12" t="inlineStr">
        <is>
          <t>WSU @ KSU</t>
        </is>
      </c>
      <c r="C27" s="12" t="inlineStr">
        <is>
          <t>2026-09-12 16:00</t>
        </is>
      </c>
      <c r="D27" s="22" t="n">
        <v>2</v>
      </c>
      <c r="E27" s="12" t="inlineStr">
        <is>
          <t>ML</t>
        </is>
      </c>
      <c r="F27" s="12" t="inlineStr">
        <is>
          <t>WSU ML</t>
        </is>
      </c>
      <c r="G27" s="23" t="n"/>
      <c r="H27" s="13" t="n">
        <v>800</v>
      </c>
      <c r="I27" s="15" t="n">
        <v>0.2266895218155895</v>
      </c>
      <c r="J27" s="15" t="n">
        <v>0.1066176470588235</v>
      </c>
      <c r="K27" s="15" t="n">
        <v>0.1111111111111111</v>
      </c>
      <c r="L27" s="14" t="n">
        <v>0.09499999999040734</v>
      </c>
      <c r="M27" s="14" t="n">
        <v>1.040205696340306</v>
      </c>
      <c r="N27" s="15" t="n">
        <v>0</v>
      </c>
      <c r="O27" s="24" t="n">
        <v>0.725</v>
      </c>
      <c r="P27" s="12" t="inlineStr">
        <is>
          <t>DraftKings</t>
        </is>
      </c>
      <c r="Q27" s="12" t="inlineStr">
        <is>
          <t>price outside allowed range</t>
        </is>
      </c>
    </row>
    <row r="28">
      <c r="A28" s="17" t="inlineStr">
        <is>
          <t>PASS</t>
        </is>
      </c>
      <c r="B28" s="17" t="inlineStr">
        <is>
          <t>MD @ CONN</t>
        </is>
      </c>
      <c r="C28" s="17" t="inlineStr">
        <is>
          <t>2026-09-12 19:30</t>
        </is>
      </c>
      <c r="D28" s="25" t="n">
        <v>2</v>
      </c>
      <c r="E28" s="17" t="inlineStr">
        <is>
          <t>ML</t>
        </is>
      </c>
      <c r="F28" s="17" t="inlineStr">
        <is>
          <t>CONN ML</t>
        </is>
      </c>
      <c r="G28" s="26" t="n"/>
      <c r="H28" s="18" t="n">
        <v>360</v>
      </c>
      <c r="I28" s="20" t="n">
        <v>0.4304026692520314</v>
      </c>
      <c r="J28" s="20" t="n">
        <v>0.2086383601756955</v>
      </c>
      <c r="K28" s="20" t="n">
        <v>0.2173913043478261</v>
      </c>
      <c r="L28" s="19" t="n">
        <v>0.0949999999636503</v>
      </c>
      <c r="M28" s="19" t="n">
        <v>0.9798522785593444</v>
      </c>
      <c r="N28" s="20" t="n">
        <v>0</v>
      </c>
      <c r="O28" s="27" t="n">
        <v>0.725</v>
      </c>
      <c r="P28" s="17" t="inlineStr">
        <is>
          <t>DraftKings</t>
        </is>
      </c>
      <c r="Q28" s="17" t="inlineStr">
        <is>
          <t>raw model/market disagreement exceeds the safety limit</t>
        </is>
      </c>
    </row>
    <row r="29">
      <c r="A29" s="12" t="inlineStr">
        <is>
          <t>PASS</t>
        </is>
      </c>
      <c r="B29" s="12" t="inlineStr">
        <is>
          <t>ODU @ VT</t>
        </is>
      </c>
      <c r="C29" s="12" t="inlineStr">
        <is>
          <t>2026-09-12 16:00</t>
        </is>
      </c>
      <c r="D29" s="22" t="n">
        <v>2</v>
      </c>
      <c r="E29" s="12" t="inlineStr">
        <is>
          <t>ML</t>
        </is>
      </c>
      <c r="F29" s="12" t="inlineStr">
        <is>
          <t>ODU ML</t>
        </is>
      </c>
      <c r="G29" s="23" t="n"/>
      <c r="H29" s="13" t="n">
        <v>700</v>
      </c>
      <c r="I29" s="15" t="n">
        <v>0.2370084181962495</v>
      </c>
      <c r="J29" s="15" t="n">
        <v>0.12</v>
      </c>
      <c r="K29" s="15" t="n">
        <v>0.125</v>
      </c>
      <c r="L29" s="14" t="n">
        <v>0.09499999976898163</v>
      </c>
      <c r="M29" s="14" t="n">
        <v>0.8960673455699961</v>
      </c>
      <c r="N29" s="15" t="n">
        <v>0</v>
      </c>
      <c r="O29" s="24" t="n">
        <v>0.725</v>
      </c>
      <c r="P29" s="12" t="inlineStr">
        <is>
          <t>DraftKings</t>
        </is>
      </c>
      <c r="Q29" s="12" t="inlineStr">
        <is>
          <t>price outside allowed range</t>
        </is>
      </c>
    </row>
    <row r="30">
      <c r="A30" s="17" t="inlineStr">
        <is>
          <t>PASS</t>
        </is>
      </c>
      <c r="B30" s="17" t="inlineStr">
        <is>
          <t>SAC @ FRES</t>
        </is>
      </c>
      <c r="C30" s="17" t="inlineStr">
        <is>
          <t>2026-09-13 02:30</t>
        </is>
      </c>
      <c r="D30" s="25" t="n">
        <v>2</v>
      </c>
      <c r="E30" s="17" t="inlineStr">
        <is>
          <t>ML</t>
        </is>
      </c>
      <c r="F30" s="17" t="inlineStr">
        <is>
          <t>SAC ML</t>
        </is>
      </c>
      <c r="G30" s="26" t="n"/>
      <c r="H30" s="18" t="n">
        <v>625</v>
      </c>
      <c r="I30" s="20" t="n">
        <v>0.255968050540569</v>
      </c>
      <c r="J30" s="20" t="n">
        <v>0.1322834645669291</v>
      </c>
      <c r="K30" s="20" t="n">
        <v>0.1379310344827586</v>
      </c>
      <c r="L30" s="19" t="n">
        <v>0.09499999946291759</v>
      </c>
      <c r="M30" s="19" t="n">
        <v>0.8557683664191256</v>
      </c>
      <c r="N30" s="20" t="n">
        <v>0</v>
      </c>
      <c r="O30" s="27" t="n">
        <v>0.725</v>
      </c>
      <c r="P30" s="17" t="inlineStr">
        <is>
          <t>DraftKings</t>
        </is>
      </c>
      <c r="Q30" s="17" t="inlineStr">
        <is>
          <t>price outside allowed range</t>
        </is>
      </c>
    </row>
    <row r="31">
      <c r="A31" s="12" t="inlineStr">
        <is>
          <t>PASS</t>
        </is>
      </c>
      <c r="B31" s="12" t="inlineStr">
        <is>
          <t>ALA @ UK</t>
        </is>
      </c>
      <c r="C31" s="12" t="inlineStr">
        <is>
          <t>2026-09-12 19:30</t>
        </is>
      </c>
      <c r="D31" s="22" t="n">
        <v>2</v>
      </c>
      <c r="E31" s="12" t="inlineStr">
        <is>
          <t>ML</t>
        </is>
      </c>
      <c r="F31" s="12" t="inlineStr">
        <is>
          <t>UK ML</t>
        </is>
      </c>
      <c r="G31" s="23" t="n"/>
      <c r="H31" s="13" t="n">
        <v>320</v>
      </c>
      <c r="I31" s="15" t="n">
        <v>0.4338575059606232</v>
      </c>
      <c r="J31" s="15" t="n">
        <v>0.2284946236559139</v>
      </c>
      <c r="K31" s="15" t="n">
        <v>0.2380952380952381</v>
      </c>
      <c r="L31" s="14" t="n">
        <v>0.09499999884837462</v>
      </c>
      <c r="M31" s="14" t="n">
        <v>0.8222015250346175</v>
      </c>
      <c r="N31" s="15" t="n">
        <v>0</v>
      </c>
      <c r="O31" s="24" t="n">
        <v>0.725</v>
      </c>
      <c r="P31" s="12" t="inlineStr">
        <is>
          <t>DraftKings</t>
        </is>
      </c>
      <c r="Q31" s="12" t="inlineStr">
        <is>
          <t>raw model/market disagreement exceeds the safety limit</t>
        </is>
      </c>
    </row>
    <row r="32">
      <c r="A32" s="17" t="inlineStr">
        <is>
          <t>PASS</t>
        </is>
      </c>
      <c r="B32" s="17" t="inlineStr">
        <is>
          <t>UL @ USC</t>
        </is>
      </c>
      <c r="C32" s="17" t="inlineStr">
        <is>
          <t>2026-09-13 03:00</t>
        </is>
      </c>
      <c r="D32" s="25" t="n">
        <v>2</v>
      </c>
      <c r="E32" s="17" t="inlineStr">
        <is>
          <t>ATS</t>
        </is>
      </c>
      <c r="F32" s="17" t="inlineStr">
        <is>
          <t>UL +30.5</t>
        </is>
      </c>
      <c r="G32" s="26" t="n">
        <v>-30.5</v>
      </c>
      <c r="H32" s="18" t="n">
        <v>-102</v>
      </c>
      <c r="I32" s="20" t="n">
        <v>0.7300435230799442</v>
      </c>
      <c r="J32" s="20" t="n">
        <v>0.4826358742837298</v>
      </c>
      <c r="K32" s="20" t="n">
        <v>0.504950495049505</v>
      </c>
      <c r="L32" s="19" t="n">
        <v>0.09499609284657561</v>
      </c>
      <c r="M32" s="19" t="n">
        <v>0.445772467275968</v>
      </c>
      <c r="N32" s="20" t="n">
        <v>0</v>
      </c>
      <c r="O32" s="27" t="n">
        <v>0.725</v>
      </c>
      <c r="P32" s="17" t="inlineStr">
        <is>
          <t>DraftKings</t>
        </is>
      </c>
      <c r="Q32" s="17" t="inlineStr">
        <is>
          <t>raw model/market disagreement exceeds the safety limit</t>
        </is>
      </c>
    </row>
    <row r="33">
      <c r="A33" s="12" t="inlineStr">
        <is>
          <t>PASS</t>
        </is>
      </c>
      <c r="B33" s="12" t="inlineStr">
        <is>
          <t>RICE @ ND</t>
        </is>
      </c>
      <c r="C33" s="12" t="inlineStr">
        <is>
          <t>2026-09-12 19:30</t>
        </is>
      </c>
      <c r="D33" s="22" t="n">
        <v>2</v>
      </c>
      <c r="E33" s="12" t="inlineStr">
        <is>
          <t>ATS</t>
        </is>
      </c>
      <c r="F33" s="12" t="inlineStr">
        <is>
          <t>RICE +44.5</t>
        </is>
      </c>
      <c r="G33" s="23" t="n">
        <v>-44.5</v>
      </c>
      <c r="H33" s="13" t="n">
        <v>-108</v>
      </c>
      <c r="I33" s="15" t="n">
        <v>0.74721251759219</v>
      </c>
      <c r="J33" s="15" t="n">
        <v>0.4956702459300312</v>
      </c>
      <c r="K33" s="15" t="n">
        <v>0.5192307692307693</v>
      </c>
      <c r="L33" s="14" t="n">
        <v>0.09499564647133807</v>
      </c>
      <c r="M33" s="14" t="n">
        <v>0.4390759598071807</v>
      </c>
      <c r="N33" s="15" t="n">
        <v>0</v>
      </c>
      <c r="O33" s="24" t="n">
        <v>0.725</v>
      </c>
      <c r="P33" s="12" t="inlineStr">
        <is>
          <t>DraftKings</t>
        </is>
      </c>
      <c r="Q33" s="12" t="inlineStr">
        <is>
          <t>raw model/market disagreement exceeds the safety limit</t>
        </is>
      </c>
    </row>
    <row r="34">
      <c r="A34" s="17" t="inlineStr">
        <is>
          <t>PASS</t>
        </is>
      </c>
      <c r="B34" s="17" t="inlineStr">
        <is>
          <t>WKU @ UGA</t>
        </is>
      </c>
      <c r="C34" s="17" t="inlineStr">
        <is>
          <t>2026-09-12 16:45</t>
        </is>
      </c>
      <c r="D34" s="25" t="n">
        <v>2</v>
      </c>
      <c r="E34" s="17" t="inlineStr">
        <is>
          <t>ATS</t>
        </is>
      </c>
      <c r="F34" s="17" t="inlineStr">
        <is>
          <t>WKU +40.5</t>
        </is>
      </c>
      <c r="G34" s="26" t="n">
        <v>-40.5</v>
      </c>
      <c r="H34" s="18" t="n">
        <v>-108</v>
      </c>
      <c r="I34" s="20" t="n">
        <v>0.7460514247913764</v>
      </c>
      <c r="J34" s="20" t="n">
        <v>0.4956702459300312</v>
      </c>
      <c r="K34" s="20" t="n">
        <v>0.5192307692307693</v>
      </c>
      <c r="L34" s="19" t="n">
        <v>0.09499542639969523</v>
      </c>
      <c r="M34" s="19" t="n">
        <v>0.436839781079688</v>
      </c>
      <c r="N34" s="20" t="n">
        <v>0</v>
      </c>
      <c r="O34" s="27" t="n">
        <v>0.725</v>
      </c>
      <c r="P34" s="17" t="inlineStr">
        <is>
          <t>DraftKings</t>
        </is>
      </c>
      <c r="Q34" s="17" t="inlineStr">
        <is>
          <t>raw model/market disagreement exceeds the safety limit</t>
        </is>
      </c>
    </row>
    <row r="35">
      <c r="A35" s="12" t="inlineStr">
        <is>
          <t>PASS</t>
        </is>
      </c>
      <c r="B35" s="12" t="inlineStr">
        <is>
          <t>ORE @ OKST</t>
        </is>
      </c>
      <c r="C35" s="12" t="inlineStr">
        <is>
          <t>2026-09-12 16:00</t>
        </is>
      </c>
      <c r="D35" s="22" t="n">
        <v>2</v>
      </c>
      <c r="E35" s="12" t="inlineStr">
        <is>
          <t>ATS</t>
        </is>
      </c>
      <c r="F35" s="12" t="inlineStr">
        <is>
          <t>OKST +22.5</t>
        </is>
      </c>
      <c r="G35" s="23" t="n">
        <v>22.5</v>
      </c>
      <c r="H35" s="13" t="n">
        <v>-108</v>
      </c>
      <c r="I35" s="15" t="n">
        <v>0.7414674813619375</v>
      </c>
      <c r="J35" s="15" t="n">
        <v>0.4956702459300312</v>
      </c>
      <c r="K35" s="15" t="n">
        <v>0.5192307692307693</v>
      </c>
      <c r="L35" s="14" t="n">
        <v>0.09499444338209213</v>
      </c>
      <c r="M35" s="14" t="n">
        <v>0.4280114455859538</v>
      </c>
      <c r="N35" s="15" t="n">
        <v>0</v>
      </c>
      <c r="O35" s="24" t="n">
        <v>0.725</v>
      </c>
      <c r="P35" s="12" t="inlineStr">
        <is>
          <t>DraftKings</t>
        </is>
      </c>
      <c r="Q35" s="12" t="inlineStr">
        <is>
          <t>raw model/market disagreement exceeds the safety limit</t>
        </is>
      </c>
    </row>
    <row r="36">
      <c r="A36" s="17" t="inlineStr">
        <is>
          <t>PASS</t>
        </is>
      </c>
      <c r="B36" s="17" t="inlineStr">
        <is>
          <t>CLT @ MISS</t>
        </is>
      </c>
      <c r="C36" s="17" t="inlineStr">
        <is>
          <t>2026-09-12 23:45</t>
        </is>
      </c>
      <c r="D36" s="25" t="n">
        <v>2</v>
      </c>
      <c r="E36" s="17" t="inlineStr">
        <is>
          <t>ATS</t>
        </is>
      </c>
      <c r="F36" s="17" t="inlineStr">
        <is>
          <t>CLT +47.5</t>
        </is>
      </c>
      <c r="G36" s="26" t="n">
        <v>-47.5</v>
      </c>
      <c r="H36" s="18" t="n">
        <v>-112</v>
      </c>
      <c r="I36" s="20" t="n">
        <v>0.7518596632352991</v>
      </c>
      <c r="J36" s="20" t="n">
        <v>0.5043297540699688</v>
      </c>
      <c r="K36" s="20" t="n">
        <v>0.5283018867924528</v>
      </c>
      <c r="L36" s="19" t="n">
        <v>0.09499381632901086</v>
      </c>
      <c r="M36" s="19" t="n">
        <v>0.4231629339811018</v>
      </c>
      <c r="N36" s="20" t="n">
        <v>0</v>
      </c>
      <c r="O36" s="27" t="n">
        <v>0.725</v>
      </c>
      <c r="P36" s="17" t="inlineStr">
        <is>
          <t>DraftKings</t>
        </is>
      </c>
      <c r="Q36" s="17" t="inlineStr">
        <is>
          <t>raw model/market disagreement exceeds the safety limit</t>
        </is>
      </c>
    </row>
    <row r="37">
      <c r="A37" s="12" t="inlineStr">
        <is>
          <t>PASS</t>
        </is>
      </c>
      <c r="B37" s="12" t="inlineStr">
        <is>
          <t>USM @ AUB</t>
        </is>
      </c>
      <c r="C37" s="12" t="inlineStr">
        <is>
          <t>2026-09-12 23:45</t>
        </is>
      </c>
      <c r="D37" s="22" t="n">
        <v>2</v>
      </c>
      <c r="E37" s="12" t="inlineStr">
        <is>
          <t>ATS</t>
        </is>
      </c>
      <c r="F37" s="12" t="inlineStr">
        <is>
          <t>USM +30.5</t>
        </is>
      </c>
      <c r="G37" s="23" t="n">
        <v>-30.5</v>
      </c>
      <c r="H37" s="13" t="n">
        <v>-108</v>
      </c>
      <c r="I37" s="15" t="n">
        <v>0.7377878308827187</v>
      </c>
      <c r="J37" s="15" t="n">
        <v>0.4956702459300312</v>
      </c>
      <c r="K37" s="15" t="n">
        <v>0.5192307692307693</v>
      </c>
      <c r="L37" s="14" t="n">
        <v>0.09499350345369613</v>
      </c>
      <c r="M37" s="14" t="n">
        <v>0.4209247113296806</v>
      </c>
      <c r="N37" s="15" t="n">
        <v>0</v>
      </c>
      <c r="O37" s="24" t="n">
        <v>0.725</v>
      </c>
      <c r="P37" s="12" t="inlineStr">
        <is>
          <t>DraftKings</t>
        </is>
      </c>
      <c r="Q37" s="12" t="inlineStr">
        <is>
          <t>raw model/market disagreement exceeds the safety limit</t>
        </is>
      </c>
    </row>
    <row r="38">
      <c r="A38" s="17" t="inlineStr">
        <is>
          <t>PASS</t>
        </is>
      </c>
      <c r="B38" s="17" t="inlineStr">
        <is>
          <t>PSU @ TEM</t>
        </is>
      </c>
      <c r="C38" s="17" t="inlineStr">
        <is>
          <t>2026-09-12 16:00</t>
        </is>
      </c>
      <c r="D38" s="25" t="n">
        <v>2</v>
      </c>
      <c r="E38" s="17" t="inlineStr">
        <is>
          <t>ATS</t>
        </is>
      </c>
      <c r="F38" s="17" t="inlineStr">
        <is>
          <t>TEM +23.5</t>
        </is>
      </c>
      <c r="G38" s="26" t="n">
        <v>23.5</v>
      </c>
      <c r="H38" s="18" t="n">
        <v>-110</v>
      </c>
      <c r="I38" s="20" t="n">
        <v>0.7435386335760985</v>
      </c>
      <c r="J38" s="20" t="n">
        <v>0.5</v>
      </c>
      <c r="K38" s="20" t="n">
        <v>0.5238095238095238</v>
      </c>
      <c r="L38" s="19" t="n">
        <v>0.09499331085616804</v>
      </c>
      <c r="M38" s="19" t="n">
        <v>0.4194828459180062</v>
      </c>
      <c r="N38" s="20" t="n">
        <v>0</v>
      </c>
      <c r="O38" s="27" t="n">
        <v>0.725</v>
      </c>
      <c r="P38" s="17" t="inlineStr">
        <is>
          <t>DraftKings</t>
        </is>
      </c>
      <c r="Q38" s="17" t="inlineStr">
        <is>
          <t>raw model/market disagreement exceeds the safety limit</t>
        </is>
      </c>
    </row>
    <row r="39">
      <c r="A39" s="12" t="inlineStr">
        <is>
          <t>PASS</t>
        </is>
      </c>
      <c r="B39" s="12" t="inlineStr">
        <is>
          <t>TTU @ ORST</t>
        </is>
      </c>
      <c r="C39" s="12" t="inlineStr">
        <is>
          <t>2026-09-12 23:30</t>
        </is>
      </c>
      <c r="D39" s="22" t="n">
        <v>2</v>
      </c>
      <c r="E39" s="12" t="inlineStr">
        <is>
          <t>ATS</t>
        </is>
      </c>
      <c r="F39" s="12" t="inlineStr">
        <is>
          <t>ORST +26.5</t>
        </is>
      </c>
      <c r="G39" s="23" t="n">
        <v>26.5</v>
      </c>
      <c r="H39" s="13" t="n">
        <v>-112</v>
      </c>
      <c r="I39" s="15" t="n">
        <v>0.7487934642772726</v>
      </c>
      <c r="J39" s="15" t="n">
        <v>0.5043297540699688</v>
      </c>
      <c r="K39" s="15" t="n">
        <v>0.5283018867924528</v>
      </c>
      <c r="L39" s="14" t="n">
        <v>0.09499297199835204</v>
      </c>
      <c r="M39" s="14" t="n">
        <v>0.4173590573819801</v>
      </c>
      <c r="N39" s="15" t="n">
        <v>0</v>
      </c>
      <c r="O39" s="24" t="n">
        <v>0.725</v>
      </c>
      <c r="P39" s="12" t="inlineStr">
        <is>
          <t>DraftKings</t>
        </is>
      </c>
      <c r="Q39" s="12" t="inlineStr">
        <is>
          <t>raw model/market disagreement exceeds the safety limit</t>
        </is>
      </c>
    </row>
    <row r="40">
      <c r="A40" s="17" t="inlineStr">
        <is>
          <t>PASS</t>
        </is>
      </c>
      <c r="B40" s="17" t="inlineStr">
        <is>
          <t>USU @ WASH</t>
        </is>
      </c>
      <c r="C40" s="17" t="inlineStr">
        <is>
          <t>2026-09-12 19:30</t>
        </is>
      </c>
      <c r="D40" s="25" t="n">
        <v>2</v>
      </c>
      <c r="E40" s="17" t="inlineStr">
        <is>
          <t>ATS</t>
        </is>
      </c>
      <c r="F40" s="17" t="inlineStr">
        <is>
          <t>USU +26.5</t>
        </is>
      </c>
      <c r="G40" s="26" t="n">
        <v>-26.5</v>
      </c>
      <c r="H40" s="18" t="n">
        <v>-105</v>
      </c>
      <c r="I40" s="20" t="n">
        <v>0.7198166087333226</v>
      </c>
      <c r="J40" s="20" t="n">
        <v>0.4891657638136511</v>
      </c>
      <c r="K40" s="20" t="n">
        <v>0.5121951219512195</v>
      </c>
      <c r="L40" s="19" t="n">
        <v>0.09499071853584172</v>
      </c>
      <c r="M40" s="19" t="n">
        <v>0.4053562360983918</v>
      </c>
      <c r="N40" s="20" t="n">
        <v>0</v>
      </c>
      <c r="O40" s="27" t="n">
        <v>0.725</v>
      </c>
      <c r="P40" s="17" t="inlineStr">
        <is>
          <t>DraftKings</t>
        </is>
      </c>
      <c r="Q40" s="17" t="inlineStr">
        <is>
          <t>raw model/market disagreement exceeds the safety limit</t>
        </is>
      </c>
    </row>
    <row r="41">
      <c r="A41" s="12" t="inlineStr">
        <is>
          <t>PASS</t>
        </is>
      </c>
      <c r="B41" s="12" t="inlineStr">
        <is>
          <t>LT @ LSU</t>
        </is>
      </c>
      <c r="C41" s="12" t="inlineStr">
        <is>
          <t>2026-09-12 23:30</t>
        </is>
      </c>
      <c r="D41" s="22" t="n">
        <v>2</v>
      </c>
      <c r="E41" s="12" t="inlineStr">
        <is>
          <t>ATS</t>
        </is>
      </c>
      <c r="F41" s="12" t="inlineStr">
        <is>
          <t>LT +34.5</t>
        </is>
      </c>
      <c r="G41" s="23" t="n">
        <v>-34.5</v>
      </c>
      <c r="H41" s="13" t="n">
        <v>-115</v>
      </c>
      <c r="I41" s="15" t="n">
        <v>0.7508379567151959</v>
      </c>
      <c r="J41" s="15" t="n">
        <v>0.5108342361863488</v>
      </c>
      <c r="K41" s="15" t="n">
        <v>0.5348837209302325</v>
      </c>
      <c r="L41" s="14" t="n">
        <v>0.09499038202413333</v>
      </c>
      <c r="M41" s="14" t="n">
        <v>0.403740527771888</v>
      </c>
      <c r="N41" s="15" t="n">
        <v>0</v>
      </c>
      <c r="O41" s="24" t="n">
        <v>0.725</v>
      </c>
      <c r="P41" s="12" t="inlineStr">
        <is>
          <t>DraftKings</t>
        </is>
      </c>
      <c r="Q41" s="12" t="inlineStr">
        <is>
          <t>raw model/market disagreement exceeds the safety limit</t>
        </is>
      </c>
    </row>
    <row r="42">
      <c r="A42" s="17" t="inlineStr">
        <is>
          <t>PASS</t>
        </is>
      </c>
      <c r="B42" s="17" t="inlineStr">
        <is>
          <t>MIZ @ KU</t>
        </is>
      </c>
      <c r="C42" s="17" t="inlineStr">
        <is>
          <t>2026-09-12 00:00</t>
        </is>
      </c>
      <c r="D42" s="25" t="n">
        <v>2</v>
      </c>
      <c r="E42" s="17" t="inlineStr">
        <is>
          <t>ML</t>
        </is>
      </c>
      <c r="F42" s="17" t="inlineStr">
        <is>
          <t>KU ML</t>
        </is>
      </c>
      <c r="G42" s="26" t="n"/>
      <c r="H42" s="18" t="n">
        <v>195</v>
      </c>
      <c r="I42" s="20" t="n">
        <v>0.4775997874008849</v>
      </c>
      <c r="J42" s="20" t="n">
        <v>0.3249687530045188</v>
      </c>
      <c r="K42" s="20" t="n">
        <v>0.3389830508474576</v>
      </c>
      <c r="L42" s="19" t="n">
        <v>0.09499035203196486</v>
      </c>
      <c r="M42" s="19" t="n">
        <v>0.4089193728326104</v>
      </c>
      <c r="N42" s="20" t="n">
        <v>0</v>
      </c>
      <c r="O42" s="27" t="n">
        <v>0.725</v>
      </c>
      <c r="P42" s="17" t="inlineStr">
        <is>
          <t>DraftKings</t>
        </is>
      </c>
      <c r="Q42" s="17" t="inlineStr">
        <is>
          <t>raw model/market disagreement exceeds the safety limit</t>
        </is>
      </c>
    </row>
    <row r="43">
      <c r="A43" s="12" t="inlineStr">
        <is>
          <t>PASS</t>
        </is>
      </c>
      <c r="B43" s="12" t="inlineStr">
        <is>
          <t>BGSU @ NEB</t>
        </is>
      </c>
      <c r="C43" s="12" t="inlineStr">
        <is>
          <t>2026-09-12 23:00</t>
        </is>
      </c>
      <c r="D43" s="22" t="n">
        <v>2</v>
      </c>
      <c r="E43" s="12" t="inlineStr">
        <is>
          <t>ATS</t>
        </is>
      </c>
      <c r="F43" s="12" t="inlineStr">
        <is>
          <t>BGSU +28.5</t>
        </is>
      </c>
      <c r="G43" s="23" t="n">
        <v>-28.5</v>
      </c>
      <c r="H43" s="13" t="n">
        <v>-108</v>
      </c>
      <c r="I43" s="15" t="n">
        <v>0.7278138119738216</v>
      </c>
      <c r="J43" s="15" t="n">
        <v>0.4956702459300312</v>
      </c>
      <c r="K43" s="15" t="n">
        <v>0.5192307692307693</v>
      </c>
      <c r="L43" s="14" t="n">
        <v>0.09499007675728013</v>
      </c>
      <c r="M43" s="14" t="n">
        <v>0.40171548972736</v>
      </c>
      <c r="N43" s="15" t="n">
        <v>0</v>
      </c>
      <c r="O43" s="24" t="n">
        <v>0.725</v>
      </c>
      <c r="P43" s="12" t="inlineStr">
        <is>
          <t>DraftKings</t>
        </is>
      </c>
      <c r="Q43" s="12" t="inlineStr">
        <is>
          <t>raw model/market disagreement exceeds the safety limit</t>
        </is>
      </c>
    </row>
    <row r="44">
      <c r="A44" s="17" t="inlineStr">
        <is>
          <t>PASS</t>
        </is>
      </c>
      <c r="B44" s="17" t="inlineStr">
        <is>
          <t>TLSA @ SHSU</t>
        </is>
      </c>
      <c r="C44" s="17" t="inlineStr">
        <is>
          <t>2026-09-12 23:00</t>
        </is>
      </c>
      <c r="D44" s="25" t="n">
        <v>2</v>
      </c>
      <c r="E44" s="17" t="inlineStr">
        <is>
          <t>ATS</t>
        </is>
      </c>
      <c r="F44" s="17" t="inlineStr">
        <is>
          <t>SHSU +13.5</t>
        </is>
      </c>
      <c r="G44" s="26" t="n">
        <v>13.5</v>
      </c>
      <c r="H44" s="18" t="n">
        <v>-105</v>
      </c>
      <c r="I44" s="20" t="n">
        <v>0.7136568760770362</v>
      </c>
      <c r="J44" s="20" t="n">
        <v>0.4891657638136511</v>
      </c>
      <c r="K44" s="20" t="n">
        <v>0.5121951219512195</v>
      </c>
      <c r="L44" s="19" t="n">
        <v>0.0949879012034336</v>
      </c>
      <c r="M44" s="19" t="n">
        <v>0.3933300913884992</v>
      </c>
      <c r="N44" s="20" t="n">
        <v>0</v>
      </c>
      <c r="O44" s="27" t="n">
        <v>0.725</v>
      </c>
      <c r="P44" s="17" t="inlineStr">
        <is>
          <t>DraftKings</t>
        </is>
      </c>
      <c r="Q44" s="17" t="inlineStr">
        <is>
          <t>raw model/market disagreement exceeds the safety limit</t>
        </is>
      </c>
    </row>
    <row r="45">
      <c r="A45" s="12" t="inlineStr">
        <is>
          <t>PASS</t>
        </is>
      </c>
      <c r="B45" s="12" t="inlineStr">
        <is>
          <t>DEL @ VAN</t>
        </is>
      </c>
      <c r="C45" s="12" t="inlineStr">
        <is>
          <t>2026-09-12 20:15</t>
        </is>
      </c>
      <c r="D45" s="22" t="n">
        <v>2</v>
      </c>
      <c r="E45" s="12" t="inlineStr">
        <is>
          <t>ATS</t>
        </is>
      </c>
      <c r="F45" s="12" t="inlineStr">
        <is>
          <t>DEL +20.5</t>
        </is>
      </c>
      <c r="G45" s="23" t="n">
        <v>-20.5</v>
      </c>
      <c r="H45" s="13" t="n">
        <v>-102</v>
      </c>
      <c r="I45" s="15" t="n">
        <v>0.6972826126064007</v>
      </c>
      <c r="J45" s="15" t="n">
        <v>0.4826358742837298</v>
      </c>
      <c r="K45" s="15" t="n">
        <v>0.504950495049505</v>
      </c>
      <c r="L45" s="14" t="n">
        <v>0.09498368999972431</v>
      </c>
      <c r="M45" s="14" t="n">
        <v>0.3808930171224798</v>
      </c>
      <c r="N45" s="15" t="n">
        <v>0</v>
      </c>
      <c r="O45" s="24" t="n">
        <v>0.725</v>
      </c>
      <c r="P45" s="12" t="inlineStr">
        <is>
          <t>DraftKings</t>
        </is>
      </c>
      <c r="Q45" s="12" t="inlineStr">
        <is>
          <t>raw model/market disagreement exceeds the safety limit</t>
        </is>
      </c>
    </row>
    <row r="46">
      <c r="A46" s="17" t="inlineStr">
        <is>
          <t>PASS</t>
        </is>
      </c>
      <c r="B46" s="17" t="inlineStr">
        <is>
          <t>MD @ CONN</t>
        </is>
      </c>
      <c r="C46" s="17" t="inlineStr">
        <is>
          <t>2026-09-12 19:30</t>
        </is>
      </c>
      <c r="D46" s="25" t="n">
        <v>2</v>
      </c>
      <c r="E46" s="17" t="inlineStr">
        <is>
          <t>ATS</t>
        </is>
      </c>
      <c r="F46" s="17" t="inlineStr">
        <is>
          <t>CONN +12.5</t>
        </is>
      </c>
      <c r="G46" s="26" t="n">
        <v>12.5</v>
      </c>
      <c r="H46" s="18" t="n">
        <v>-110</v>
      </c>
      <c r="I46" s="20" t="n">
        <v>0.7118136539836952</v>
      </c>
      <c r="J46" s="20" t="n">
        <v>0.5</v>
      </c>
      <c r="K46" s="20" t="n">
        <v>0.5238095238095238</v>
      </c>
      <c r="L46" s="19" t="n">
        <v>0.09497456373718653</v>
      </c>
      <c r="M46" s="19" t="n">
        <v>0.3589169757870545</v>
      </c>
      <c r="N46" s="20" t="n">
        <v>0</v>
      </c>
      <c r="O46" s="27" t="n">
        <v>0.725</v>
      </c>
      <c r="P46" s="17" t="inlineStr">
        <is>
          <t>DraftKings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ALA @ UK</t>
        </is>
      </c>
      <c r="C47" s="12" t="inlineStr">
        <is>
          <t>2026-09-12 19:30</t>
        </is>
      </c>
      <c r="D47" s="22" t="n">
        <v>2</v>
      </c>
      <c r="E47" s="12" t="inlineStr">
        <is>
          <t>ATS</t>
        </is>
      </c>
      <c r="F47" s="12" t="inlineStr">
        <is>
          <t>UK +10</t>
        </is>
      </c>
      <c r="G47" s="23" t="n">
        <v>10</v>
      </c>
      <c r="H47" s="13" t="n">
        <v>-105</v>
      </c>
      <c r="I47" s="15" t="n">
        <v>0.6911827173633722</v>
      </c>
      <c r="J47" s="15" t="n">
        <v>0.4891657638136511</v>
      </c>
      <c r="K47" s="15" t="n">
        <v>0.5121951219512195</v>
      </c>
      <c r="L47" s="14" t="n">
        <v>0.09496817535099178</v>
      </c>
      <c r="M47" s="14" t="n">
        <v>0.3421484257804565</v>
      </c>
      <c r="N47" s="15" t="n">
        <v>0.0209</v>
      </c>
      <c r="O47" s="24" t="n">
        <v>0.725</v>
      </c>
      <c r="P47" s="12" t="inlineStr">
        <is>
          <t>DraftKings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TENN @ GT</t>
        </is>
      </c>
      <c r="C48" s="17" t="inlineStr">
        <is>
          <t>2026-09-12 23:00</t>
        </is>
      </c>
      <c r="D48" s="25" t="n">
        <v>2</v>
      </c>
      <c r="E48" s="17" t="inlineStr">
        <is>
          <t>ATS</t>
        </is>
      </c>
      <c r="F48" s="17" t="inlineStr">
        <is>
          <t>GT +13.5</t>
        </is>
      </c>
      <c r="G48" s="26" t="n">
        <v>13.5</v>
      </c>
      <c r="H48" s="18" t="n">
        <v>-112</v>
      </c>
      <c r="I48" s="20" t="n">
        <v>0.7111155429789584</v>
      </c>
      <c r="J48" s="20" t="n">
        <v>0.5043297540699688</v>
      </c>
      <c r="K48" s="20" t="n">
        <v>0.5283018867924528</v>
      </c>
      <c r="L48" s="19" t="n">
        <v>0.09496612829314288</v>
      </c>
      <c r="M48" s="19" t="n">
        <v>0.3460401349244568</v>
      </c>
      <c r="N48" s="20" t="n">
        <v>0</v>
      </c>
      <c r="O48" s="27" t="n">
        <v>0.725</v>
      </c>
      <c r="P48" s="17" t="inlineStr">
        <is>
          <t>DraftKings</t>
        </is>
      </c>
      <c r="Q48" s="17" t="inlineStr">
        <is>
          <t>raw model/market disagreement exceeds the safety limit</t>
        </is>
      </c>
    </row>
    <row r="49">
      <c r="A49" s="12" t="inlineStr">
        <is>
          <t>PASS</t>
        </is>
      </c>
      <c r="B49" s="12" t="inlineStr">
        <is>
          <t>GASO @ CLEM</t>
        </is>
      </c>
      <c r="C49" s="12" t="inlineStr">
        <is>
          <t>2026-09-12 23:30</t>
        </is>
      </c>
      <c r="D49" s="22" t="n">
        <v>2</v>
      </c>
      <c r="E49" s="12" t="inlineStr">
        <is>
          <t>ATS</t>
        </is>
      </c>
      <c r="F49" s="12" t="inlineStr">
        <is>
          <t>GASO +21</t>
        </is>
      </c>
      <c r="G49" s="23" t="n">
        <v>-21</v>
      </c>
      <c r="H49" s="13" t="n">
        <v>-115</v>
      </c>
      <c r="I49" s="15" t="n">
        <v>0.7186553189709629</v>
      </c>
      <c r="J49" s="15" t="n">
        <v>0.5108342361863488</v>
      </c>
      <c r="K49" s="15" t="n">
        <v>0.5348837209302325</v>
      </c>
      <c r="L49" s="14" t="n">
        <v>0.09496377270320468</v>
      </c>
      <c r="M49" s="14" t="n">
        <v>0.3384881074242731</v>
      </c>
      <c r="N49" s="15" t="n">
        <v>0.0148</v>
      </c>
      <c r="O49" s="24" t="n">
        <v>0.725</v>
      </c>
      <c r="P49" s="12" t="inlineStr">
        <is>
          <t>DraftKings</t>
        </is>
      </c>
      <c r="Q49" s="12" t="inlineStr">
        <is>
          <t>raw model/market disagreement exceeds the safety limit</t>
        </is>
      </c>
    </row>
    <row r="50">
      <c r="A50" s="17" t="inlineStr">
        <is>
          <t>PASS</t>
        </is>
      </c>
      <c r="B50" s="17" t="inlineStr">
        <is>
          <t>SAC @ FRES</t>
        </is>
      </c>
      <c r="C50" s="17" t="inlineStr">
        <is>
          <t>2026-09-13 02:30</t>
        </is>
      </c>
      <c r="D50" s="25" t="n">
        <v>2</v>
      </c>
      <c r="E50" s="17" t="inlineStr">
        <is>
          <t>ATS</t>
        </is>
      </c>
      <c r="F50" s="17" t="inlineStr">
        <is>
          <t>SAC +18.5</t>
        </is>
      </c>
      <c r="G50" s="26" t="n">
        <v>-18.5</v>
      </c>
      <c r="H50" s="18" t="n">
        <v>-112</v>
      </c>
      <c r="I50" s="20" t="n">
        <v>0.6947373675196025</v>
      </c>
      <c r="J50" s="20" t="n">
        <v>0.5043297540699688</v>
      </c>
      <c r="K50" s="20" t="n">
        <v>0.5283018867924528</v>
      </c>
      <c r="L50" s="19" t="n">
        <v>0.09493290616547943</v>
      </c>
      <c r="M50" s="19" t="n">
        <v>0.3150385885192475</v>
      </c>
      <c r="N50" s="20" t="n">
        <v>0</v>
      </c>
      <c r="O50" s="27" t="n">
        <v>0.725</v>
      </c>
      <c r="P50" s="17" t="inlineStr">
        <is>
          <t>DraftKings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ODU @ VT</t>
        </is>
      </c>
      <c r="C51" s="12" t="inlineStr">
        <is>
          <t>2026-09-12 16:00</t>
        </is>
      </c>
      <c r="D51" s="22" t="n">
        <v>2</v>
      </c>
      <c r="E51" s="12" t="inlineStr">
        <is>
          <t>ATS</t>
        </is>
      </c>
      <c r="F51" s="12" t="inlineStr">
        <is>
          <t>ODU +17.5</t>
        </is>
      </c>
      <c r="G51" s="23" t="n">
        <v>-17.5</v>
      </c>
      <c r="H51" s="13" t="n">
        <v>-105</v>
      </c>
      <c r="I51" s="15" t="n">
        <v>0.6727988363819676</v>
      </c>
      <c r="J51" s="15" t="n">
        <v>0.4891657638136511</v>
      </c>
      <c r="K51" s="15" t="n">
        <v>0.5121951219512195</v>
      </c>
      <c r="L51" s="14" t="n">
        <v>0.09492980750356769</v>
      </c>
      <c r="M51" s="14" t="n">
        <v>0.3135596329362225</v>
      </c>
      <c r="N51" s="15" t="n">
        <v>0</v>
      </c>
      <c r="O51" s="24" t="n">
        <v>0.725</v>
      </c>
      <c r="P51" s="12" t="inlineStr">
        <is>
          <t>DraftKings</t>
        </is>
      </c>
      <c r="Q51" s="12" t="inlineStr">
        <is>
          <t>raw model/market disagreement exceeds the safety limit</t>
        </is>
      </c>
    </row>
    <row r="52">
      <c r="A52" s="17" t="inlineStr">
        <is>
          <t>PASS</t>
        </is>
      </c>
      <c r="B52" s="17" t="inlineStr">
        <is>
          <t>ISU @ IOWA</t>
        </is>
      </c>
      <c r="C52" s="17" t="inlineStr">
        <is>
          <t>2026-09-12 23:30</t>
        </is>
      </c>
      <c r="D52" s="25" t="n">
        <v>2</v>
      </c>
      <c r="E52" s="17" t="inlineStr">
        <is>
          <t>TOTAL</t>
        </is>
      </c>
      <c r="F52" s="17" t="inlineStr">
        <is>
          <t>Over 41.5</t>
        </is>
      </c>
      <c r="G52" s="26" t="n">
        <v>41.5</v>
      </c>
      <c r="H52" s="18" t="n">
        <v>100</v>
      </c>
      <c r="I52" s="20" t="n">
        <v>0.6497874183648975</v>
      </c>
      <c r="J52" s="20" t="n">
        <v>0.4782608695652174</v>
      </c>
      <c r="K52" s="20" t="n">
        <v>0.5</v>
      </c>
      <c r="L52" s="19" t="n">
        <v>0.09490013665868692</v>
      </c>
      <c r="M52" s="19" t="n">
        <v>0.299574836729795</v>
      </c>
      <c r="N52" s="20" t="n">
        <v>0</v>
      </c>
      <c r="O52" s="27" t="n">
        <v>0.725</v>
      </c>
      <c r="P52" s="17" t="inlineStr">
        <is>
          <t>DraftKings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WSU @ KSU</t>
        </is>
      </c>
      <c r="C53" s="12" t="inlineStr">
        <is>
          <t>2026-09-12 16:00</t>
        </is>
      </c>
      <c r="D53" s="22" t="n">
        <v>2</v>
      </c>
      <c r="E53" s="12" t="inlineStr">
        <is>
          <t>ATS</t>
        </is>
      </c>
      <c r="F53" s="12" t="inlineStr">
        <is>
          <t>WSU +17.5</t>
        </is>
      </c>
      <c r="G53" s="23" t="n">
        <v>-17.5</v>
      </c>
      <c r="H53" s="13" t="n">
        <v>-112</v>
      </c>
      <c r="I53" s="15" t="n">
        <v>0.6780666881961276</v>
      </c>
      <c r="J53" s="15" t="n">
        <v>0.5043297540699688</v>
      </c>
      <c r="K53" s="15" t="n">
        <v>0.5283018867924528</v>
      </c>
      <c r="L53" s="14" t="n">
        <v>0.09486549056303763</v>
      </c>
      <c r="M53" s="14" t="n">
        <v>0.2834833740855272</v>
      </c>
      <c r="N53" s="15" t="n">
        <v>0</v>
      </c>
      <c r="O53" s="24" t="n">
        <v>0.725</v>
      </c>
      <c r="P53" s="12" t="inlineStr">
        <is>
          <t>DraftKings</t>
        </is>
      </c>
      <c r="Q53" s="12" t="inlineStr">
        <is>
          <t>raw model/market disagreement exceeds the safety limit</t>
        </is>
      </c>
    </row>
    <row r="54">
      <c r="A54" s="17" t="inlineStr">
        <is>
          <t>PASS</t>
        </is>
      </c>
      <c r="B54" s="17" t="inlineStr">
        <is>
          <t>EMU @ MSU</t>
        </is>
      </c>
      <c r="C54" s="17" t="inlineStr">
        <is>
          <t>2026-09-12 19:30</t>
        </is>
      </c>
      <c r="D54" s="25" t="n">
        <v>2</v>
      </c>
      <c r="E54" s="17" t="inlineStr">
        <is>
          <t>ATS</t>
        </is>
      </c>
      <c r="F54" s="17" t="inlineStr">
        <is>
          <t>EMU +17.5</t>
        </is>
      </c>
      <c r="G54" s="26" t="n">
        <v>-17.5</v>
      </c>
      <c r="H54" s="18" t="n">
        <v>-112</v>
      </c>
      <c r="I54" s="20" t="n">
        <v>0.6758780760662998</v>
      </c>
      <c r="J54" s="20" t="n">
        <v>0.5043297540699688</v>
      </c>
      <c r="K54" s="20" t="n">
        <v>0.5283018867924528</v>
      </c>
      <c r="L54" s="19" t="n">
        <v>0.09485263277721319</v>
      </c>
      <c r="M54" s="19" t="n">
        <v>0.2793406439826389</v>
      </c>
      <c r="N54" s="20" t="n">
        <v>0</v>
      </c>
      <c r="O54" s="27" t="n">
        <v>0.725</v>
      </c>
      <c r="P54" s="17" t="inlineStr">
        <is>
          <t>DraftKings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UTSA @ TXST</t>
        </is>
      </c>
      <c r="C55" s="12" t="inlineStr">
        <is>
          <t>2026-09-12 19:30</t>
        </is>
      </c>
      <c r="D55" s="22" t="n">
        <v>2</v>
      </c>
      <c r="E55" s="12" t="inlineStr">
        <is>
          <t>TOTAL</t>
        </is>
      </c>
      <c r="F55" s="12" t="inlineStr">
        <is>
          <t>Under 64.5</t>
        </is>
      </c>
      <c r="G55" s="23" t="n">
        <v>64.5</v>
      </c>
      <c r="H55" s="13" t="n">
        <v>-112</v>
      </c>
      <c r="I55" s="15" t="n">
        <v>0.6692036477196845</v>
      </c>
      <c r="J55" s="15" t="n">
        <v>0.5043297540699688</v>
      </c>
      <c r="K55" s="15" t="n">
        <v>0.5283018867924528</v>
      </c>
      <c r="L55" s="14" t="n">
        <v>0.09480533224267407</v>
      </c>
      <c r="M55" s="14" t="n">
        <v>0.2667069046122601</v>
      </c>
      <c r="N55" s="15" t="n">
        <v>0</v>
      </c>
      <c r="O55" s="24" t="n">
        <v>0.725</v>
      </c>
      <c r="P55" s="12" t="inlineStr">
        <is>
          <t>DraftKings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MIZ @ KU</t>
        </is>
      </c>
      <c r="C56" s="17" t="inlineStr">
        <is>
          <t>2026-09-12 00:00</t>
        </is>
      </c>
      <c r="D56" s="25" t="n">
        <v>2</v>
      </c>
      <c r="E56" s="17" t="inlineStr">
        <is>
          <t>ATS</t>
        </is>
      </c>
      <c r="F56" s="17" t="inlineStr">
        <is>
          <t>KU +6.5</t>
        </is>
      </c>
      <c r="G56" s="26" t="n">
        <v>6.5</v>
      </c>
      <c r="H56" s="18" t="n">
        <v>-110</v>
      </c>
      <c r="I56" s="20" t="n">
        <v>0.6523270712208118</v>
      </c>
      <c r="J56" s="20" t="n">
        <v>0.5</v>
      </c>
      <c r="K56" s="20" t="n">
        <v>0.5238095238095238</v>
      </c>
      <c r="L56" s="19" t="n">
        <v>0.09468913136090158</v>
      </c>
      <c r="M56" s="19" t="n">
        <v>0.2453516814215499</v>
      </c>
      <c r="N56" s="20" t="n">
        <v>0</v>
      </c>
      <c r="O56" s="27" t="n">
        <v>0.725</v>
      </c>
      <c r="P56" s="17" t="inlineStr">
        <is>
          <t>DraftKings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MTSU @ MRSH</t>
        </is>
      </c>
      <c r="C57" s="12" t="inlineStr">
        <is>
          <t>2026-09-12 23:00</t>
        </is>
      </c>
      <c r="D57" s="22" t="n">
        <v>2</v>
      </c>
      <c r="E57" s="12" t="inlineStr">
        <is>
          <t>ATS</t>
        </is>
      </c>
      <c r="F57" s="12" t="inlineStr">
        <is>
          <t>MTSU +14</t>
        </is>
      </c>
      <c r="G57" s="23" t="n">
        <v>-14</v>
      </c>
      <c r="H57" s="13" t="n">
        <v>-112</v>
      </c>
      <c r="I57" s="15" t="n">
        <v>0.6555321558777867</v>
      </c>
      <c r="J57" s="15" t="n">
        <v>0.5043297540699688</v>
      </c>
      <c r="K57" s="15" t="n">
        <v>0.5283018867924528</v>
      </c>
      <c r="L57" s="14" t="n">
        <v>0.09465580581809087</v>
      </c>
      <c r="M57" s="14" t="n">
        <v>0.2331462873421471</v>
      </c>
      <c r="N57" s="15" t="n">
        <v>0.0319</v>
      </c>
      <c r="O57" s="24" t="n">
        <v>0.725</v>
      </c>
      <c r="P57" s="12" t="inlineStr">
        <is>
          <t>DraftKings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UL @ USC</t>
        </is>
      </c>
      <c r="C58" s="17" t="inlineStr">
        <is>
          <t>2026-09-13 03:00</t>
        </is>
      </c>
      <c r="D58" s="25" t="n">
        <v>2</v>
      </c>
      <c r="E58" s="17" t="inlineStr">
        <is>
          <t>TOTAL</t>
        </is>
      </c>
      <c r="F58" s="17" t="inlineStr">
        <is>
          <t>Under 60.5</t>
        </is>
      </c>
      <c r="G58" s="26" t="n">
        <v>60.5</v>
      </c>
      <c r="H58" s="18" t="n">
        <v>-112</v>
      </c>
      <c r="I58" s="20" t="n">
        <v>0.653382857271296</v>
      </c>
      <c r="J58" s="20" t="n">
        <v>0.5043297540699688</v>
      </c>
      <c r="K58" s="20" t="n">
        <v>0.5283018867924528</v>
      </c>
      <c r="L58" s="19" t="n">
        <v>0.09462356108021207</v>
      </c>
      <c r="M58" s="19" t="n">
        <v>0.2367604084063817</v>
      </c>
      <c r="N58" s="20" t="n">
        <v>0</v>
      </c>
      <c r="O58" s="27" t="n">
        <v>0.725</v>
      </c>
      <c r="P58" s="17" t="inlineStr">
        <is>
          <t>DraftKings</t>
        </is>
      </c>
      <c r="Q58" s="17" t="inlineStr">
        <is>
          <t>outside the top 10 plays for this week</t>
        </is>
      </c>
    </row>
    <row r="59">
      <c r="A59" s="12" t="inlineStr">
        <is>
          <t>PASS</t>
        </is>
      </c>
      <c r="B59" s="12" t="inlineStr">
        <is>
          <t>ISU @ IOWA</t>
        </is>
      </c>
      <c r="C59" s="12" t="inlineStr">
        <is>
          <t>2026-09-12 23:30</t>
        </is>
      </c>
      <c r="D59" s="22" t="n">
        <v>2</v>
      </c>
      <c r="E59" s="12" t="inlineStr">
        <is>
          <t>ATS</t>
        </is>
      </c>
      <c r="F59" s="12" t="inlineStr">
        <is>
          <t>ISU +14</t>
        </is>
      </c>
      <c r="G59" s="23" t="n">
        <v>-14</v>
      </c>
      <c r="H59" s="13" t="n">
        <v>-110</v>
      </c>
      <c r="I59" s="15" t="n">
        <v>0.6470563347259415</v>
      </c>
      <c r="J59" s="15" t="n">
        <v>0.5</v>
      </c>
      <c r="K59" s="15" t="n">
        <v>0.5238095238095238</v>
      </c>
      <c r="L59" s="14" t="n">
        <v>0.09461204485710618</v>
      </c>
      <c r="M59" s="14" t="n">
        <v>0.227524817207245</v>
      </c>
      <c r="N59" s="15" t="n">
        <v>0.033</v>
      </c>
      <c r="O59" s="24" t="n">
        <v>0.725</v>
      </c>
      <c r="P59" s="12" t="inlineStr">
        <is>
          <t>DraftKings</t>
        </is>
      </c>
      <c r="Q59" s="12" t="inlineStr">
        <is>
          <t>correlated with a stronger play on the same game</t>
        </is>
      </c>
    </row>
    <row r="60">
      <c r="A60" s="17" t="inlineStr">
        <is>
          <t>PASS</t>
        </is>
      </c>
      <c r="B60" s="17" t="inlineStr">
        <is>
          <t>ASU @ TA&amp;M</t>
        </is>
      </c>
      <c r="C60" s="17" t="inlineStr">
        <is>
          <t>2026-09-12 16:00</t>
        </is>
      </c>
      <c r="D60" s="25" t="n">
        <v>2</v>
      </c>
      <c r="E60" s="17" t="inlineStr">
        <is>
          <t>ATS</t>
        </is>
      </c>
      <c r="F60" s="17" t="inlineStr">
        <is>
          <t>ASU +14</t>
        </is>
      </c>
      <c r="G60" s="26" t="n">
        <v>-14</v>
      </c>
      <c r="H60" s="18" t="n">
        <v>-108</v>
      </c>
      <c r="I60" s="20" t="n">
        <v>0.6408023039791969</v>
      </c>
      <c r="J60" s="20" t="n">
        <v>0.4956702459300312</v>
      </c>
      <c r="K60" s="20" t="n">
        <v>0.5192307692307693</v>
      </c>
      <c r="L60" s="19" t="n">
        <v>0.09460119375128051</v>
      </c>
      <c r="M60" s="19" t="n">
        <v>0.2262707415335476</v>
      </c>
      <c r="N60" s="20" t="n">
        <v>0.0336</v>
      </c>
      <c r="O60" s="27" t="n">
        <v>0.725</v>
      </c>
      <c r="P60" s="17" t="inlineStr">
        <is>
          <t>DraftKings</t>
        </is>
      </c>
      <c r="Q60" s="17" t="inlineStr">
        <is>
          <t>correlated with a stronger play on the same game</t>
        </is>
      </c>
    </row>
    <row r="61">
      <c r="A61" s="12" t="inlineStr">
        <is>
          <t>PASS</t>
        </is>
      </c>
      <c r="B61" s="12" t="inlineStr">
        <is>
          <t>NAVY @ FAU</t>
        </is>
      </c>
      <c r="C61" s="12" t="inlineStr">
        <is>
          <t>2026-09-12 23:30</t>
        </is>
      </c>
      <c r="D61" s="22" t="n">
        <v>2</v>
      </c>
      <c r="E61" s="12" t="inlineStr">
        <is>
          <t>ATS</t>
        </is>
      </c>
      <c r="F61" s="12" t="inlineStr">
        <is>
          <t>FAU +5.5</t>
        </is>
      </c>
      <c r="G61" s="23" t="n">
        <v>5.5</v>
      </c>
      <c r="H61" s="13" t="n">
        <v>-105</v>
      </c>
      <c r="I61" s="15" t="n">
        <v>0.6319277177712506</v>
      </c>
      <c r="J61" s="15" t="n">
        <v>0.4891657638136511</v>
      </c>
      <c r="K61" s="15" t="n">
        <v>0.5121951219512195</v>
      </c>
      <c r="L61" s="14" t="n">
        <v>0.09459313908806724</v>
      </c>
      <c r="M61" s="14" t="n">
        <v>0.2337636394581559</v>
      </c>
      <c r="N61" s="15" t="n">
        <v>0</v>
      </c>
      <c r="O61" s="24" t="n">
        <v>0.725</v>
      </c>
      <c r="P61" s="12" t="inlineStr">
        <is>
          <t>DraftKings</t>
        </is>
      </c>
      <c r="Q61" s="12" t="inlineStr">
        <is>
          <t>correlated with a stronger play on the same game</t>
        </is>
      </c>
    </row>
    <row r="62">
      <c r="A62" s="17" t="inlineStr">
        <is>
          <t>PASS</t>
        </is>
      </c>
      <c r="B62" s="17" t="inlineStr">
        <is>
          <t>BUFF @ FIU</t>
        </is>
      </c>
      <c r="C62" s="17" t="inlineStr">
        <is>
          <t>2026-09-12 22:00</t>
        </is>
      </c>
      <c r="D62" s="25" t="n">
        <v>2</v>
      </c>
      <c r="E62" s="17" t="inlineStr">
        <is>
          <t>ML</t>
        </is>
      </c>
      <c r="F62" s="17" t="inlineStr">
        <is>
          <t>BUFF ML</t>
        </is>
      </c>
      <c r="G62" s="26" t="n"/>
      <c r="H62" s="18" t="n">
        <v>340</v>
      </c>
      <c r="I62" s="20" t="n">
        <v>0.2816249096946756</v>
      </c>
      <c r="J62" s="20" t="n">
        <v>0.2180936995153474</v>
      </c>
      <c r="K62" s="20" t="n">
        <v>0.2272727272727273</v>
      </c>
      <c r="L62" s="19" t="n">
        <v>0.09458845037430685</v>
      </c>
      <c r="M62" s="19" t="n">
        <v>0.2391496026565727</v>
      </c>
      <c r="N62" s="20" t="n">
        <v>0</v>
      </c>
      <c r="O62" s="27" t="n">
        <v>0.725</v>
      </c>
      <c r="P62" s="17" t="inlineStr">
        <is>
          <t>DraftKings</t>
        </is>
      </c>
      <c r="Q62" s="17" t="inlineStr">
        <is>
          <t>outside the top 10 plays for this week</t>
        </is>
      </c>
    </row>
    <row r="63">
      <c r="A63" s="12" t="inlineStr">
        <is>
          <t>PASS</t>
        </is>
      </c>
      <c r="B63" s="12" t="inlineStr">
        <is>
          <t>USA @ TULN</t>
        </is>
      </c>
      <c r="C63" s="12" t="inlineStr">
        <is>
          <t>2026-09-12 23:00</t>
        </is>
      </c>
      <c r="D63" s="22" t="n">
        <v>2</v>
      </c>
      <c r="E63" s="12" t="inlineStr">
        <is>
          <t>ML</t>
        </is>
      </c>
      <c r="F63" s="12" t="inlineStr">
        <is>
          <t>USA ML</t>
        </is>
      </c>
      <c r="G63" s="23" t="n"/>
      <c r="H63" s="13" t="n">
        <v>320</v>
      </c>
      <c r="I63" s="15" t="n">
        <v>0.2926057563530686</v>
      </c>
      <c r="J63" s="15" t="n">
        <v>0.2284946236559139</v>
      </c>
      <c r="K63" s="15" t="n">
        <v>0.2380952380952381</v>
      </c>
      <c r="L63" s="14" t="n">
        <v>0.09448451666211895</v>
      </c>
      <c r="M63" s="14" t="n">
        <v>0.2289441766828884</v>
      </c>
      <c r="N63" s="15" t="n">
        <v>0</v>
      </c>
      <c r="O63" s="24" t="n">
        <v>0.725</v>
      </c>
      <c r="P63" s="12" t="inlineStr">
        <is>
          <t>DraftKings</t>
        </is>
      </c>
      <c r="Q63" s="12" t="inlineStr">
        <is>
          <t>outside the top 10 plays for this week</t>
        </is>
      </c>
    </row>
    <row r="64">
      <c r="A64" s="17" t="inlineStr">
        <is>
          <t>PASS</t>
        </is>
      </c>
      <c r="B64" s="17" t="inlineStr">
        <is>
          <t>NDSU @ AFA</t>
        </is>
      </c>
      <c r="C64" s="17" t="inlineStr">
        <is>
          <t>2026-09-13 02:00</t>
        </is>
      </c>
      <c r="D64" s="25" t="n">
        <v>2</v>
      </c>
      <c r="E64" s="17" t="inlineStr">
        <is>
          <t>ML</t>
        </is>
      </c>
      <c r="F64" s="17" t="inlineStr">
        <is>
          <t>AFA ML</t>
        </is>
      </c>
      <c r="G64" s="26" t="n"/>
      <c r="H64" s="18" t="n">
        <v>136</v>
      </c>
      <c r="I64" s="20" t="n">
        <v>0.5181570183026682</v>
      </c>
      <c r="J64" s="20" t="n">
        <v>0.4066302458405761</v>
      </c>
      <c r="K64" s="20" t="n">
        <v>0.423728813559322</v>
      </c>
      <c r="L64" s="19" t="n">
        <v>0.09441151189987582</v>
      </c>
      <c r="M64" s="19" t="n">
        <v>0.2228505631942972</v>
      </c>
      <c r="N64" s="20" t="n">
        <v>0</v>
      </c>
      <c r="O64" s="27" t="n">
        <v>0.725</v>
      </c>
      <c r="P64" s="17" t="inlineStr">
        <is>
          <t>DraftKings</t>
        </is>
      </c>
      <c r="Q64" s="17" t="inlineStr">
        <is>
          <t>outside the top 10 plays for this week</t>
        </is>
      </c>
    </row>
    <row r="65">
      <c r="A65" s="12" t="inlineStr">
        <is>
          <t>PASS</t>
        </is>
      </c>
      <c r="B65" s="12" t="inlineStr">
        <is>
          <t>WAKE @ PUR</t>
        </is>
      </c>
      <c r="C65" s="12" t="inlineStr">
        <is>
          <t>2026-09-12 16:00</t>
        </is>
      </c>
      <c r="D65" s="22" t="n">
        <v>2</v>
      </c>
      <c r="E65" s="12" t="inlineStr">
        <is>
          <t>ATS</t>
        </is>
      </c>
      <c r="F65" s="12" t="inlineStr">
        <is>
          <t>PUR +4.5</t>
        </is>
      </c>
      <c r="G65" s="23" t="n">
        <v>4.5</v>
      </c>
      <c r="H65" s="13" t="n">
        <v>-108</v>
      </c>
      <c r="I65" s="15" t="n">
        <v>0.6312111786612711</v>
      </c>
      <c r="J65" s="15" t="n">
        <v>0.4956702459300312</v>
      </c>
      <c r="K65" s="15" t="n">
        <v>0.5192307692307693</v>
      </c>
      <c r="L65" s="14" t="n">
        <v>0.09440128528330173</v>
      </c>
      <c r="M65" s="14" t="n">
        <v>0.2156659737180036</v>
      </c>
      <c r="N65" s="15" t="n">
        <v>0</v>
      </c>
      <c r="O65" s="24" t="n">
        <v>0.725</v>
      </c>
      <c r="P65" s="12" t="inlineStr">
        <is>
          <t>DraftKings</t>
        </is>
      </c>
      <c r="Q65" s="12" t="inlineStr">
        <is>
          <t>correlated with a stronger play on the same game</t>
        </is>
      </c>
    </row>
    <row r="66">
      <c r="A66" s="17" t="inlineStr">
        <is>
          <t>PASS</t>
        </is>
      </c>
      <c r="B66" s="17" t="inlineStr">
        <is>
          <t>SDSU @ UCLA</t>
        </is>
      </c>
      <c r="C66" s="17" t="inlineStr">
        <is>
          <t>2026-09-12 23:15</t>
        </is>
      </c>
      <c r="D66" s="25" t="n">
        <v>2</v>
      </c>
      <c r="E66" s="17" t="inlineStr">
        <is>
          <t>ML</t>
        </is>
      </c>
      <c r="F66" s="17" t="inlineStr">
        <is>
          <t>SDSU ML</t>
        </is>
      </c>
      <c r="G66" s="26" t="n"/>
      <c r="H66" s="18" t="n">
        <v>360</v>
      </c>
      <c r="I66" s="20" t="n">
        <v>0.2650213865408116</v>
      </c>
      <c r="J66" s="20" t="n">
        <v>0.2086383601756955</v>
      </c>
      <c r="K66" s="20" t="n">
        <v>0.2173913043478261</v>
      </c>
      <c r="L66" s="19" t="n">
        <v>0.09435960838488801</v>
      </c>
      <c r="M66" s="19" t="n">
        <v>0.2190983780877334</v>
      </c>
      <c r="N66" s="20" t="n">
        <v>0</v>
      </c>
      <c r="O66" s="27" t="n">
        <v>0.725</v>
      </c>
      <c r="P66" s="17" t="inlineStr">
        <is>
          <t>DraftKings</t>
        </is>
      </c>
      <c r="Q66" s="17" t="inlineStr">
        <is>
          <t>outside the top 10 plays for this week</t>
        </is>
      </c>
    </row>
    <row r="67">
      <c r="A67" s="12" t="inlineStr">
        <is>
          <t>PASS</t>
        </is>
      </c>
      <c r="B67" s="12" t="inlineStr">
        <is>
          <t>SMU @ FSU</t>
        </is>
      </c>
      <c r="C67" s="12" t="inlineStr">
        <is>
          <t>2026-09-07 23:30</t>
        </is>
      </c>
      <c r="D67" s="22" t="n">
        <v>1</v>
      </c>
      <c r="E67" s="12" t="inlineStr">
        <is>
          <t>ML</t>
        </is>
      </c>
      <c r="F67" s="12" t="inlineStr">
        <is>
          <t>FSU ML</t>
        </is>
      </c>
      <c r="G67" s="23" t="n"/>
      <c r="H67" s="13" t="n">
        <v>130</v>
      </c>
      <c r="I67" s="15" t="n">
        <v>0.5278424613454973</v>
      </c>
      <c r="J67" s="15" t="n">
        <v>0.4170073589533933</v>
      </c>
      <c r="K67" s="15" t="n">
        <v>0.4347826086956522</v>
      </c>
      <c r="L67" s="14" t="n">
        <v>0.09429685889067173</v>
      </c>
      <c r="M67" s="14" t="n">
        <v>0.2140376610946437</v>
      </c>
      <c r="N67" s="15" t="n">
        <v>0</v>
      </c>
      <c r="O67" s="24" t="n">
        <v>0.4</v>
      </c>
      <c r="P67" s="12" t="inlineStr">
        <is>
          <t>DraftKings</t>
        </is>
      </c>
      <c r="Q67" s="12" t="inlineStr">
        <is>
          <t>raw model/market disagreement exceeds the safety limit</t>
        </is>
      </c>
    </row>
    <row r="68">
      <c r="A68" s="17" t="inlineStr">
        <is>
          <t>PASS</t>
        </is>
      </c>
      <c r="B68" s="17" t="inlineStr">
        <is>
          <t>OU @ MICH</t>
        </is>
      </c>
      <c r="C68" s="17" t="inlineStr">
        <is>
          <t>2026-09-12 16:00</t>
        </is>
      </c>
      <c r="D68" s="25" t="n">
        <v>2</v>
      </c>
      <c r="E68" s="17" t="inlineStr">
        <is>
          <t>ATS</t>
        </is>
      </c>
      <c r="F68" s="17" t="inlineStr">
        <is>
          <t>MICH +6</t>
        </is>
      </c>
      <c r="G68" s="26" t="n">
        <v>6</v>
      </c>
      <c r="H68" s="18" t="n">
        <v>-115</v>
      </c>
      <c r="I68" s="20" t="n">
        <v>0.6463132292531903</v>
      </c>
      <c r="J68" s="20" t="n">
        <v>0.5108342361863488</v>
      </c>
      <c r="K68" s="20" t="n">
        <v>0.5348837209302325</v>
      </c>
      <c r="L68" s="19" t="n">
        <v>0.09428831769762376</v>
      </c>
      <c r="M68" s="19" t="n">
        <v>0.2038040862465666</v>
      </c>
      <c r="N68" s="20" t="n">
        <v>0.0217</v>
      </c>
      <c r="O68" s="27" t="n">
        <v>0.725</v>
      </c>
      <c r="P68" s="17" t="inlineStr">
        <is>
          <t>DraftKings</t>
        </is>
      </c>
      <c r="Q68" s="17" t="inlineStr">
        <is>
          <t>correlated with a stronger play on the same game</t>
        </is>
      </c>
    </row>
    <row r="69">
      <c r="A69" s="12" t="inlineStr">
        <is>
          <t>PASS</t>
        </is>
      </c>
      <c r="B69" s="12" t="inlineStr">
        <is>
          <t>ULM @ UAB</t>
        </is>
      </c>
      <c r="C69" s="12" t="inlineStr">
        <is>
          <t>2026-09-12 19:30</t>
        </is>
      </c>
      <c r="D69" s="22" t="n">
        <v>2</v>
      </c>
      <c r="E69" s="12" t="inlineStr">
        <is>
          <t>ML</t>
        </is>
      </c>
      <c r="F69" s="12" t="inlineStr">
        <is>
          <t>ULM ML</t>
        </is>
      </c>
      <c r="G69" s="23" t="n"/>
      <c r="H69" s="13" t="n">
        <v>330</v>
      </c>
      <c r="I69" s="15" t="n">
        <v>0.2805659686832487</v>
      </c>
      <c r="J69" s="15" t="n">
        <v>0.2231668437832094</v>
      </c>
      <c r="K69" s="15" t="n">
        <v>0.2325581395348837</v>
      </c>
      <c r="L69" s="14" t="n">
        <v>0.09415819842029512</v>
      </c>
      <c r="M69" s="14" t="n">
        <v>0.2064336653379693</v>
      </c>
      <c r="N69" s="15" t="n">
        <v>0</v>
      </c>
      <c r="O69" s="24" t="n">
        <v>0.725</v>
      </c>
      <c r="P69" s="12" t="inlineStr">
        <is>
          <t>DraftKings</t>
        </is>
      </c>
      <c r="Q69" s="12" t="inlineStr">
        <is>
          <t>outside the top 10 plays for this week</t>
        </is>
      </c>
    </row>
    <row r="70">
      <c r="A70" s="17" t="inlineStr">
        <is>
          <t>PASS</t>
        </is>
      </c>
      <c r="B70" s="17" t="inlineStr">
        <is>
          <t>UNLV @ UNT</t>
        </is>
      </c>
      <c r="C70" s="17" t="inlineStr">
        <is>
          <t>2026-09-12 19:45</t>
        </is>
      </c>
      <c r="D70" s="25" t="n">
        <v>2</v>
      </c>
      <c r="E70" s="17" t="inlineStr">
        <is>
          <t>ATS</t>
        </is>
      </c>
      <c r="F70" s="17" t="inlineStr">
        <is>
          <t>UNT +4.5</t>
        </is>
      </c>
      <c r="G70" s="26" t="n">
        <v>4.5</v>
      </c>
      <c r="H70" s="18" t="n">
        <v>-115</v>
      </c>
      <c r="I70" s="20" t="n">
        <v>0.6373575316651432</v>
      </c>
      <c r="J70" s="20" t="n">
        <v>0.5108342361863488</v>
      </c>
      <c r="K70" s="20" t="n">
        <v>0.5348837209302325</v>
      </c>
      <c r="L70" s="19" t="n">
        <v>0.09397233409880315</v>
      </c>
      <c r="M70" s="19" t="n">
        <v>0.1915814722435285</v>
      </c>
      <c r="N70" s="20" t="n">
        <v>0</v>
      </c>
      <c r="O70" s="27" t="n">
        <v>0.725</v>
      </c>
      <c r="P70" s="17" t="inlineStr">
        <is>
          <t>DraftKings</t>
        </is>
      </c>
      <c r="Q70" s="17" t="inlineStr">
        <is>
          <t>correlated with a stronger play on the same game</t>
        </is>
      </c>
    </row>
    <row r="71">
      <c r="A71" s="12" t="inlineStr">
        <is>
          <t>PASS</t>
        </is>
      </c>
      <c r="B71" s="12" t="inlineStr">
        <is>
          <t>CLT @ MISS</t>
        </is>
      </c>
      <c r="C71" s="12" t="inlineStr">
        <is>
          <t>2026-09-12 23:45</t>
        </is>
      </c>
      <c r="D71" s="22" t="n">
        <v>2</v>
      </c>
      <c r="E71" s="12" t="inlineStr">
        <is>
          <t>TOTAL</t>
        </is>
      </c>
      <c r="F71" s="12" t="inlineStr">
        <is>
          <t>Under 61.5</t>
        </is>
      </c>
      <c r="G71" s="23" t="n">
        <v>61.5</v>
      </c>
      <c r="H71" s="13" t="n">
        <v>-108</v>
      </c>
      <c r="I71" s="15" t="n">
        <v>0.6173353457997152</v>
      </c>
      <c r="J71" s="15" t="n">
        <v>0.4956702459300312</v>
      </c>
      <c r="K71" s="15" t="n">
        <v>0.5192307692307693</v>
      </c>
      <c r="L71" s="14" t="n">
        <v>0.09392335208883384</v>
      </c>
      <c r="M71" s="14" t="n">
        <v>0.1889421474661181</v>
      </c>
      <c r="N71" s="15" t="n">
        <v>0</v>
      </c>
      <c r="O71" s="24" t="n">
        <v>0.725</v>
      </c>
      <c r="P71" s="12" t="inlineStr">
        <is>
          <t>DraftKings</t>
        </is>
      </c>
      <c r="Q71" s="12" t="inlineStr">
        <is>
          <t>outside the top 10 plays for this week</t>
        </is>
      </c>
    </row>
    <row r="72">
      <c r="A72" s="17" t="inlineStr">
        <is>
          <t>PASS</t>
        </is>
      </c>
      <c r="B72" s="17" t="inlineStr">
        <is>
          <t>ORE @ OKST</t>
        </is>
      </c>
      <c r="C72" s="17" t="inlineStr">
        <is>
          <t>2026-09-12 16:00</t>
        </is>
      </c>
      <c r="D72" s="25" t="n">
        <v>2</v>
      </c>
      <c r="E72" s="17" t="inlineStr">
        <is>
          <t>TOTAL</t>
        </is>
      </c>
      <c r="F72" s="17" t="inlineStr">
        <is>
          <t>Under 57.5</t>
        </is>
      </c>
      <c r="G72" s="26" t="n">
        <v>57.5</v>
      </c>
      <c r="H72" s="18" t="n">
        <v>-105</v>
      </c>
      <c r="I72" s="20" t="n">
        <v>0.6091595401049845</v>
      </c>
      <c r="J72" s="20" t="n">
        <v>0.4891657638136511</v>
      </c>
      <c r="K72" s="20" t="n">
        <v>0.5121951219512195</v>
      </c>
      <c r="L72" s="19" t="n">
        <v>0.09391990205551003</v>
      </c>
      <c r="M72" s="19" t="n">
        <v>0.1893114830621125</v>
      </c>
      <c r="N72" s="20" t="n">
        <v>0</v>
      </c>
      <c r="O72" s="27" t="n">
        <v>0.725</v>
      </c>
      <c r="P72" s="17" t="inlineStr">
        <is>
          <t>DraftKings</t>
        </is>
      </c>
      <c r="Q72" s="17" t="inlineStr">
        <is>
          <t>outside the top 10 plays for this week</t>
        </is>
      </c>
    </row>
    <row r="73">
      <c r="A73" s="12" t="inlineStr">
        <is>
          <t>PASS</t>
        </is>
      </c>
      <c r="B73" s="12" t="inlineStr">
        <is>
          <t>NDSU @ AFA</t>
        </is>
      </c>
      <c r="C73" s="12" t="inlineStr">
        <is>
          <t>2026-09-13 02:00</t>
        </is>
      </c>
      <c r="D73" s="22" t="n">
        <v>2</v>
      </c>
      <c r="E73" s="12" t="inlineStr">
        <is>
          <t>ATS</t>
        </is>
      </c>
      <c r="F73" s="12" t="inlineStr">
        <is>
          <t>AFA +3</t>
        </is>
      </c>
      <c r="G73" s="23" t="n">
        <v>3</v>
      </c>
      <c r="H73" s="13" t="n">
        <v>-105</v>
      </c>
      <c r="I73" s="15" t="n">
        <v>0.6072780435522814</v>
      </c>
      <c r="J73" s="15" t="n">
        <v>0.4891657638136511</v>
      </c>
      <c r="K73" s="15" t="n">
        <v>0.5121951219512195</v>
      </c>
      <c r="L73" s="14" t="n">
        <v>0.0938293631814458</v>
      </c>
      <c r="M73" s="14" t="n">
        <v>0.1760405960345604</v>
      </c>
      <c r="N73" s="15" t="n">
        <v>0.0517</v>
      </c>
      <c r="O73" s="24" t="n">
        <v>0.725</v>
      </c>
      <c r="P73" s="12" t="inlineStr">
        <is>
          <t>DraftKings</t>
        </is>
      </c>
      <c r="Q73" s="12" t="inlineStr">
        <is>
          <t>correlated with a stronger play on the same game</t>
        </is>
      </c>
    </row>
    <row r="74">
      <c r="A74" s="17" t="inlineStr">
        <is>
          <t>PASS</t>
        </is>
      </c>
      <c r="B74" s="17" t="inlineStr">
        <is>
          <t>OU @ MICH</t>
        </is>
      </c>
      <c r="C74" s="17" t="inlineStr">
        <is>
          <t>2026-09-12 16:00</t>
        </is>
      </c>
      <c r="D74" s="25" t="n">
        <v>2</v>
      </c>
      <c r="E74" s="17" t="inlineStr">
        <is>
          <t>TOTAL</t>
        </is>
      </c>
      <c r="F74" s="17" t="inlineStr">
        <is>
          <t>Over 43.5</t>
        </is>
      </c>
      <c r="G74" s="26" t="n">
        <v>43.5</v>
      </c>
      <c r="H74" s="18" t="n">
        <v>-112</v>
      </c>
      <c r="I74" s="20" t="n">
        <v>0.6216651866762333</v>
      </c>
      <c r="J74" s="20" t="n">
        <v>0.5043297540699688</v>
      </c>
      <c r="K74" s="20" t="n">
        <v>0.5283018867924528</v>
      </c>
      <c r="L74" s="19" t="n">
        <v>0.09359285098589623</v>
      </c>
      <c r="M74" s="19" t="n">
        <v>0.1767233890657272</v>
      </c>
      <c r="N74" s="20" t="n">
        <v>0</v>
      </c>
      <c r="O74" s="27" t="n">
        <v>0.725</v>
      </c>
      <c r="P74" s="17" t="inlineStr">
        <is>
          <t>DraftKings</t>
        </is>
      </c>
      <c r="Q74" s="17" t="inlineStr">
        <is>
          <t>correlated with a stronger play on the same game</t>
        </is>
      </c>
    </row>
    <row r="75">
      <c r="A75" s="12" t="inlineStr">
        <is>
          <t>PASS</t>
        </is>
      </c>
      <c r="B75" s="12" t="inlineStr">
        <is>
          <t>SMU @ FSU</t>
        </is>
      </c>
      <c r="C75" s="12" t="inlineStr">
        <is>
          <t>2026-09-07 23:30</t>
        </is>
      </c>
      <c r="D75" s="22" t="n">
        <v>1</v>
      </c>
      <c r="E75" s="12" t="inlineStr">
        <is>
          <t>ATS</t>
        </is>
      </c>
      <c r="F75" s="12" t="inlineStr">
        <is>
          <t>FSU +3</t>
        </is>
      </c>
      <c r="G75" s="23" t="n">
        <v>3</v>
      </c>
      <c r="H75" s="13" t="n">
        <v>-115</v>
      </c>
      <c r="I75" s="15" t="n">
        <v>0.6222421098829498</v>
      </c>
      <c r="J75" s="15" t="n">
        <v>0.5108342361863488</v>
      </c>
      <c r="K75" s="15" t="n">
        <v>0.5348837209302325</v>
      </c>
      <c r="L75" s="14" t="n">
        <v>0.09309293330822849</v>
      </c>
      <c r="M75" s="14" t="n">
        <v>0.1549927729562406</v>
      </c>
      <c r="N75" s="15" t="n">
        <v>0.051</v>
      </c>
      <c r="O75" s="24" t="n">
        <v>0.4</v>
      </c>
      <c r="P75" s="12" t="inlineStr">
        <is>
          <t>DraftKings</t>
        </is>
      </c>
      <c r="Q75" s="12" t="inlineStr">
        <is>
          <t>raw model/market disagreement exceeds the safety limit</t>
        </is>
      </c>
    </row>
    <row r="76">
      <c r="A76" s="17" t="inlineStr">
        <is>
          <t>PASS</t>
        </is>
      </c>
      <c r="B76" s="17" t="inlineStr">
        <is>
          <t>NMSU @ HAW</t>
        </is>
      </c>
      <c r="C76" s="17" t="inlineStr">
        <is>
          <t>2026-09-13 03:59</t>
        </is>
      </c>
      <c r="D76" s="25" t="n">
        <v>2</v>
      </c>
      <c r="E76" s="17" t="inlineStr">
        <is>
          <t>ATS</t>
        </is>
      </c>
      <c r="F76" s="17" t="inlineStr">
        <is>
          <t>NMSU +9.5</t>
        </is>
      </c>
      <c r="G76" s="26" t="n">
        <v>-9.5</v>
      </c>
      <c r="H76" s="18" t="n">
        <v>-108</v>
      </c>
      <c r="I76" s="20" t="n">
        <v>0.6033743619400092</v>
      </c>
      <c r="J76" s="20" t="n">
        <v>0.4956702459300312</v>
      </c>
      <c r="K76" s="20" t="n">
        <v>0.5192307692307693</v>
      </c>
      <c r="L76" s="19" t="n">
        <v>0.09306086424415275</v>
      </c>
      <c r="M76" s="19" t="n">
        <v>0.1620543266992769</v>
      </c>
      <c r="N76" s="20" t="n">
        <v>0</v>
      </c>
      <c r="O76" s="27" t="n">
        <v>0.839</v>
      </c>
      <c r="P76" s="17" t="inlineStr">
        <is>
          <t>DraftKings</t>
        </is>
      </c>
      <c r="Q76" s="17" t="inlineStr">
        <is>
          <t>correlated with a stronger play on the same game</t>
        </is>
      </c>
    </row>
    <row r="77">
      <c r="A77" s="12" t="inlineStr">
        <is>
          <t>PASS</t>
        </is>
      </c>
      <c r="B77" s="12" t="inlineStr">
        <is>
          <t>ARK @ UTAH</t>
        </is>
      </c>
      <c r="C77" s="12" t="inlineStr">
        <is>
          <t>2026-09-13 02:15</t>
        </is>
      </c>
      <c r="D77" s="22" t="n">
        <v>2</v>
      </c>
      <c r="E77" s="12" t="inlineStr">
        <is>
          <t>ATS</t>
        </is>
      </c>
      <c r="F77" s="12" t="inlineStr">
        <is>
          <t>ARK +12.5</t>
        </is>
      </c>
      <c r="G77" s="23" t="n">
        <v>-12.5</v>
      </c>
      <c r="H77" s="13" t="n">
        <v>-112</v>
      </c>
      <c r="I77" s="15" t="n">
        <v>0.6138657461667836</v>
      </c>
      <c r="J77" s="15" t="n">
        <v>0.5043297540699688</v>
      </c>
      <c r="K77" s="15" t="n">
        <v>0.5283018867924528</v>
      </c>
      <c r="L77" s="14" t="n">
        <v>0.09305687440727466</v>
      </c>
      <c r="M77" s="14" t="n">
        <v>0.1619601623871261</v>
      </c>
      <c r="N77" s="15" t="n">
        <v>0</v>
      </c>
      <c r="O77" s="24" t="n">
        <v>0.725</v>
      </c>
      <c r="P77" s="12" t="inlineStr">
        <is>
          <t>DraftKings</t>
        </is>
      </c>
      <c r="Q77" s="12" t="inlineStr">
        <is>
          <t>correlated with a stronger play on the same game</t>
        </is>
      </c>
    </row>
    <row r="78">
      <c r="A78" s="17" t="inlineStr">
        <is>
          <t>PASS</t>
        </is>
      </c>
      <c r="B78" s="17" t="inlineStr">
        <is>
          <t>SAC @ FRES</t>
        </is>
      </c>
      <c r="C78" s="17" t="inlineStr">
        <is>
          <t>2026-09-13 02:30</t>
        </is>
      </c>
      <c r="D78" s="25" t="n">
        <v>2</v>
      </c>
      <c r="E78" s="17" t="inlineStr">
        <is>
          <t>TOTAL</t>
        </is>
      </c>
      <c r="F78" s="17" t="inlineStr">
        <is>
          <t>Over 45.5</t>
        </is>
      </c>
      <c r="G78" s="26" t="n">
        <v>45.5</v>
      </c>
      <c r="H78" s="18" t="n">
        <v>-105</v>
      </c>
      <c r="I78" s="20" t="n">
        <v>0.5921073201010059</v>
      </c>
      <c r="J78" s="20" t="n">
        <v>0.4891657638136511</v>
      </c>
      <c r="K78" s="20" t="n">
        <v>0.5121951219512195</v>
      </c>
      <c r="L78" s="19" t="n">
        <v>0.09276374278625629</v>
      </c>
      <c r="M78" s="19" t="n">
        <v>0.1560190535305352</v>
      </c>
      <c r="N78" s="20" t="n">
        <v>0</v>
      </c>
      <c r="O78" s="27" t="n">
        <v>0.725</v>
      </c>
      <c r="P78" s="17" t="inlineStr">
        <is>
          <t>DraftKings</t>
        </is>
      </c>
      <c r="Q78" s="17" t="inlineStr">
        <is>
          <t>outside the top 10 plays for this week</t>
        </is>
      </c>
    </row>
    <row r="79">
      <c r="A79" s="12" t="inlineStr">
        <is>
          <t>PASS</t>
        </is>
      </c>
      <c r="B79" s="12" t="inlineStr">
        <is>
          <t>APP @ ECU</t>
        </is>
      </c>
      <c r="C79" s="12" t="inlineStr">
        <is>
          <t>2026-09-12 16:00</t>
        </is>
      </c>
      <c r="D79" s="22" t="n">
        <v>2</v>
      </c>
      <c r="E79" s="12" t="inlineStr">
        <is>
          <t>ML</t>
        </is>
      </c>
      <c r="F79" s="12" t="inlineStr">
        <is>
          <t>APP ML</t>
        </is>
      </c>
      <c r="G79" s="23" t="n"/>
      <c r="H79" s="13" t="n">
        <v>260</v>
      </c>
      <c r="I79" s="15" t="n">
        <v>0.3219536798796711</v>
      </c>
      <c r="J79" s="15" t="n">
        <v>0.2664576802507838</v>
      </c>
      <c r="K79" s="15" t="n">
        <v>0.2777777777777778</v>
      </c>
      <c r="L79" s="14" t="n">
        <v>0.09266050500374537</v>
      </c>
      <c r="M79" s="14" t="n">
        <v>0.1590332475668159</v>
      </c>
      <c r="N79" s="15" t="n">
        <v>0</v>
      </c>
      <c r="O79" s="24" t="n">
        <v>0.725</v>
      </c>
      <c r="P79" s="12" t="inlineStr">
        <is>
          <t>DraftKings</t>
        </is>
      </c>
      <c r="Q79" s="12" t="inlineStr">
        <is>
          <t>outside the top 10 plays for this week</t>
        </is>
      </c>
    </row>
    <row r="80">
      <c r="A80" s="17" t="inlineStr">
        <is>
          <t>PASS</t>
        </is>
      </c>
      <c r="B80" s="17" t="inlineStr">
        <is>
          <t>SDSU @ UCLA</t>
        </is>
      </c>
      <c r="C80" s="17" t="inlineStr">
        <is>
          <t>2026-09-12 23:15</t>
        </is>
      </c>
      <c r="D80" s="25" t="n">
        <v>2</v>
      </c>
      <c r="E80" s="17" t="inlineStr">
        <is>
          <t>ATS</t>
        </is>
      </c>
      <c r="F80" s="17" t="inlineStr">
        <is>
          <t>SDSU +11.5</t>
        </is>
      </c>
      <c r="G80" s="26" t="n">
        <v>-11.5</v>
      </c>
      <c r="H80" s="18" t="n">
        <v>-108</v>
      </c>
      <c r="I80" s="20" t="n">
        <v>0.5946137512962334</v>
      </c>
      <c r="J80" s="20" t="n">
        <v>0.4956702459300312</v>
      </c>
      <c r="K80" s="20" t="n">
        <v>0.5192307692307693</v>
      </c>
      <c r="L80" s="19" t="n">
        <v>0.09219965566129548</v>
      </c>
      <c r="M80" s="19" t="n">
        <v>0.1451820395334866</v>
      </c>
      <c r="N80" s="20" t="n">
        <v>0</v>
      </c>
      <c r="O80" s="27" t="n">
        <v>0.725</v>
      </c>
      <c r="P80" s="17" t="inlineStr">
        <is>
          <t>DraftKings</t>
        </is>
      </c>
      <c r="Q80" s="17" t="inlineStr">
        <is>
          <t>correlated with a stronger play on the same game</t>
        </is>
      </c>
    </row>
    <row r="81">
      <c r="A81" s="12" t="inlineStr">
        <is>
          <t>PASS</t>
        </is>
      </c>
      <c r="B81" s="12" t="inlineStr">
        <is>
          <t>MEM @ BOIS</t>
        </is>
      </c>
      <c r="C81" s="12" t="inlineStr">
        <is>
          <t>2026-09-12 22:00</t>
        </is>
      </c>
      <c r="D81" s="22" t="n">
        <v>2</v>
      </c>
      <c r="E81" s="12" t="inlineStr">
        <is>
          <t>ML</t>
        </is>
      </c>
      <c r="F81" s="12" t="inlineStr">
        <is>
          <t>MEM ML</t>
        </is>
      </c>
      <c r="G81" s="23" t="n"/>
      <c r="H81" s="13" t="n">
        <v>260</v>
      </c>
      <c r="I81" s="15" t="n">
        <v>0.3196192822569816</v>
      </c>
      <c r="J81" s="15" t="n">
        <v>0.2664576802507838</v>
      </c>
      <c r="K81" s="15" t="n">
        <v>0.2777777777777778</v>
      </c>
      <c r="L81" s="14" t="n">
        <v>0.09219365382548021</v>
      </c>
      <c r="M81" s="14" t="n">
        <v>0.1506294161251336</v>
      </c>
      <c r="N81" s="15" t="n">
        <v>0</v>
      </c>
      <c r="O81" s="24" t="n">
        <v>0.725</v>
      </c>
      <c r="P81" s="12" t="inlineStr">
        <is>
          <t>DraftKings</t>
        </is>
      </c>
      <c r="Q81" s="12" t="inlineStr">
        <is>
          <t>outside the top 10 plays for this week</t>
        </is>
      </c>
    </row>
    <row r="82">
      <c r="A82" s="17" t="inlineStr">
        <is>
          <t>PASS</t>
        </is>
      </c>
      <c r="B82" s="17" t="inlineStr">
        <is>
          <t>USA @ TULN</t>
        </is>
      </c>
      <c r="C82" s="17" t="inlineStr">
        <is>
          <t>2026-09-12 23:00</t>
        </is>
      </c>
      <c r="D82" s="25" t="n">
        <v>2</v>
      </c>
      <c r="E82" s="17" t="inlineStr">
        <is>
          <t>ATS</t>
        </is>
      </c>
      <c r="F82" s="17" t="inlineStr">
        <is>
          <t>USA +10.5</t>
        </is>
      </c>
      <c r="G82" s="26" t="n">
        <v>-10.5</v>
      </c>
      <c r="H82" s="18" t="n">
        <v>-115</v>
      </c>
      <c r="I82" s="20" t="n">
        <v>0.6060422092491113</v>
      </c>
      <c r="J82" s="20" t="n">
        <v>0.5108342361863488</v>
      </c>
      <c r="K82" s="20" t="n">
        <v>0.5348837209302325</v>
      </c>
      <c r="L82" s="19" t="n">
        <v>0.09131704883437736</v>
      </c>
      <c r="M82" s="19" t="n">
        <v>0.1330354346831211</v>
      </c>
      <c r="N82" s="20" t="n">
        <v>0</v>
      </c>
      <c r="O82" s="27" t="n">
        <v>0.725</v>
      </c>
      <c r="P82" s="17" t="inlineStr">
        <is>
          <t>DraftKings</t>
        </is>
      </c>
      <c r="Q82" s="17" t="inlineStr">
        <is>
          <t>correlated with a stronger play on the same game</t>
        </is>
      </c>
    </row>
    <row r="83">
      <c r="A83" s="12" t="inlineStr">
        <is>
          <t>PASS</t>
        </is>
      </c>
      <c r="B83" s="12" t="inlineStr">
        <is>
          <t>MSST @ MINN</t>
        </is>
      </c>
      <c r="C83" s="12" t="inlineStr">
        <is>
          <t>2026-09-12 19:30</t>
        </is>
      </c>
      <c r="D83" s="22" t="n">
        <v>2</v>
      </c>
      <c r="E83" s="12" t="inlineStr">
        <is>
          <t>ATS</t>
        </is>
      </c>
      <c r="F83" s="12" t="inlineStr">
        <is>
          <t>MINN +1.5</t>
        </is>
      </c>
      <c r="G83" s="23" t="n">
        <v>1.5</v>
      </c>
      <c r="H83" s="13" t="n">
        <v>-110</v>
      </c>
      <c r="I83" s="15" t="n">
        <v>0.5921816288661104</v>
      </c>
      <c r="J83" s="15" t="n">
        <v>0.5</v>
      </c>
      <c r="K83" s="15" t="n">
        <v>0.5238095238095238</v>
      </c>
      <c r="L83" s="14" t="n">
        <v>0.09116074333798416</v>
      </c>
      <c r="M83" s="14" t="n">
        <v>0.130528564198938</v>
      </c>
      <c r="N83" s="15" t="n">
        <v>0</v>
      </c>
      <c r="O83" s="24" t="n">
        <v>0.725</v>
      </c>
      <c r="P83" s="12" t="inlineStr">
        <is>
          <t>DraftKings</t>
        </is>
      </c>
      <c r="Q83" s="12" t="inlineStr">
        <is>
          <t>outside the top 10 plays for this week</t>
        </is>
      </c>
    </row>
    <row r="84">
      <c r="A84" s="17" t="inlineStr">
        <is>
          <t>PASS</t>
        </is>
      </c>
      <c r="B84" s="17" t="inlineStr">
        <is>
          <t>ULM @ UAB</t>
        </is>
      </c>
      <c r="C84" s="17" t="inlineStr">
        <is>
          <t>2026-09-12 19:30</t>
        </is>
      </c>
      <c r="D84" s="25" t="n">
        <v>2</v>
      </c>
      <c r="E84" s="17" t="inlineStr">
        <is>
          <t>ATS</t>
        </is>
      </c>
      <c r="F84" s="17" t="inlineStr">
        <is>
          <t>ULM +10.5</t>
        </is>
      </c>
      <c r="G84" s="26" t="n">
        <v>-10.5</v>
      </c>
      <c r="H84" s="18" t="n">
        <v>-110</v>
      </c>
      <c r="I84" s="20" t="n">
        <v>0.5915737340397049</v>
      </c>
      <c r="J84" s="20" t="n">
        <v>0.5</v>
      </c>
      <c r="K84" s="20" t="n">
        <v>0.5238095238095238</v>
      </c>
      <c r="L84" s="19" t="n">
        <v>0.09106326931533761</v>
      </c>
      <c r="M84" s="19" t="n">
        <v>0.129368037712164</v>
      </c>
      <c r="N84" s="20" t="n">
        <v>0</v>
      </c>
      <c r="O84" s="27" t="n">
        <v>0.725</v>
      </c>
      <c r="P84" s="17" t="inlineStr">
        <is>
          <t>DraftKings</t>
        </is>
      </c>
      <c r="Q84" s="17" t="inlineStr">
        <is>
          <t>correlated with a stronger play on the same game</t>
        </is>
      </c>
    </row>
    <row r="85">
      <c r="A85" s="12" t="inlineStr">
        <is>
          <t>PASS</t>
        </is>
      </c>
      <c r="B85" s="12" t="inlineStr">
        <is>
          <t>MSST @ MINN</t>
        </is>
      </c>
      <c r="C85" s="12" t="inlineStr">
        <is>
          <t>2026-09-12 19:30</t>
        </is>
      </c>
      <c r="D85" s="22" t="n">
        <v>2</v>
      </c>
      <c r="E85" s="12" t="inlineStr">
        <is>
          <t>ML</t>
        </is>
      </c>
      <c r="F85" s="12" t="inlineStr">
        <is>
          <t>MINN ML</t>
        </is>
      </c>
      <c r="G85" s="23" t="n"/>
      <c r="H85" s="13" t="n">
        <v>100</v>
      </c>
      <c r="I85" s="15" t="n">
        <v>0.5646775394503033</v>
      </c>
      <c r="J85" s="15" t="n">
        <v>0.4782608695652174</v>
      </c>
      <c r="K85" s="15" t="n">
        <v>0.5</v>
      </c>
      <c r="L85" s="14" t="n">
        <v>0.09085874222420044</v>
      </c>
      <c r="M85" s="14" t="n">
        <v>0.1293550789006066</v>
      </c>
      <c r="N85" s="15" t="n">
        <v>0</v>
      </c>
      <c r="O85" s="24" t="n">
        <v>0.725</v>
      </c>
      <c r="P85" s="12" t="inlineStr">
        <is>
          <t>DraftKings</t>
        </is>
      </c>
      <c r="Q85" s="12" t="inlineStr">
        <is>
          <t>correlated with a stronger play on the same game</t>
        </is>
      </c>
    </row>
    <row r="86">
      <c r="A86" s="17" t="inlineStr">
        <is>
          <t>PASS</t>
        </is>
      </c>
      <c r="B86" s="17" t="inlineStr">
        <is>
          <t>MTSU @ MRSH</t>
        </is>
      </c>
      <c r="C86" s="17" t="inlineStr">
        <is>
          <t>2026-09-12 23:00</t>
        </is>
      </c>
      <c r="D86" s="25" t="n">
        <v>2</v>
      </c>
      <c r="E86" s="17" t="inlineStr">
        <is>
          <t>TOTAL</t>
        </is>
      </c>
      <c r="F86" s="17" t="inlineStr">
        <is>
          <t>Under 57.5</t>
        </is>
      </c>
      <c r="G86" s="26" t="n">
        <v>57.5</v>
      </c>
      <c r="H86" s="18" t="n">
        <v>-115</v>
      </c>
      <c r="I86" s="20" t="n">
        <v>0.6011850428293659</v>
      </c>
      <c r="J86" s="20" t="n">
        <v>0.5108342361863488</v>
      </c>
      <c r="K86" s="20" t="n">
        <v>0.5348837209302325</v>
      </c>
      <c r="L86" s="19" t="n">
        <v>0.09052009174395154</v>
      </c>
      <c r="M86" s="19" t="n">
        <v>0.123954645289684</v>
      </c>
      <c r="N86" s="20" t="n">
        <v>0</v>
      </c>
      <c r="O86" s="27" t="n">
        <v>0.725</v>
      </c>
      <c r="P86" s="17" t="inlineStr">
        <is>
          <t>DraftKings</t>
        </is>
      </c>
      <c r="Q86" s="17" t="inlineStr">
        <is>
          <t>correlated with a stronger play on the same game</t>
        </is>
      </c>
    </row>
    <row r="87">
      <c r="A87" s="12" t="inlineStr">
        <is>
          <t>PASS</t>
        </is>
      </c>
      <c r="B87" s="12" t="inlineStr">
        <is>
          <t>NAVY @ FAU</t>
        </is>
      </c>
      <c r="C87" s="12" t="inlineStr">
        <is>
          <t>2026-09-12 23:30</t>
        </is>
      </c>
      <c r="D87" s="22" t="n">
        <v>2</v>
      </c>
      <c r="E87" s="12" t="inlineStr">
        <is>
          <t>TOTAL</t>
        </is>
      </c>
      <c r="F87" s="12" t="inlineStr">
        <is>
          <t>Under 59.5</t>
        </is>
      </c>
      <c r="G87" s="23" t="n">
        <v>59.5</v>
      </c>
      <c r="H87" s="13" t="n">
        <v>-112</v>
      </c>
      <c r="I87" s="15" t="n">
        <v>0.5890210916061656</v>
      </c>
      <c r="J87" s="15" t="n">
        <v>0.5043297540699688</v>
      </c>
      <c r="K87" s="15" t="n">
        <v>0.5283018867924528</v>
      </c>
      <c r="L87" s="14" t="n">
        <v>0.08961856478030096</v>
      </c>
      <c r="M87" s="14" t="n">
        <v>0.1149327805402418</v>
      </c>
      <c r="N87" s="15" t="n">
        <v>0</v>
      </c>
      <c r="O87" s="24" t="n">
        <v>0.725</v>
      </c>
      <c r="P87" s="12" t="inlineStr">
        <is>
          <t>DraftKings</t>
        </is>
      </c>
      <c r="Q87" s="12" t="inlineStr">
        <is>
          <t>correlated with a stronger play on the same game</t>
        </is>
      </c>
    </row>
    <row r="88">
      <c r="A88" s="17" t="inlineStr">
        <is>
          <t>PASS</t>
        </is>
      </c>
      <c r="B88" s="17" t="inlineStr">
        <is>
          <t>UCF @ PITT</t>
        </is>
      </c>
      <c r="C88" s="17" t="inlineStr">
        <is>
          <t>2026-09-12 19:30</t>
        </is>
      </c>
      <c r="D88" s="25" t="n">
        <v>2</v>
      </c>
      <c r="E88" s="17" t="inlineStr">
        <is>
          <t>ML</t>
        </is>
      </c>
      <c r="F88" s="17" t="inlineStr">
        <is>
          <t>UCF ML</t>
        </is>
      </c>
      <c r="G88" s="26" t="n"/>
      <c r="H88" s="18" t="n">
        <v>240</v>
      </c>
      <c r="I88" s="20" t="n">
        <v>0.329189538500569</v>
      </c>
      <c r="J88" s="20" t="n">
        <v>0.2820294784580499</v>
      </c>
      <c r="K88" s="20" t="n">
        <v>0.2941176470588235</v>
      </c>
      <c r="L88" s="19" t="n">
        <v>0.08953965910882523</v>
      </c>
      <c r="M88" s="19" t="n">
        <v>0.1192444309019345</v>
      </c>
      <c r="N88" s="20" t="n">
        <v>0</v>
      </c>
      <c r="O88" s="27" t="n">
        <v>0.725</v>
      </c>
      <c r="P88" s="17" t="inlineStr">
        <is>
          <t>DraftKings</t>
        </is>
      </c>
      <c r="Q88" s="17" t="inlineStr">
        <is>
          <t>outside the top 10 plays for this week</t>
        </is>
      </c>
    </row>
    <row r="89">
      <c r="A89" s="12" t="inlineStr">
        <is>
          <t>PASS</t>
        </is>
      </c>
      <c r="B89" s="12" t="inlineStr">
        <is>
          <t>USU @ WASH</t>
        </is>
      </c>
      <c r="C89" s="12" t="inlineStr">
        <is>
          <t>2026-09-12 19:30</t>
        </is>
      </c>
      <c r="D89" s="22" t="n">
        <v>2</v>
      </c>
      <c r="E89" s="12" t="inlineStr">
        <is>
          <t>TOTAL</t>
        </is>
      </c>
      <c r="F89" s="12" t="inlineStr">
        <is>
          <t>Under 55.5</t>
        </is>
      </c>
      <c r="G89" s="23" t="n">
        <v>55.5</v>
      </c>
      <c r="H89" s="13" t="n">
        <v>-108</v>
      </c>
      <c r="I89" s="15" t="n">
        <v>0.5774149735426081</v>
      </c>
      <c r="J89" s="15" t="n">
        <v>0.4956702459300312</v>
      </c>
      <c r="K89" s="15" t="n">
        <v>0.5192307692307693</v>
      </c>
      <c r="L89" s="14" t="n">
        <v>0.08927700953836</v>
      </c>
      <c r="M89" s="14" t="n">
        <v>0.1120584675635414</v>
      </c>
      <c r="N89" s="15" t="n">
        <v>0</v>
      </c>
      <c r="O89" s="24" t="n">
        <v>0.725</v>
      </c>
      <c r="P89" s="12" t="inlineStr">
        <is>
          <t>DraftKings</t>
        </is>
      </c>
      <c r="Q89" s="12" t="inlineStr">
        <is>
          <t>outside the top 10 plays for this week</t>
        </is>
      </c>
    </row>
    <row r="90">
      <c r="A90" s="17" t="inlineStr">
        <is>
          <t>PASS</t>
        </is>
      </c>
      <c r="B90" s="17" t="inlineStr">
        <is>
          <t>BUFF @ FIU</t>
        </is>
      </c>
      <c r="C90" s="17" t="inlineStr">
        <is>
          <t>2026-09-12 22:00</t>
        </is>
      </c>
      <c r="D90" s="25" t="n">
        <v>2</v>
      </c>
      <c r="E90" s="17" t="inlineStr">
        <is>
          <t>ATS</t>
        </is>
      </c>
      <c r="F90" s="17" t="inlineStr">
        <is>
          <t>BUFF +10.5</t>
        </is>
      </c>
      <c r="G90" s="26" t="n">
        <v>-10.5</v>
      </c>
      <c r="H90" s="18" t="n">
        <v>-120</v>
      </c>
      <c r="I90" s="20" t="n">
        <v>0.6059644510986981</v>
      </c>
      <c r="J90" s="20" t="n">
        <v>0.5217391304347826</v>
      </c>
      <c r="K90" s="20" t="n">
        <v>0.5454545454545454</v>
      </c>
      <c r="L90" s="19" t="n">
        <v>0.08885533839374786</v>
      </c>
      <c r="M90" s="19" t="n">
        <v>0.11093482701428</v>
      </c>
      <c r="N90" s="20" t="n">
        <v>0</v>
      </c>
      <c r="O90" s="27" t="n">
        <v>0.725</v>
      </c>
      <c r="P90" s="17" t="inlineStr">
        <is>
          <t>DraftKings</t>
        </is>
      </c>
      <c r="Q90" s="17" t="inlineStr">
        <is>
          <t>correlated with a stronger play on the same game</t>
        </is>
      </c>
    </row>
    <row r="91">
      <c r="A91" s="12" t="inlineStr">
        <is>
          <t>PASS</t>
        </is>
      </c>
      <c r="B91" s="12" t="inlineStr">
        <is>
          <t>UNLV @ UNT</t>
        </is>
      </c>
      <c r="C91" s="12" t="inlineStr">
        <is>
          <t>2026-09-12 19:45</t>
        </is>
      </c>
      <c r="D91" s="22" t="n">
        <v>2</v>
      </c>
      <c r="E91" s="12" t="inlineStr">
        <is>
          <t>TOTAL</t>
        </is>
      </c>
      <c r="F91" s="12" t="inlineStr">
        <is>
          <t>Under 57.5</t>
        </is>
      </c>
      <c r="G91" s="23" t="n">
        <v>57.5</v>
      </c>
      <c r="H91" s="13" t="n">
        <v>-115</v>
      </c>
      <c r="I91" s="15" t="n">
        <v>0.5904660573861598</v>
      </c>
      <c r="J91" s="15" t="n">
        <v>0.5108342361863488</v>
      </c>
      <c r="K91" s="15" t="n">
        <v>0.5348837209302325</v>
      </c>
      <c r="L91" s="14" t="n">
        <v>0.08812188304172171</v>
      </c>
      <c r="M91" s="14" t="n">
        <v>0.1039148029393422</v>
      </c>
      <c r="N91" s="15" t="n">
        <v>0</v>
      </c>
      <c r="O91" s="24" t="n">
        <v>0.725</v>
      </c>
      <c r="P91" s="12" t="inlineStr">
        <is>
          <t>DraftKings</t>
        </is>
      </c>
      <c r="Q91" s="12" t="inlineStr">
        <is>
          <t>correlated with a stronger play on the same game</t>
        </is>
      </c>
    </row>
    <row r="92">
      <c r="A92" s="17" t="inlineStr">
        <is>
          <t>PASS</t>
        </is>
      </c>
      <c r="B92" s="17" t="inlineStr">
        <is>
          <t>OSU @ TEX</t>
        </is>
      </c>
      <c r="C92" s="17" t="inlineStr">
        <is>
          <t>2026-09-12 23:30</t>
        </is>
      </c>
      <c r="D92" s="25" t="n">
        <v>2</v>
      </c>
      <c r="E92" s="17" t="inlineStr">
        <is>
          <t>TOTAL</t>
        </is>
      </c>
      <c r="F92" s="17" t="inlineStr">
        <is>
          <t>Over 48.5</t>
        </is>
      </c>
      <c r="G92" s="26" t="n">
        <v>48.5</v>
      </c>
      <c r="H92" s="18" t="n">
        <v>-108</v>
      </c>
      <c r="I92" s="20" t="n">
        <v>0.5718781973769639</v>
      </c>
      <c r="J92" s="20" t="n">
        <v>0.4956702459300312</v>
      </c>
      <c r="K92" s="20" t="n">
        <v>0.5192307692307693</v>
      </c>
      <c r="L92" s="19" t="n">
        <v>0.08781711255502671</v>
      </c>
      <c r="M92" s="19" t="n">
        <v>0.1013950468000786</v>
      </c>
      <c r="N92" s="20" t="n">
        <v>0</v>
      </c>
      <c r="O92" s="27" t="n">
        <v>0.725</v>
      </c>
      <c r="P92" s="17" t="inlineStr">
        <is>
          <t>DraftKings</t>
        </is>
      </c>
      <c r="Q92" s="17" t="inlineStr">
        <is>
          <t>outside the top 10 plays for this week</t>
        </is>
      </c>
    </row>
    <row r="93">
      <c r="A93" s="12" t="inlineStr">
        <is>
          <t>PASS</t>
        </is>
      </c>
      <c r="B93" s="12" t="inlineStr">
        <is>
          <t>GAST @ KENN</t>
        </is>
      </c>
      <c r="C93" s="12" t="inlineStr">
        <is>
          <t>2026-09-12 23:00</t>
        </is>
      </c>
      <c r="D93" s="22" t="n">
        <v>2</v>
      </c>
      <c r="E93" s="12" t="inlineStr">
        <is>
          <t>ML</t>
        </is>
      </c>
      <c r="F93" s="12" t="inlineStr">
        <is>
          <t>GAST ML</t>
        </is>
      </c>
      <c r="G93" s="23" t="n"/>
      <c r="H93" s="13" t="n">
        <v>260</v>
      </c>
      <c r="I93" s="15" t="n">
        <v>0.3064756750738608</v>
      </c>
      <c r="J93" s="15" t="n">
        <v>0.2664576802507838</v>
      </c>
      <c r="K93" s="15" t="n">
        <v>0.2777777777777778</v>
      </c>
      <c r="L93" s="14" t="n">
        <v>0.08728047156780347</v>
      </c>
      <c r="M93" s="14" t="n">
        <v>0.1033124302658988</v>
      </c>
      <c r="N93" s="15" t="n">
        <v>0</v>
      </c>
      <c r="O93" s="24" t="n">
        <v>0.725</v>
      </c>
      <c r="P93" s="12" t="inlineStr">
        <is>
          <t>DraftKings</t>
        </is>
      </c>
      <c r="Q93" s="12" t="inlineStr">
        <is>
          <t>outside the top 10 plays for this week</t>
        </is>
      </c>
    </row>
    <row r="94">
      <c r="A94" s="17" t="inlineStr">
        <is>
          <t>PASS</t>
        </is>
      </c>
      <c r="B94" s="17" t="inlineStr">
        <is>
          <t>APP @ ECU</t>
        </is>
      </c>
      <c r="C94" s="17" t="inlineStr">
        <is>
          <t>2026-09-12 16:00</t>
        </is>
      </c>
      <c r="D94" s="25" t="n">
        <v>2</v>
      </c>
      <c r="E94" s="17" t="inlineStr">
        <is>
          <t>ATS</t>
        </is>
      </c>
      <c r="F94" s="17" t="inlineStr">
        <is>
          <t>APP +8.5</t>
        </is>
      </c>
      <c r="G94" s="26" t="n">
        <v>-8.5</v>
      </c>
      <c r="H94" s="18" t="n">
        <v>-115</v>
      </c>
      <c r="I94" s="20" t="n">
        <v>0.5862189773373899</v>
      </c>
      <c r="J94" s="20" t="n">
        <v>0.5108342361863488</v>
      </c>
      <c r="K94" s="20" t="n">
        <v>0.5348837209302325</v>
      </c>
      <c r="L94" s="19" t="n">
        <v>0.0868625575620308</v>
      </c>
      <c r="M94" s="19" t="n">
        <v>0.09597460980468542</v>
      </c>
      <c r="N94" s="20" t="n">
        <v>0</v>
      </c>
      <c r="O94" s="27" t="n">
        <v>0.725</v>
      </c>
      <c r="P94" s="17" t="inlineStr">
        <is>
          <t>DraftKings</t>
        </is>
      </c>
      <c r="Q94" s="17" t="inlineStr">
        <is>
          <t>correlated with a stronger play on the same game</t>
        </is>
      </c>
    </row>
    <row r="95">
      <c r="A95" s="12" t="inlineStr">
        <is>
          <t>PASS</t>
        </is>
      </c>
      <c r="B95" s="12" t="inlineStr">
        <is>
          <t>MEM @ BOIS</t>
        </is>
      </c>
      <c r="C95" s="12" t="inlineStr">
        <is>
          <t>2026-09-12 22:00</t>
        </is>
      </c>
      <c r="D95" s="22" t="n">
        <v>2</v>
      </c>
      <c r="E95" s="12" t="inlineStr">
        <is>
          <t>ATS</t>
        </is>
      </c>
      <c r="F95" s="12" t="inlineStr">
        <is>
          <t>MEM +7.5</t>
        </is>
      </c>
      <c r="G95" s="23" t="n">
        <v>-7.5</v>
      </c>
      <c r="H95" s="13" t="n">
        <v>-105</v>
      </c>
      <c r="I95" s="15" t="n">
        <v>0.5599115096373189</v>
      </c>
      <c r="J95" s="15" t="n">
        <v>0.4891657638136511</v>
      </c>
      <c r="K95" s="15" t="n">
        <v>0.5121951219512195</v>
      </c>
      <c r="L95" s="14" t="n">
        <v>0.08636545592552258</v>
      </c>
      <c r="M95" s="14" t="n">
        <v>0.09316056643476545</v>
      </c>
      <c r="N95" s="15" t="n">
        <v>0</v>
      </c>
      <c r="O95" s="24" t="n">
        <v>0.725</v>
      </c>
      <c r="P95" s="12" t="inlineStr">
        <is>
          <t>DraftKings</t>
        </is>
      </c>
      <c r="Q95" s="12" t="inlineStr">
        <is>
          <t>correlated with a stronger play on the same game</t>
        </is>
      </c>
    </row>
    <row r="96">
      <c r="A96" s="17" t="inlineStr">
        <is>
          <t>PASS</t>
        </is>
      </c>
      <c r="B96" s="17" t="inlineStr">
        <is>
          <t>APP @ ECU</t>
        </is>
      </c>
      <c r="C96" s="17" t="inlineStr">
        <is>
          <t>2026-09-12 16:00</t>
        </is>
      </c>
      <c r="D96" s="25" t="n">
        <v>2</v>
      </c>
      <c r="E96" s="17" t="inlineStr">
        <is>
          <t>TOTAL</t>
        </is>
      </c>
      <c r="F96" s="17" t="inlineStr">
        <is>
          <t>Under 56.5</t>
        </is>
      </c>
      <c r="G96" s="26" t="n">
        <v>56.5</v>
      </c>
      <c r="H96" s="18" t="n">
        <v>-112</v>
      </c>
      <c r="I96" s="20" t="n">
        <v>0.5743479870867317</v>
      </c>
      <c r="J96" s="20" t="n">
        <v>0.5043297540699688</v>
      </c>
      <c r="K96" s="20" t="n">
        <v>0.5283018867924528</v>
      </c>
      <c r="L96" s="19" t="n">
        <v>0.08530303388878784</v>
      </c>
      <c r="M96" s="19" t="n">
        <v>0.08715868984274211</v>
      </c>
      <c r="N96" s="20" t="n">
        <v>0</v>
      </c>
      <c r="O96" s="27" t="n">
        <v>0.725</v>
      </c>
      <c r="P96" s="17" t="inlineStr">
        <is>
          <t>DraftKings</t>
        </is>
      </c>
      <c r="Q96" s="17" t="inlineStr">
        <is>
          <t>correlated with a stronger play on the same game</t>
        </is>
      </c>
    </row>
    <row r="97">
      <c r="A97" s="12" t="inlineStr">
        <is>
          <t>PASS</t>
        </is>
      </c>
      <c r="B97" s="12" t="inlineStr">
        <is>
          <t>GAST @ KENN</t>
        </is>
      </c>
      <c r="C97" s="12" t="inlineStr">
        <is>
          <t>2026-09-12 23:00</t>
        </is>
      </c>
      <c r="D97" s="22" t="n">
        <v>2</v>
      </c>
      <c r="E97" s="12" t="inlineStr">
        <is>
          <t>ATS</t>
        </is>
      </c>
      <c r="F97" s="12" t="inlineStr">
        <is>
          <t>GAST +8.5</t>
        </is>
      </c>
      <c r="G97" s="23" t="n">
        <v>-8.5</v>
      </c>
      <c r="H97" s="13" t="n">
        <v>-108</v>
      </c>
      <c r="I97" s="15" t="n">
        <v>0.5631668170961261</v>
      </c>
      <c r="J97" s="15" t="n">
        <v>0.4956702459300312</v>
      </c>
      <c r="K97" s="15" t="n">
        <v>0.5192307692307693</v>
      </c>
      <c r="L97" s="14" t="n">
        <v>0.08477418225602089</v>
      </c>
      <c r="M97" s="14" t="n">
        <v>0.08461757366661349</v>
      </c>
      <c r="N97" s="15" t="n">
        <v>0</v>
      </c>
      <c r="O97" s="24" t="n">
        <v>0.725</v>
      </c>
      <c r="P97" s="12" t="inlineStr">
        <is>
          <t>DraftKings</t>
        </is>
      </c>
      <c r="Q97" s="12" t="inlineStr">
        <is>
          <t>correlated with a stronger play on the same game</t>
        </is>
      </c>
    </row>
    <row r="98">
      <c r="A98" s="17" t="inlineStr">
        <is>
          <t>PASS</t>
        </is>
      </c>
      <c r="B98" s="17" t="inlineStr">
        <is>
          <t>UTSA @ TXST</t>
        </is>
      </c>
      <c r="C98" s="17" t="inlineStr">
        <is>
          <t>2026-09-12 19:30</t>
        </is>
      </c>
      <c r="D98" s="25" t="n">
        <v>2</v>
      </c>
      <c r="E98" s="17" t="inlineStr">
        <is>
          <t>ML</t>
        </is>
      </c>
      <c r="F98" s="17" t="inlineStr">
        <is>
          <t>TXST ML</t>
        </is>
      </c>
      <c r="G98" s="26" t="n"/>
      <c r="H98" s="18" t="n">
        <v>-105</v>
      </c>
      <c r="I98" s="20" t="n">
        <v>0.5543430339518852</v>
      </c>
      <c r="J98" s="20" t="n">
        <v>0.4891657638136511</v>
      </c>
      <c r="K98" s="20" t="n">
        <v>0.5121951219512195</v>
      </c>
      <c r="L98" s="19" t="n">
        <v>0.08416052966264186</v>
      </c>
      <c r="M98" s="19" t="n">
        <v>0.08228878057272837</v>
      </c>
      <c r="N98" s="20" t="n">
        <v>0</v>
      </c>
      <c r="O98" s="27" t="n">
        <v>0.725</v>
      </c>
      <c r="P98" s="17" t="inlineStr">
        <is>
          <t>DraftKings</t>
        </is>
      </c>
      <c r="Q98" s="17" t="inlineStr">
        <is>
          <t>outside the top 10 plays for this week</t>
        </is>
      </c>
    </row>
    <row r="99">
      <c r="A99" s="12" t="inlineStr">
        <is>
          <t>PASS</t>
        </is>
      </c>
      <c r="B99" s="12" t="inlineStr">
        <is>
          <t>CAL @ SYR</t>
        </is>
      </c>
      <c r="C99" s="12" t="inlineStr">
        <is>
          <t>2026-09-12 19:30</t>
        </is>
      </c>
      <c r="D99" s="22" t="n">
        <v>2</v>
      </c>
      <c r="E99" s="12" t="inlineStr">
        <is>
          <t>ATS</t>
        </is>
      </c>
      <c r="F99" s="12" t="inlineStr">
        <is>
          <t>SYR -3</t>
        </is>
      </c>
      <c r="G99" s="23" t="n">
        <v>-3</v>
      </c>
      <c r="H99" s="13" t="n">
        <v>-110</v>
      </c>
      <c r="I99" s="15" t="n">
        <v>0.5649813584276314</v>
      </c>
      <c r="J99" s="15" t="n">
        <v>0.5</v>
      </c>
      <c r="K99" s="15" t="n">
        <v>0.5238095238095238</v>
      </c>
      <c r="L99" s="14" t="n">
        <v>0.08343300252721178</v>
      </c>
      <c r="M99" s="14" t="n">
        <v>0.07402621006454635</v>
      </c>
      <c r="N99" s="15" t="n">
        <v>0.0582</v>
      </c>
      <c r="O99" s="24" t="n">
        <v>0.725</v>
      </c>
      <c r="P99" s="12" t="inlineStr">
        <is>
          <t>DraftKings</t>
        </is>
      </c>
      <c r="Q99" s="12" t="inlineStr">
        <is>
          <t>outside the top 10 plays for this week</t>
        </is>
      </c>
    </row>
    <row r="100">
      <c r="A100" s="17" t="inlineStr">
        <is>
          <t>PASS</t>
        </is>
      </c>
      <c r="B100" s="17" t="inlineStr">
        <is>
          <t>GASO @ CLEM</t>
        </is>
      </c>
      <c r="C100" s="17" t="inlineStr">
        <is>
          <t>2026-09-12 23:30</t>
        </is>
      </c>
      <c r="D100" s="25" t="n">
        <v>2</v>
      </c>
      <c r="E100" s="17" t="inlineStr">
        <is>
          <t>TOTAL</t>
        </is>
      </c>
      <c r="F100" s="17" t="inlineStr">
        <is>
          <t>Under 55.5</t>
        </is>
      </c>
      <c r="G100" s="26" t="n">
        <v>55.5</v>
      </c>
      <c r="H100" s="18" t="n">
        <v>-118</v>
      </c>
      <c r="I100" s="20" t="n">
        <v>0.5845779752363949</v>
      </c>
      <c r="J100" s="20" t="n">
        <v>0.5173641257162701</v>
      </c>
      <c r="K100" s="20" t="n">
        <v>0.5412844036697247</v>
      </c>
      <c r="L100" s="19" t="n">
        <v>0.08342230170679639</v>
      </c>
      <c r="M100" s="19" t="n">
        <v>0.07998303899605164</v>
      </c>
      <c r="N100" s="20" t="n">
        <v>0</v>
      </c>
      <c r="O100" s="27" t="n">
        <v>0.725</v>
      </c>
      <c r="P100" s="17" t="inlineStr">
        <is>
          <t>DraftKings</t>
        </is>
      </c>
      <c r="Q100" s="17" t="inlineStr">
        <is>
          <t>outside the top 10 plays for this week</t>
        </is>
      </c>
    </row>
    <row r="101">
      <c r="A101" s="12" t="inlineStr">
        <is>
          <t>PASS</t>
        </is>
      </c>
      <c r="B101" s="12" t="inlineStr">
        <is>
          <t>UCF @ PITT</t>
        </is>
      </c>
      <c r="C101" s="12" t="inlineStr">
        <is>
          <t>2026-09-12 19:30</t>
        </is>
      </c>
      <c r="D101" s="22" t="n">
        <v>2</v>
      </c>
      <c r="E101" s="12" t="inlineStr">
        <is>
          <t>ATS</t>
        </is>
      </c>
      <c r="F101" s="12" t="inlineStr">
        <is>
          <t>UCF +7.5</t>
        </is>
      </c>
      <c r="G101" s="23" t="n">
        <v>-7.5</v>
      </c>
      <c r="H101" s="13" t="n">
        <v>-112</v>
      </c>
      <c r="I101" s="15" t="n">
        <v>0.5692734684421439</v>
      </c>
      <c r="J101" s="15" t="n">
        <v>0.5043297540699688</v>
      </c>
      <c r="K101" s="15" t="n">
        <v>0.5283018867924528</v>
      </c>
      <c r="L101" s="14" t="n">
        <v>0.08315775600809434</v>
      </c>
      <c r="M101" s="14" t="n">
        <v>0.07755335097977234</v>
      </c>
      <c r="N101" s="15" t="n">
        <v>0</v>
      </c>
      <c r="O101" s="24" t="n">
        <v>0.725</v>
      </c>
      <c r="P101" s="12" t="inlineStr">
        <is>
          <t>DraftKings</t>
        </is>
      </c>
      <c r="Q101" s="12" t="inlineStr">
        <is>
          <t>correlated with a stronger play on the same game</t>
        </is>
      </c>
    </row>
    <row r="102">
      <c r="A102" s="17" t="inlineStr">
        <is>
          <t>PASS</t>
        </is>
      </c>
      <c r="B102" s="17" t="inlineStr">
        <is>
          <t>OSU @ TEX</t>
        </is>
      </c>
      <c r="C102" s="17" t="inlineStr">
        <is>
          <t>2026-09-12 23:30</t>
        </is>
      </c>
      <c r="D102" s="25" t="n">
        <v>2</v>
      </c>
      <c r="E102" s="17" t="inlineStr">
        <is>
          <t>ML</t>
        </is>
      </c>
      <c r="F102" s="17" t="inlineStr">
        <is>
          <t>TEX ML</t>
        </is>
      </c>
      <c r="G102" s="26" t="n"/>
      <c r="H102" s="18" t="n">
        <v>-115</v>
      </c>
      <c r="I102" s="20" t="n">
        <v>0.5748916225253811</v>
      </c>
      <c r="J102" s="20" t="n">
        <v>0.5108342361863488</v>
      </c>
      <c r="K102" s="20" t="n">
        <v>0.5348837209302325</v>
      </c>
      <c r="L102" s="19" t="n">
        <v>0.08234387595542117</v>
      </c>
      <c r="M102" s="19" t="n">
        <v>0.07479738124310376</v>
      </c>
      <c r="N102" s="20" t="n">
        <v>0</v>
      </c>
      <c r="O102" s="27" t="n">
        <v>0.725</v>
      </c>
      <c r="P102" s="17" t="inlineStr">
        <is>
          <t>DraftKings</t>
        </is>
      </c>
      <c r="Q102" s="17" t="inlineStr">
        <is>
          <t>correlated with a stronger play on the same game</t>
        </is>
      </c>
    </row>
    <row r="103">
      <c r="A103" s="12" t="inlineStr">
        <is>
          <t>PASS</t>
        </is>
      </c>
      <c r="B103" s="12" t="inlineStr">
        <is>
          <t>ARIZ @ BYU</t>
        </is>
      </c>
      <c r="C103" s="12" t="inlineStr">
        <is>
          <t>2026-09-12 19:30</t>
        </is>
      </c>
      <c r="D103" s="22" t="n">
        <v>2</v>
      </c>
      <c r="E103" s="12" t="inlineStr">
        <is>
          <t>ATS</t>
        </is>
      </c>
      <c r="F103" s="12" t="inlineStr">
        <is>
          <t>ARIZ +7.5</t>
        </is>
      </c>
      <c r="G103" s="23" t="n">
        <v>-7.5</v>
      </c>
      <c r="H103" s="13" t="n">
        <v>-108</v>
      </c>
      <c r="I103" s="15" t="n">
        <v>0.5561221325195158</v>
      </c>
      <c r="J103" s="15" t="n">
        <v>0.4956702459300312</v>
      </c>
      <c r="K103" s="15" t="n">
        <v>0.5192307692307693</v>
      </c>
      <c r="L103" s="14" t="n">
        <v>0.08146164207621941</v>
      </c>
      <c r="M103" s="14" t="n">
        <v>0.07105003300054902</v>
      </c>
      <c r="N103" s="15" t="n">
        <v>0</v>
      </c>
      <c r="O103" s="24" t="n">
        <v>0.725</v>
      </c>
      <c r="P103" s="12" t="inlineStr">
        <is>
          <t>DraftKings</t>
        </is>
      </c>
      <c r="Q103" s="12" t="inlineStr">
        <is>
          <t>outside the top 10 plays for this week</t>
        </is>
      </c>
    </row>
    <row r="104">
      <c r="A104" s="17" t="inlineStr">
        <is>
          <t>PASS</t>
        </is>
      </c>
      <c r="B104" s="17" t="inlineStr">
        <is>
          <t>UCF @ PITT</t>
        </is>
      </c>
      <c r="C104" s="17" t="inlineStr">
        <is>
          <t>2026-09-12 19:30</t>
        </is>
      </c>
      <c r="D104" s="25" t="n">
        <v>2</v>
      </c>
      <c r="E104" s="17" t="inlineStr">
        <is>
          <t>TOTAL</t>
        </is>
      </c>
      <c r="F104" s="17" t="inlineStr">
        <is>
          <t>Under 57.5</t>
        </is>
      </c>
      <c r="G104" s="26" t="n">
        <v>57.5</v>
      </c>
      <c r="H104" s="18" t="n">
        <v>-110</v>
      </c>
      <c r="I104" s="20" t="n">
        <v>0.558979564509663</v>
      </c>
      <c r="J104" s="20" t="n">
        <v>0.5</v>
      </c>
      <c r="K104" s="20" t="n">
        <v>0.5238095238095238</v>
      </c>
      <c r="L104" s="19" t="n">
        <v>0.08036360173625122</v>
      </c>
      <c r="M104" s="19" t="n">
        <v>0.06714280497299319</v>
      </c>
      <c r="N104" s="20" t="n">
        <v>0</v>
      </c>
      <c r="O104" s="27" t="n">
        <v>0.725</v>
      </c>
      <c r="P104" s="17" t="inlineStr">
        <is>
          <t>DraftKings</t>
        </is>
      </c>
      <c r="Q104" s="17" t="inlineStr">
        <is>
          <t>correlated with a stronger play on the same game</t>
        </is>
      </c>
    </row>
    <row r="105">
      <c r="A105" s="12" t="inlineStr">
        <is>
          <t>PASS</t>
        </is>
      </c>
      <c r="B105" s="12" t="inlineStr">
        <is>
          <t>ARIZ @ BYU</t>
        </is>
      </c>
      <c r="C105" s="12" t="inlineStr">
        <is>
          <t>2026-09-12 19:30</t>
        </is>
      </c>
      <c r="D105" s="22" t="n">
        <v>2</v>
      </c>
      <c r="E105" s="12" t="inlineStr">
        <is>
          <t>ML</t>
        </is>
      </c>
      <c r="F105" s="12" t="inlineStr">
        <is>
          <t>ARIZ ML</t>
        </is>
      </c>
      <c r="G105" s="23" t="n"/>
      <c r="H105" s="13" t="n">
        <v>230</v>
      </c>
      <c r="I105" s="15" t="n">
        <v>0.3246691189178719</v>
      </c>
      <c r="J105" s="15" t="n">
        <v>0.2904564315352697</v>
      </c>
      <c r="K105" s="15" t="n">
        <v>0.303030303030303</v>
      </c>
      <c r="L105" s="14" t="n">
        <v>0.08031525674879818</v>
      </c>
      <c r="M105" s="14" t="n">
        <v>0.07140809242897705</v>
      </c>
      <c r="N105" s="15" t="n">
        <v>0</v>
      </c>
      <c r="O105" s="24" t="n">
        <v>0.725</v>
      </c>
      <c r="P105" s="12" t="inlineStr">
        <is>
          <t>DraftKings</t>
        </is>
      </c>
      <c r="Q105" s="12" t="inlineStr">
        <is>
          <t>correlated with a stronger play on the same game</t>
        </is>
      </c>
    </row>
    <row r="106">
      <c r="A106" s="17" t="inlineStr">
        <is>
          <t>PASS</t>
        </is>
      </c>
      <c r="B106" s="17" t="inlineStr">
        <is>
          <t>USF @ ARMY</t>
        </is>
      </c>
      <c r="C106" s="17" t="inlineStr">
        <is>
          <t>2026-09-12 16:00</t>
        </is>
      </c>
      <c r="D106" s="25" t="n">
        <v>2</v>
      </c>
      <c r="E106" s="17" t="inlineStr">
        <is>
          <t>TOTAL</t>
        </is>
      </c>
      <c r="F106" s="17" t="inlineStr">
        <is>
          <t>Over 48.5</t>
        </is>
      </c>
      <c r="G106" s="26" t="n">
        <v>48.5</v>
      </c>
      <c r="H106" s="18" t="n">
        <v>-112</v>
      </c>
      <c r="I106" s="20" t="n">
        <v>0.563049244069183</v>
      </c>
      <c r="J106" s="20" t="n">
        <v>0.5043297540699688</v>
      </c>
      <c r="K106" s="20" t="n">
        <v>0.5283018867924528</v>
      </c>
      <c r="L106" s="19" t="n">
        <v>0.07992297428884092</v>
      </c>
      <c r="M106" s="19" t="n">
        <v>0.06577178341666778</v>
      </c>
      <c r="N106" s="20" t="n">
        <v>0</v>
      </c>
      <c r="O106" s="27" t="n">
        <v>0.725</v>
      </c>
      <c r="P106" s="17" t="inlineStr">
        <is>
          <t>DraftKings</t>
        </is>
      </c>
      <c r="Q106" s="17" t="inlineStr">
        <is>
          <t>outside the top 10 plays for this week</t>
        </is>
      </c>
    </row>
    <row r="107">
      <c r="A107" s="12" t="inlineStr">
        <is>
          <t>PASS</t>
        </is>
      </c>
      <c r="B107" s="12" t="inlineStr">
        <is>
          <t>ALA @ UK</t>
        </is>
      </c>
      <c r="C107" s="12" t="inlineStr">
        <is>
          <t>2026-09-12 19:30</t>
        </is>
      </c>
      <c r="D107" s="22" t="n">
        <v>2</v>
      </c>
      <c r="E107" s="12" t="inlineStr">
        <is>
          <t>TOTAL</t>
        </is>
      </c>
      <c r="F107" s="12" t="inlineStr">
        <is>
          <t>Over 49.5</t>
        </is>
      </c>
      <c r="G107" s="23" t="n">
        <v>49.5</v>
      </c>
      <c r="H107" s="13" t="n">
        <v>-105</v>
      </c>
      <c r="I107" s="15" t="n">
        <v>0.5439562234882699</v>
      </c>
      <c r="J107" s="15" t="n">
        <v>0.4891657638136511</v>
      </c>
      <c r="K107" s="15" t="n">
        <v>0.5121951219512195</v>
      </c>
      <c r="L107" s="14" t="n">
        <v>0.07857885760197324</v>
      </c>
      <c r="M107" s="14" t="n">
        <v>0.06200976966757454</v>
      </c>
      <c r="N107" s="15" t="n">
        <v>0</v>
      </c>
      <c r="O107" s="24" t="n">
        <v>0.725</v>
      </c>
      <c r="P107" s="12" t="inlineStr">
        <is>
          <t>DraftKings</t>
        </is>
      </c>
      <c r="Q107" s="12" t="inlineStr">
        <is>
          <t>outside the top 10 plays for this week</t>
        </is>
      </c>
    </row>
    <row r="108">
      <c r="A108" s="17" t="inlineStr">
        <is>
          <t>PASS</t>
        </is>
      </c>
      <c r="B108" s="17" t="inlineStr">
        <is>
          <t>NDSU @ AFA</t>
        </is>
      </c>
      <c r="C108" s="17" t="inlineStr">
        <is>
          <t>2026-09-13 02:00</t>
        </is>
      </c>
      <c r="D108" s="25" t="n">
        <v>2</v>
      </c>
      <c r="E108" s="17" t="inlineStr">
        <is>
          <t>TOTAL</t>
        </is>
      </c>
      <c r="F108" s="17" t="inlineStr">
        <is>
          <t>Over 47.5</t>
        </is>
      </c>
      <c r="G108" s="26" t="n">
        <v>47.5</v>
      </c>
      <c r="H108" s="18" t="n">
        <v>-108</v>
      </c>
      <c r="I108" s="20" t="n">
        <v>0.5510667749851725</v>
      </c>
      <c r="J108" s="20" t="n">
        <v>0.4956702459300312</v>
      </c>
      <c r="K108" s="20" t="n">
        <v>0.5192307692307693</v>
      </c>
      <c r="L108" s="19" t="n">
        <v>0.0785006452543725</v>
      </c>
      <c r="M108" s="19" t="n">
        <v>0.06131378886033234</v>
      </c>
      <c r="N108" s="20" t="n">
        <v>0</v>
      </c>
      <c r="O108" s="27" t="n">
        <v>0.725</v>
      </c>
      <c r="P108" s="17" t="inlineStr">
        <is>
          <t>DraftKings</t>
        </is>
      </c>
      <c r="Q108" s="17" t="inlineStr">
        <is>
          <t>correlated with a stronger play on the same game</t>
        </is>
      </c>
    </row>
    <row r="109">
      <c r="A109" s="12" t="inlineStr">
        <is>
          <t>PASS</t>
        </is>
      </c>
      <c r="B109" s="12" t="inlineStr">
        <is>
          <t>OSU @ TEX</t>
        </is>
      </c>
      <c r="C109" s="12" t="inlineStr">
        <is>
          <t>2026-09-12 23:30</t>
        </is>
      </c>
      <c r="D109" s="22" t="n">
        <v>2</v>
      </c>
      <c r="E109" s="12" t="inlineStr">
        <is>
          <t>ATS</t>
        </is>
      </c>
      <c r="F109" s="12" t="inlineStr">
        <is>
          <t>TEX -1.5</t>
        </is>
      </c>
      <c r="G109" s="23" t="n">
        <v>-1.5</v>
      </c>
      <c r="H109" s="13" t="n">
        <v>-108</v>
      </c>
      <c r="I109" s="15" t="n">
        <v>0.5496219092479613</v>
      </c>
      <c r="J109" s="15" t="n">
        <v>0.4956702459300312</v>
      </c>
      <c r="K109" s="15" t="n">
        <v>0.5192307692307693</v>
      </c>
      <c r="L109" s="14" t="n">
        <v>0.07755229418226094</v>
      </c>
      <c r="M109" s="14" t="n">
        <v>0.05853108447755506</v>
      </c>
      <c r="N109" s="15" t="n">
        <v>0</v>
      </c>
      <c r="O109" s="24" t="n">
        <v>0.725</v>
      </c>
      <c r="P109" s="12" t="inlineStr">
        <is>
          <t>DraftKings</t>
        </is>
      </c>
      <c r="Q109" s="12" t="inlineStr">
        <is>
          <t>correlated with a stronger play on the same game</t>
        </is>
      </c>
    </row>
    <row r="110">
      <c r="A110" s="17" t="inlineStr">
        <is>
          <t>PASS</t>
        </is>
      </c>
      <c r="B110" s="17" t="inlineStr">
        <is>
          <t>BUFF @ FIU</t>
        </is>
      </c>
      <c r="C110" s="17" t="inlineStr">
        <is>
          <t>2026-09-12 22:00</t>
        </is>
      </c>
      <c r="D110" s="25" t="n">
        <v>2</v>
      </c>
      <c r="E110" s="17" t="inlineStr">
        <is>
          <t>TOTAL</t>
        </is>
      </c>
      <c r="F110" s="17" t="inlineStr">
        <is>
          <t>Over 47.5</t>
        </is>
      </c>
      <c r="G110" s="26" t="n">
        <v>47.5</v>
      </c>
      <c r="H110" s="18" t="n">
        <v>-115</v>
      </c>
      <c r="I110" s="20" t="n">
        <v>0.56630150563113</v>
      </c>
      <c r="J110" s="20" t="n">
        <v>0.5108342361863488</v>
      </c>
      <c r="K110" s="20" t="n">
        <v>0.5348837209302325</v>
      </c>
      <c r="L110" s="19" t="n">
        <v>0.07746397975824501</v>
      </c>
      <c r="M110" s="19" t="n">
        <v>0.05873759748428653</v>
      </c>
      <c r="N110" s="20" t="n">
        <v>0</v>
      </c>
      <c r="O110" s="27" t="n">
        <v>0.725</v>
      </c>
      <c r="P110" s="17" t="inlineStr">
        <is>
          <t>DraftKings</t>
        </is>
      </c>
      <c r="Q110" s="17" t="inlineStr">
        <is>
          <t>correlated with a stronger play on the same game</t>
        </is>
      </c>
    </row>
    <row r="111">
      <c r="A111" s="12" t="inlineStr">
        <is>
          <t>PASS</t>
        </is>
      </c>
      <c r="B111" s="12" t="inlineStr">
        <is>
          <t>MEM @ BOIS</t>
        </is>
      </c>
      <c r="C111" s="12" t="inlineStr">
        <is>
          <t>2026-09-12 22:00</t>
        </is>
      </c>
      <c r="D111" s="22" t="n">
        <v>2</v>
      </c>
      <c r="E111" s="12" t="inlineStr">
        <is>
          <t>TOTAL</t>
        </is>
      </c>
      <c r="F111" s="12" t="inlineStr">
        <is>
          <t>Under 55.5</t>
        </is>
      </c>
      <c r="G111" s="23" t="n">
        <v>55.5</v>
      </c>
      <c r="H111" s="13" t="n">
        <v>-110</v>
      </c>
      <c r="I111" s="15" t="n">
        <v>0.5532315828247676</v>
      </c>
      <c r="J111" s="15" t="n">
        <v>0.5</v>
      </c>
      <c r="K111" s="15" t="n">
        <v>0.5238095238095238</v>
      </c>
      <c r="L111" s="14" t="n">
        <v>0.07674100634293532</v>
      </c>
      <c r="M111" s="14" t="n">
        <v>0.05616938539273808</v>
      </c>
      <c r="N111" s="15" t="n">
        <v>0</v>
      </c>
      <c r="O111" s="24" t="n">
        <v>0.725</v>
      </c>
      <c r="P111" s="12" t="inlineStr">
        <is>
          <t>DraftKings</t>
        </is>
      </c>
      <c r="Q111" s="12" t="inlineStr">
        <is>
          <t>correlated with a stronger play on the same game</t>
        </is>
      </c>
    </row>
    <row r="112">
      <c r="A112" s="17" t="inlineStr">
        <is>
          <t>PASS</t>
        </is>
      </c>
      <c r="B112" s="17" t="inlineStr">
        <is>
          <t>TENN @ GT</t>
        </is>
      </c>
      <c r="C112" s="17" t="inlineStr">
        <is>
          <t>2026-09-12 23:00</t>
        </is>
      </c>
      <c r="D112" s="25" t="n">
        <v>2</v>
      </c>
      <c r="E112" s="17" t="inlineStr">
        <is>
          <t>TOTAL</t>
        </is>
      </c>
      <c r="F112" s="17" t="inlineStr">
        <is>
          <t>Under 55.5</t>
        </is>
      </c>
      <c r="G112" s="26" t="n">
        <v>55.5</v>
      </c>
      <c r="H112" s="18" t="n">
        <v>-112</v>
      </c>
      <c r="I112" s="20" t="n">
        <v>0.5573178869522228</v>
      </c>
      <c r="J112" s="20" t="n">
        <v>0.5043297540699688</v>
      </c>
      <c r="K112" s="20" t="n">
        <v>0.5283018867924528</v>
      </c>
      <c r="L112" s="19" t="n">
        <v>0.07624990487414239</v>
      </c>
      <c r="M112" s="19" t="n">
        <v>0.0549231431595647</v>
      </c>
      <c r="N112" s="20" t="n">
        <v>0</v>
      </c>
      <c r="O112" s="27" t="n">
        <v>0.725</v>
      </c>
      <c r="P112" s="17" t="inlineStr">
        <is>
          <t>DraftKings</t>
        </is>
      </c>
      <c r="Q112" s="17" t="inlineStr">
        <is>
          <t>outside the top 10 plays for this week</t>
        </is>
      </c>
    </row>
    <row r="113">
      <c r="A113" s="12" t="inlineStr">
        <is>
          <t>PASS</t>
        </is>
      </c>
      <c r="B113" s="12" t="inlineStr">
        <is>
          <t>RICE @ ND</t>
        </is>
      </c>
      <c r="C113" s="12" t="inlineStr">
        <is>
          <t>2026-09-12 19:30</t>
        </is>
      </c>
      <c r="D113" s="22" t="n">
        <v>2</v>
      </c>
      <c r="E113" s="12" t="inlineStr">
        <is>
          <t>TOTAL</t>
        </is>
      </c>
      <c r="F113" s="12" t="inlineStr">
        <is>
          <t>Under 54.5</t>
        </is>
      </c>
      <c r="G113" s="23" t="n">
        <v>54.5</v>
      </c>
      <c r="H113" s="13" t="n">
        <v>-110</v>
      </c>
      <c r="I113" s="15" t="n">
        <v>0.5513049499088329</v>
      </c>
      <c r="J113" s="15" t="n">
        <v>0.5</v>
      </c>
      <c r="K113" s="15" t="n">
        <v>0.5238095238095238</v>
      </c>
      <c r="L113" s="14" t="n">
        <v>0.07535758512027835</v>
      </c>
      <c r="M113" s="14" t="n">
        <v>0.05249126800777204</v>
      </c>
      <c r="N113" s="15" t="n">
        <v>0</v>
      </c>
      <c r="O113" s="24" t="n">
        <v>0.725</v>
      </c>
      <c r="P113" s="12" t="inlineStr">
        <is>
          <t>DraftKings</t>
        </is>
      </c>
      <c r="Q113" s="12" t="inlineStr">
        <is>
          <t>outside the top 10 plays for this week</t>
        </is>
      </c>
    </row>
    <row r="114">
      <c r="A114" s="17" t="inlineStr">
        <is>
          <t>PASS</t>
        </is>
      </c>
      <c r="B114" s="17" t="inlineStr">
        <is>
          <t>CAL @ SYR</t>
        </is>
      </c>
      <c r="C114" s="17" t="inlineStr">
        <is>
          <t>2026-09-12 19:30</t>
        </is>
      </c>
      <c r="D114" s="25" t="n">
        <v>2</v>
      </c>
      <c r="E114" s="17" t="inlineStr">
        <is>
          <t>ML</t>
        </is>
      </c>
      <c r="F114" s="17" t="inlineStr">
        <is>
          <t>SYR ML</t>
        </is>
      </c>
      <c r="G114" s="26" t="n"/>
      <c r="H114" s="18" t="n">
        <v>-162</v>
      </c>
      <c r="I114" s="20" t="n">
        <v>0.6514156464475959</v>
      </c>
      <c r="J114" s="20" t="n">
        <v>0.5933697541594239</v>
      </c>
      <c r="K114" s="20" t="n">
        <v>0.6183206106870229</v>
      </c>
      <c r="L114" s="19" t="n">
        <v>0.07351092285533546</v>
      </c>
      <c r="M114" s="19" t="n">
        <v>0.05352407018067984</v>
      </c>
      <c r="N114" s="20" t="n">
        <v>0</v>
      </c>
      <c r="O114" s="27" t="n">
        <v>0.725</v>
      </c>
      <c r="P114" s="17" t="inlineStr">
        <is>
          <t>DraftKings</t>
        </is>
      </c>
      <c r="Q114" s="17" t="inlineStr">
        <is>
          <t>correlated with a stronger play on the same game</t>
        </is>
      </c>
    </row>
    <row r="115">
      <c r="A115" s="12" t="inlineStr">
        <is>
          <t>PASS</t>
        </is>
      </c>
      <c r="B115" s="12" t="inlineStr">
        <is>
          <t>UTSA @ TXST</t>
        </is>
      </c>
      <c r="C115" s="12" t="inlineStr">
        <is>
          <t>2026-09-12 19:30</t>
        </is>
      </c>
      <c r="D115" s="22" t="n">
        <v>2</v>
      </c>
      <c r="E115" s="12" t="inlineStr">
        <is>
          <t>ATS</t>
        </is>
      </c>
      <c r="F115" s="12" t="inlineStr">
        <is>
          <t>TXST -1.5</t>
        </is>
      </c>
      <c r="G115" s="23" t="n">
        <v>-1.5</v>
      </c>
      <c r="H115" s="13" t="n">
        <v>-105</v>
      </c>
      <c r="I115" s="15" t="n">
        <v>0.5364097752828688</v>
      </c>
      <c r="J115" s="15" t="n">
        <v>0.4891657638136511</v>
      </c>
      <c r="K115" s="15" t="n">
        <v>0.5121951219512195</v>
      </c>
      <c r="L115" s="14" t="n">
        <v>0.07300696449039033</v>
      </c>
      <c r="M115" s="14" t="n">
        <v>0.04727622793321995</v>
      </c>
      <c r="N115" s="15" t="n">
        <v>0</v>
      </c>
      <c r="O115" s="24" t="n">
        <v>0.725</v>
      </c>
      <c r="P115" s="12" t="inlineStr">
        <is>
          <t>DraftKings</t>
        </is>
      </c>
      <c r="Q115" s="12" t="n"/>
    </row>
    <row r="116">
      <c r="A116" s="17" t="inlineStr">
        <is>
          <t>PASS</t>
        </is>
      </c>
      <c r="B116" s="17" t="inlineStr">
        <is>
          <t>CAL @ SYR</t>
        </is>
      </c>
      <c r="C116" s="17" t="inlineStr">
        <is>
          <t>2026-09-12 19:30</t>
        </is>
      </c>
      <c r="D116" s="25" t="n">
        <v>2</v>
      </c>
      <c r="E116" s="17" t="inlineStr">
        <is>
          <t>TOTAL</t>
        </is>
      </c>
      <c r="F116" s="17" t="inlineStr">
        <is>
          <t>Under 56.5</t>
        </is>
      </c>
      <c r="G116" s="26" t="n">
        <v>56.5</v>
      </c>
      <c r="H116" s="18" t="n">
        <v>-112</v>
      </c>
      <c r="I116" s="20" t="n">
        <v>0.5515381911289015</v>
      </c>
      <c r="J116" s="20" t="n">
        <v>0.5043297540699688</v>
      </c>
      <c r="K116" s="20" t="n">
        <v>0.5283018867924528</v>
      </c>
      <c r="L116" s="19" t="n">
        <v>0.07175955144346692</v>
      </c>
      <c r="M116" s="19" t="n">
        <v>0.04398300463684923</v>
      </c>
      <c r="N116" s="20" t="n">
        <v>0</v>
      </c>
      <c r="O116" s="27" t="n">
        <v>0.725</v>
      </c>
      <c r="P116" s="17" t="inlineStr">
        <is>
          <t>DraftKings</t>
        </is>
      </c>
      <c r="Q116" s="17" t="n"/>
    </row>
    <row r="117">
      <c r="A117" s="12" t="inlineStr">
        <is>
          <t>PASS</t>
        </is>
      </c>
      <c r="B117" s="12" t="inlineStr">
        <is>
          <t>ARK @ UTAH</t>
        </is>
      </c>
      <c r="C117" s="12" t="inlineStr">
        <is>
          <t>2026-09-13 02:15</t>
        </is>
      </c>
      <c r="D117" s="22" t="n">
        <v>2</v>
      </c>
      <c r="E117" s="12" t="inlineStr">
        <is>
          <t>TOTAL</t>
        </is>
      </c>
      <c r="F117" s="12" t="inlineStr">
        <is>
          <t>Under 56.5</t>
        </is>
      </c>
      <c r="G117" s="23" t="n">
        <v>56.5</v>
      </c>
      <c r="H117" s="13" t="n">
        <v>-105</v>
      </c>
      <c r="I117" s="15" t="n">
        <v>0.5342290402139465</v>
      </c>
      <c r="J117" s="15" t="n">
        <v>0.4891657638136511</v>
      </c>
      <c r="K117" s="15" t="n">
        <v>0.5121951219512195</v>
      </c>
      <c r="L117" s="14" t="n">
        <v>0.07111491285135144</v>
      </c>
      <c r="M117" s="14" t="n">
        <v>0.04301860232246679</v>
      </c>
      <c r="N117" s="15" t="n">
        <v>0</v>
      </c>
      <c r="O117" s="24" t="n">
        <v>0.725</v>
      </c>
      <c r="P117" s="12" t="inlineStr">
        <is>
          <t>DraftKings</t>
        </is>
      </c>
      <c r="Q117" s="12" t="n"/>
    </row>
    <row r="118">
      <c r="A118" s="17" t="inlineStr">
        <is>
          <t>PASS</t>
        </is>
      </c>
      <c r="B118" s="17" t="inlineStr">
        <is>
          <t>MIZ @ KU</t>
        </is>
      </c>
      <c r="C118" s="17" t="inlineStr">
        <is>
          <t>2026-09-12 00:00</t>
        </is>
      </c>
      <c r="D118" s="25" t="n">
        <v>2</v>
      </c>
      <c r="E118" s="17" t="inlineStr">
        <is>
          <t>TOTAL</t>
        </is>
      </c>
      <c r="F118" s="17" t="inlineStr">
        <is>
          <t>Over 50.5</t>
        </is>
      </c>
      <c r="G118" s="26" t="n">
        <v>50.5</v>
      </c>
      <c r="H118" s="18" t="n">
        <v>-110</v>
      </c>
      <c r="I118" s="20" t="n">
        <v>0.5454957049236822</v>
      </c>
      <c r="J118" s="20" t="n">
        <v>0.5</v>
      </c>
      <c r="K118" s="20" t="n">
        <v>0.5238095238095238</v>
      </c>
      <c r="L118" s="19" t="n">
        <v>0.07061310820813216</v>
      </c>
      <c r="M118" s="19" t="n">
        <v>0.04140089121793866</v>
      </c>
      <c r="N118" s="20" t="n">
        <v>0</v>
      </c>
      <c r="O118" s="27" t="n">
        <v>0.725</v>
      </c>
      <c r="P118" s="17" t="inlineStr">
        <is>
          <t>DraftKings</t>
        </is>
      </c>
      <c r="Q118" s="17" t="n"/>
    </row>
    <row r="119">
      <c r="A119" s="12" t="inlineStr">
        <is>
          <t>PASS</t>
        </is>
      </c>
      <c r="B119" s="12" t="inlineStr">
        <is>
          <t>PSU @ TEM</t>
        </is>
      </c>
      <c r="C119" s="12" t="inlineStr">
        <is>
          <t>2026-09-12 16:00</t>
        </is>
      </c>
      <c r="D119" s="22" t="n">
        <v>2</v>
      </c>
      <c r="E119" s="12" t="inlineStr">
        <is>
          <t>TOTAL</t>
        </is>
      </c>
      <c r="F119" s="12" t="inlineStr">
        <is>
          <t>Over 49.5</t>
        </is>
      </c>
      <c r="G119" s="23" t="n">
        <v>49.5</v>
      </c>
      <c r="H119" s="13" t="n">
        <v>-115</v>
      </c>
      <c r="I119" s="15" t="n">
        <v>0.5547904596746187</v>
      </c>
      <c r="J119" s="15" t="n">
        <v>0.5108342361863488</v>
      </c>
      <c r="K119" s="15" t="n">
        <v>0.5348837209302325</v>
      </c>
      <c r="L119" s="14" t="n">
        <v>0.06831398883192713</v>
      </c>
      <c r="M119" s="14" t="n">
        <v>0.03721694634820016</v>
      </c>
      <c r="N119" s="15" t="n">
        <v>0</v>
      </c>
      <c r="O119" s="24" t="n">
        <v>0.725</v>
      </c>
      <c r="P119" s="12" t="inlineStr">
        <is>
          <t>DraftKings</t>
        </is>
      </c>
      <c r="Q119" s="12" t="n"/>
    </row>
    <row r="120">
      <c r="A120" s="17" t="inlineStr">
        <is>
          <t>PASS</t>
        </is>
      </c>
      <c r="B120" s="17" t="inlineStr">
        <is>
          <t>USM @ AUB</t>
        </is>
      </c>
      <c r="C120" s="17" t="inlineStr">
        <is>
          <t>2026-09-12 23:45</t>
        </is>
      </c>
      <c r="D120" s="25" t="n">
        <v>2</v>
      </c>
      <c r="E120" s="17" t="inlineStr">
        <is>
          <t>TOTAL</t>
        </is>
      </c>
      <c r="F120" s="17" t="inlineStr">
        <is>
          <t>Under 53.5</t>
        </is>
      </c>
      <c r="G120" s="26" t="n">
        <v>53.5</v>
      </c>
      <c r="H120" s="18" t="n">
        <v>-112</v>
      </c>
      <c r="I120" s="20" t="n">
        <v>0.5476605439614837</v>
      </c>
      <c r="J120" s="20" t="n">
        <v>0.5043297540699688</v>
      </c>
      <c r="K120" s="20" t="n">
        <v>0.5283018867924528</v>
      </c>
      <c r="L120" s="19" t="n">
        <v>0.06825098312987667</v>
      </c>
      <c r="M120" s="19" t="n">
        <v>0.03664317249852256</v>
      </c>
      <c r="N120" s="20" t="n">
        <v>0</v>
      </c>
      <c r="O120" s="27" t="n">
        <v>0.725</v>
      </c>
      <c r="P120" s="17" t="inlineStr">
        <is>
          <t>DraftKings</t>
        </is>
      </c>
      <c r="Q120" s="17" t="n"/>
    </row>
    <row r="121">
      <c r="A121" s="12" t="inlineStr">
        <is>
          <t>PASS</t>
        </is>
      </c>
      <c r="B121" s="12" t="inlineStr">
        <is>
          <t>WAKE @ PUR</t>
        </is>
      </c>
      <c r="C121" s="12" t="inlineStr">
        <is>
          <t>2026-09-12 16:00</t>
        </is>
      </c>
      <c r="D121" s="22" t="n">
        <v>2</v>
      </c>
      <c r="E121" s="12" t="inlineStr">
        <is>
          <t>TOTAL</t>
        </is>
      </c>
      <c r="F121" s="12" t="inlineStr">
        <is>
          <t>Over 50.5</t>
        </is>
      </c>
      <c r="G121" s="23" t="n">
        <v>50.5</v>
      </c>
      <c r="H121" s="13" t="n">
        <v>-110</v>
      </c>
      <c r="I121" s="15" t="n">
        <v>0.5416001853526096</v>
      </c>
      <c r="J121" s="15" t="n">
        <v>0.5</v>
      </c>
      <c r="K121" s="15" t="n">
        <v>0.5238095238095238</v>
      </c>
      <c r="L121" s="14" t="n">
        <v>0.06690903693651661</v>
      </c>
      <c r="M121" s="14" t="n">
        <v>0.0339639902186184</v>
      </c>
      <c r="N121" s="15" t="n">
        <v>0</v>
      </c>
      <c r="O121" s="24" t="n">
        <v>0.725</v>
      </c>
      <c r="P121" s="12" t="inlineStr">
        <is>
          <t>DraftKings</t>
        </is>
      </c>
      <c r="Q121" s="12" t="n"/>
    </row>
    <row r="122">
      <c r="A122" s="17" t="inlineStr">
        <is>
          <t>PASS</t>
        </is>
      </c>
      <c r="B122" s="17" t="inlineStr">
        <is>
          <t>LT @ LSU</t>
        </is>
      </c>
      <c r="C122" s="17" t="inlineStr">
        <is>
          <t>2026-09-12 23:30</t>
        </is>
      </c>
      <c r="D122" s="25" t="n">
        <v>2</v>
      </c>
      <c r="E122" s="17" t="inlineStr">
        <is>
          <t>TOTAL</t>
        </is>
      </c>
      <c r="F122" s="17" t="inlineStr">
        <is>
          <t>Under 55.5</t>
        </is>
      </c>
      <c r="G122" s="26" t="n">
        <v>55.5</v>
      </c>
      <c r="H122" s="18" t="n">
        <v>-112</v>
      </c>
      <c r="I122" s="20" t="n">
        <v>0.545714943822319</v>
      </c>
      <c r="J122" s="20" t="n">
        <v>0.5043297540699688</v>
      </c>
      <c r="K122" s="20" t="n">
        <v>0.5283018867924528</v>
      </c>
      <c r="L122" s="19" t="n">
        <v>0.0663293593696143</v>
      </c>
      <c r="M122" s="19" t="n">
        <v>0.03296042937796084</v>
      </c>
      <c r="N122" s="20" t="n">
        <v>0</v>
      </c>
      <c r="O122" s="27" t="n">
        <v>0.725</v>
      </c>
      <c r="P122" s="17" t="inlineStr">
        <is>
          <t>DraftKings</t>
        </is>
      </c>
      <c r="Q122" s="17" t="n"/>
    </row>
    <row r="123">
      <c r="A123" s="12" t="inlineStr">
        <is>
          <t>PASS</t>
        </is>
      </c>
      <c r="B123" s="12" t="inlineStr">
        <is>
          <t>JVST @ OHIO</t>
        </is>
      </c>
      <c r="C123" s="12" t="inlineStr">
        <is>
          <t>2026-09-12 22:00</t>
        </is>
      </c>
      <c r="D123" s="22" t="n">
        <v>2</v>
      </c>
      <c r="E123" s="12" t="inlineStr">
        <is>
          <t>ML</t>
        </is>
      </c>
      <c r="F123" s="12" t="inlineStr">
        <is>
          <t>OHIO ML</t>
        </is>
      </c>
      <c r="G123" s="23" t="n"/>
      <c r="H123" s="13" t="n">
        <v>-130</v>
      </c>
      <c r="I123" s="15" t="n">
        <v>0.5851183754657745</v>
      </c>
      <c r="J123" s="15" t="n">
        <v>0.5427435387673957</v>
      </c>
      <c r="K123" s="15" t="n">
        <v>0.5652173913043478</v>
      </c>
      <c r="L123" s="14" t="n">
        <v>0.06422690377315114</v>
      </c>
      <c r="M123" s="14" t="n">
        <v>0.03520943351637018</v>
      </c>
      <c r="N123" s="15" t="n">
        <v>0</v>
      </c>
      <c r="O123" s="24" t="n">
        <v>0.725</v>
      </c>
      <c r="P123" s="12" t="inlineStr">
        <is>
          <t>DraftKings</t>
        </is>
      </c>
      <c r="Q123" s="12" t="n"/>
    </row>
    <row r="124">
      <c r="A124" s="17" t="inlineStr">
        <is>
          <t>PASS</t>
        </is>
      </c>
      <c r="B124" s="17" t="inlineStr">
        <is>
          <t>DUKE @ ILL</t>
        </is>
      </c>
      <c r="C124" s="17" t="inlineStr">
        <is>
          <t>2026-09-12 19:30</t>
        </is>
      </c>
      <c r="D124" s="25" t="n">
        <v>2</v>
      </c>
      <c r="E124" s="17" t="inlineStr">
        <is>
          <t>TOTAL</t>
        </is>
      </c>
      <c r="F124" s="17" t="inlineStr">
        <is>
          <t>Under 53.5</t>
        </is>
      </c>
      <c r="G124" s="26" t="n">
        <v>53.5</v>
      </c>
      <c r="H124" s="18" t="n">
        <v>-108</v>
      </c>
      <c r="I124" s="20" t="n">
        <v>0.5276562908018172</v>
      </c>
      <c r="J124" s="20" t="n">
        <v>0.4956702459300312</v>
      </c>
      <c r="K124" s="20" t="n">
        <v>0.5192307692307693</v>
      </c>
      <c r="L124" s="19" t="n">
        <v>0.0561493981060727</v>
      </c>
      <c r="M124" s="19" t="n">
        <v>0.01622693043312951</v>
      </c>
      <c r="N124" s="20" t="n">
        <v>0</v>
      </c>
      <c r="O124" s="27" t="n">
        <v>0.725</v>
      </c>
      <c r="P124" s="17" t="inlineStr">
        <is>
          <t>DraftKings</t>
        </is>
      </c>
      <c r="Q124" s="17" t="n"/>
    </row>
    <row r="125">
      <c r="A125" s="12" t="inlineStr">
        <is>
          <t>PASS</t>
        </is>
      </c>
      <c r="B125" s="12" t="inlineStr">
        <is>
          <t>RUTG @ BC</t>
        </is>
      </c>
      <c r="C125" s="12" t="inlineStr">
        <is>
          <t>2026-09-11 23:30</t>
        </is>
      </c>
      <c r="D125" s="22" t="n">
        <v>2</v>
      </c>
      <c r="E125" s="12" t="inlineStr">
        <is>
          <t>TOTAL</t>
        </is>
      </c>
      <c r="F125" s="12" t="inlineStr">
        <is>
          <t>Under 54.5</t>
        </is>
      </c>
      <c r="G125" s="23" t="n">
        <v>54.5</v>
      </c>
      <c r="H125" s="13" t="n">
        <v>-108</v>
      </c>
      <c r="I125" s="15" t="n">
        <v>0.5256816486091341</v>
      </c>
      <c r="J125" s="15" t="n">
        <v>0.4956702459300312</v>
      </c>
      <c r="K125" s="15" t="n">
        <v>0.5192307692307693</v>
      </c>
      <c r="L125" s="14" t="n">
        <v>0.05349301115978271</v>
      </c>
      <c r="M125" s="14" t="n">
        <v>0.01242391583981384</v>
      </c>
      <c r="N125" s="15" t="n">
        <v>0</v>
      </c>
      <c r="O125" s="24" t="n">
        <v>0.725</v>
      </c>
      <c r="P125" s="12" t="inlineStr">
        <is>
          <t>DraftKings</t>
        </is>
      </c>
      <c r="Q125" s="12" t="n"/>
    </row>
    <row r="126">
      <c r="A126" s="17" t="inlineStr">
        <is>
          <t>PASS</t>
        </is>
      </c>
      <c r="B126" s="17" t="inlineStr">
        <is>
          <t>JVST @ OHIO</t>
        </is>
      </c>
      <c r="C126" s="17" t="inlineStr">
        <is>
          <t>2026-09-12 22:00</t>
        </is>
      </c>
      <c r="D126" s="25" t="n">
        <v>2</v>
      </c>
      <c r="E126" s="17" t="inlineStr">
        <is>
          <t>ATS</t>
        </is>
      </c>
      <c r="F126" s="17" t="inlineStr">
        <is>
          <t>OHIO -2.5</t>
        </is>
      </c>
      <c r="G126" s="26" t="n">
        <v>-2.5</v>
      </c>
      <c r="H126" s="18" t="n">
        <v>-112</v>
      </c>
      <c r="I126" s="20" t="n">
        <v>0.5346329890940185</v>
      </c>
      <c r="J126" s="20" t="n">
        <v>0.5043297540699688</v>
      </c>
      <c r="K126" s="20" t="n">
        <v>0.5283018867924528</v>
      </c>
      <c r="L126" s="19" t="n">
        <v>0.05317734492900392</v>
      </c>
      <c r="M126" s="19" t="n">
        <v>0.0119838722136778</v>
      </c>
      <c r="N126" s="20" t="n">
        <v>0</v>
      </c>
      <c r="O126" s="27" t="n">
        <v>0.725</v>
      </c>
      <c r="P126" s="17" t="inlineStr">
        <is>
          <t>DraftKings</t>
        </is>
      </c>
      <c r="Q126" s="17" t="n"/>
    </row>
    <row r="127">
      <c r="A127" s="12" t="inlineStr">
        <is>
          <t>PASS</t>
        </is>
      </c>
      <c r="B127" s="12" t="inlineStr">
        <is>
          <t>MSST @ MINN</t>
        </is>
      </c>
      <c r="C127" s="12" t="inlineStr">
        <is>
          <t>2026-09-12 19:30</t>
        </is>
      </c>
      <c r="D127" s="22" t="n">
        <v>2</v>
      </c>
      <c r="E127" s="12" t="inlineStr">
        <is>
          <t>TOTAL</t>
        </is>
      </c>
      <c r="F127" s="12" t="inlineStr">
        <is>
          <t>Under 55.5</t>
        </is>
      </c>
      <c r="G127" s="23" t="n">
        <v>55.5</v>
      </c>
      <c r="H127" s="13" t="n">
        <v>-110</v>
      </c>
      <c r="I127" s="15" t="n">
        <v>0.5298211789089639</v>
      </c>
      <c r="J127" s="15" t="n">
        <v>0.5</v>
      </c>
      <c r="K127" s="15" t="n">
        <v>0.5238095238095238</v>
      </c>
      <c r="L127" s="14" t="n">
        <v>0.05287180831660399</v>
      </c>
      <c r="M127" s="14" t="n">
        <v>0.01147679609893104</v>
      </c>
      <c r="N127" s="15" t="n">
        <v>0</v>
      </c>
      <c r="O127" s="24" t="n">
        <v>0.725</v>
      </c>
      <c r="P127" s="12" t="inlineStr">
        <is>
          <t>DraftKings</t>
        </is>
      </c>
      <c r="Q127" s="12" t="n"/>
    </row>
    <row r="128">
      <c r="A128" s="17" t="inlineStr">
        <is>
          <t>PASS</t>
        </is>
      </c>
      <c r="B128" s="17" t="inlineStr">
        <is>
          <t>WKU @ UGA</t>
        </is>
      </c>
      <c r="C128" s="17" t="inlineStr">
        <is>
          <t>2026-09-12 16:45</t>
        </is>
      </c>
      <c r="D128" s="25" t="n">
        <v>2</v>
      </c>
      <c r="E128" s="17" t="inlineStr">
        <is>
          <t>TOTAL</t>
        </is>
      </c>
      <c r="F128" s="17" t="inlineStr">
        <is>
          <t>Under 54.5</t>
        </is>
      </c>
      <c r="G128" s="26" t="n">
        <v>54.5</v>
      </c>
      <c r="H128" s="18" t="n">
        <v>-112</v>
      </c>
      <c r="I128" s="20" t="n">
        <v>0.5339577388135307</v>
      </c>
      <c r="J128" s="20" t="n">
        <v>0.5043297540699688</v>
      </c>
      <c r="K128" s="20" t="n">
        <v>0.5283018867924528</v>
      </c>
      <c r="L128" s="19" t="n">
        <v>0.05225071314212323</v>
      </c>
      <c r="M128" s="19" t="n">
        <v>0.01070571989704017</v>
      </c>
      <c r="N128" s="20" t="n">
        <v>0</v>
      </c>
      <c r="O128" s="27" t="n">
        <v>0.725</v>
      </c>
      <c r="P128" s="17" t="inlineStr">
        <is>
          <t>DraftKings</t>
        </is>
      </c>
      <c r="Q128" s="17" t="n"/>
    </row>
    <row r="129">
      <c r="A129" s="12" t="inlineStr">
        <is>
          <t>PASS</t>
        </is>
      </c>
      <c r="B129" s="12" t="inlineStr">
        <is>
          <t>ODU @ VT</t>
        </is>
      </c>
      <c r="C129" s="12" t="inlineStr">
        <is>
          <t>2026-09-12 16:00</t>
        </is>
      </c>
      <c r="D129" s="22" t="n">
        <v>2</v>
      </c>
      <c r="E129" s="12" t="inlineStr">
        <is>
          <t>TOTAL</t>
        </is>
      </c>
      <c r="F129" s="12" t="inlineStr">
        <is>
          <t>Over 50.5</t>
        </is>
      </c>
      <c r="G129" s="23" t="n">
        <v>50.5</v>
      </c>
      <c r="H129" s="13" t="n">
        <v>-118</v>
      </c>
      <c r="I129" s="15" t="n">
        <v>0.5463703200204377</v>
      </c>
      <c r="J129" s="15" t="n">
        <v>0.5173641257162701</v>
      </c>
      <c r="K129" s="15" t="n">
        <v>0.5412844036697247</v>
      </c>
      <c r="L129" s="14" t="n">
        <v>0.05035111264451004</v>
      </c>
      <c r="M129" s="14" t="n">
        <v>0.009396014953012122</v>
      </c>
      <c r="N129" s="15" t="n">
        <v>0</v>
      </c>
      <c r="O129" s="24" t="n">
        <v>0.725</v>
      </c>
      <c r="P129" s="12" t="inlineStr">
        <is>
          <t>DraftKings</t>
        </is>
      </c>
      <c r="Q129" s="12" t="n"/>
    </row>
    <row r="130">
      <c r="A130" s="17" t="inlineStr">
        <is>
          <t>PASS</t>
        </is>
      </c>
      <c r="B130" s="17" t="inlineStr">
        <is>
          <t>DEL @ VAN</t>
        </is>
      </c>
      <c r="C130" s="17" t="inlineStr">
        <is>
          <t>2026-09-12 20:15</t>
        </is>
      </c>
      <c r="D130" s="25" t="n">
        <v>2</v>
      </c>
      <c r="E130" s="17" t="inlineStr">
        <is>
          <t>TOTAL</t>
        </is>
      </c>
      <c r="F130" s="17" t="inlineStr">
        <is>
          <t>Under 53.5</t>
        </is>
      </c>
      <c r="G130" s="26" t="n">
        <v>53.5</v>
      </c>
      <c r="H130" s="18" t="n">
        <v>-105</v>
      </c>
      <c r="I130" s="20" t="n">
        <v>0.516489619607381</v>
      </c>
      <c r="J130" s="20" t="n">
        <v>0.4891657638136511</v>
      </c>
      <c r="K130" s="20" t="n">
        <v>0.5121951219512195</v>
      </c>
      <c r="L130" s="19" t="n">
        <v>0.05020189733536641</v>
      </c>
      <c r="M130" s="19" t="n">
        <v>0.00838449542393449</v>
      </c>
      <c r="N130" s="20" t="n">
        <v>0</v>
      </c>
      <c r="O130" s="27" t="n">
        <v>0.725</v>
      </c>
      <c r="P130" s="17" t="inlineStr">
        <is>
          <t>DraftKings</t>
        </is>
      </c>
      <c r="Q130" s="17" t="n"/>
    </row>
    <row r="131">
      <c r="A131" s="12" t="inlineStr">
        <is>
          <t>PASS</t>
        </is>
      </c>
      <c r="B131" s="12" t="inlineStr">
        <is>
          <t>ARIZ @ BYU</t>
        </is>
      </c>
      <c r="C131" s="12" t="inlineStr">
        <is>
          <t>2026-09-12 19:30</t>
        </is>
      </c>
      <c r="D131" s="22" t="n">
        <v>2</v>
      </c>
      <c r="E131" s="12" t="inlineStr">
        <is>
          <t>TOTAL</t>
        </is>
      </c>
      <c r="F131" s="12" t="inlineStr">
        <is>
          <t>Over 50.5</t>
        </is>
      </c>
      <c r="G131" s="23" t="n">
        <v>50.5</v>
      </c>
      <c r="H131" s="13" t="n">
        <v>-112</v>
      </c>
      <c r="I131" s="15" t="n">
        <v>0.5319860824482554</v>
      </c>
      <c r="J131" s="15" t="n">
        <v>0.5043297540699688</v>
      </c>
      <c r="K131" s="15" t="n">
        <v>0.5283018867924528</v>
      </c>
      <c r="L131" s="14" t="n">
        <v>0.0494623601737844</v>
      </c>
      <c r="M131" s="14" t="n">
        <v>0.006973656062769118</v>
      </c>
      <c r="N131" s="15" t="n">
        <v>0</v>
      </c>
      <c r="O131" s="24" t="n">
        <v>0.725</v>
      </c>
      <c r="P131" s="12" t="inlineStr">
        <is>
          <t>DraftKings</t>
        </is>
      </c>
      <c r="Q131" s="12" t="n"/>
    </row>
    <row r="132">
      <c r="A132" s="17" t="inlineStr">
        <is>
          <t>PASS</t>
        </is>
      </c>
      <c r="B132" s="17" t="inlineStr">
        <is>
          <t>ASU @ TA&amp;M</t>
        </is>
      </c>
      <c r="C132" s="17" t="inlineStr">
        <is>
          <t>2026-09-12 16:00</t>
        </is>
      </c>
      <c r="D132" s="25" t="n">
        <v>2</v>
      </c>
      <c r="E132" s="17" t="inlineStr">
        <is>
          <t>TOTAL</t>
        </is>
      </c>
      <c r="F132" s="17" t="inlineStr">
        <is>
          <t>Over 51.5</t>
        </is>
      </c>
      <c r="G132" s="26" t="n">
        <v>51.5</v>
      </c>
      <c r="H132" s="18" t="n">
        <v>-112</v>
      </c>
      <c r="I132" s="20" t="n">
        <v>0.5319860735741462</v>
      </c>
      <c r="J132" s="20" t="n">
        <v>0.5043297540699688</v>
      </c>
      <c r="K132" s="20" t="n">
        <v>0.5283018867924528</v>
      </c>
      <c r="L132" s="19" t="n">
        <v>0.0494623473478731</v>
      </c>
      <c r="M132" s="19" t="n">
        <v>0.006973639265348108</v>
      </c>
      <c r="N132" s="20" t="n">
        <v>0</v>
      </c>
      <c r="O132" s="27" t="n">
        <v>0.725</v>
      </c>
      <c r="P132" s="17" t="inlineStr">
        <is>
          <t>DraftKings</t>
        </is>
      </c>
      <c r="Q132" s="17" t="n"/>
    </row>
    <row r="133">
      <c r="A133" s="12" t="inlineStr">
        <is>
          <t>PASS</t>
        </is>
      </c>
      <c r="B133" s="12" t="inlineStr">
        <is>
          <t>ULM @ UAB</t>
        </is>
      </c>
      <c r="C133" s="12" t="inlineStr">
        <is>
          <t>2026-09-12 19:30</t>
        </is>
      </c>
      <c r="D133" s="22" t="n">
        <v>2</v>
      </c>
      <c r="E133" s="12" t="inlineStr">
        <is>
          <t>TOTAL</t>
        </is>
      </c>
      <c r="F133" s="12" t="inlineStr">
        <is>
          <t>Under 55.5</t>
        </is>
      </c>
      <c r="G133" s="23" t="n">
        <v>55.5</v>
      </c>
      <c r="H133" s="13" t="n">
        <v>-108</v>
      </c>
      <c r="I133" s="15" t="n">
        <v>0.5217242418676359</v>
      </c>
      <c r="J133" s="15" t="n">
        <v>0.4956702459300312</v>
      </c>
      <c r="K133" s="15" t="n">
        <v>0.5192307692307693</v>
      </c>
      <c r="L133" s="14" t="n">
        <v>0.04778374186135007</v>
      </c>
      <c r="M133" s="14" t="n">
        <v>0.004802243596928379</v>
      </c>
      <c r="N133" s="15" t="n">
        <v>0</v>
      </c>
      <c r="O133" s="24" t="n">
        <v>0.725</v>
      </c>
      <c r="P133" s="12" t="inlineStr">
        <is>
          <t>DraftKings</t>
        </is>
      </c>
      <c r="Q133" s="12" t="n"/>
    </row>
    <row r="134">
      <c r="A134" s="17" t="inlineStr">
        <is>
          <t>PASS</t>
        </is>
      </c>
      <c r="B134" s="17" t="inlineStr">
        <is>
          <t>RUTG @ BC</t>
        </is>
      </c>
      <c r="C134" s="17" t="inlineStr">
        <is>
          <t>2026-09-11 23:30</t>
        </is>
      </c>
      <c r="D134" s="25" t="n">
        <v>2</v>
      </c>
      <c r="E134" s="17" t="inlineStr">
        <is>
          <t>ML</t>
        </is>
      </c>
      <c r="F134" s="17" t="inlineStr">
        <is>
          <t>BC ML</t>
        </is>
      </c>
      <c r="G134" s="26" t="n"/>
      <c r="H134" s="18" t="n">
        <v>-175</v>
      </c>
      <c r="I134" s="20" t="n">
        <v>0.6382811847740385</v>
      </c>
      <c r="J134" s="20" t="n">
        <v>0.6092362344582594</v>
      </c>
      <c r="K134" s="20" t="n">
        <v>0.6363636363636364</v>
      </c>
      <c r="L134" s="19" t="n">
        <v>0.04403814215077229</v>
      </c>
      <c r="M134" s="19" t="n">
        <v>0.00301329035920328</v>
      </c>
      <c r="N134" s="20" t="n">
        <v>0</v>
      </c>
      <c r="O134" s="27" t="n">
        <v>0.725</v>
      </c>
      <c r="P134" s="17" t="inlineStr">
        <is>
          <t>DraftKings</t>
        </is>
      </c>
      <c r="Q134" s="17" t="n"/>
    </row>
    <row r="135">
      <c r="A135" s="12" t="inlineStr">
        <is>
          <t>PASS</t>
        </is>
      </c>
      <c r="B135" s="12" t="inlineStr">
        <is>
          <t>USF @ ARMY</t>
        </is>
      </c>
      <c r="C135" s="12" t="inlineStr">
        <is>
          <t>2026-09-12 16:00</t>
        </is>
      </c>
      <c r="D135" s="22" t="n">
        <v>2</v>
      </c>
      <c r="E135" s="12" t="inlineStr">
        <is>
          <t>ATS</t>
        </is>
      </c>
      <c r="F135" s="12" t="inlineStr">
        <is>
          <t>ARMY -3.5</t>
        </is>
      </c>
      <c r="G135" s="23" t="n">
        <v>-3.5</v>
      </c>
      <c r="H135" s="13" t="n">
        <v>-108</v>
      </c>
      <c r="I135" s="15" t="n">
        <v>0.5184185494971709</v>
      </c>
      <c r="J135" s="15" t="n">
        <v>0.4956702459300312</v>
      </c>
      <c r="K135" s="15" t="n">
        <v>0.5192307692307693</v>
      </c>
      <c r="L135" s="14" t="n">
        <v>0.04262829373049367</v>
      </c>
      <c r="M135" s="14" t="n">
        <v>-0.001564275042485574</v>
      </c>
      <c r="N135" s="15" t="n">
        <v>0</v>
      </c>
      <c r="O135" s="24" t="n">
        <v>0.725</v>
      </c>
      <c r="P135" s="12" t="inlineStr">
        <is>
          <t>DraftKings</t>
        </is>
      </c>
      <c r="Q135" s="12" t="n"/>
    </row>
    <row r="136">
      <c r="A136" s="17" t="inlineStr">
        <is>
          <t>PASS</t>
        </is>
      </c>
      <c r="B136" s="17" t="inlineStr">
        <is>
          <t>DUKE @ ILL</t>
        </is>
      </c>
      <c r="C136" s="17" t="inlineStr">
        <is>
          <t>2026-09-12 19:30</t>
        </is>
      </c>
      <c r="D136" s="25" t="n">
        <v>2</v>
      </c>
      <c r="E136" s="17" t="inlineStr">
        <is>
          <t>ATS</t>
        </is>
      </c>
      <c r="F136" s="17" t="inlineStr">
        <is>
          <t>DUKE +6.5</t>
        </is>
      </c>
      <c r="G136" s="26" t="n">
        <v>-6.5</v>
      </c>
      <c r="H136" s="18" t="n">
        <v>-112</v>
      </c>
      <c r="I136" s="20" t="n">
        <v>0.5271230293473335</v>
      </c>
      <c r="J136" s="20" t="n">
        <v>0.5043297540699688</v>
      </c>
      <c r="K136" s="20" t="n">
        <v>0.5283018867924528</v>
      </c>
      <c r="L136" s="19" t="n">
        <v>0.04206832244930755</v>
      </c>
      <c r="M136" s="19" t="n">
        <v>-0.002231408735404505</v>
      </c>
      <c r="N136" s="20" t="n">
        <v>0</v>
      </c>
      <c r="O136" s="27" t="n">
        <v>0.725</v>
      </c>
      <c r="P136" s="17" t="inlineStr">
        <is>
          <t>DraftKings</t>
        </is>
      </c>
      <c r="Q136" s="17" t="n"/>
    </row>
    <row r="137">
      <c r="A137" s="12" t="inlineStr">
        <is>
          <t>PASS</t>
        </is>
      </c>
      <c r="B137" s="12" t="inlineStr">
        <is>
          <t>RUTG @ BC</t>
        </is>
      </c>
      <c r="C137" s="12" t="inlineStr">
        <is>
          <t>2026-09-11 23:30</t>
        </is>
      </c>
      <c r="D137" s="22" t="n">
        <v>2</v>
      </c>
      <c r="E137" s="12" t="inlineStr">
        <is>
          <t>ATS</t>
        </is>
      </c>
      <c r="F137" s="12" t="inlineStr">
        <is>
          <t>BC -3.5</t>
        </is>
      </c>
      <c r="G137" s="23" t="n">
        <v>-3.5</v>
      </c>
      <c r="H137" s="13" t="n">
        <v>-112</v>
      </c>
      <c r="I137" s="15" t="n">
        <v>0.5254742109102651</v>
      </c>
      <c r="J137" s="15" t="n">
        <v>0.5043297540699688</v>
      </c>
      <c r="K137" s="15" t="n">
        <v>0.5283018867924528</v>
      </c>
      <c r="L137" s="14" t="n">
        <v>0.03940048695107928</v>
      </c>
      <c r="M137" s="14" t="n">
        <v>-0.005352386491283889</v>
      </c>
      <c r="N137" s="15" t="n">
        <v>0</v>
      </c>
      <c r="O137" s="24" t="n">
        <v>0.725</v>
      </c>
      <c r="P137" s="12" t="inlineStr">
        <is>
          <t>DraftKings</t>
        </is>
      </c>
      <c r="Q137" s="12" t="n"/>
    </row>
    <row r="138">
      <c r="A138" s="17" t="inlineStr">
        <is>
          <t>PASS</t>
        </is>
      </c>
      <c r="B138" s="17" t="inlineStr">
        <is>
          <t>SMU @ FSU</t>
        </is>
      </c>
      <c r="C138" s="17" t="inlineStr">
        <is>
          <t>2026-09-07 23:30</t>
        </is>
      </c>
      <c r="D138" s="25" t="n">
        <v>1</v>
      </c>
      <c r="E138" s="17" t="inlineStr">
        <is>
          <t>TOTAL</t>
        </is>
      </c>
      <c r="F138" s="17" t="inlineStr">
        <is>
          <t>Under 53.5</t>
        </is>
      </c>
      <c r="G138" s="26" t="n">
        <v>53.5</v>
      </c>
      <c r="H138" s="18" t="n">
        <v>-110</v>
      </c>
      <c r="I138" s="20" t="n">
        <v>0.5199221825428859</v>
      </c>
      <c r="J138" s="20" t="n">
        <v>0.5</v>
      </c>
      <c r="K138" s="20" t="n">
        <v>0.5238095238095238</v>
      </c>
      <c r="L138" s="19" t="n">
        <v>0.03766151072442749</v>
      </c>
      <c r="M138" s="19" t="n">
        <v>-0.007421287872672266</v>
      </c>
      <c r="N138" s="20" t="n">
        <v>0</v>
      </c>
      <c r="O138" s="27" t="n">
        <v>0.4</v>
      </c>
      <c r="P138" s="17" t="inlineStr">
        <is>
          <t>DraftKings</t>
        </is>
      </c>
      <c r="Q138" s="17" t="n"/>
    </row>
    <row r="139">
      <c r="A139" s="12" t="inlineStr">
        <is>
          <t>PASS</t>
        </is>
      </c>
      <c r="B139" s="12" t="inlineStr">
        <is>
          <t>WSU @ KSU</t>
        </is>
      </c>
      <c r="C139" s="12" t="inlineStr">
        <is>
          <t>2026-09-12 16:00</t>
        </is>
      </c>
      <c r="D139" s="22" t="n">
        <v>2</v>
      </c>
      <c r="E139" s="12" t="inlineStr">
        <is>
          <t>TOTAL</t>
        </is>
      </c>
      <c r="F139" s="12" t="inlineStr">
        <is>
          <t>Over 50.5</t>
        </is>
      </c>
      <c r="G139" s="23" t="n">
        <v>50.5</v>
      </c>
      <c r="H139" s="13" t="n">
        <v>-118</v>
      </c>
      <c r="I139" s="15" t="n">
        <v>0.5365286196786146</v>
      </c>
      <c r="J139" s="15" t="n">
        <v>0.5173641257162701</v>
      </c>
      <c r="K139" s="15" t="n">
        <v>0.5412844036697247</v>
      </c>
      <c r="L139" s="14" t="n">
        <v>0.03527281132254147</v>
      </c>
      <c r="M139" s="14" t="n">
        <v>-0.008786109407305176</v>
      </c>
      <c r="N139" s="15" t="n">
        <v>0</v>
      </c>
      <c r="O139" s="24" t="n">
        <v>0.725</v>
      </c>
      <c r="P139" s="12" t="inlineStr">
        <is>
          <t>DraftKings</t>
        </is>
      </c>
      <c r="Q139" s="12" t="n"/>
    </row>
    <row r="140">
      <c r="A140" s="17" t="inlineStr">
        <is>
          <t>PASS</t>
        </is>
      </c>
      <c r="B140" s="17" t="inlineStr">
        <is>
          <t>USF @ ARMY</t>
        </is>
      </c>
      <c r="C140" s="17" t="inlineStr">
        <is>
          <t>2026-09-12 16:00</t>
        </is>
      </c>
      <c r="D140" s="25" t="n">
        <v>2</v>
      </c>
      <c r="E140" s="17" t="inlineStr">
        <is>
          <t>ML</t>
        </is>
      </c>
      <c r="F140" s="17" t="inlineStr">
        <is>
          <t>ARMY ML</t>
        </is>
      </c>
      <c r="G140" s="26" t="n"/>
      <c r="H140" s="18" t="n">
        <v>-185</v>
      </c>
      <c r="I140" s="20" t="n">
        <v>0.6423833731823938</v>
      </c>
      <c r="J140" s="20" t="n">
        <v>0.6224665518611737</v>
      </c>
      <c r="K140" s="20" t="n">
        <v>0.6491228070175439</v>
      </c>
      <c r="L140" s="19" t="n">
        <v>0.03083921846929251</v>
      </c>
      <c r="M140" s="19" t="n">
        <v>-0.01038237104333928</v>
      </c>
      <c r="N140" s="20" t="n">
        <v>0</v>
      </c>
      <c r="O140" s="27" t="n">
        <v>0.725</v>
      </c>
      <c r="P140" s="17" t="inlineStr">
        <is>
          <t>DraftKings</t>
        </is>
      </c>
      <c r="Q140" s="17" t="n"/>
    </row>
    <row r="141">
      <c r="A141" s="12" t="inlineStr">
        <is>
          <t>PASS</t>
        </is>
      </c>
      <c r="B141" s="12" t="inlineStr">
        <is>
          <t>JVST @ OHIO</t>
        </is>
      </c>
      <c r="C141" s="12" t="inlineStr">
        <is>
          <t>2026-09-12 22:00</t>
        </is>
      </c>
      <c r="D141" s="22" t="n">
        <v>2</v>
      </c>
      <c r="E141" s="12" t="inlineStr">
        <is>
          <t>TOTAL</t>
        </is>
      </c>
      <c r="F141" s="12" t="inlineStr">
        <is>
          <t>Over 51.5</t>
        </is>
      </c>
      <c r="G141" s="23" t="n">
        <v>51.5</v>
      </c>
      <c r="H141" s="13" t="n">
        <v>-105</v>
      </c>
      <c r="I141" s="15" t="n">
        <v>0.5045564584546383</v>
      </c>
      <c r="J141" s="15" t="n">
        <v>0.4891657638136511</v>
      </c>
      <c r="K141" s="15" t="n">
        <v>0.5121951219512195</v>
      </c>
      <c r="L141" s="14" t="n">
        <v>0.03036110338246556</v>
      </c>
      <c r="M141" s="14" t="n">
        <v>-0.01491358111237295</v>
      </c>
      <c r="N141" s="15" t="n">
        <v>0</v>
      </c>
      <c r="O141" s="24" t="n">
        <v>0.725</v>
      </c>
      <c r="P141" s="12" t="inlineStr">
        <is>
          <t>DraftKings</t>
        </is>
      </c>
      <c r="Q141" s="12" t="n"/>
    </row>
    <row r="142">
      <c r="A142" s="17" t="inlineStr">
        <is>
          <t>PASS</t>
        </is>
      </c>
      <c r="B142" s="17" t="inlineStr">
        <is>
          <t>GAST @ KENN</t>
        </is>
      </c>
      <c r="C142" s="17" t="inlineStr">
        <is>
          <t>2026-09-12 23:00</t>
        </is>
      </c>
      <c r="D142" s="25" t="n">
        <v>2</v>
      </c>
      <c r="E142" s="17" t="inlineStr">
        <is>
          <t>TOTAL</t>
        </is>
      </c>
      <c r="F142" s="17" t="inlineStr">
        <is>
          <t>Over 52.5</t>
        </is>
      </c>
      <c r="G142" s="26" t="n">
        <v>52.5</v>
      </c>
      <c r="H142" s="18" t="n">
        <v>-105</v>
      </c>
      <c r="I142" s="20" t="n">
        <v>0.5045564502099666</v>
      </c>
      <c r="J142" s="20" t="n">
        <v>0.4891657638136511</v>
      </c>
      <c r="K142" s="20" t="n">
        <v>0.5121951219512195</v>
      </c>
      <c r="L142" s="19" t="n">
        <v>0.03036108824940191</v>
      </c>
      <c r="M142" s="19" t="n">
        <v>-0.01491359720911278</v>
      </c>
      <c r="N142" s="20" t="n">
        <v>0</v>
      </c>
      <c r="O142" s="27" t="n">
        <v>0.725</v>
      </c>
      <c r="P142" s="17" t="inlineStr">
        <is>
          <t>DraftKings</t>
        </is>
      </c>
      <c r="Q142" s="17" t="n"/>
    </row>
    <row r="143">
      <c r="A143" s="12" t="inlineStr">
        <is>
          <t>PASS</t>
        </is>
      </c>
      <c r="B143" s="12" t="inlineStr">
        <is>
          <t>NMSU @ HAW</t>
        </is>
      </c>
      <c r="C143" s="12" t="inlineStr">
        <is>
          <t>2026-09-13 03:59</t>
        </is>
      </c>
      <c r="D143" s="22" t="n">
        <v>2</v>
      </c>
      <c r="E143" s="12" t="inlineStr">
        <is>
          <t>TOTAL</t>
        </is>
      </c>
      <c r="F143" s="12" t="inlineStr">
        <is>
          <t>Over 50.5</t>
        </is>
      </c>
      <c r="G143" s="23" t="n">
        <v>50.5</v>
      </c>
      <c r="H143" s="13" t="n">
        <v>-112</v>
      </c>
      <c r="I143" s="15" t="n">
        <v>0.5181122257976035</v>
      </c>
      <c r="J143" s="15" t="n">
        <v>0.5043297540699688</v>
      </c>
      <c r="K143" s="15" t="n">
        <v>0.5283018867924528</v>
      </c>
      <c r="L143" s="14" t="n">
        <v>0.02659861481903193</v>
      </c>
      <c r="M143" s="14" t="n">
        <v>-0.01928757259739333</v>
      </c>
      <c r="N143" s="15" t="n">
        <v>0</v>
      </c>
      <c r="O143" s="24" t="n">
        <v>0.839</v>
      </c>
      <c r="P143" s="12" t="inlineStr">
        <is>
          <t>DraftKings</t>
        </is>
      </c>
      <c r="Q143" s="12" t="n"/>
    </row>
    <row r="144">
      <c r="A144" s="17" t="inlineStr">
        <is>
          <t>PASS</t>
        </is>
      </c>
      <c r="B144" s="17" t="inlineStr">
        <is>
          <t>EMU @ MSU</t>
        </is>
      </c>
      <c r="C144" s="17" t="inlineStr">
        <is>
          <t>2026-09-12 19:30</t>
        </is>
      </c>
      <c r="D144" s="25" t="n">
        <v>2</v>
      </c>
      <c r="E144" s="17" t="inlineStr">
        <is>
          <t>TOTAL</t>
        </is>
      </c>
      <c r="F144" s="17" t="inlineStr">
        <is>
          <t>Over 50.5</t>
        </is>
      </c>
      <c r="G144" s="26" t="n">
        <v>50.5</v>
      </c>
      <c r="H144" s="18" t="n">
        <v>-115</v>
      </c>
      <c r="I144" s="20" t="n">
        <v>0.5233527986774833</v>
      </c>
      <c r="J144" s="20" t="n">
        <v>0.5108342361863488</v>
      </c>
      <c r="K144" s="20" t="n">
        <v>0.5348837209302325</v>
      </c>
      <c r="L144" s="19" t="n">
        <v>0.02397663440913692</v>
      </c>
      <c r="M144" s="19" t="n">
        <v>-0.02155781116818345</v>
      </c>
      <c r="N144" s="20" t="n">
        <v>0</v>
      </c>
      <c r="O144" s="27" t="n">
        <v>0.725</v>
      </c>
      <c r="P144" s="17" t="inlineStr">
        <is>
          <t>DraftKings</t>
        </is>
      </c>
      <c r="Q144" s="17" t="n"/>
    </row>
    <row r="145">
      <c r="A145" s="12" t="inlineStr">
        <is>
          <t>PASS</t>
        </is>
      </c>
      <c r="B145" s="12" t="inlineStr">
        <is>
          <t>USA @ TULN</t>
        </is>
      </c>
      <c r="C145" s="12" t="inlineStr">
        <is>
          <t>2026-09-12 23:00</t>
        </is>
      </c>
      <c r="D145" s="22" t="n">
        <v>2</v>
      </c>
      <c r="E145" s="12" t="inlineStr">
        <is>
          <t>TOTAL</t>
        </is>
      </c>
      <c r="F145" s="12" t="inlineStr">
        <is>
          <t>Over 50.5</t>
        </is>
      </c>
      <c r="G145" s="23" t="n">
        <v>50.5</v>
      </c>
      <c r="H145" s="13" t="n">
        <v>-105</v>
      </c>
      <c r="I145" s="15" t="n">
        <v>0.5005686497310008</v>
      </c>
      <c r="J145" s="15" t="n">
        <v>0.4891657638136511</v>
      </c>
      <c r="K145" s="15" t="n">
        <v>0.5121951219512195</v>
      </c>
      <c r="L145" s="14" t="n">
        <v>0.02285403160399083</v>
      </c>
      <c r="M145" s="14" t="n">
        <v>-0.02269930290614131</v>
      </c>
      <c r="N145" s="15" t="n">
        <v>0</v>
      </c>
      <c r="O145" s="24" t="n">
        <v>0.725</v>
      </c>
      <c r="P145" s="12" t="inlineStr">
        <is>
          <t>DraftKings</t>
        </is>
      </c>
      <c r="Q145" s="12" t="n"/>
    </row>
    <row r="146">
      <c r="A146" s="17" t="inlineStr">
        <is>
          <t>PASS</t>
        </is>
      </c>
      <c r="B146" s="17" t="inlineStr">
        <is>
          <t>TLSA @ SHSU</t>
        </is>
      </c>
      <c r="C146" s="17" t="inlineStr">
        <is>
          <t>2026-09-12 23:00</t>
        </is>
      </c>
      <c r="D146" s="25" t="n">
        <v>2</v>
      </c>
      <c r="E146" s="17" t="inlineStr">
        <is>
          <t>TOTAL</t>
        </is>
      </c>
      <c r="F146" s="17" t="inlineStr">
        <is>
          <t>Under 51.5</t>
        </is>
      </c>
      <c r="G146" s="26" t="n">
        <v>51.5</v>
      </c>
      <c r="H146" s="18" t="n">
        <v>-105</v>
      </c>
      <c r="I146" s="20" t="n">
        <v>0.4985736751688912</v>
      </c>
      <c r="J146" s="20" t="n">
        <v>0.4891657638136511</v>
      </c>
      <c r="K146" s="20" t="n">
        <v>0.5121951219512195</v>
      </c>
      <c r="L146" s="19" t="n">
        <v>0.01897405004535173</v>
      </c>
      <c r="M146" s="19" t="n">
        <v>-0.02659425324168874</v>
      </c>
      <c r="N146" s="20" t="n">
        <v>0</v>
      </c>
      <c r="O146" s="27" t="n">
        <v>0.725</v>
      </c>
      <c r="P146" s="17" t="inlineStr">
        <is>
          <t>DraftKings</t>
        </is>
      </c>
      <c r="Q146" s="17" t="n"/>
    </row>
    <row r="147">
      <c r="A147" s="12" t="inlineStr">
        <is>
          <t>PASS</t>
        </is>
      </c>
      <c r="B147" s="12" t="inlineStr">
        <is>
          <t>DUKE @ ILL</t>
        </is>
      </c>
      <c r="C147" s="12" t="inlineStr">
        <is>
          <t>2026-09-12 19:30</t>
        </is>
      </c>
      <c r="D147" s="22" t="n">
        <v>2</v>
      </c>
      <c r="E147" s="12" t="inlineStr">
        <is>
          <t>ML</t>
        </is>
      </c>
      <c r="F147" s="12" t="inlineStr">
        <is>
          <t>DUKE ML</t>
        </is>
      </c>
      <c r="G147" s="23" t="n"/>
      <c r="H147" s="13" t="n">
        <v>190</v>
      </c>
      <c r="I147" s="15" t="n">
        <v>0.3372732186576729</v>
      </c>
      <c r="J147" s="15" t="n">
        <v>0.3309929789368105</v>
      </c>
      <c r="K147" s="15" t="n">
        <v>0.3448275862068966</v>
      </c>
      <c r="L147" s="14" t="n">
        <v>0.01872560579565197</v>
      </c>
      <c r="M147" s="14" t="n">
        <v>-0.02190766589274862</v>
      </c>
      <c r="N147" s="15" t="n">
        <v>0</v>
      </c>
      <c r="O147" s="24" t="n">
        <v>0.725</v>
      </c>
      <c r="P147" s="12" t="inlineStr">
        <is>
          <t>DraftKings</t>
        </is>
      </c>
      <c r="Q147" s="12" t="n"/>
    </row>
    <row r="148">
      <c r="A148" s="17" t="inlineStr">
        <is>
          <t>PASS</t>
        </is>
      </c>
      <c r="B148" s="17" t="inlineStr">
        <is>
          <t>TTU @ ORST</t>
        </is>
      </c>
      <c r="C148" s="17" t="inlineStr">
        <is>
          <t>2026-09-12 23:30</t>
        </is>
      </c>
      <c r="D148" s="25" t="n">
        <v>2</v>
      </c>
      <c r="E148" s="17" t="inlineStr">
        <is>
          <t>TOTAL</t>
        </is>
      </c>
      <c r="F148" s="17" t="inlineStr">
        <is>
          <t>Under 51.5</t>
        </is>
      </c>
      <c r="G148" s="26" t="n">
        <v>51.5</v>
      </c>
      <c r="H148" s="18" t="n">
        <v>-112</v>
      </c>
      <c r="I148" s="20" t="n">
        <v>0.5101448906881938</v>
      </c>
      <c r="J148" s="20" t="n">
        <v>0.5043297540699688</v>
      </c>
      <c r="K148" s="20" t="n">
        <v>0.5283018867924528</v>
      </c>
      <c r="L148" s="19" t="n">
        <v>0.01147413738523348</v>
      </c>
      <c r="M148" s="19" t="n">
        <v>-0.03436859976877604</v>
      </c>
      <c r="N148" s="20" t="n">
        <v>0</v>
      </c>
      <c r="O148" s="27" t="n">
        <v>0.725</v>
      </c>
      <c r="P148" s="17" t="inlineStr">
        <is>
          <t>DraftKings</t>
        </is>
      </c>
      <c r="Q148" s="17" t="n"/>
    </row>
    <row r="149">
      <c r="A149" s="12" t="inlineStr">
        <is>
          <t>PASS</t>
        </is>
      </c>
      <c r="B149" s="12" t="inlineStr">
        <is>
          <t>MD @ CONN</t>
        </is>
      </c>
      <c r="C149" s="12" t="inlineStr">
        <is>
          <t>2026-09-12 19:30</t>
        </is>
      </c>
      <c r="D149" s="22" t="n">
        <v>2</v>
      </c>
      <c r="E149" s="12" t="inlineStr">
        <is>
          <t>TOTAL</t>
        </is>
      </c>
      <c r="F149" s="12" t="inlineStr">
        <is>
          <t>Over 53.5</t>
        </is>
      </c>
      <c r="G149" s="23" t="n">
        <v>53.5</v>
      </c>
      <c r="H149" s="13" t="n">
        <v>-110</v>
      </c>
      <c r="I149" s="15" t="n">
        <v>0.5039908277153654</v>
      </c>
      <c r="J149" s="15" t="n">
        <v>0.5</v>
      </c>
      <c r="K149" s="15" t="n">
        <v>0.5238095238095238</v>
      </c>
      <c r="L149" s="14" t="n">
        <v>0.007962927664989862</v>
      </c>
      <c r="M149" s="14" t="n">
        <v>-0.03783569254339325</v>
      </c>
      <c r="N149" s="15" t="n">
        <v>0</v>
      </c>
      <c r="O149" s="24" t="n">
        <v>0.725</v>
      </c>
      <c r="P149" s="12" t="inlineStr">
        <is>
          <t>DraftKings</t>
        </is>
      </c>
      <c r="Q149" s="12" t="n"/>
    </row>
    <row r="150">
      <c r="A150" s="17" t="inlineStr">
        <is>
          <t>PASS</t>
        </is>
      </c>
      <c r="B150" s="17" t="inlineStr">
        <is>
          <t>SDSU @ UCLA</t>
        </is>
      </c>
      <c r="C150" s="17" t="inlineStr">
        <is>
          <t>2026-09-12 23:15</t>
        </is>
      </c>
      <c r="D150" s="25" t="n">
        <v>2</v>
      </c>
      <c r="E150" s="17" t="inlineStr">
        <is>
          <t>TOTAL</t>
        </is>
      </c>
      <c r="F150" s="17" t="inlineStr">
        <is>
          <t>Under 53.5</t>
        </is>
      </c>
      <c r="G150" s="26" t="n">
        <v>53.5</v>
      </c>
      <c r="H150" s="18" t="n">
        <v>-112</v>
      </c>
      <c r="I150" s="20" t="n">
        <v>0.5061556882275616</v>
      </c>
      <c r="J150" s="20" t="n">
        <v>0.5043297540699688</v>
      </c>
      <c r="K150" s="20" t="n">
        <v>0.5283018867924528</v>
      </c>
      <c r="L150" s="19" t="n">
        <v>0.003618764598164602</v>
      </c>
      <c r="M150" s="19" t="n">
        <v>-0.04191959014068691</v>
      </c>
      <c r="N150" s="20" t="n">
        <v>0</v>
      </c>
      <c r="O150" s="27" t="n">
        <v>0.725</v>
      </c>
      <c r="P150" s="17" t="inlineStr">
        <is>
          <t>DraftKings</t>
        </is>
      </c>
      <c r="Q150" s="17" t="n"/>
    </row>
    <row r="151">
      <c r="A151" s="12" t="inlineStr">
        <is>
          <t>PASS</t>
        </is>
      </c>
      <c r="B151" s="12" t="inlineStr">
        <is>
          <t>BGSU @ NEB</t>
        </is>
      </c>
      <c r="C151" s="12" t="inlineStr">
        <is>
          <t>2026-09-12 23:00</t>
        </is>
      </c>
      <c r="D151" s="22" t="n">
        <v>2</v>
      </c>
      <c r="E151" s="12" t="inlineStr">
        <is>
          <t>TOTAL</t>
        </is>
      </c>
      <c r="F151" s="12" t="inlineStr">
        <is>
          <t>Under 51.5</t>
        </is>
      </c>
      <c r="G151" s="23" t="n">
        <v>51.5</v>
      </c>
      <c r="H151" s="13" t="n">
        <v>-105</v>
      </c>
      <c r="I151" s="15" t="n">
        <v>0.4905920392079379</v>
      </c>
      <c r="J151" s="15" t="n">
        <v>0.4891657638136511</v>
      </c>
      <c r="K151" s="15" t="n">
        <v>0.5121951219512195</v>
      </c>
      <c r="L151" s="14" t="n">
        <v>0.002914815020839048</v>
      </c>
      <c r="M151" s="14" t="n">
        <v>-0.04217744726069261</v>
      </c>
      <c r="N151" s="15" t="n">
        <v>0</v>
      </c>
      <c r="O151" s="24" t="n">
        <v>0.725</v>
      </c>
      <c r="P151" s="12" t="inlineStr">
        <is>
          <t>DraftKings</t>
        </is>
      </c>
      <c r="Q151" s="12" t="n"/>
    </row>
    <row r="152">
      <c r="A152" s="17" t="inlineStr">
        <is>
          <t>PASS</t>
        </is>
      </c>
      <c r="B152" s="17" t="inlineStr">
        <is>
          <t>BGSU @ NEB</t>
        </is>
      </c>
      <c r="C152" s="17" t="inlineStr">
        <is>
          <t>2026-09-12 23:00</t>
        </is>
      </c>
      <c r="D152" s="25" t="n">
        <v>2</v>
      </c>
      <c r="E152" s="17" t="inlineStr">
        <is>
          <t>TOTAL</t>
        </is>
      </c>
      <c r="F152" s="17" t="inlineStr">
        <is>
          <t>Over 51.5</t>
        </is>
      </c>
      <c r="G152" s="26" t="n">
        <v>51.5</v>
      </c>
      <c r="H152" s="18" t="n">
        <v>-115</v>
      </c>
      <c r="I152" s="20" t="n">
        <v>0.5094079607920621</v>
      </c>
      <c r="J152" s="20" t="n">
        <v>0.5108342361863488</v>
      </c>
      <c r="K152" s="20" t="n">
        <v>0.5348837209302325</v>
      </c>
      <c r="L152" s="19" t="n">
        <v>-0.002791247680306964</v>
      </c>
      <c r="M152" s="19" t="n">
        <v>-0.04762859504092753</v>
      </c>
      <c r="N152" s="20" t="n">
        <v>0</v>
      </c>
      <c r="O152" s="27" t="n">
        <v>0.725</v>
      </c>
      <c r="P152" s="17" t="inlineStr">
        <is>
          <t>DraftKings</t>
        </is>
      </c>
      <c r="Q152" s="17" t="n"/>
    </row>
    <row r="153">
      <c r="A153" s="12" t="inlineStr">
        <is>
          <t>PASS</t>
        </is>
      </c>
      <c r="B153" s="12" t="inlineStr">
        <is>
          <t>SDSU @ UCLA</t>
        </is>
      </c>
      <c r="C153" s="12" t="inlineStr">
        <is>
          <t>2026-09-12 23:15</t>
        </is>
      </c>
      <c r="D153" s="22" t="n">
        <v>2</v>
      </c>
      <c r="E153" s="12" t="inlineStr">
        <is>
          <t>TOTAL</t>
        </is>
      </c>
      <c r="F153" s="12" t="inlineStr">
        <is>
          <t>Over 53.5</t>
        </is>
      </c>
      <c r="G153" s="23" t="n">
        <v>53.5</v>
      </c>
      <c r="H153" s="13" t="n">
        <v>-108</v>
      </c>
      <c r="I153" s="15" t="n">
        <v>0.4938443117724384</v>
      </c>
      <c r="J153" s="15" t="n">
        <v>0.4956702459300312</v>
      </c>
      <c r="K153" s="15" t="n">
        <v>0.5192307692307693</v>
      </c>
      <c r="L153" s="14" t="n">
        <v>-0.003681922717644654</v>
      </c>
      <c r="M153" s="14" t="n">
        <v>-0.04889243658641496</v>
      </c>
      <c r="N153" s="15" t="n">
        <v>0</v>
      </c>
      <c r="O153" s="24" t="n">
        <v>0.725</v>
      </c>
      <c r="P153" s="12" t="inlineStr">
        <is>
          <t>DraftKings</t>
        </is>
      </c>
      <c r="Q153" s="12" t="n"/>
    </row>
    <row r="154">
      <c r="A154" s="17" t="inlineStr">
        <is>
          <t>PASS</t>
        </is>
      </c>
      <c r="B154" s="17" t="inlineStr">
        <is>
          <t>MD @ CONN</t>
        </is>
      </c>
      <c r="C154" s="17" t="inlineStr">
        <is>
          <t>2026-09-12 19:30</t>
        </is>
      </c>
      <c r="D154" s="25" t="n">
        <v>2</v>
      </c>
      <c r="E154" s="17" t="inlineStr">
        <is>
          <t>TOTAL</t>
        </is>
      </c>
      <c r="F154" s="17" t="inlineStr">
        <is>
          <t>Under 53.5</t>
        </is>
      </c>
      <c r="G154" s="26" t="n">
        <v>53.5</v>
      </c>
      <c r="H154" s="18" t="n">
        <v>-110</v>
      </c>
      <c r="I154" s="20" t="n">
        <v>0.4960091722846346</v>
      </c>
      <c r="J154" s="20" t="n">
        <v>0.5</v>
      </c>
      <c r="K154" s="20" t="n">
        <v>0.5238095238095238</v>
      </c>
      <c r="L154" s="19" t="n">
        <v>-0.007962927664989862</v>
      </c>
      <c r="M154" s="19" t="n">
        <v>-0.05307339836569758</v>
      </c>
      <c r="N154" s="20" t="n">
        <v>0</v>
      </c>
      <c r="O154" s="27" t="n">
        <v>0.725</v>
      </c>
      <c r="P154" s="17" t="inlineStr">
        <is>
          <t>DraftKings</t>
        </is>
      </c>
      <c r="Q154" s="17" t="n"/>
    </row>
    <row r="155">
      <c r="A155" s="12" t="inlineStr">
        <is>
          <t>PASS</t>
        </is>
      </c>
      <c r="B155" s="12" t="inlineStr">
        <is>
          <t>DUKE @ ILL</t>
        </is>
      </c>
      <c r="C155" s="12" t="inlineStr">
        <is>
          <t>2026-09-12 19:30</t>
        </is>
      </c>
      <c r="D155" s="22" t="n">
        <v>2</v>
      </c>
      <c r="E155" s="12" t="inlineStr">
        <is>
          <t>ML</t>
        </is>
      </c>
      <c r="F155" s="12" t="inlineStr">
        <is>
          <t>ILL ML</t>
        </is>
      </c>
      <c r="G155" s="23" t="n"/>
      <c r="H155" s="13" t="n">
        <v>-230</v>
      </c>
      <c r="I155" s="15" t="n">
        <v>0.6627267813423271</v>
      </c>
      <c r="J155" s="15" t="n">
        <v>0.6690070210631895</v>
      </c>
      <c r="K155" s="15" t="n">
        <v>0.696969696969697</v>
      </c>
      <c r="L155" s="14" t="n">
        <v>-0.009356969659647664</v>
      </c>
      <c r="M155" s="14" t="n">
        <v>-0.04913113981318296</v>
      </c>
      <c r="N155" s="15" t="n">
        <v>0</v>
      </c>
      <c r="O155" s="24" t="n">
        <v>0.725</v>
      </c>
      <c r="P155" s="12" t="inlineStr">
        <is>
          <t>DraftKings</t>
        </is>
      </c>
      <c r="Q155" s="12" t="n"/>
    </row>
    <row r="156">
      <c r="A156" s="17" t="inlineStr">
        <is>
          <t>PASS</t>
        </is>
      </c>
      <c r="B156" s="17" t="inlineStr">
        <is>
          <t>TTU @ ORST</t>
        </is>
      </c>
      <c r="C156" s="17" t="inlineStr">
        <is>
          <t>2026-09-12 23:30</t>
        </is>
      </c>
      <c r="D156" s="25" t="n">
        <v>2</v>
      </c>
      <c r="E156" s="17" t="inlineStr">
        <is>
          <t>TOTAL</t>
        </is>
      </c>
      <c r="F156" s="17" t="inlineStr">
        <is>
          <t>Over 51.5</t>
        </is>
      </c>
      <c r="G156" s="26" t="n">
        <v>51.5</v>
      </c>
      <c r="H156" s="18" t="n">
        <v>-108</v>
      </c>
      <c r="I156" s="20" t="n">
        <v>0.4898551093118062</v>
      </c>
      <c r="J156" s="20" t="n">
        <v>0.4956702459300312</v>
      </c>
      <c r="K156" s="20" t="n">
        <v>0.5192307692307693</v>
      </c>
      <c r="L156" s="19" t="n">
        <v>-0.01167258767333351</v>
      </c>
      <c r="M156" s="19" t="n">
        <v>-0.05657534502911388</v>
      </c>
      <c r="N156" s="20" t="n">
        <v>0</v>
      </c>
      <c r="O156" s="27" t="n">
        <v>0.725</v>
      </c>
      <c r="P156" s="17" t="inlineStr">
        <is>
          <t>DraftKings</t>
        </is>
      </c>
      <c r="Q156" s="17" t="n"/>
    </row>
    <row r="157">
      <c r="A157" s="12" t="inlineStr">
        <is>
          <t>PASS</t>
        </is>
      </c>
      <c r="B157" s="12" t="inlineStr">
        <is>
          <t>TLSA @ SHSU</t>
        </is>
      </c>
      <c r="C157" s="12" t="inlineStr">
        <is>
          <t>2026-09-12 23:00</t>
        </is>
      </c>
      <c r="D157" s="22" t="n">
        <v>2</v>
      </c>
      <c r="E157" s="12" t="inlineStr">
        <is>
          <t>TOTAL</t>
        </is>
      </c>
      <c r="F157" s="12" t="inlineStr">
        <is>
          <t>Over 51.5</t>
        </is>
      </c>
      <c r="G157" s="23" t="n">
        <v>51.5</v>
      </c>
      <c r="H157" s="13" t="n">
        <v>-115</v>
      </c>
      <c r="I157" s="15" t="n">
        <v>0.5014263248311088</v>
      </c>
      <c r="J157" s="15" t="n">
        <v>0.5108342361863488</v>
      </c>
      <c r="K157" s="15" t="n">
        <v>0.5348837209302325</v>
      </c>
      <c r="L157" s="14" t="n">
        <v>-0.01818946340812299</v>
      </c>
      <c r="M157" s="14" t="n">
        <v>-0.06255078401140535</v>
      </c>
      <c r="N157" s="15" t="n">
        <v>0</v>
      </c>
      <c r="O157" s="24" t="n">
        <v>0.725</v>
      </c>
      <c r="P157" s="12" t="inlineStr">
        <is>
          <t>DraftKings</t>
        </is>
      </c>
      <c r="Q157" s="12" t="n"/>
    </row>
    <row r="158">
      <c r="A158" s="17" t="inlineStr">
        <is>
          <t>PASS</t>
        </is>
      </c>
      <c r="B158" s="17" t="inlineStr">
        <is>
          <t>USA @ TULN</t>
        </is>
      </c>
      <c r="C158" s="17" t="inlineStr">
        <is>
          <t>2026-09-12 23:00</t>
        </is>
      </c>
      <c r="D158" s="25" t="n">
        <v>2</v>
      </c>
      <c r="E158" s="17" t="inlineStr">
        <is>
          <t>TOTAL</t>
        </is>
      </c>
      <c r="F158" s="17" t="inlineStr">
        <is>
          <t>Under 50.5</t>
        </is>
      </c>
      <c r="G158" s="26" t="n">
        <v>50.5</v>
      </c>
      <c r="H158" s="18" t="n">
        <v>-115</v>
      </c>
      <c r="I158" s="20" t="n">
        <v>0.4994313502689992</v>
      </c>
      <c r="J158" s="20" t="n">
        <v>0.5108342361863488</v>
      </c>
      <c r="K158" s="20" t="n">
        <v>0.5348837209302325</v>
      </c>
      <c r="L158" s="19" t="n">
        <v>-0.02192015518256363</v>
      </c>
      <c r="M158" s="19" t="n">
        <v>-0.06628051906230592</v>
      </c>
      <c r="N158" s="20" t="n">
        <v>0</v>
      </c>
      <c r="O158" s="27" t="n">
        <v>0.725</v>
      </c>
      <c r="P158" s="17" t="inlineStr">
        <is>
          <t>DraftKings</t>
        </is>
      </c>
      <c r="Q158" s="17" t="n"/>
    </row>
    <row r="159">
      <c r="A159" s="12" t="inlineStr">
        <is>
          <t>PASS</t>
        </is>
      </c>
      <c r="B159" s="12" t="inlineStr">
        <is>
          <t>EMU @ MSU</t>
        </is>
      </c>
      <c r="C159" s="12" t="inlineStr">
        <is>
          <t>2026-09-12 19:30</t>
        </is>
      </c>
      <c r="D159" s="22" t="n">
        <v>2</v>
      </c>
      <c r="E159" s="12" t="inlineStr">
        <is>
          <t>TOTAL</t>
        </is>
      </c>
      <c r="F159" s="12" t="inlineStr">
        <is>
          <t>Under 50.5</t>
        </is>
      </c>
      <c r="G159" s="23" t="n">
        <v>50.5</v>
      </c>
      <c r="H159" s="13" t="n">
        <v>-105</v>
      </c>
      <c r="I159" s="15" t="n">
        <v>0.4766472013225167</v>
      </c>
      <c r="J159" s="15" t="n">
        <v>0.4891657638136511</v>
      </c>
      <c r="K159" s="15" t="n">
        <v>0.5121951219512195</v>
      </c>
      <c r="L159" s="14" t="n">
        <v>-0.02499006240118793</v>
      </c>
      <c r="M159" s="14" t="n">
        <v>-0.06940308313222932</v>
      </c>
      <c r="N159" s="15" t="n">
        <v>0</v>
      </c>
      <c r="O159" s="24" t="n">
        <v>0.725</v>
      </c>
      <c r="P159" s="12" t="inlineStr">
        <is>
          <t>DraftKings</t>
        </is>
      </c>
      <c r="Q159" s="12" t="n"/>
    </row>
    <row r="160">
      <c r="A160" s="17" t="inlineStr">
        <is>
          <t>PASS</t>
        </is>
      </c>
      <c r="B160" s="17" t="inlineStr">
        <is>
          <t>NMSU @ HAW</t>
        </is>
      </c>
      <c r="C160" s="17" t="inlineStr">
        <is>
          <t>2026-09-13 03:59</t>
        </is>
      </c>
      <c r="D160" s="25" t="n">
        <v>2</v>
      </c>
      <c r="E160" s="17" t="inlineStr">
        <is>
          <t>TOTAL</t>
        </is>
      </c>
      <c r="F160" s="17" t="inlineStr">
        <is>
          <t>Under 50.5</t>
        </is>
      </c>
      <c r="G160" s="26" t="n">
        <v>50.5</v>
      </c>
      <c r="H160" s="18" t="n">
        <v>-108</v>
      </c>
      <c r="I160" s="20" t="n">
        <v>0.4818877742023965</v>
      </c>
      <c r="J160" s="20" t="n">
        <v>0.4956702459300312</v>
      </c>
      <c r="K160" s="20" t="n">
        <v>0.5192307692307693</v>
      </c>
      <c r="L160" s="19" t="n">
        <v>-0.02703799947932071</v>
      </c>
      <c r="M160" s="19" t="n">
        <v>-0.07191984227686599</v>
      </c>
      <c r="N160" s="20" t="n">
        <v>0</v>
      </c>
      <c r="O160" s="27" t="n">
        <v>0.839</v>
      </c>
      <c r="P160" s="17" t="inlineStr">
        <is>
          <t>DraftKings</t>
        </is>
      </c>
      <c r="Q160" s="17" t="n"/>
    </row>
    <row r="161">
      <c r="A161" s="12" t="inlineStr">
        <is>
          <t>PASS</t>
        </is>
      </c>
      <c r="B161" s="12" t="inlineStr">
        <is>
          <t>GAST @ KENN</t>
        </is>
      </c>
      <c r="C161" s="12" t="inlineStr">
        <is>
          <t>2026-09-12 23:00</t>
        </is>
      </c>
      <c r="D161" s="22" t="n">
        <v>2</v>
      </c>
      <c r="E161" s="12" t="inlineStr">
        <is>
          <t>TOTAL</t>
        </is>
      </c>
      <c r="F161" s="12" t="inlineStr">
        <is>
          <t>Under 52.5</t>
        </is>
      </c>
      <c r="G161" s="23" t="n">
        <v>52.5</v>
      </c>
      <c r="H161" s="13" t="n">
        <v>-115</v>
      </c>
      <c r="I161" s="15" t="n">
        <v>0.4954435497900334</v>
      </c>
      <c r="J161" s="15" t="n">
        <v>0.5108342361863488</v>
      </c>
      <c r="K161" s="15" t="n">
        <v>0.5348837209302325</v>
      </c>
      <c r="L161" s="14" t="n">
        <v>-0.02915747940319257</v>
      </c>
      <c r="M161" s="14" t="n">
        <v>-0.07373597213167682</v>
      </c>
      <c r="N161" s="15" t="n">
        <v>0</v>
      </c>
      <c r="O161" s="24" t="n">
        <v>0.725</v>
      </c>
      <c r="P161" s="12" t="inlineStr">
        <is>
          <t>DraftKings</t>
        </is>
      </c>
      <c r="Q161" s="12" t="n"/>
    </row>
    <row r="162">
      <c r="A162" s="17" t="inlineStr">
        <is>
          <t>PASS</t>
        </is>
      </c>
      <c r="B162" s="17" t="inlineStr">
        <is>
          <t>JVST @ OHIO</t>
        </is>
      </c>
      <c r="C162" s="17" t="inlineStr">
        <is>
          <t>2026-09-12 22:00</t>
        </is>
      </c>
      <c r="D162" s="25" t="n">
        <v>2</v>
      </c>
      <c r="E162" s="17" t="inlineStr">
        <is>
          <t>TOTAL</t>
        </is>
      </c>
      <c r="F162" s="17" t="inlineStr">
        <is>
          <t>Under 51.5</t>
        </is>
      </c>
      <c r="G162" s="26" t="n">
        <v>51.5</v>
      </c>
      <c r="H162" s="18" t="n">
        <v>-115</v>
      </c>
      <c r="I162" s="20" t="n">
        <v>0.4954435415453617</v>
      </c>
      <c r="J162" s="20" t="n">
        <v>0.5108342361863488</v>
      </c>
      <c r="K162" s="20" t="n">
        <v>0.5348837209302325</v>
      </c>
      <c r="L162" s="19" t="n">
        <v>-0.02915749402245515</v>
      </c>
      <c r="M162" s="19" t="n">
        <v>-0.07373598754562816</v>
      </c>
      <c r="N162" s="20" t="n">
        <v>0</v>
      </c>
      <c r="O162" s="27" t="n">
        <v>0.725</v>
      </c>
      <c r="P162" s="17" t="inlineStr">
        <is>
          <t>DraftKings</t>
        </is>
      </c>
      <c r="Q162" s="17" t="n"/>
    </row>
    <row r="163">
      <c r="A163" s="12" t="inlineStr">
        <is>
          <t>PASS</t>
        </is>
      </c>
      <c r="B163" s="12" t="inlineStr">
        <is>
          <t>WSU @ KSU</t>
        </is>
      </c>
      <c r="C163" s="12" t="inlineStr">
        <is>
          <t>2026-09-12 16:00</t>
        </is>
      </c>
      <c r="D163" s="22" t="n">
        <v>2</v>
      </c>
      <c r="E163" s="12" t="inlineStr">
        <is>
          <t>TOTAL</t>
        </is>
      </c>
      <c r="F163" s="12" t="inlineStr">
        <is>
          <t>Under 50.5</t>
        </is>
      </c>
      <c r="G163" s="23" t="n">
        <v>50.5</v>
      </c>
      <c r="H163" s="13" t="n">
        <v>-102</v>
      </c>
      <c r="I163" s="15" t="n">
        <v>0.4634713803213854</v>
      </c>
      <c r="J163" s="15" t="n">
        <v>0.4826358742837298</v>
      </c>
      <c r="K163" s="15" t="n">
        <v>0.504950495049505</v>
      </c>
      <c r="L163" s="14" t="n">
        <v>-0.03754649190710558</v>
      </c>
      <c r="M163" s="14" t="n">
        <v>-0.08214491348117803</v>
      </c>
      <c r="N163" s="15" t="n">
        <v>0</v>
      </c>
      <c r="O163" s="24" t="n">
        <v>0.725</v>
      </c>
      <c r="P163" s="12" t="inlineStr">
        <is>
          <t>DraftKings</t>
        </is>
      </c>
      <c r="Q163" s="12" t="n"/>
    </row>
    <row r="164">
      <c r="A164" s="17" t="inlineStr">
        <is>
          <t>PASS</t>
        </is>
      </c>
      <c r="B164" s="17" t="inlineStr">
        <is>
          <t>SMU @ FSU</t>
        </is>
      </c>
      <c r="C164" s="17" t="inlineStr">
        <is>
          <t>2026-09-07 23:30</t>
        </is>
      </c>
      <c r="D164" s="25" t="n">
        <v>1</v>
      </c>
      <c r="E164" s="17" t="inlineStr">
        <is>
          <t>TOTAL</t>
        </is>
      </c>
      <c r="F164" s="17" t="inlineStr">
        <is>
          <t>Over 53.5</t>
        </is>
      </c>
      <c r="G164" s="26" t="n">
        <v>53.5</v>
      </c>
      <c r="H164" s="18" t="n">
        <v>-110</v>
      </c>
      <c r="I164" s="20" t="n">
        <v>0.4800778174571141</v>
      </c>
      <c r="J164" s="20" t="n">
        <v>0.5</v>
      </c>
      <c r="K164" s="20" t="n">
        <v>0.5238095238095238</v>
      </c>
      <c r="L164" s="19" t="n">
        <v>-0.0376615107244274</v>
      </c>
      <c r="M164" s="19" t="n">
        <v>-0.08348780303641845</v>
      </c>
      <c r="N164" s="20" t="n">
        <v>0</v>
      </c>
      <c r="O164" s="27" t="n">
        <v>0.4</v>
      </c>
      <c r="P164" s="17" t="inlineStr">
        <is>
          <t>DraftKings</t>
        </is>
      </c>
      <c r="Q164" s="17" t="n"/>
    </row>
    <row r="165">
      <c r="A165" s="12" t="inlineStr">
        <is>
          <t>PASS</t>
        </is>
      </c>
      <c r="B165" s="12" t="inlineStr">
        <is>
          <t>RUTG @ BC</t>
        </is>
      </c>
      <c r="C165" s="12" t="inlineStr">
        <is>
          <t>2026-09-11 23:30</t>
        </is>
      </c>
      <c r="D165" s="22" t="n">
        <v>2</v>
      </c>
      <c r="E165" s="12" t="inlineStr">
        <is>
          <t>ATS</t>
        </is>
      </c>
      <c r="F165" s="12" t="inlineStr">
        <is>
          <t>RUTG +3.5</t>
        </is>
      </c>
      <c r="G165" s="23" t="n">
        <v>-3.5</v>
      </c>
      <c r="H165" s="13" t="n">
        <v>-108</v>
      </c>
      <c r="I165" s="15" t="n">
        <v>0.4745257890897349</v>
      </c>
      <c r="J165" s="15" t="n">
        <v>0.4956702459300312</v>
      </c>
      <c r="K165" s="15" t="n">
        <v>0.5192307692307693</v>
      </c>
      <c r="L165" s="14" t="n">
        <v>-0.04000500856662856</v>
      </c>
      <c r="M165" s="14" t="n">
        <v>-0.0860984802716217</v>
      </c>
      <c r="N165" s="15" t="n">
        <v>0</v>
      </c>
      <c r="O165" s="24" t="n">
        <v>0.725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USF @ ARMY</t>
        </is>
      </c>
      <c r="C166" s="17" t="inlineStr">
        <is>
          <t>2026-09-12 16:00</t>
        </is>
      </c>
      <c r="D166" s="25" t="n">
        <v>2</v>
      </c>
      <c r="E166" s="17" t="inlineStr">
        <is>
          <t>ATS</t>
        </is>
      </c>
      <c r="F166" s="17" t="inlineStr">
        <is>
          <t>USF +3.5</t>
        </is>
      </c>
      <c r="G166" s="26" t="n">
        <v>-3.5</v>
      </c>
      <c r="H166" s="18" t="n">
        <v>-112</v>
      </c>
      <c r="I166" s="20" t="n">
        <v>0.4815814505028291</v>
      </c>
      <c r="J166" s="20" t="n">
        <v>0.5043297540699688</v>
      </c>
      <c r="K166" s="20" t="n">
        <v>0.5283018867924528</v>
      </c>
      <c r="L166" s="19" t="n">
        <v>-0.04199660732026202</v>
      </c>
      <c r="M166" s="19" t="n">
        <v>-0.08843511154821637</v>
      </c>
      <c r="N166" s="20" t="n">
        <v>0</v>
      </c>
      <c r="O166" s="27" t="n">
        <v>0.725</v>
      </c>
      <c r="P166" s="17" t="inlineStr">
        <is>
          <t>DraftKings</t>
        </is>
      </c>
      <c r="Q166" s="17" t="n"/>
    </row>
    <row r="167">
      <c r="A167" s="12" t="inlineStr">
        <is>
          <t>PASS</t>
        </is>
      </c>
      <c r="B167" s="12" t="inlineStr">
        <is>
          <t>DUKE @ ILL</t>
        </is>
      </c>
      <c r="C167" s="12" t="inlineStr">
        <is>
          <t>2026-09-12 19:30</t>
        </is>
      </c>
      <c r="D167" s="22" t="n">
        <v>2</v>
      </c>
      <c r="E167" s="12" t="inlineStr">
        <is>
          <t>ATS</t>
        </is>
      </c>
      <c r="F167" s="12" t="inlineStr">
        <is>
          <t>ILL -6.5</t>
        </is>
      </c>
      <c r="G167" s="23" t="n">
        <v>-6.5</v>
      </c>
      <c r="H167" s="13" t="n">
        <v>-108</v>
      </c>
      <c r="I167" s="15" t="n">
        <v>0.4728769706526665</v>
      </c>
      <c r="J167" s="15" t="n">
        <v>0.4956702459300312</v>
      </c>
      <c r="K167" s="15" t="n">
        <v>0.5192307692307693</v>
      </c>
      <c r="L167" s="14" t="n">
        <v>-0.04270072358037297</v>
      </c>
      <c r="M167" s="14" t="n">
        <v>-0.08927398244671625</v>
      </c>
      <c r="N167" s="15" t="n">
        <v>0</v>
      </c>
      <c r="O167" s="24" t="n">
        <v>0.725</v>
      </c>
      <c r="P167" s="12" t="inlineStr">
        <is>
          <t>DraftKings</t>
        </is>
      </c>
      <c r="Q167" s="12" t="n"/>
    </row>
    <row r="168">
      <c r="A168" s="17" t="inlineStr">
        <is>
          <t>PASS</t>
        </is>
      </c>
      <c r="B168" s="17" t="inlineStr">
        <is>
          <t>ARIZ @ BYU</t>
        </is>
      </c>
      <c r="C168" s="17" t="inlineStr">
        <is>
          <t>2026-09-12 19:30</t>
        </is>
      </c>
      <c r="D168" s="25" t="n">
        <v>2</v>
      </c>
      <c r="E168" s="17" t="inlineStr">
        <is>
          <t>ML</t>
        </is>
      </c>
      <c r="F168" s="17" t="inlineStr">
        <is>
          <t>BYU ML</t>
        </is>
      </c>
      <c r="G168" s="26" t="n"/>
      <c r="H168" s="18" t="n">
        <v>-285</v>
      </c>
      <c r="I168" s="20" t="n">
        <v>0.6753308810821281</v>
      </c>
      <c r="J168" s="20" t="n">
        <v>0.7095435684647302</v>
      </c>
      <c r="K168" s="20" t="n">
        <v>0.7402597402597403</v>
      </c>
      <c r="L168" s="19" t="n">
        <v>-0.04446373052205053</v>
      </c>
      <c r="M168" s="19" t="n">
        <v>-0.08771091502940587</v>
      </c>
      <c r="N168" s="20" t="n">
        <v>0</v>
      </c>
      <c r="O168" s="27" t="n">
        <v>0.725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ULM @ UAB</t>
        </is>
      </c>
      <c r="C169" s="12" t="inlineStr">
        <is>
          <t>2026-09-12 19:30</t>
        </is>
      </c>
      <c r="D169" s="22" t="n">
        <v>2</v>
      </c>
      <c r="E169" s="12" t="inlineStr">
        <is>
          <t>TOTAL</t>
        </is>
      </c>
      <c r="F169" s="12" t="inlineStr">
        <is>
          <t>Over 55.5</t>
        </is>
      </c>
      <c r="G169" s="23" t="n">
        <v>55.5</v>
      </c>
      <c r="H169" s="13" t="n">
        <v>-112</v>
      </c>
      <c r="I169" s="15" t="n">
        <v>0.4782757581323641</v>
      </c>
      <c r="J169" s="15" t="n">
        <v>0.5043297540699688</v>
      </c>
      <c r="K169" s="15" t="n">
        <v>0.5283018867924528</v>
      </c>
      <c r="L169" s="14" t="n">
        <v>-0.04710633378655392</v>
      </c>
      <c r="M169" s="14" t="n">
        <v>-0.09469231496373942</v>
      </c>
      <c r="N169" s="15" t="n">
        <v>0</v>
      </c>
      <c r="O169" s="24" t="n">
        <v>0.725</v>
      </c>
      <c r="P169" s="12" t="inlineStr">
        <is>
          <t>DraftKings</t>
        </is>
      </c>
      <c r="Q169" s="12" t="n"/>
    </row>
    <row r="170">
      <c r="A170" s="17" t="inlineStr">
        <is>
          <t>PASS</t>
        </is>
      </c>
      <c r="B170" s="17" t="inlineStr">
        <is>
          <t>USF @ ARMY</t>
        </is>
      </c>
      <c r="C170" s="17" t="inlineStr">
        <is>
          <t>2026-09-12 16:00</t>
        </is>
      </c>
      <c r="D170" s="25" t="n">
        <v>2</v>
      </c>
      <c r="E170" s="17" t="inlineStr">
        <is>
          <t>ML</t>
        </is>
      </c>
      <c r="F170" s="17" t="inlineStr">
        <is>
          <t>USF ML</t>
        </is>
      </c>
      <c r="G170" s="26" t="n"/>
      <c r="H170" s="18" t="n">
        <v>154</v>
      </c>
      <c r="I170" s="20" t="n">
        <v>0.3576166268176062</v>
      </c>
      <c r="J170" s="20" t="n">
        <v>0.3775334481388264</v>
      </c>
      <c r="K170" s="20" t="n">
        <v>0.3937007874015748</v>
      </c>
      <c r="L170" s="19" t="n">
        <v>-0.04792698672616587</v>
      </c>
      <c r="M170" s="19" t="n">
        <v>-0.09165376788328028</v>
      </c>
      <c r="N170" s="20" t="n">
        <v>0</v>
      </c>
      <c r="O170" s="27" t="n">
        <v>0.725</v>
      </c>
      <c r="P170" s="17" t="inlineStr">
        <is>
          <t>DraftKings</t>
        </is>
      </c>
      <c r="Q170" s="17" t="n"/>
    </row>
    <row r="171">
      <c r="A171" s="12" t="inlineStr">
        <is>
          <t>PASS</t>
        </is>
      </c>
      <c r="B171" s="12" t="inlineStr">
        <is>
          <t>DEL @ VAN</t>
        </is>
      </c>
      <c r="C171" s="12" t="inlineStr">
        <is>
          <t>2026-09-12 20:15</t>
        </is>
      </c>
      <c r="D171" s="22" t="n">
        <v>2</v>
      </c>
      <c r="E171" s="12" t="inlineStr">
        <is>
          <t>TOTAL</t>
        </is>
      </c>
      <c r="F171" s="12" t="inlineStr">
        <is>
          <t>Over 53.5</t>
        </is>
      </c>
      <c r="G171" s="23" t="n">
        <v>53.5</v>
      </c>
      <c r="H171" s="13" t="n">
        <v>-115</v>
      </c>
      <c r="I171" s="15" t="n">
        <v>0.483510380392619</v>
      </c>
      <c r="J171" s="15" t="n">
        <v>0.5108342361863488</v>
      </c>
      <c r="K171" s="15" t="n">
        <v>0.5348837209302325</v>
      </c>
      <c r="L171" s="14" t="n">
        <v>-0.04847172390512348</v>
      </c>
      <c r="M171" s="14" t="n">
        <v>-0.09604581057032113</v>
      </c>
      <c r="N171" s="15" t="n">
        <v>0</v>
      </c>
      <c r="O171" s="24" t="n">
        <v>0.725</v>
      </c>
      <c r="P171" s="12" t="inlineStr">
        <is>
          <t>DraftKings</t>
        </is>
      </c>
      <c r="Q171" s="12" t="n"/>
    </row>
    <row r="172">
      <c r="A172" s="17" t="inlineStr">
        <is>
          <t>PASS</t>
        </is>
      </c>
      <c r="B172" s="17" t="inlineStr">
        <is>
          <t>GAST @ KENN</t>
        </is>
      </c>
      <c r="C172" s="17" t="inlineStr">
        <is>
          <t>2026-09-12 23:00</t>
        </is>
      </c>
      <c r="D172" s="25" t="n">
        <v>2</v>
      </c>
      <c r="E172" s="17" t="inlineStr">
        <is>
          <t>ML</t>
        </is>
      </c>
      <c r="F172" s="17" t="inlineStr">
        <is>
          <t>KENN ML</t>
        </is>
      </c>
      <c r="G172" s="26" t="n"/>
      <c r="H172" s="18" t="n">
        <v>-325</v>
      </c>
      <c r="I172" s="20" t="n">
        <v>0.6935243249261392</v>
      </c>
      <c r="J172" s="20" t="n">
        <v>0.7335423197492164</v>
      </c>
      <c r="K172" s="20" t="n">
        <v>0.7647058823529411</v>
      </c>
      <c r="L172" s="19" t="n">
        <v>-0.04925550639909333</v>
      </c>
      <c r="M172" s="19" t="n">
        <v>-0.09308357509658716</v>
      </c>
      <c r="N172" s="20" t="n">
        <v>0</v>
      </c>
      <c r="O172" s="27" t="n">
        <v>0.725</v>
      </c>
      <c r="P172" s="17" t="inlineStr">
        <is>
          <t>DraftKings</t>
        </is>
      </c>
      <c r="Q172" s="17" t="n"/>
    </row>
    <row r="173">
      <c r="A173" s="12" t="inlineStr">
        <is>
          <t>PASS</t>
        </is>
      </c>
      <c r="B173" s="12" t="inlineStr">
        <is>
          <t>ASU @ TA&amp;M</t>
        </is>
      </c>
      <c r="C173" s="12" t="inlineStr">
        <is>
          <t>2026-09-12 16:00</t>
        </is>
      </c>
      <c r="D173" s="22" t="n">
        <v>2</v>
      </c>
      <c r="E173" s="12" t="inlineStr">
        <is>
          <t>TOTAL</t>
        </is>
      </c>
      <c r="F173" s="12" t="inlineStr">
        <is>
          <t>Under 51.5</t>
        </is>
      </c>
      <c r="G173" s="23" t="n">
        <v>51.5</v>
      </c>
      <c r="H173" s="13" t="n">
        <v>-108</v>
      </c>
      <c r="I173" s="15" t="n">
        <v>0.4680139264258538</v>
      </c>
      <c r="J173" s="15" t="n">
        <v>0.4956702459300312</v>
      </c>
      <c r="K173" s="15" t="n">
        <v>0.5192307692307693</v>
      </c>
      <c r="L173" s="14" t="n">
        <v>-0.05015700253818964</v>
      </c>
      <c r="M173" s="14" t="n">
        <v>-0.09863984540205928</v>
      </c>
      <c r="N173" s="15" t="n">
        <v>0</v>
      </c>
      <c r="O173" s="24" t="n">
        <v>0.725</v>
      </c>
      <c r="P173" s="12" t="inlineStr">
        <is>
          <t>DraftKings</t>
        </is>
      </c>
      <c r="Q173" s="12" t="n"/>
    </row>
    <row r="174">
      <c r="A174" s="17" t="inlineStr">
        <is>
          <t>PASS</t>
        </is>
      </c>
      <c r="B174" s="17" t="inlineStr">
        <is>
          <t>ARIZ @ BYU</t>
        </is>
      </c>
      <c r="C174" s="17" t="inlineStr">
        <is>
          <t>2026-09-12 19:30</t>
        </is>
      </c>
      <c r="D174" s="25" t="n">
        <v>2</v>
      </c>
      <c r="E174" s="17" t="inlineStr">
        <is>
          <t>TOTAL</t>
        </is>
      </c>
      <c r="F174" s="17" t="inlineStr">
        <is>
          <t>Under 50.5</t>
        </is>
      </c>
      <c r="G174" s="26" t="n">
        <v>50.5</v>
      </c>
      <c r="H174" s="18" t="n">
        <v>-108</v>
      </c>
      <c r="I174" s="20" t="n">
        <v>0.4680139175517446</v>
      </c>
      <c r="J174" s="20" t="n">
        <v>0.4956702459300312</v>
      </c>
      <c r="K174" s="20" t="n">
        <v>0.5192307692307693</v>
      </c>
      <c r="L174" s="19" t="n">
        <v>-0.05015701545089649</v>
      </c>
      <c r="M174" s="19" t="n">
        <v>-0.09863986249293633</v>
      </c>
      <c r="N174" s="20" t="n">
        <v>0</v>
      </c>
      <c r="O174" s="27" t="n">
        <v>0.725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RUTG @ BC</t>
        </is>
      </c>
      <c r="C175" s="12" t="inlineStr">
        <is>
          <t>2026-09-11 23:30</t>
        </is>
      </c>
      <c r="D175" s="22" t="n">
        <v>2</v>
      </c>
      <c r="E175" s="12" t="inlineStr">
        <is>
          <t>TOTAL</t>
        </is>
      </c>
      <c r="F175" s="12" t="inlineStr">
        <is>
          <t>Over 54.5</t>
        </is>
      </c>
      <c r="G175" s="23" t="n">
        <v>54.5</v>
      </c>
      <c r="H175" s="13" t="n">
        <v>-112</v>
      </c>
      <c r="I175" s="15" t="n">
        <v>0.4743183513908659</v>
      </c>
      <c r="J175" s="15" t="n">
        <v>0.5043297540699688</v>
      </c>
      <c r="K175" s="15" t="n">
        <v>0.5283018867924528</v>
      </c>
      <c r="L175" s="14" t="n">
        <v>-0.05277864796768338</v>
      </c>
      <c r="M175" s="14" t="n">
        <v>-0.1021831205815753</v>
      </c>
      <c r="N175" s="15" t="n">
        <v>0</v>
      </c>
      <c r="O175" s="24" t="n">
        <v>0.725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MSST @ MINN</t>
        </is>
      </c>
      <c r="C176" s="17" t="inlineStr">
        <is>
          <t>2026-09-12 19:30</t>
        </is>
      </c>
      <c r="D176" s="25" t="n">
        <v>2</v>
      </c>
      <c r="E176" s="17" t="inlineStr">
        <is>
          <t>TOTAL</t>
        </is>
      </c>
      <c r="F176" s="17" t="inlineStr">
        <is>
          <t>Over 55.5</t>
        </is>
      </c>
      <c r="G176" s="26" t="n">
        <v>55.5</v>
      </c>
      <c r="H176" s="18" t="n">
        <v>-110</v>
      </c>
      <c r="I176" s="20" t="n">
        <v>0.4701788210910361</v>
      </c>
      <c r="J176" s="20" t="n">
        <v>0.5</v>
      </c>
      <c r="K176" s="20" t="n">
        <v>0.5238095238095238</v>
      </c>
      <c r="L176" s="19" t="n">
        <v>-0.05287180831660399</v>
      </c>
      <c r="M176" s="19" t="n">
        <v>-0.1023858870080219</v>
      </c>
      <c r="N176" s="20" t="n">
        <v>0</v>
      </c>
      <c r="O176" s="27" t="n">
        <v>0.725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WKU @ UGA</t>
        </is>
      </c>
      <c r="C177" s="12" t="inlineStr">
        <is>
          <t>2026-09-12 16:45</t>
        </is>
      </c>
      <c r="D177" s="22" t="n">
        <v>2</v>
      </c>
      <c r="E177" s="12" t="inlineStr">
        <is>
          <t>TOTAL</t>
        </is>
      </c>
      <c r="F177" s="12" t="inlineStr">
        <is>
          <t>Over 54.5</t>
        </is>
      </c>
      <c r="G177" s="23" t="n">
        <v>54.5</v>
      </c>
      <c r="H177" s="13" t="n">
        <v>-108</v>
      </c>
      <c r="I177" s="15" t="n">
        <v>0.4660422611864693</v>
      </c>
      <c r="J177" s="15" t="n">
        <v>0.4956702459300312</v>
      </c>
      <c r="K177" s="15" t="n">
        <v>0.5192307692307693</v>
      </c>
      <c r="L177" s="14" t="n">
        <v>-0.05296231525328533</v>
      </c>
      <c r="M177" s="14" t="n">
        <v>-0.1024371266038369</v>
      </c>
      <c r="N177" s="15" t="n">
        <v>0</v>
      </c>
      <c r="O177" s="24" t="n">
        <v>0.725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ODU @ VT</t>
        </is>
      </c>
      <c r="C178" s="17" t="inlineStr">
        <is>
          <t>2026-09-12 16:00</t>
        </is>
      </c>
      <c r="D178" s="25" t="n">
        <v>2</v>
      </c>
      <c r="E178" s="17" t="inlineStr">
        <is>
          <t>TOTAL</t>
        </is>
      </c>
      <c r="F178" s="17" t="inlineStr">
        <is>
          <t>Under 50.5</t>
        </is>
      </c>
      <c r="G178" s="26" t="n">
        <v>50.5</v>
      </c>
      <c r="H178" s="18" t="n">
        <v>-102</v>
      </c>
      <c r="I178" s="20" t="n">
        <v>0.4536296799795623</v>
      </c>
      <c r="J178" s="20" t="n">
        <v>0.4826358742837298</v>
      </c>
      <c r="K178" s="20" t="n">
        <v>0.504950495049505</v>
      </c>
      <c r="L178" s="19" t="n">
        <v>-0.0531865366507648</v>
      </c>
      <c r="M178" s="19" t="n">
        <v>-0.1016353396483178</v>
      </c>
      <c r="N178" s="20" t="n">
        <v>0</v>
      </c>
      <c r="O178" s="27" t="n">
        <v>0.725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JVST @ OHIO</t>
        </is>
      </c>
      <c r="C179" s="12" t="inlineStr">
        <is>
          <t>2026-09-12 22:00</t>
        </is>
      </c>
      <c r="D179" s="22" t="n">
        <v>2</v>
      </c>
      <c r="E179" s="12" t="inlineStr">
        <is>
          <t>ATS</t>
        </is>
      </c>
      <c r="F179" s="12" t="inlineStr">
        <is>
          <t>JVST +2.5</t>
        </is>
      </c>
      <c r="G179" s="23" t="n">
        <v>-2.5</v>
      </c>
      <c r="H179" s="13" t="n">
        <v>-108</v>
      </c>
      <c r="I179" s="15" t="n">
        <v>0.4653670109059815</v>
      </c>
      <c r="J179" s="15" t="n">
        <v>0.4956702459300312</v>
      </c>
      <c r="K179" s="15" t="n">
        <v>0.5192307692307693</v>
      </c>
      <c r="L179" s="14" t="n">
        <v>-0.05389369528697482</v>
      </c>
      <c r="M179" s="14" t="n">
        <v>-0.103737608625517</v>
      </c>
      <c r="N179" s="15" t="n">
        <v>0</v>
      </c>
      <c r="O179" s="24" t="n">
        <v>0.725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DUKE @ ILL</t>
        </is>
      </c>
      <c r="C180" s="17" t="inlineStr">
        <is>
          <t>2026-09-12 19:30</t>
        </is>
      </c>
      <c r="D180" s="25" t="n">
        <v>2</v>
      </c>
      <c r="E180" s="17" t="inlineStr">
        <is>
          <t>TOTAL</t>
        </is>
      </c>
      <c r="F180" s="17" t="inlineStr">
        <is>
          <t>Over 53.5</t>
        </is>
      </c>
      <c r="G180" s="26" t="n">
        <v>53.5</v>
      </c>
      <c r="H180" s="18" t="n">
        <v>-112</v>
      </c>
      <c r="I180" s="20" t="n">
        <v>0.4723437091981828</v>
      </c>
      <c r="J180" s="20" t="n">
        <v>0.5043297540699688</v>
      </c>
      <c r="K180" s="20" t="n">
        <v>0.5283018867924528</v>
      </c>
      <c r="L180" s="19" t="n">
        <v>-0.05542347993702751</v>
      </c>
      <c r="M180" s="19" t="n">
        <v>-0.1059208361605826</v>
      </c>
      <c r="N180" s="20" t="n">
        <v>0</v>
      </c>
      <c r="O180" s="27" t="n">
        <v>0.725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UCF @ PITT</t>
        </is>
      </c>
      <c r="C181" s="12" t="inlineStr">
        <is>
          <t>2026-09-12 19:30</t>
        </is>
      </c>
      <c r="D181" s="22" t="n">
        <v>2</v>
      </c>
      <c r="E181" s="12" t="inlineStr">
        <is>
          <t>ML</t>
        </is>
      </c>
      <c r="F181" s="12" t="inlineStr">
        <is>
          <t>PITT ML</t>
        </is>
      </c>
      <c r="G181" s="23" t="n"/>
      <c r="H181" s="13" t="n">
        <v>-298</v>
      </c>
      <c r="I181" s="15" t="n">
        <v>0.670810461499431</v>
      </c>
      <c r="J181" s="15" t="n">
        <v>0.7179705215419501</v>
      </c>
      <c r="K181" s="15" t="n">
        <v>0.7487437185929648</v>
      </c>
      <c r="L181" s="14" t="n">
        <v>-0.05689509129915392</v>
      </c>
      <c r="M181" s="14" t="n">
        <v>-0.1040853567893505</v>
      </c>
      <c r="N181" s="15" t="n">
        <v>0</v>
      </c>
      <c r="O181" s="24" t="n">
        <v>0.725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SDSU @ UCLA</t>
        </is>
      </c>
      <c r="C182" s="17" t="inlineStr">
        <is>
          <t>2026-09-12 23:15</t>
        </is>
      </c>
      <c r="D182" s="25" t="n">
        <v>2</v>
      </c>
      <c r="E182" s="17" t="inlineStr">
        <is>
          <t>ML</t>
        </is>
      </c>
      <c r="F182" s="17" t="inlineStr">
        <is>
          <t>UCLA ML</t>
        </is>
      </c>
      <c r="G182" s="26" t="n"/>
      <c r="H182" s="18" t="n">
        <v>-470</v>
      </c>
      <c r="I182" s="20" t="n">
        <v>0.7349786134591884</v>
      </c>
      <c r="J182" s="20" t="n">
        <v>0.7913616398243045</v>
      </c>
      <c r="K182" s="20" t="n">
        <v>0.8245614035087719</v>
      </c>
      <c r="L182" s="19" t="n">
        <v>-0.06033802683645764</v>
      </c>
      <c r="M182" s="19" t="n">
        <v>-0.1086429581452396</v>
      </c>
      <c r="N182" s="20" t="n">
        <v>0</v>
      </c>
      <c r="O182" s="27" t="n">
        <v>0.725</v>
      </c>
      <c r="P182" s="17" t="inlineStr">
        <is>
          <t>DraftKings</t>
        </is>
      </c>
      <c r="Q182" s="17" t="inlineStr">
        <is>
          <t>price outside allowed range</t>
        </is>
      </c>
    </row>
    <row r="183">
      <c r="A183" s="12" t="inlineStr">
        <is>
          <t>PASS</t>
        </is>
      </c>
      <c r="B183" s="12" t="inlineStr">
        <is>
          <t>MEM @ BOIS</t>
        </is>
      </c>
      <c r="C183" s="12" t="inlineStr">
        <is>
          <t>2026-09-12 22:00</t>
        </is>
      </c>
      <c r="D183" s="22" t="n">
        <v>2</v>
      </c>
      <c r="E183" s="12" t="inlineStr">
        <is>
          <t>ML</t>
        </is>
      </c>
      <c r="F183" s="12" t="inlineStr">
        <is>
          <t>BOIS ML</t>
        </is>
      </c>
      <c r="G183" s="23" t="n"/>
      <c r="H183" s="13" t="n">
        <v>-325</v>
      </c>
      <c r="I183" s="15" t="n">
        <v>0.6803807177430184</v>
      </c>
      <c r="J183" s="15" t="n">
        <v>0.7335423197492164</v>
      </c>
      <c r="K183" s="15" t="n">
        <v>0.7647058823529411</v>
      </c>
      <c r="L183" s="14" t="n">
        <v>-0.06106248929009388</v>
      </c>
      <c r="M183" s="14" t="n">
        <v>-0.1102713691052836</v>
      </c>
      <c r="N183" s="15" t="n">
        <v>0</v>
      </c>
      <c r="O183" s="24" t="n">
        <v>0.725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ULM @ UAB</t>
        </is>
      </c>
      <c r="C184" s="17" t="inlineStr">
        <is>
          <t>2026-09-12 19:30</t>
        </is>
      </c>
      <c r="D184" s="25" t="n">
        <v>2</v>
      </c>
      <c r="E184" s="17" t="inlineStr">
        <is>
          <t>ML</t>
        </is>
      </c>
      <c r="F184" s="17" t="inlineStr">
        <is>
          <t>UAB ML</t>
        </is>
      </c>
      <c r="G184" s="26" t="n"/>
      <c r="H184" s="18" t="n">
        <v>-425</v>
      </c>
      <c r="I184" s="20" t="n">
        <v>0.7194340313167513</v>
      </c>
      <c r="J184" s="20" t="n">
        <v>0.7768331562167907</v>
      </c>
      <c r="K184" s="20" t="n">
        <v>0.8095238095238095</v>
      </c>
      <c r="L184" s="19" t="n">
        <v>-0.06188563050013411</v>
      </c>
      <c r="M184" s="19" t="n">
        <v>-0.1112873730793071</v>
      </c>
      <c r="N184" s="20" t="n">
        <v>0</v>
      </c>
      <c r="O184" s="27" t="n">
        <v>0.725</v>
      </c>
      <c r="P184" s="17" t="inlineStr">
        <is>
          <t>DraftKings</t>
        </is>
      </c>
      <c r="Q184" s="17" t="inlineStr">
        <is>
          <t>price outside allowed range</t>
        </is>
      </c>
    </row>
    <row r="185">
      <c r="A185" s="12" t="inlineStr">
        <is>
          <t>PASS</t>
        </is>
      </c>
      <c r="B185" s="12" t="inlineStr">
        <is>
          <t>RUTG @ BC</t>
        </is>
      </c>
      <c r="C185" s="12" t="inlineStr">
        <is>
          <t>2026-09-11 23:30</t>
        </is>
      </c>
      <c r="D185" s="22" t="n">
        <v>2</v>
      </c>
      <c r="E185" s="12" t="inlineStr">
        <is>
          <t>ML</t>
        </is>
      </c>
      <c r="F185" s="12" t="inlineStr">
        <is>
          <t>RUTG ML</t>
        </is>
      </c>
      <c r="G185" s="23" t="n"/>
      <c r="H185" s="13" t="n">
        <v>145</v>
      </c>
      <c r="I185" s="15" t="n">
        <v>0.3617188152259615</v>
      </c>
      <c r="J185" s="15" t="n">
        <v>0.3907637655417407</v>
      </c>
      <c r="K185" s="15" t="n">
        <v>0.4081632653061225</v>
      </c>
      <c r="L185" s="14" t="n">
        <v>-0.06213818058585236</v>
      </c>
      <c r="M185" s="14" t="n">
        <v>-0.1137889026963943</v>
      </c>
      <c r="N185" s="15" t="n">
        <v>0</v>
      </c>
      <c r="O185" s="24" t="n">
        <v>0.725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APP @ ECU</t>
        </is>
      </c>
      <c r="C186" s="17" t="inlineStr">
        <is>
          <t>2026-09-12 16:00</t>
        </is>
      </c>
      <c r="D186" s="25" t="n">
        <v>2</v>
      </c>
      <c r="E186" s="17" t="inlineStr">
        <is>
          <t>ML</t>
        </is>
      </c>
      <c r="F186" s="17" t="inlineStr">
        <is>
          <t>ECU ML</t>
        </is>
      </c>
      <c r="G186" s="26" t="n"/>
      <c r="H186" s="18" t="n">
        <v>-325</v>
      </c>
      <c r="I186" s="20" t="n">
        <v>0.6780463201203289</v>
      </c>
      <c r="J186" s="20" t="n">
        <v>0.7335423197492164</v>
      </c>
      <c r="K186" s="20" t="n">
        <v>0.7647058823529411</v>
      </c>
      <c r="L186" s="19" t="n">
        <v>-0.06289004303952929</v>
      </c>
      <c r="M186" s="19" t="n">
        <v>-0.1133240429195699</v>
      </c>
      <c r="N186" s="20" t="n">
        <v>0</v>
      </c>
      <c r="O186" s="27" t="n">
        <v>0.725</v>
      </c>
      <c r="P186" s="17" t="inlineStr">
        <is>
          <t>DraftKings</t>
        </is>
      </c>
      <c r="Q186" s="17" t="n"/>
    </row>
    <row r="187">
      <c r="A187" s="12" t="inlineStr">
        <is>
          <t>PASS</t>
        </is>
      </c>
      <c r="B187" s="12" t="inlineStr">
        <is>
          <t>BUFF @ FIU</t>
        </is>
      </c>
      <c r="C187" s="12" t="inlineStr">
        <is>
          <t>2026-09-12 22:00</t>
        </is>
      </c>
      <c r="D187" s="22" t="n">
        <v>2</v>
      </c>
      <c r="E187" s="12" t="inlineStr">
        <is>
          <t>ML</t>
        </is>
      </c>
      <c r="F187" s="12" t="inlineStr">
        <is>
          <t>FIU ML</t>
        </is>
      </c>
      <c r="G187" s="23" t="n"/>
      <c r="H187" s="13" t="n">
        <v>-440</v>
      </c>
      <c r="I187" s="15" t="n">
        <v>0.7183750903053244</v>
      </c>
      <c r="J187" s="15" t="n">
        <v>0.7819063004846527</v>
      </c>
      <c r="K187" s="15" t="n">
        <v>0.8148148148148148</v>
      </c>
      <c r="L187" s="14" t="n">
        <v>-0.06591273979101012</v>
      </c>
      <c r="M187" s="14" t="n">
        <v>-0.1183578437161927</v>
      </c>
      <c r="N187" s="15" t="n">
        <v>0</v>
      </c>
      <c r="O187" s="24" t="n">
        <v>0.725</v>
      </c>
      <c r="P187" s="12" t="inlineStr">
        <is>
          <t>DraftKings</t>
        </is>
      </c>
      <c r="Q187" s="12" t="inlineStr">
        <is>
          <t>price outside allowed range</t>
        </is>
      </c>
    </row>
    <row r="188">
      <c r="A188" s="17" t="inlineStr">
        <is>
          <t>PASS</t>
        </is>
      </c>
      <c r="B188" s="17" t="inlineStr">
        <is>
          <t>ARK @ UTAH</t>
        </is>
      </c>
      <c r="C188" s="17" t="inlineStr">
        <is>
          <t>2026-09-13 02:15</t>
        </is>
      </c>
      <c r="D188" s="25" t="n">
        <v>2</v>
      </c>
      <c r="E188" s="17" t="inlineStr">
        <is>
          <t>ML</t>
        </is>
      </c>
      <c r="F188" s="17" t="inlineStr">
        <is>
          <t>UTAH ML</t>
        </is>
      </c>
      <c r="G188" s="26" t="n"/>
      <c r="H188" s="18" t="n">
        <v>-500</v>
      </c>
      <c r="I188" s="20" t="n">
        <v>0.7343220530477712</v>
      </c>
      <c r="J188" s="20" t="n">
        <v>0.7999999999999999</v>
      </c>
      <c r="K188" s="20" t="n">
        <v>0.8333333333333334</v>
      </c>
      <c r="L188" s="19" t="n">
        <v>-0.06634865087516496</v>
      </c>
      <c r="M188" s="19" t="n">
        <v>-0.1188135363426746</v>
      </c>
      <c r="N188" s="20" t="n">
        <v>0</v>
      </c>
      <c r="O188" s="27" t="n">
        <v>0.725</v>
      </c>
      <c r="P188" s="17" t="inlineStr">
        <is>
          <t>DraftKings</t>
        </is>
      </c>
      <c r="Q188" s="17" t="inlineStr">
        <is>
          <t>price outside allowed range</t>
        </is>
      </c>
    </row>
    <row r="189">
      <c r="A189" s="12" t="inlineStr">
        <is>
          <t>PASS</t>
        </is>
      </c>
      <c r="B189" s="12" t="inlineStr">
        <is>
          <t>USA @ TULN</t>
        </is>
      </c>
      <c r="C189" s="12" t="inlineStr">
        <is>
          <t>2026-09-12 23:00</t>
        </is>
      </c>
      <c r="D189" s="22" t="n">
        <v>2</v>
      </c>
      <c r="E189" s="12" t="inlineStr">
        <is>
          <t>ML</t>
        </is>
      </c>
      <c r="F189" s="12" t="inlineStr">
        <is>
          <t>TULN ML</t>
        </is>
      </c>
      <c r="G189" s="23" t="n"/>
      <c r="H189" s="13" t="n">
        <v>-410</v>
      </c>
      <c r="I189" s="15" t="n">
        <v>0.7073942436469314</v>
      </c>
      <c r="J189" s="15" t="n">
        <v>0.771505376344086</v>
      </c>
      <c r="K189" s="15" t="n">
        <v>0.803921568627451</v>
      </c>
      <c r="L189" s="14" t="n">
        <v>-0.06685778642861372</v>
      </c>
      <c r="M189" s="14" t="n">
        <v>-0.1200705749757683</v>
      </c>
      <c r="N189" s="15" t="n">
        <v>0</v>
      </c>
      <c r="O189" s="24" t="n">
        <v>0.725</v>
      </c>
      <c r="P189" s="12" t="inlineStr">
        <is>
          <t>DraftKings</t>
        </is>
      </c>
      <c r="Q189" s="12" t="inlineStr">
        <is>
          <t>price outside allowed range</t>
        </is>
      </c>
    </row>
    <row r="190">
      <c r="A190" s="17" t="inlineStr">
        <is>
          <t>PASS</t>
        </is>
      </c>
      <c r="B190" s="17" t="inlineStr">
        <is>
          <t>WAKE @ PUR</t>
        </is>
      </c>
      <c r="C190" s="17" t="inlineStr">
        <is>
          <t>2026-09-12 16:00</t>
        </is>
      </c>
      <c r="D190" s="25" t="n">
        <v>2</v>
      </c>
      <c r="E190" s="17" t="inlineStr">
        <is>
          <t>TOTAL</t>
        </is>
      </c>
      <c r="F190" s="17" t="inlineStr">
        <is>
          <t>Under 50.5</t>
        </is>
      </c>
      <c r="G190" s="26" t="n">
        <v>50.5</v>
      </c>
      <c r="H190" s="18" t="n">
        <v>-110</v>
      </c>
      <c r="I190" s="20" t="n">
        <v>0.4583998146473904</v>
      </c>
      <c r="J190" s="20" t="n">
        <v>0.5</v>
      </c>
      <c r="K190" s="20" t="n">
        <v>0.5238095238095238</v>
      </c>
      <c r="L190" s="19" t="n">
        <v>-0.06690903693651661</v>
      </c>
      <c r="M190" s="19" t="n">
        <v>-0.1248730811277091</v>
      </c>
      <c r="N190" s="20" t="n">
        <v>0</v>
      </c>
      <c r="O190" s="27" t="n">
        <v>0.725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LT @ LSU</t>
        </is>
      </c>
      <c r="C191" s="12" t="inlineStr">
        <is>
          <t>2026-09-12 23:30</t>
        </is>
      </c>
      <c r="D191" s="22" t="n">
        <v>2</v>
      </c>
      <c r="E191" s="12" t="inlineStr">
        <is>
          <t>TOTAL</t>
        </is>
      </c>
      <c r="F191" s="12" t="inlineStr">
        <is>
          <t>Over 55.5</t>
        </is>
      </c>
      <c r="G191" s="23" t="n">
        <v>55.5</v>
      </c>
      <c r="H191" s="13" t="n">
        <v>-108</v>
      </c>
      <c r="I191" s="15" t="n">
        <v>0.4542850561776809</v>
      </c>
      <c r="J191" s="15" t="n">
        <v>0.4956702459300312</v>
      </c>
      <c r="K191" s="15" t="n">
        <v>0.5192307692307693</v>
      </c>
      <c r="L191" s="14" t="n">
        <v>-0.06705638509413553</v>
      </c>
      <c r="M191" s="14" t="n">
        <v>-0.1250806325466884</v>
      </c>
      <c r="N191" s="15" t="n">
        <v>0</v>
      </c>
      <c r="O191" s="24" t="n">
        <v>0.725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USM @ AUB</t>
        </is>
      </c>
      <c r="C192" s="17" t="inlineStr">
        <is>
          <t>2026-09-12 23:45</t>
        </is>
      </c>
      <c r="D192" s="25" t="n">
        <v>2</v>
      </c>
      <c r="E192" s="17" t="inlineStr">
        <is>
          <t>TOTAL</t>
        </is>
      </c>
      <c r="F192" s="17" t="inlineStr">
        <is>
          <t>Over 53.5</t>
        </is>
      </c>
      <c r="G192" s="26" t="n">
        <v>53.5</v>
      </c>
      <c r="H192" s="18" t="n">
        <v>-108</v>
      </c>
      <c r="I192" s="20" t="n">
        <v>0.4523394560385163</v>
      </c>
      <c r="J192" s="20" t="n">
        <v>0.4956702459300312</v>
      </c>
      <c r="K192" s="20" t="n">
        <v>0.5192307692307693</v>
      </c>
      <c r="L192" s="19" t="n">
        <v>-0.06896904366348737</v>
      </c>
      <c r="M192" s="19" t="n">
        <v>-0.1288277142961907</v>
      </c>
      <c r="N192" s="20" t="n">
        <v>0</v>
      </c>
      <c r="O192" s="27" t="n">
        <v>0.725</v>
      </c>
      <c r="P192" s="17" t="inlineStr">
        <is>
          <t>DraftKings</t>
        </is>
      </c>
      <c r="Q192" s="17" t="n"/>
    </row>
    <row r="193">
      <c r="A193" s="12" t="inlineStr">
        <is>
          <t>PASS</t>
        </is>
      </c>
      <c r="B193" s="12" t="inlineStr">
        <is>
          <t>ARK @ UTAH</t>
        </is>
      </c>
      <c r="C193" s="12" t="inlineStr">
        <is>
          <t>2026-09-13 02:15</t>
        </is>
      </c>
      <c r="D193" s="22" t="n">
        <v>2</v>
      </c>
      <c r="E193" s="12" t="inlineStr">
        <is>
          <t>TOTAL</t>
        </is>
      </c>
      <c r="F193" s="12" t="inlineStr">
        <is>
          <t>Over 56.5</t>
        </is>
      </c>
      <c r="G193" s="23" t="n">
        <v>56.5</v>
      </c>
      <c r="H193" s="13" t="n">
        <v>-115</v>
      </c>
      <c r="I193" s="15" t="n">
        <v>0.4657709597860535</v>
      </c>
      <c r="J193" s="15" t="n">
        <v>0.5108342361863488</v>
      </c>
      <c r="K193" s="15" t="n">
        <v>0.5348837209302325</v>
      </c>
      <c r="L193" s="14" t="n">
        <v>-0.06934344469084959</v>
      </c>
      <c r="M193" s="14" t="n">
        <v>-0.1292108143130305</v>
      </c>
      <c r="N193" s="15" t="n">
        <v>0</v>
      </c>
      <c r="O193" s="24" t="n">
        <v>0.725</v>
      </c>
      <c r="P193" s="12" t="inlineStr">
        <is>
          <t>DraftKings</t>
        </is>
      </c>
      <c r="Q193" s="12" t="n"/>
    </row>
    <row r="194">
      <c r="A194" s="17" t="inlineStr">
        <is>
          <t>PASS</t>
        </is>
      </c>
      <c r="B194" s="17" t="inlineStr">
        <is>
          <t>PSU @ TEM</t>
        </is>
      </c>
      <c r="C194" s="17" t="inlineStr">
        <is>
          <t>2026-09-12 16:00</t>
        </is>
      </c>
      <c r="D194" s="25" t="n">
        <v>2</v>
      </c>
      <c r="E194" s="17" t="inlineStr">
        <is>
          <t>TOTAL</t>
        </is>
      </c>
      <c r="F194" s="17" t="inlineStr">
        <is>
          <t>Under 49.5</t>
        </is>
      </c>
      <c r="G194" s="26" t="n">
        <v>49.5</v>
      </c>
      <c r="H194" s="18" t="n">
        <v>-105</v>
      </c>
      <c r="I194" s="20" t="n">
        <v>0.4452095403253813</v>
      </c>
      <c r="J194" s="20" t="n">
        <v>0.4891657638136511</v>
      </c>
      <c r="K194" s="20" t="n">
        <v>0.5121951219512195</v>
      </c>
      <c r="L194" s="19" t="n">
        <v>-0.07010209436950517</v>
      </c>
      <c r="M194" s="19" t="n">
        <v>-0.1307813736504461</v>
      </c>
      <c r="N194" s="20" t="n">
        <v>0</v>
      </c>
      <c r="O194" s="27" t="n">
        <v>0.725</v>
      </c>
      <c r="P194" s="17" t="inlineStr">
        <is>
          <t>DraftKings</t>
        </is>
      </c>
      <c r="Q194" s="17" t="n"/>
    </row>
    <row r="195">
      <c r="A195" s="12" t="inlineStr">
        <is>
          <t>PASS</t>
        </is>
      </c>
      <c r="B195" s="12" t="inlineStr">
        <is>
          <t>MIZ @ KU</t>
        </is>
      </c>
      <c r="C195" s="12" t="inlineStr">
        <is>
          <t>2026-09-12 00:00</t>
        </is>
      </c>
      <c r="D195" s="22" t="n">
        <v>2</v>
      </c>
      <c r="E195" s="12" t="inlineStr">
        <is>
          <t>TOTAL</t>
        </is>
      </c>
      <c r="F195" s="12" t="inlineStr">
        <is>
          <t>Under 50.5</t>
        </is>
      </c>
      <c r="G195" s="23" t="n">
        <v>50.5</v>
      </c>
      <c r="H195" s="13" t="n">
        <v>-110</v>
      </c>
      <c r="I195" s="15" t="n">
        <v>0.4545042950763178</v>
      </c>
      <c r="J195" s="15" t="n">
        <v>0.5</v>
      </c>
      <c r="K195" s="15" t="n">
        <v>0.5238095238095238</v>
      </c>
      <c r="L195" s="14" t="n">
        <v>-0.07061310820813216</v>
      </c>
      <c r="M195" s="14" t="n">
        <v>-0.1323099821270295</v>
      </c>
      <c r="N195" s="15" t="n">
        <v>0</v>
      </c>
      <c r="O195" s="24" t="n">
        <v>0.725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UTSA @ TXST</t>
        </is>
      </c>
      <c r="C196" s="17" t="inlineStr">
        <is>
          <t>2026-09-12 19:30</t>
        </is>
      </c>
      <c r="D196" s="25" t="n">
        <v>2</v>
      </c>
      <c r="E196" s="17" t="inlineStr">
        <is>
          <t>ATS</t>
        </is>
      </c>
      <c r="F196" s="17" t="inlineStr">
        <is>
          <t>UTSA +1.5</t>
        </is>
      </c>
      <c r="G196" s="26" t="n">
        <v>-1.5</v>
      </c>
      <c r="H196" s="18" t="n">
        <v>-115</v>
      </c>
      <c r="I196" s="20" t="n">
        <v>0.4635902247171312</v>
      </c>
      <c r="J196" s="20" t="n">
        <v>0.5108342361863488</v>
      </c>
      <c r="K196" s="20" t="n">
        <v>0.5348837209302325</v>
      </c>
      <c r="L196" s="19" t="n">
        <v>-0.07127331029326245</v>
      </c>
      <c r="M196" s="19" t="n">
        <v>-0.1332878407462331</v>
      </c>
      <c r="N196" s="20" t="n">
        <v>0</v>
      </c>
      <c r="O196" s="27" t="n">
        <v>0.725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JVST @ OHIO</t>
        </is>
      </c>
      <c r="C197" s="12" t="inlineStr">
        <is>
          <t>2026-09-12 22:00</t>
        </is>
      </c>
      <c r="D197" s="22" t="n">
        <v>2</v>
      </c>
      <c r="E197" s="12" t="inlineStr">
        <is>
          <t>ML</t>
        </is>
      </c>
      <c r="F197" s="12" t="inlineStr">
        <is>
          <t>JVST ML</t>
        </is>
      </c>
      <c r="G197" s="23" t="n"/>
      <c r="H197" s="13" t="n">
        <v>110</v>
      </c>
      <c r="I197" s="15" t="n">
        <v>0.4148816245342255</v>
      </c>
      <c r="J197" s="15" t="n">
        <v>0.4572564612326044</v>
      </c>
      <c r="K197" s="15" t="n">
        <v>0.4761904761904762</v>
      </c>
      <c r="L197" s="14" t="n">
        <v>-0.07135532133552187</v>
      </c>
      <c r="M197" s="14" t="n">
        <v>-0.1287485884781264</v>
      </c>
      <c r="N197" s="15" t="n">
        <v>0</v>
      </c>
      <c r="O197" s="24" t="n">
        <v>0.725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CAL @ SYR</t>
        </is>
      </c>
      <c r="C198" s="17" t="inlineStr">
        <is>
          <t>2026-09-12 19:30</t>
        </is>
      </c>
      <c r="D198" s="25" t="n">
        <v>2</v>
      </c>
      <c r="E198" s="17" t="inlineStr">
        <is>
          <t>TOTAL</t>
        </is>
      </c>
      <c r="F198" s="17" t="inlineStr">
        <is>
          <t>Over 56.5</t>
        </is>
      </c>
      <c r="G198" s="26" t="n">
        <v>56.5</v>
      </c>
      <c r="H198" s="18" t="n">
        <v>-108</v>
      </c>
      <c r="I198" s="20" t="n">
        <v>0.4484618088710985</v>
      </c>
      <c r="J198" s="20" t="n">
        <v>0.4956702459300312</v>
      </c>
      <c r="K198" s="20" t="n">
        <v>0.5192307692307693</v>
      </c>
      <c r="L198" s="19" t="n">
        <v>-0.07245272249529758</v>
      </c>
      <c r="M198" s="19" t="n">
        <v>-0.1362957755075139</v>
      </c>
      <c r="N198" s="20" t="n">
        <v>0</v>
      </c>
      <c r="O198" s="27" t="n">
        <v>0.725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RICE @ ND</t>
        </is>
      </c>
      <c r="C199" s="12" t="inlineStr">
        <is>
          <t>2026-09-12 19:30</t>
        </is>
      </c>
      <c r="D199" s="22" t="n">
        <v>2</v>
      </c>
      <c r="E199" s="12" t="inlineStr">
        <is>
          <t>TOTAL</t>
        </is>
      </c>
      <c r="F199" s="12" t="inlineStr">
        <is>
          <t>Over 54.5</t>
        </is>
      </c>
      <c r="G199" s="23" t="n">
        <v>54.5</v>
      </c>
      <c r="H199" s="13" t="n">
        <v>-110</v>
      </c>
      <c r="I199" s="15" t="n">
        <v>0.4486950500911671</v>
      </c>
      <c r="J199" s="15" t="n">
        <v>0.5</v>
      </c>
      <c r="K199" s="15" t="n">
        <v>0.5238095238095238</v>
      </c>
      <c r="L199" s="14" t="n">
        <v>-0.07535758512027829</v>
      </c>
      <c r="M199" s="14" t="n">
        <v>-0.1434003589168628</v>
      </c>
      <c r="N199" s="15" t="n">
        <v>0</v>
      </c>
      <c r="O199" s="24" t="n">
        <v>0.725</v>
      </c>
      <c r="P199" s="12" t="inlineStr">
        <is>
          <t>DraftKings</t>
        </is>
      </c>
      <c r="Q199" s="12" t="n"/>
    </row>
    <row r="200">
      <c r="A200" s="17" t="inlineStr">
        <is>
          <t>PASS</t>
        </is>
      </c>
      <c r="B200" s="17" t="inlineStr">
        <is>
          <t>ASU @ TA&amp;M</t>
        </is>
      </c>
      <c r="C200" s="17" t="inlineStr">
        <is>
          <t>2026-09-12 16:00</t>
        </is>
      </c>
      <c r="D200" s="25" t="n">
        <v>2</v>
      </c>
      <c r="E200" s="17" t="inlineStr">
        <is>
          <t>ML</t>
        </is>
      </c>
      <c r="F200" s="17" t="inlineStr">
        <is>
          <t>TA&amp;M ML</t>
        </is>
      </c>
      <c r="G200" s="26" t="n"/>
      <c r="H200" s="18" t="n">
        <v>-600</v>
      </c>
      <c r="I200" s="20" t="n">
        <v>0.737251001854539</v>
      </c>
      <c r="J200" s="20" t="n">
        <v>0.8223350253807106</v>
      </c>
      <c r="K200" s="20" t="n">
        <v>0.8571428571428571</v>
      </c>
      <c r="L200" s="19" t="n">
        <v>-0.07567288013282263</v>
      </c>
      <c r="M200" s="19" t="n">
        <v>-0.1398738311697045</v>
      </c>
      <c r="N200" s="20" t="n">
        <v>0</v>
      </c>
      <c r="O200" s="27" t="n">
        <v>0.725</v>
      </c>
      <c r="P200" s="17" t="inlineStr">
        <is>
          <t>DraftKings</t>
        </is>
      </c>
      <c r="Q200" s="17" t="inlineStr">
        <is>
          <t>price outside allowed range</t>
        </is>
      </c>
    </row>
    <row r="201">
      <c r="A201" s="12" t="inlineStr">
        <is>
          <t>PASS</t>
        </is>
      </c>
      <c r="B201" s="12" t="inlineStr">
        <is>
          <t>MEM @ BOIS</t>
        </is>
      </c>
      <c r="C201" s="12" t="inlineStr">
        <is>
          <t>2026-09-12 22:00</t>
        </is>
      </c>
      <c r="D201" s="22" t="n">
        <v>2</v>
      </c>
      <c r="E201" s="12" t="inlineStr">
        <is>
          <t>TOTAL</t>
        </is>
      </c>
      <c r="F201" s="12" t="inlineStr">
        <is>
          <t>Over 55.5</t>
        </is>
      </c>
      <c r="G201" s="23" t="n">
        <v>55.5</v>
      </c>
      <c r="H201" s="13" t="n">
        <v>-110</v>
      </c>
      <c r="I201" s="15" t="n">
        <v>0.4467684171752324</v>
      </c>
      <c r="J201" s="15" t="n">
        <v>0.5</v>
      </c>
      <c r="K201" s="15" t="n">
        <v>0.5238095238095238</v>
      </c>
      <c r="L201" s="14" t="n">
        <v>-0.07674100634293535</v>
      </c>
      <c r="M201" s="14" t="n">
        <v>-0.1470784763018291</v>
      </c>
      <c r="N201" s="15" t="n">
        <v>0</v>
      </c>
      <c r="O201" s="24" t="n">
        <v>0.725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TENN @ GT</t>
        </is>
      </c>
      <c r="C202" s="17" t="inlineStr">
        <is>
          <t>2026-09-12 23:00</t>
        </is>
      </c>
      <c r="D202" s="25" t="n">
        <v>2</v>
      </c>
      <c r="E202" s="17" t="inlineStr">
        <is>
          <t>TOTAL</t>
        </is>
      </c>
      <c r="F202" s="17" t="inlineStr">
        <is>
          <t>Over 55.5</t>
        </is>
      </c>
      <c r="G202" s="26" t="n">
        <v>55.5</v>
      </c>
      <c r="H202" s="18" t="n">
        <v>-108</v>
      </c>
      <c r="I202" s="20" t="n">
        <v>0.4426821130477772</v>
      </c>
      <c r="J202" s="20" t="n">
        <v>0.4956702459300312</v>
      </c>
      <c r="K202" s="20" t="n">
        <v>0.5192307692307693</v>
      </c>
      <c r="L202" s="19" t="n">
        <v>-0.07689290999370695</v>
      </c>
      <c r="M202" s="19" t="n">
        <v>-0.1474270415376143</v>
      </c>
      <c r="N202" s="20" t="n">
        <v>0</v>
      </c>
      <c r="O202" s="27" t="n">
        <v>0.725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OSU @ TEX</t>
        </is>
      </c>
      <c r="C203" s="12" t="inlineStr">
        <is>
          <t>2026-09-12 23:30</t>
        </is>
      </c>
      <c r="D203" s="22" t="n">
        <v>2</v>
      </c>
      <c r="E203" s="12" t="inlineStr">
        <is>
          <t>ATS</t>
        </is>
      </c>
      <c r="F203" s="12" t="inlineStr">
        <is>
          <t>OSU +1.5</t>
        </is>
      </c>
      <c r="G203" s="23" t="n">
        <v>-1.5</v>
      </c>
      <c r="H203" s="13" t="n">
        <v>-112</v>
      </c>
      <c r="I203" s="15" t="n">
        <v>0.4503780907520387</v>
      </c>
      <c r="J203" s="15" t="n">
        <v>0.5043297540699688</v>
      </c>
      <c r="K203" s="15" t="n">
        <v>0.5283018867924528</v>
      </c>
      <c r="L203" s="14" t="n">
        <v>-0.07691875014903249</v>
      </c>
      <c r="M203" s="14" t="n">
        <v>-0.1474986139336411</v>
      </c>
      <c r="N203" s="15" t="n">
        <v>0</v>
      </c>
      <c r="O203" s="24" t="n">
        <v>0.725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ALA @ UK</t>
        </is>
      </c>
      <c r="C204" s="17" t="inlineStr">
        <is>
          <t>2026-09-12 19:30</t>
        </is>
      </c>
      <c r="D204" s="25" t="n">
        <v>2</v>
      </c>
      <c r="E204" s="17" t="inlineStr">
        <is>
          <t>TOTAL</t>
        </is>
      </c>
      <c r="F204" s="17" t="inlineStr">
        <is>
          <t>Under 49.5</t>
        </is>
      </c>
      <c r="G204" s="26" t="n">
        <v>49.5</v>
      </c>
      <c r="H204" s="18" t="n">
        <v>-115</v>
      </c>
      <c r="I204" s="20" t="n">
        <v>0.4560437765117301</v>
      </c>
      <c r="J204" s="20" t="n">
        <v>0.5108342361863488</v>
      </c>
      <c r="K204" s="20" t="n">
        <v>0.5348837209302325</v>
      </c>
      <c r="L204" s="19" t="n">
        <v>-0.07701491652854156</v>
      </c>
      <c r="M204" s="19" t="n">
        <v>-0.147396417825896</v>
      </c>
      <c r="N204" s="20" t="n">
        <v>0</v>
      </c>
      <c r="O204" s="27" t="n">
        <v>0.725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NDSU @ AFA</t>
        </is>
      </c>
      <c r="C205" s="12" t="inlineStr">
        <is>
          <t>2026-09-13 02:00</t>
        </is>
      </c>
      <c r="D205" s="22" t="n">
        <v>2</v>
      </c>
      <c r="E205" s="12" t="inlineStr">
        <is>
          <t>TOTAL</t>
        </is>
      </c>
      <c r="F205" s="12" t="inlineStr">
        <is>
          <t>Under 47.5</t>
        </is>
      </c>
      <c r="G205" s="23" t="n">
        <v>47.5</v>
      </c>
      <c r="H205" s="13" t="n">
        <v>-112</v>
      </c>
      <c r="I205" s="15" t="n">
        <v>0.4489332250148275</v>
      </c>
      <c r="J205" s="15" t="n">
        <v>0.5043297540699688</v>
      </c>
      <c r="K205" s="15" t="n">
        <v>0.5283018867924528</v>
      </c>
      <c r="L205" s="14" t="n">
        <v>-0.07788171842845988</v>
      </c>
      <c r="M205" s="14" t="n">
        <v>-0.1502335383647909</v>
      </c>
      <c r="N205" s="15" t="n">
        <v>0</v>
      </c>
      <c r="O205" s="24" t="n">
        <v>0.725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NMSU @ HAW</t>
        </is>
      </c>
      <c r="C206" s="17" t="inlineStr">
        <is>
          <t>2026-09-13 03:59</t>
        </is>
      </c>
      <c r="D206" s="25" t="n">
        <v>2</v>
      </c>
      <c r="E206" s="17" t="inlineStr">
        <is>
          <t>ML</t>
        </is>
      </c>
      <c r="F206" s="17" t="inlineStr">
        <is>
          <t>HAW ML</t>
        </is>
      </c>
      <c r="G206" s="26" t="n"/>
      <c r="H206" s="18" t="n">
        <v>-380</v>
      </c>
      <c r="I206" s="20" t="n">
        <v>0.6762607175650627</v>
      </c>
      <c r="J206" s="20" t="n">
        <v>0.7600000000000001</v>
      </c>
      <c r="K206" s="20" t="n">
        <v>0.7916666666666666</v>
      </c>
      <c r="L206" s="19" t="n">
        <v>-0.07799333455373667</v>
      </c>
      <c r="M206" s="19" t="n">
        <v>-0.1457759357072893</v>
      </c>
      <c r="N206" s="20" t="n">
        <v>0</v>
      </c>
      <c r="O206" s="27" t="n">
        <v>0.839</v>
      </c>
      <c r="P206" s="17" t="inlineStr">
        <is>
          <t>DraftKings</t>
        </is>
      </c>
      <c r="Q206" s="17" t="n"/>
    </row>
    <row r="207">
      <c r="A207" s="12" t="inlineStr">
        <is>
          <t>PASS</t>
        </is>
      </c>
      <c r="B207" s="12" t="inlineStr">
        <is>
          <t>BUFF @ FIU</t>
        </is>
      </c>
      <c r="C207" s="12" t="inlineStr">
        <is>
          <t>2026-09-12 22:00</t>
        </is>
      </c>
      <c r="D207" s="22" t="n">
        <v>2</v>
      </c>
      <c r="E207" s="12" t="inlineStr">
        <is>
          <t>TOTAL</t>
        </is>
      </c>
      <c r="F207" s="12" t="inlineStr">
        <is>
          <t>Under 47.5</t>
        </is>
      </c>
      <c r="G207" s="23" t="n">
        <v>47.5</v>
      </c>
      <c r="H207" s="13" t="n">
        <v>-105</v>
      </c>
      <c r="I207" s="15" t="n">
        <v>0.43369849436887</v>
      </c>
      <c r="J207" s="15" t="n">
        <v>0.4891657638136511</v>
      </c>
      <c r="K207" s="15" t="n">
        <v>0.5121951219512195</v>
      </c>
      <c r="L207" s="14" t="n">
        <v>-0.07901060789746205</v>
      </c>
      <c r="M207" s="14" t="n">
        <v>-0.1532553205179206</v>
      </c>
      <c r="N207" s="15" t="n">
        <v>0</v>
      </c>
      <c r="O207" s="24" t="n">
        <v>0.725</v>
      </c>
      <c r="P207" s="12" t="inlineStr">
        <is>
          <t>DraftKings</t>
        </is>
      </c>
      <c r="Q207" s="12" t="n"/>
    </row>
    <row r="208">
      <c r="A208" s="17" t="inlineStr">
        <is>
          <t>PASS</t>
        </is>
      </c>
      <c r="B208" s="17" t="inlineStr">
        <is>
          <t>ISU @ IOWA</t>
        </is>
      </c>
      <c r="C208" s="17" t="inlineStr">
        <is>
          <t>2026-09-12 23:30</t>
        </is>
      </c>
      <c r="D208" s="25" t="n">
        <v>2</v>
      </c>
      <c r="E208" s="17" t="inlineStr">
        <is>
          <t>ML</t>
        </is>
      </c>
      <c r="F208" s="17" t="inlineStr">
        <is>
          <t>IOWA ML</t>
        </is>
      </c>
      <c r="G208" s="26" t="n"/>
      <c r="H208" s="18" t="n">
        <v>-650</v>
      </c>
      <c r="I208" s="20" t="n">
        <v>0.7369255106157653</v>
      </c>
      <c r="J208" s="20" t="n">
        <v>0.8316498316498315</v>
      </c>
      <c r="K208" s="20" t="n">
        <v>0.8666666666666667</v>
      </c>
      <c r="L208" s="19" t="n">
        <v>-0.07916644035493078</v>
      </c>
      <c r="M208" s="19" t="n">
        <v>-0.1497013339048863</v>
      </c>
      <c r="N208" s="20" t="n">
        <v>0</v>
      </c>
      <c r="O208" s="27" t="n">
        <v>0.725</v>
      </c>
      <c r="P208" s="17" t="inlineStr">
        <is>
          <t>DraftKings</t>
        </is>
      </c>
      <c r="Q208" s="17" t="inlineStr">
        <is>
          <t>price outside allowed range</t>
        </is>
      </c>
    </row>
    <row r="209">
      <c r="A209" s="12" t="inlineStr">
        <is>
          <t>PASS</t>
        </is>
      </c>
      <c r="B209" s="12" t="inlineStr">
        <is>
          <t>EMU @ MSU</t>
        </is>
      </c>
      <c r="C209" s="12" t="inlineStr">
        <is>
          <t>2026-09-12 19:30</t>
        </is>
      </c>
      <c r="D209" s="22" t="n">
        <v>2</v>
      </c>
      <c r="E209" s="12" t="inlineStr">
        <is>
          <t>ML</t>
        </is>
      </c>
      <c r="F209" s="12" t="inlineStr">
        <is>
          <t>MSU ML</t>
        </is>
      </c>
      <c r="G209" s="23" t="n"/>
      <c r="H209" s="13" t="n">
        <v>-900</v>
      </c>
      <c r="I209" s="15" t="n">
        <v>0.7614617921554416</v>
      </c>
      <c r="J209" s="15" t="n">
        <v>0.863013698630137</v>
      </c>
      <c r="K209" s="15" t="n">
        <v>0.9</v>
      </c>
      <c r="L209" s="14" t="n">
        <v>-0.08028152128901538</v>
      </c>
      <c r="M209" s="14" t="n">
        <v>-0.1539313420495093</v>
      </c>
      <c r="N209" s="15" t="n">
        <v>0</v>
      </c>
      <c r="O209" s="24" t="n">
        <v>0.725</v>
      </c>
      <c r="P209" s="12" t="inlineStr">
        <is>
          <t>DraftKings</t>
        </is>
      </c>
      <c r="Q209" s="12" t="inlineStr">
        <is>
          <t>price outside allowed range</t>
        </is>
      </c>
    </row>
    <row r="210">
      <c r="A210" s="17" t="inlineStr">
        <is>
          <t>PASS</t>
        </is>
      </c>
      <c r="B210" s="17" t="inlineStr">
        <is>
          <t>UCF @ PITT</t>
        </is>
      </c>
      <c r="C210" s="17" t="inlineStr">
        <is>
          <t>2026-09-12 19:30</t>
        </is>
      </c>
      <c r="D210" s="25" t="n">
        <v>2</v>
      </c>
      <c r="E210" s="17" t="inlineStr">
        <is>
          <t>TOTAL</t>
        </is>
      </c>
      <c r="F210" s="17" t="inlineStr">
        <is>
          <t>Over 57.5</t>
        </is>
      </c>
      <c r="G210" s="26" t="n">
        <v>57.5</v>
      </c>
      <c r="H210" s="18" t="n">
        <v>-110</v>
      </c>
      <c r="I210" s="20" t="n">
        <v>0.441020435490337</v>
      </c>
      <c r="J210" s="20" t="n">
        <v>0.5</v>
      </c>
      <c r="K210" s="20" t="n">
        <v>0.5238095238095238</v>
      </c>
      <c r="L210" s="19" t="n">
        <v>-0.08036360173625122</v>
      </c>
      <c r="M210" s="19" t="n">
        <v>-0.1580518958820839</v>
      </c>
      <c r="N210" s="20" t="n">
        <v>0</v>
      </c>
      <c r="O210" s="27" t="n">
        <v>0.725</v>
      </c>
      <c r="P210" s="17" t="inlineStr">
        <is>
          <t>DraftKings</t>
        </is>
      </c>
      <c r="Q210" s="17" t="n"/>
    </row>
    <row r="211">
      <c r="A211" s="12" t="inlineStr">
        <is>
          <t>PASS</t>
        </is>
      </c>
      <c r="B211" s="12" t="inlineStr">
        <is>
          <t>USF @ ARMY</t>
        </is>
      </c>
      <c r="C211" s="12" t="inlineStr">
        <is>
          <t>2026-09-12 16:00</t>
        </is>
      </c>
      <c r="D211" s="22" t="n">
        <v>2</v>
      </c>
      <c r="E211" s="12" t="inlineStr">
        <is>
          <t>TOTAL</t>
        </is>
      </c>
      <c r="F211" s="12" t="inlineStr">
        <is>
          <t>Under 48.5</t>
        </is>
      </c>
      <c r="G211" s="23" t="n">
        <v>48.5</v>
      </c>
      <c r="H211" s="13" t="n">
        <v>-108</v>
      </c>
      <c r="I211" s="15" t="n">
        <v>0.436950755930817</v>
      </c>
      <c r="J211" s="15" t="n">
        <v>0.4956702459300312</v>
      </c>
      <c r="K211" s="15" t="n">
        <v>0.5192307692307693</v>
      </c>
      <c r="L211" s="14" t="n">
        <v>-0.08050677517949244</v>
      </c>
      <c r="M211" s="14" t="n">
        <v>-0.1584652107999079</v>
      </c>
      <c r="N211" s="15" t="n">
        <v>0</v>
      </c>
      <c r="O211" s="24" t="n">
        <v>0.725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ARIZ @ BYU</t>
        </is>
      </c>
      <c r="C212" s="17" t="inlineStr">
        <is>
          <t>2026-09-12 19:30</t>
        </is>
      </c>
      <c r="D212" s="25" t="n">
        <v>2</v>
      </c>
      <c r="E212" s="17" t="inlineStr">
        <is>
          <t>ATS</t>
        </is>
      </c>
      <c r="F212" s="17" t="inlineStr">
        <is>
          <t>BYU -7.5</t>
        </is>
      </c>
      <c r="G212" s="26" t="n">
        <v>-7.5</v>
      </c>
      <c r="H212" s="18" t="n">
        <v>-112</v>
      </c>
      <c r="I212" s="20" t="n">
        <v>0.4438778674804842</v>
      </c>
      <c r="J212" s="20" t="n">
        <v>0.5043297540699688</v>
      </c>
      <c r="K212" s="20" t="n">
        <v>0.5283018867924528</v>
      </c>
      <c r="L212" s="19" t="n">
        <v>-0.08089673041053884</v>
      </c>
      <c r="M212" s="19" t="n">
        <v>-0.1598026079833692</v>
      </c>
      <c r="N212" s="20" t="n">
        <v>0</v>
      </c>
      <c r="O212" s="27" t="n">
        <v>0.725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MTSU @ MRSH</t>
        </is>
      </c>
      <c r="C213" s="12" t="inlineStr">
        <is>
          <t>2026-09-12 23:00</t>
        </is>
      </c>
      <c r="D213" s="22" t="n">
        <v>2</v>
      </c>
      <c r="E213" s="12" t="inlineStr">
        <is>
          <t>ML</t>
        </is>
      </c>
      <c r="F213" s="12" t="inlineStr">
        <is>
          <t>MRSH ML</t>
        </is>
      </c>
      <c r="G213" s="23" t="n"/>
      <c r="H213" s="13" t="n">
        <v>-625</v>
      </c>
      <c r="I213" s="15" t="n">
        <v>0.7266229111099529</v>
      </c>
      <c r="J213" s="15" t="n">
        <v>0.827123695976155</v>
      </c>
      <c r="K213" s="15" t="n">
        <v>0.8620689655172413</v>
      </c>
      <c r="L213" s="14" t="n">
        <v>-0.0813410955394116</v>
      </c>
      <c r="M213" s="14" t="n">
        <v>-0.1571174231124547</v>
      </c>
      <c r="N213" s="15" t="n">
        <v>0</v>
      </c>
      <c r="O213" s="24" t="n">
        <v>0.725</v>
      </c>
      <c r="P213" s="12" t="inlineStr">
        <is>
          <t>DraftKings</t>
        </is>
      </c>
      <c r="Q213" s="12" t="inlineStr">
        <is>
          <t>price outside allowed range</t>
        </is>
      </c>
    </row>
    <row r="214">
      <c r="A214" s="17" t="inlineStr">
        <is>
          <t>PASS</t>
        </is>
      </c>
      <c r="B214" s="17" t="inlineStr">
        <is>
          <t>UTSA @ TXST</t>
        </is>
      </c>
      <c r="C214" s="17" t="inlineStr">
        <is>
          <t>2026-09-12 19:30</t>
        </is>
      </c>
      <c r="D214" s="25" t="n">
        <v>2</v>
      </c>
      <c r="E214" s="17" t="inlineStr">
        <is>
          <t>ML</t>
        </is>
      </c>
      <c r="F214" s="17" t="inlineStr">
        <is>
          <t>UTSA ML</t>
        </is>
      </c>
      <c r="G214" s="26" t="n"/>
      <c r="H214" s="18" t="n">
        <v>-115</v>
      </c>
      <c r="I214" s="20" t="n">
        <v>0.4456569660481148</v>
      </c>
      <c r="J214" s="20" t="n">
        <v>0.5108342361863488</v>
      </c>
      <c r="K214" s="20" t="n">
        <v>0.5348837209302325</v>
      </c>
      <c r="L214" s="19" t="n">
        <v>-0.08287830002495733</v>
      </c>
      <c r="M214" s="19" t="n">
        <v>-0.1668152373883072</v>
      </c>
      <c r="N214" s="20" t="n">
        <v>0</v>
      </c>
      <c r="O214" s="27" t="n">
        <v>0.725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CAL @ SYR</t>
        </is>
      </c>
      <c r="C215" s="12" t="inlineStr">
        <is>
          <t>2026-09-12 19:30</t>
        </is>
      </c>
      <c r="D215" s="22" t="n">
        <v>2</v>
      </c>
      <c r="E215" s="12" t="inlineStr">
        <is>
          <t>ATS</t>
        </is>
      </c>
      <c r="F215" s="12" t="inlineStr">
        <is>
          <t>CAL +3</t>
        </is>
      </c>
      <c r="G215" s="23" t="n">
        <v>-3</v>
      </c>
      <c r="H215" s="13" t="n">
        <v>-110</v>
      </c>
      <c r="I215" s="15" t="n">
        <v>0.4350186415723686</v>
      </c>
      <c r="J215" s="15" t="n">
        <v>0.5</v>
      </c>
      <c r="K215" s="15" t="n">
        <v>0.5238095238095238</v>
      </c>
      <c r="L215" s="14" t="n">
        <v>-0.08343300252721178</v>
      </c>
      <c r="M215" s="14" t="n">
        <v>-0.159644391882728</v>
      </c>
      <c r="N215" s="15" t="n">
        <v>0.0582</v>
      </c>
      <c r="O215" s="24" t="n">
        <v>0.725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OSU @ TEX</t>
        </is>
      </c>
      <c r="C216" s="17" t="inlineStr">
        <is>
          <t>2026-09-12 23:30</t>
        </is>
      </c>
      <c r="D216" s="25" t="n">
        <v>2</v>
      </c>
      <c r="E216" s="17" t="inlineStr">
        <is>
          <t>ML</t>
        </is>
      </c>
      <c r="F216" s="17" t="inlineStr">
        <is>
          <t>OSU ML</t>
        </is>
      </c>
      <c r="G216" s="26" t="n"/>
      <c r="H216" s="18" t="n">
        <v>-105</v>
      </c>
      <c r="I216" s="20" t="n">
        <v>0.4251083774746189</v>
      </c>
      <c r="J216" s="20" t="n">
        <v>0.4891657638136511</v>
      </c>
      <c r="K216" s="20" t="n">
        <v>0.5121951219512195</v>
      </c>
      <c r="L216" s="19" t="n">
        <v>-0.08365725348679019</v>
      </c>
      <c r="M216" s="19" t="n">
        <v>-0.1700265011209821</v>
      </c>
      <c r="N216" s="20" t="n">
        <v>0</v>
      </c>
      <c r="O216" s="27" t="n">
        <v>0.725</v>
      </c>
      <c r="P216" s="17" t="inlineStr">
        <is>
          <t>DraftKings</t>
        </is>
      </c>
      <c r="Q216" s="17" t="n"/>
    </row>
    <row r="217">
      <c r="A217" s="12" t="inlineStr">
        <is>
          <t>PASS</t>
        </is>
      </c>
      <c r="B217" s="12" t="inlineStr">
        <is>
          <t>UCF @ PITT</t>
        </is>
      </c>
      <c r="C217" s="12" t="inlineStr">
        <is>
          <t>2026-09-12 19:30</t>
        </is>
      </c>
      <c r="D217" s="22" t="n">
        <v>2</v>
      </c>
      <c r="E217" s="12" t="inlineStr">
        <is>
          <t>ATS</t>
        </is>
      </c>
      <c r="F217" s="12" t="inlineStr">
        <is>
          <t>PITT -7.5</t>
        </is>
      </c>
      <c r="G217" s="23" t="n">
        <v>-7.5</v>
      </c>
      <c r="H217" s="13" t="n">
        <v>-108</v>
      </c>
      <c r="I217" s="15" t="n">
        <v>0.4307265315578561</v>
      </c>
      <c r="J217" s="15" t="n">
        <v>0.4956702459300312</v>
      </c>
      <c r="K217" s="15" t="n">
        <v>0.5192307692307693</v>
      </c>
      <c r="L217" s="14" t="n">
        <v>-0.08367289503889262</v>
      </c>
      <c r="M217" s="14" t="n">
        <v>-0.1704526058885735</v>
      </c>
      <c r="N217" s="15" t="n">
        <v>0</v>
      </c>
      <c r="O217" s="24" t="n">
        <v>0.725</v>
      </c>
      <c r="P217" s="12" t="inlineStr">
        <is>
          <t>DraftKings</t>
        </is>
      </c>
      <c r="Q217" s="12" t="n"/>
    </row>
    <row r="218">
      <c r="A218" s="17" t="inlineStr">
        <is>
          <t>PASS</t>
        </is>
      </c>
      <c r="B218" s="17" t="inlineStr">
        <is>
          <t>ODU @ VT</t>
        </is>
      </c>
      <c r="C218" s="17" t="inlineStr">
        <is>
          <t>2026-09-12 16:00</t>
        </is>
      </c>
      <c r="D218" s="25" t="n">
        <v>2</v>
      </c>
      <c r="E218" s="17" t="inlineStr">
        <is>
          <t>ML</t>
        </is>
      </c>
      <c r="F218" s="17" t="inlineStr">
        <is>
          <t>VT ML</t>
        </is>
      </c>
      <c r="G218" s="26" t="n"/>
      <c r="H218" s="18" t="n">
        <v>-1100</v>
      </c>
      <c r="I218" s="20" t="n">
        <v>0.7629915818037505</v>
      </c>
      <c r="J218" s="20" t="n">
        <v>0.8800000000000001</v>
      </c>
      <c r="K218" s="20" t="n">
        <v>0.9166666666666666</v>
      </c>
      <c r="L218" s="19" t="n">
        <v>-0.08410064661537632</v>
      </c>
      <c r="M218" s="19" t="n">
        <v>-0.1676455471231814</v>
      </c>
      <c r="N218" s="20" t="n">
        <v>0</v>
      </c>
      <c r="O218" s="27" t="n">
        <v>0.725</v>
      </c>
      <c r="P218" s="17" t="inlineStr">
        <is>
          <t>DraftKings</t>
        </is>
      </c>
      <c r="Q218" s="17" t="inlineStr">
        <is>
          <t>price outside allowed range</t>
        </is>
      </c>
    </row>
    <row r="219">
      <c r="A219" s="12" t="inlineStr">
        <is>
          <t>PASS</t>
        </is>
      </c>
      <c r="B219" s="12" t="inlineStr">
        <is>
          <t>GAST @ KENN</t>
        </is>
      </c>
      <c r="C219" s="12" t="inlineStr">
        <is>
          <t>2026-09-12 23:00</t>
        </is>
      </c>
      <c r="D219" s="22" t="n">
        <v>2</v>
      </c>
      <c r="E219" s="12" t="inlineStr">
        <is>
          <t>ATS</t>
        </is>
      </c>
      <c r="F219" s="12" t="inlineStr">
        <is>
          <t>KENN -8.5</t>
        </is>
      </c>
      <c r="G219" s="23" t="n">
        <v>-8.5</v>
      </c>
      <c r="H219" s="13" t="n">
        <v>-112</v>
      </c>
      <c r="I219" s="15" t="n">
        <v>0.4368331829038739</v>
      </c>
      <c r="J219" s="15" t="n">
        <v>0.5043297540699688</v>
      </c>
      <c r="K219" s="15" t="n">
        <v>0.5283018867924528</v>
      </c>
      <c r="L219" s="14" t="n">
        <v>-0.08428732623134114</v>
      </c>
      <c r="M219" s="14" t="n">
        <v>-0.1731371895033816</v>
      </c>
      <c r="N219" s="15" t="n">
        <v>0</v>
      </c>
      <c r="O219" s="24" t="n">
        <v>0.725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WSU @ KSU</t>
        </is>
      </c>
      <c r="C220" s="17" t="inlineStr">
        <is>
          <t>2026-09-12 16:00</t>
        </is>
      </c>
      <c r="D220" s="25" t="n">
        <v>2</v>
      </c>
      <c r="E220" s="17" t="inlineStr">
        <is>
          <t>ML</t>
        </is>
      </c>
      <c r="F220" s="17" t="inlineStr">
        <is>
          <t>KSU ML</t>
        </is>
      </c>
      <c r="G220" s="26" t="n"/>
      <c r="H220" s="18" t="n">
        <v>-1350</v>
      </c>
      <c r="I220" s="20" t="n">
        <v>0.7733104781844105</v>
      </c>
      <c r="J220" s="20" t="n">
        <v>0.8933823529411765</v>
      </c>
      <c r="K220" s="20" t="n">
        <v>0.9310344827586207</v>
      </c>
      <c r="L220" s="19" t="n">
        <v>-0.08440740448026644</v>
      </c>
      <c r="M220" s="19" t="n">
        <v>-0.1694072641723</v>
      </c>
      <c r="N220" s="20" t="n">
        <v>0</v>
      </c>
      <c r="O220" s="27" t="n">
        <v>0.725</v>
      </c>
      <c r="P220" s="17" t="inlineStr">
        <is>
          <t>DraftKings</t>
        </is>
      </c>
      <c r="Q220" s="17" t="inlineStr">
        <is>
          <t>price outside allowed range</t>
        </is>
      </c>
    </row>
    <row r="221">
      <c r="A221" s="12" t="inlineStr">
        <is>
          <t>PASS</t>
        </is>
      </c>
      <c r="B221" s="12" t="inlineStr">
        <is>
          <t>MEM @ BOIS</t>
        </is>
      </c>
      <c r="C221" s="12" t="inlineStr">
        <is>
          <t>2026-09-12 22:00</t>
        </is>
      </c>
      <c r="D221" s="22" t="n">
        <v>2</v>
      </c>
      <c r="E221" s="12" t="inlineStr">
        <is>
          <t>ATS</t>
        </is>
      </c>
      <c r="F221" s="12" t="inlineStr">
        <is>
          <t>BOIS -7.5</t>
        </is>
      </c>
      <c r="G221" s="23" t="n">
        <v>-7.5</v>
      </c>
      <c r="H221" s="13" t="n">
        <v>-115</v>
      </c>
      <c r="I221" s="15" t="n">
        <v>0.4400884903626811</v>
      </c>
      <c r="J221" s="15" t="n">
        <v>0.5108342361863488</v>
      </c>
      <c r="K221" s="15" t="n">
        <v>0.5348837209302325</v>
      </c>
      <c r="L221" s="14" t="n">
        <v>-0.08523624890652033</v>
      </c>
      <c r="M221" s="14" t="n">
        <v>-0.1772258658436833</v>
      </c>
      <c r="N221" s="15" t="n">
        <v>0</v>
      </c>
      <c r="O221" s="24" t="n">
        <v>0.725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GASO @ CLEM</t>
        </is>
      </c>
      <c r="C222" s="17" t="inlineStr">
        <is>
          <t>2026-09-12 23:30</t>
        </is>
      </c>
      <c r="D222" s="25" t="n">
        <v>2</v>
      </c>
      <c r="E222" s="17" t="inlineStr">
        <is>
          <t>TOTAL</t>
        </is>
      </c>
      <c r="F222" s="17" t="inlineStr">
        <is>
          <t>Over 55.5</t>
        </is>
      </c>
      <c r="G222" s="26" t="n">
        <v>55.5</v>
      </c>
      <c r="H222" s="18" t="n">
        <v>-102</v>
      </c>
      <c r="I222" s="20" t="n">
        <v>0.4154220247636051</v>
      </c>
      <c r="J222" s="20" t="n">
        <v>0.4826358742837298</v>
      </c>
      <c r="K222" s="20" t="n">
        <v>0.504950495049505</v>
      </c>
      <c r="L222" s="19" t="n">
        <v>-0.08538597362081086</v>
      </c>
      <c r="M222" s="19" t="n">
        <v>-0.1773014803701154</v>
      </c>
      <c r="N222" s="20" t="n">
        <v>0</v>
      </c>
      <c r="O222" s="27" t="n">
        <v>0.725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APP @ ECU</t>
        </is>
      </c>
      <c r="C223" s="12" t="inlineStr">
        <is>
          <t>2026-09-12 16:00</t>
        </is>
      </c>
      <c r="D223" s="22" t="n">
        <v>2</v>
      </c>
      <c r="E223" s="12" t="inlineStr">
        <is>
          <t>TOTAL</t>
        </is>
      </c>
      <c r="F223" s="12" t="inlineStr">
        <is>
          <t>Over 56.5</t>
        </is>
      </c>
      <c r="G223" s="23" t="n">
        <v>56.5</v>
      </c>
      <c r="H223" s="13" t="n">
        <v>-108</v>
      </c>
      <c r="I223" s="15" t="n">
        <v>0.4256520129132683</v>
      </c>
      <c r="J223" s="15" t="n">
        <v>0.4956702459300312</v>
      </c>
      <c r="K223" s="15" t="n">
        <v>0.5192307692307693</v>
      </c>
      <c r="L223" s="14" t="n">
        <v>-0.08576228740980593</v>
      </c>
      <c r="M223" s="14" t="n">
        <v>-0.1802257529077796</v>
      </c>
      <c r="N223" s="15" t="n">
        <v>0</v>
      </c>
      <c r="O223" s="24" t="n">
        <v>0.725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BGSU @ NEB</t>
        </is>
      </c>
      <c r="C224" s="17" t="inlineStr">
        <is>
          <t>2026-09-12 23:00</t>
        </is>
      </c>
      <c r="D224" s="25" t="n">
        <v>2</v>
      </c>
      <c r="E224" s="17" t="inlineStr">
        <is>
          <t>ML</t>
        </is>
      </c>
      <c r="F224" s="17" t="inlineStr">
        <is>
          <t>NEB ML</t>
        </is>
      </c>
      <c r="G224" s="26" t="n"/>
      <c r="H224" s="18" t="n">
        <v>-8000</v>
      </c>
      <c r="I224" s="20" t="n">
        <v>0.8215853037699852</v>
      </c>
      <c r="J224" s="20" t="n">
        <v>0.9578344612181156</v>
      </c>
      <c r="K224" s="20" t="n">
        <v>0.9876543209876543</v>
      </c>
      <c r="L224" s="19" t="n">
        <v>-0.08594326989794188</v>
      </c>
      <c r="M224" s="19" t="n">
        <v>-0.1681448799328901</v>
      </c>
      <c r="N224" s="20" t="n">
        <v>0</v>
      </c>
      <c r="O224" s="27" t="n">
        <v>0.725</v>
      </c>
      <c r="P224" s="17" t="inlineStr">
        <is>
          <t>DraftKings</t>
        </is>
      </c>
      <c r="Q224" s="17" t="inlineStr">
        <is>
          <t>price outside allowed range</t>
        </is>
      </c>
    </row>
    <row r="225">
      <c r="A225" s="12" t="inlineStr">
        <is>
          <t>PASS</t>
        </is>
      </c>
      <c r="B225" s="12" t="inlineStr">
        <is>
          <t>SAC @ FRES</t>
        </is>
      </c>
      <c r="C225" s="12" t="inlineStr">
        <is>
          <t>2026-09-13 02:30</t>
        </is>
      </c>
      <c r="D225" s="22" t="n">
        <v>2</v>
      </c>
      <c r="E225" s="12" t="inlineStr">
        <is>
          <t>ML</t>
        </is>
      </c>
      <c r="F225" s="12" t="inlineStr">
        <is>
          <t>FRES ML</t>
        </is>
      </c>
      <c r="G225" s="23" t="n"/>
      <c r="H225" s="13" t="n">
        <v>-950</v>
      </c>
      <c r="I225" s="15" t="n">
        <v>0.744031949459431</v>
      </c>
      <c r="J225" s="15" t="n">
        <v>0.8677165354330709</v>
      </c>
      <c r="K225" s="15" t="n">
        <v>0.9047619047619048</v>
      </c>
      <c r="L225" s="14" t="n">
        <v>-0.08599636600438569</v>
      </c>
      <c r="M225" s="14" t="n">
        <v>-0.1776488979658922</v>
      </c>
      <c r="N225" s="15" t="n">
        <v>0</v>
      </c>
      <c r="O225" s="24" t="n">
        <v>0.725</v>
      </c>
      <c r="P225" s="12" t="inlineStr">
        <is>
          <t>DraftKings</t>
        </is>
      </c>
      <c r="Q225" s="12" t="inlineStr">
        <is>
          <t>price outside allowed range</t>
        </is>
      </c>
    </row>
    <row r="226">
      <c r="A226" s="17" t="inlineStr">
        <is>
          <t>PASS</t>
        </is>
      </c>
      <c r="B226" s="17" t="inlineStr">
        <is>
          <t>CAL @ SYR</t>
        </is>
      </c>
      <c r="C226" s="17" t="inlineStr">
        <is>
          <t>2026-09-12 19:30</t>
        </is>
      </c>
      <c r="D226" s="25" t="n">
        <v>2</v>
      </c>
      <c r="E226" s="17" t="inlineStr">
        <is>
          <t>ML</t>
        </is>
      </c>
      <c r="F226" s="17" t="inlineStr">
        <is>
          <t>CAL ML</t>
        </is>
      </c>
      <c r="G226" s="26" t="n"/>
      <c r="H226" s="18" t="n">
        <v>136</v>
      </c>
      <c r="I226" s="20" t="n">
        <v>0.3485843535524041</v>
      </c>
      <c r="J226" s="20" t="n">
        <v>0.4066302458405761</v>
      </c>
      <c r="K226" s="20" t="n">
        <v>0.423728813559322</v>
      </c>
      <c r="L226" s="19" t="n">
        <v>-0.0860338988444569</v>
      </c>
      <c r="M226" s="19" t="n">
        <v>-0.1773409256163261</v>
      </c>
      <c r="N226" s="20" t="n">
        <v>0</v>
      </c>
      <c r="O226" s="27" t="n">
        <v>0.725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USU @ WASH</t>
        </is>
      </c>
      <c r="C227" s="12" t="inlineStr">
        <is>
          <t>2026-09-12 19:30</t>
        </is>
      </c>
      <c r="D227" s="22" t="n">
        <v>2</v>
      </c>
      <c r="E227" s="12" t="inlineStr">
        <is>
          <t>ML</t>
        </is>
      </c>
      <c r="F227" s="12" t="inlineStr">
        <is>
          <t>WASH ML</t>
        </is>
      </c>
      <c r="G227" s="23" t="n"/>
      <c r="H227" s="13" t="n">
        <v>-4000</v>
      </c>
      <c r="I227" s="15" t="n">
        <v>0.8050984210088709</v>
      </c>
      <c r="J227" s="15" t="n">
        <v>0.9431345353675451</v>
      </c>
      <c r="K227" s="15" t="n">
        <v>0.975609756097561</v>
      </c>
      <c r="L227" s="14" t="n">
        <v>-0.08666132348143959</v>
      </c>
      <c r="M227" s="14" t="n">
        <v>-0.1747741184659074</v>
      </c>
      <c r="N227" s="15" t="n">
        <v>0</v>
      </c>
      <c r="O227" s="24" t="n">
        <v>0.725</v>
      </c>
      <c r="P227" s="12" t="inlineStr">
        <is>
          <t>DraftKings</t>
        </is>
      </c>
      <c r="Q227" s="12" t="inlineStr">
        <is>
          <t>price outside allowed range</t>
        </is>
      </c>
    </row>
    <row r="228">
      <c r="A228" s="17" t="inlineStr">
        <is>
          <t>PASS</t>
        </is>
      </c>
      <c r="B228" s="17" t="inlineStr">
        <is>
          <t>OSU @ TEX</t>
        </is>
      </c>
      <c r="C228" s="17" t="inlineStr">
        <is>
          <t>2026-09-12 23:30</t>
        </is>
      </c>
      <c r="D228" s="25" t="n">
        <v>2</v>
      </c>
      <c r="E228" s="17" t="inlineStr">
        <is>
          <t>TOTAL</t>
        </is>
      </c>
      <c r="F228" s="17" t="inlineStr">
        <is>
          <t>Under 48.5</t>
        </is>
      </c>
      <c r="G228" s="26" t="n">
        <v>48.5</v>
      </c>
      <c r="H228" s="18" t="n">
        <v>-112</v>
      </c>
      <c r="I228" s="20" t="n">
        <v>0.4281218026230361</v>
      </c>
      <c r="J228" s="20" t="n">
        <v>0.5043297540699688</v>
      </c>
      <c r="K228" s="20" t="n">
        <v>0.5283018867924528</v>
      </c>
      <c r="L228" s="19" t="n">
        <v>-0.08742298057087179</v>
      </c>
      <c r="M228" s="19" t="n">
        <v>-0.1896265878921102</v>
      </c>
      <c r="N228" s="20" t="n">
        <v>0</v>
      </c>
      <c r="O228" s="27" t="n">
        <v>0.725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APP @ ECU</t>
        </is>
      </c>
      <c r="C229" s="12" t="inlineStr">
        <is>
          <t>2026-09-12 16:00</t>
        </is>
      </c>
      <c r="D229" s="22" t="n">
        <v>2</v>
      </c>
      <c r="E229" s="12" t="inlineStr">
        <is>
          <t>ATS</t>
        </is>
      </c>
      <c r="F229" s="12" t="inlineStr">
        <is>
          <t>ECU -8.5</t>
        </is>
      </c>
      <c r="G229" s="23" t="n">
        <v>-8.5</v>
      </c>
      <c r="H229" s="13" t="n">
        <v>-105</v>
      </c>
      <c r="I229" s="15" t="n">
        <v>0.4137810226626101</v>
      </c>
      <c r="J229" s="15" t="n">
        <v>0.4891657638136511</v>
      </c>
      <c r="K229" s="15" t="n">
        <v>0.5121951219512195</v>
      </c>
      <c r="L229" s="14" t="n">
        <v>-0.08786952767176423</v>
      </c>
      <c r="M229" s="14" t="n">
        <v>-0.1921418128968089</v>
      </c>
      <c r="N229" s="15" t="n">
        <v>0</v>
      </c>
      <c r="O229" s="24" t="n">
        <v>0.725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GASO @ CLEM</t>
        </is>
      </c>
      <c r="C230" s="17" t="inlineStr">
        <is>
          <t>2026-09-12 23:30</t>
        </is>
      </c>
      <c r="D230" s="25" t="n">
        <v>2</v>
      </c>
      <c r="E230" s="17" t="inlineStr">
        <is>
          <t>ML</t>
        </is>
      </c>
      <c r="F230" s="17" t="inlineStr">
        <is>
          <t>CLEM ML</t>
        </is>
      </c>
      <c r="G230" s="26" t="n"/>
      <c r="H230" s="18" t="n">
        <v>-1350</v>
      </c>
      <c r="I230" s="20" t="n">
        <v>0.7521634718873345</v>
      </c>
      <c r="J230" s="20" t="n">
        <v>0.8933823529411765</v>
      </c>
      <c r="K230" s="20" t="n">
        <v>0.9310344827586207</v>
      </c>
      <c r="L230" s="19" t="n">
        <v>-0.0884205789969317</v>
      </c>
      <c r="M230" s="19" t="n">
        <v>-0.1921207153802705</v>
      </c>
      <c r="N230" s="20" t="n">
        <v>0</v>
      </c>
      <c r="O230" s="27" t="n">
        <v>0.725</v>
      </c>
      <c r="P230" s="17" t="inlineStr">
        <is>
          <t>DraftKings</t>
        </is>
      </c>
      <c r="Q230" s="17" t="inlineStr">
        <is>
          <t>price outside allowed range</t>
        </is>
      </c>
    </row>
    <row r="231">
      <c r="A231" s="12" t="inlineStr">
        <is>
          <t>PASS</t>
        </is>
      </c>
      <c r="B231" s="12" t="inlineStr">
        <is>
          <t>DEL @ VAN</t>
        </is>
      </c>
      <c r="C231" s="12" t="inlineStr">
        <is>
          <t>2026-09-12 20:15</t>
        </is>
      </c>
      <c r="D231" s="22" t="n">
        <v>2</v>
      </c>
      <c r="E231" s="12" t="inlineStr">
        <is>
          <t>ML</t>
        </is>
      </c>
      <c r="F231" s="12" t="inlineStr">
        <is>
          <t>VAN ML</t>
        </is>
      </c>
      <c r="G231" s="23" t="n"/>
      <c r="H231" s="13" t="n">
        <v>-1600</v>
      </c>
      <c r="I231" s="15" t="n">
        <v>0.758420220245654</v>
      </c>
      <c r="J231" s="15" t="n">
        <v>0.9039548022598869</v>
      </c>
      <c r="K231" s="15" t="n">
        <v>0.9411764705882353</v>
      </c>
      <c r="L231" s="14" t="n">
        <v>-0.08880074906758545</v>
      </c>
      <c r="M231" s="14" t="n">
        <v>-0.1941785159889926</v>
      </c>
      <c r="N231" s="15" t="n">
        <v>0</v>
      </c>
      <c r="O231" s="24" t="n">
        <v>0.725</v>
      </c>
      <c r="P231" s="12" t="inlineStr">
        <is>
          <t>DraftKings</t>
        </is>
      </c>
      <c r="Q231" s="12" t="inlineStr">
        <is>
          <t>price outside allowed range</t>
        </is>
      </c>
    </row>
    <row r="232">
      <c r="A232" s="17" t="inlineStr">
        <is>
          <t>PASS</t>
        </is>
      </c>
      <c r="B232" s="17" t="inlineStr">
        <is>
          <t>USU @ WASH</t>
        </is>
      </c>
      <c r="C232" s="17" t="inlineStr">
        <is>
          <t>2026-09-12 19:30</t>
        </is>
      </c>
      <c r="D232" s="25" t="n">
        <v>2</v>
      </c>
      <c r="E232" s="17" t="inlineStr">
        <is>
          <t>TOTAL</t>
        </is>
      </c>
      <c r="F232" s="17" t="inlineStr">
        <is>
          <t>Over 55.5</t>
        </is>
      </c>
      <c r="G232" s="26" t="n">
        <v>55.5</v>
      </c>
      <c r="H232" s="18" t="n">
        <v>-112</v>
      </c>
      <c r="I232" s="20" t="n">
        <v>0.4225850264573919</v>
      </c>
      <c r="J232" s="20" t="n">
        <v>0.5043297540699688</v>
      </c>
      <c r="K232" s="20" t="n">
        <v>0.5283018867924528</v>
      </c>
      <c r="L232" s="19" t="n">
        <v>-0.08893668040854573</v>
      </c>
      <c r="M232" s="19" t="n">
        <v>-0.200106914205651</v>
      </c>
      <c r="N232" s="20" t="n">
        <v>0</v>
      </c>
      <c r="O232" s="27" t="n">
        <v>0.725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UNLV @ UNT</t>
        </is>
      </c>
      <c r="C233" s="12" t="inlineStr">
        <is>
          <t>2026-09-12 19:45</t>
        </is>
      </c>
      <c r="D233" s="22" t="n">
        <v>2</v>
      </c>
      <c r="E233" s="12" t="inlineStr">
        <is>
          <t>TOTAL</t>
        </is>
      </c>
      <c r="F233" s="12" t="inlineStr">
        <is>
          <t>Over 57.5</t>
        </is>
      </c>
      <c r="G233" s="23" t="n">
        <v>57.5</v>
      </c>
      <c r="H233" s="13" t="n">
        <v>-105</v>
      </c>
      <c r="I233" s="15" t="n">
        <v>0.4095339426138402</v>
      </c>
      <c r="J233" s="15" t="n">
        <v>0.4891657638136511</v>
      </c>
      <c r="K233" s="15" t="n">
        <v>0.5121951219512195</v>
      </c>
      <c r="L233" s="14" t="n">
        <v>-0.08902322330321495</v>
      </c>
      <c r="M233" s="14" t="n">
        <v>-0.2004337310872644</v>
      </c>
      <c r="N233" s="15" t="n">
        <v>0</v>
      </c>
      <c r="O233" s="24" t="n">
        <v>0.725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UL @ USC</t>
        </is>
      </c>
      <c r="C234" s="17" t="inlineStr">
        <is>
          <t>2026-09-13 03:00</t>
        </is>
      </c>
      <c r="D234" s="25" t="n">
        <v>2</v>
      </c>
      <c r="E234" s="17" t="inlineStr">
        <is>
          <t>ML</t>
        </is>
      </c>
      <c r="F234" s="17" t="inlineStr">
        <is>
          <t>USC ML</t>
        </is>
      </c>
      <c r="G234" s="26" t="n"/>
      <c r="H234" s="18" t="n">
        <v>-10000</v>
      </c>
      <c r="I234" s="20" t="n">
        <v>0.8088307467997274</v>
      </c>
      <c r="J234" s="20" t="n">
        <v>0.9684473601999376</v>
      </c>
      <c r="K234" s="20" t="n">
        <v>0.9900990099009901</v>
      </c>
      <c r="L234" s="19" t="n">
        <v>-0.0892652498934091</v>
      </c>
      <c r="M234" s="19" t="n">
        <v>-0.1830809457322753</v>
      </c>
      <c r="N234" s="20" t="n">
        <v>0</v>
      </c>
      <c r="O234" s="27" t="n">
        <v>0.725</v>
      </c>
      <c r="P234" s="17" t="inlineStr">
        <is>
          <t>DraftKings</t>
        </is>
      </c>
      <c r="Q234" s="17" t="inlineStr">
        <is>
          <t>price outside allowed range</t>
        </is>
      </c>
    </row>
    <row r="235">
      <c r="A235" s="12" t="inlineStr">
        <is>
          <t>PASS</t>
        </is>
      </c>
      <c r="B235" s="12" t="inlineStr">
        <is>
          <t>MSST @ MINN</t>
        </is>
      </c>
      <c r="C235" s="12" t="inlineStr">
        <is>
          <t>2026-09-12 19:30</t>
        </is>
      </c>
      <c r="D235" s="22" t="n">
        <v>2</v>
      </c>
      <c r="E235" s="12" t="inlineStr">
        <is>
          <t>ML</t>
        </is>
      </c>
      <c r="F235" s="12" t="inlineStr">
        <is>
          <t>MSST ML</t>
        </is>
      </c>
      <c r="G235" s="23" t="n"/>
      <c r="H235" s="13" t="n">
        <v>-120</v>
      </c>
      <c r="I235" s="15" t="n">
        <v>0.4353224605496967</v>
      </c>
      <c r="J235" s="15" t="n">
        <v>0.5217391304347826</v>
      </c>
      <c r="K235" s="15" t="n">
        <v>0.5454545454545454</v>
      </c>
      <c r="L235" s="14" t="n">
        <v>-0.08935990221300544</v>
      </c>
      <c r="M235" s="14" t="n">
        <v>-0.201908822325556</v>
      </c>
      <c r="N235" s="15" t="n">
        <v>0</v>
      </c>
      <c r="O235" s="24" t="n">
        <v>0.725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USM @ AUB</t>
        </is>
      </c>
      <c r="C236" s="17" t="inlineStr">
        <is>
          <t>2026-09-12 23:45</t>
        </is>
      </c>
      <c r="D236" s="25" t="n">
        <v>2</v>
      </c>
      <c r="E236" s="17" t="inlineStr">
        <is>
          <t>ML</t>
        </is>
      </c>
      <c r="F236" s="17" t="inlineStr">
        <is>
          <t>AUB ML</t>
        </is>
      </c>
      <c r="G236" s="26" t="n"/>
      <c r="H236" s="18" t="n">
        <v>-8000</v>
      </c>
      <c r="I236" s="20" t="n">
        <v>0.794988968440469</v>
      </c>
      <c r="J236" s="20" t="n">
        <v>0.9578344612181156</v>
      </c>
      <c r="K236" s="20" t="n">
        <v>0.9876543209876543</v>
      </c>
      <c r="L236" s="19" t="n">
        <v>-0.08984347781388627</v>
      </c>
      <c r="M236" s="19" t="n">
        <v>-0.1950736694540253</v>
      </c>
      <c r="N236" s="20" t="n">
        <v>0</v>
      </c>
      <c r="O236" s="27" t="n">
        <v>0.725</v>
      </c>
      <c r="P236" s="17" t="inlineStr">
        <is>
          <t>DraftKings</t>
        </is>
      </c>
      <c r="Q236" s="17" t="inlineStr">
        <is>
          <t>price outside allowed range</t>
        </is>
      </c>
    </row>
    <row r="237">
      <c r="A237" s="12" t="inlineStr">
        <is>
          <t>PASS</t>
        </is>
      </c>
      <c r="B237" s="12" t="inlineStr">
        <is>
          <t>NAVY @ FAU</t>
        </is>
      </c>
      <c r="C237" s="12" t="inlineStr">
        <is>
          <t>2026-09-12 23:30</t>
        </is>
      </c>
      <c r="D237" s="22" t="n">
        <v>2</v>
      </c>
      <c r="E237" s="12" t="inlineStr">
        <is>
          <t>TOTAL</t>
        </is>
      </c>
      <c r="F237" s="12" t="inlineStr">
        <is>
          <t>Over 59.5</t>
        </is>
      </c>
      <c r="G237" s="23" t="n">
        <v>59.5</v>
      </c>
      <c r="H237" s="13" t="n">
        <v>-108</v>
      </c>
      <c r="I237" s="15" t="n">
        <v>0.4109789083938344</v>
      </c>
      <c r="J237" s="15" t="n">
        <v>0.4956702459300312</v>
      </c>
      <c r="K237" s="15" t="n">
        <v>0.5192307692307693</v>
      </c>
      <c r="L237" s="14" t="n">
        <v>-0.08993228730353812</v>
      </c>
      <c r="M237" s="14" t="n">
        <v>-0.2084850653155781</v>
      </c>
      <c r="N237" s="15" t="n">
        <v>0</v>
      </c>
      <c r="O237" s="24" t="n">
        <v>0.725</v>
      </c>
      <c r="P237" s="12" t="inlineStr">
        <is>
          <t>DraftKings</t>
        </is>
      </c>
      <c r="Q237" s="12" t="n"/>
    </row>
    <row r="238">
      <c r="A238" s="17" t="inlineStr">
        <is>
          <t>PASS</t>
        </is>
      </c>
      <c r="B238" s="17" t="inlineStr">
        <is>
          <t>LT @ LSU</t>
        </is>
      </c>
      <c r="C238" s="17" t="inlineStr">
        <is>
          <t>2026-09-12 23:30</t>
        </is>
      </c>
      <c r="D238" s="25" t="n">
        <v>2</v>
      </c>
      <c r="E238" s="17" t="inlineStr">
        <is>
          <t>ML</t>
        </is>
      </c>
      <c r="F238" s="17" t="inlineStr">
        <is>
          <t>LSU ML</t>
        </is>
      </c>
      <c r="G238" s="26" t="n"/>
      <c r="H238" s="18" t="n">
        <v>-20000</v>
      </c>
      <c r="I238" s="20" t="n">
        <v>0.8019462060279081</v>
      </c>
      <c r="J238" s="20" t="n">
        <v>0.9728415079043372</v>
      </c>
      <c r="K238" s="20" t="n">
        <v>0.9950248756218906</v>
      </c>
      <c r="L238" s="19" t="n">
        <v>-0.09040796035509695</v>
      </c>
      <c r="M238" s="19" t="n">
        <v>-0.1940440629419524</v>
      </c>
      <c r="N238" s="20" t="n">
        <v>0</v>
      </c>
      <c r="O238" s="27" t="n">
        <v>0.725</v>
      </c>
      <c r="P238" s="17" t="inlineStr">
        <is>
          <t>DraftKings</t>
        </is>
      </c>
      <c r="Q238" s="17" t="inlineStr">
        <is>
          <t>price outside allowed range</t>
        </is>
      </c>
    </row>
    <row r="239">
      <c r="A239" s="12" t="inlineStr">
        <is>
          <t>PASS</t>
        </is>
      </c>
      <c r="B239" s="12" t="inlineStr">
        <is>
          <t>BUFF @ FIU</t>
        </is>
      </c>
      <c r="C239" s="12" t="inlineStr">
        <is>
          <t>2026-09-12 22:00</t>
        </is>
      </c>
      <c r="D239" s="22" t="n">
        <v>2</v>
      </c>
      <c r="E239" s="12" t="inlineStr">
        <is>
          <t>ATS</t>
        </is>
      </c>
      <c r="F239" s="12" t="inlineStr">
        <is>
          <t>FIU -10.5</t>
        </is>
      </c>
      <c r="G239" s="23" t="n">
        <v>-10.5</v>
      </c>
      <c r="H239" s="13" t="n">
        <v>100</v>
      </c>
      <c r="I239" s="15" t="n">
        <v>0.3940355489013019</v>
      </c>
      <c r="J239" s="15" t="n">
        <v>0.4782608695652174</v>
      </c>
      <c r="K239" s="15" t="n">
        <v>0.5</v>
      </c>
      <c r="L239" s="14" t="n">
        <v>-0.09044941377304067</v>
      </c>
      <c r="M239" s="14" t="n">
        <v>-0.2119289021973962</v>
      </c>
      <c r="N239" s="15" t="n">
        <v>0</v>
      </c>
      <c r="O239" s="24" t="n">
        <v>0.725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ULM @ UAB</t>
        </is>
      </c>
      <c r="C240" s="17" t="inlineStr">
        <is>
          <t>2026-09-12 19:30</t>
        </is>
      </c>
      <c r="D240" s="25" t="n">
        <v>2</v>
      </c>
      <c r="E240" s="17" t="inlineStr">
        <is>
          <t>ATS</t>
        </is>
      </c>
      <c r="F240" s="17" t="inlineStr">
        <is>
          <t>UAB -10.5</t>
        </is>
      </c>
      <c r="G240" s="26" t="n">
        <v>-10.5</v>
      </c>
      <c r="H240" s="18" t="n">
        <v>-110</v>
      </c>
      <c r="I240" s="20" t="n">
        <v>0.4084262659602951</v>
      </c>
      <c r="J240" s="20" t="n">
        <v>0.5</v>
      </c>
      <c r="K240" s="20" t="n">
        <v>0.5238095238095238</v>
      </c>
      <c r="L240" s="19" t="n">
        <v>-0.09106326931533761</v>
      </c>
      <c r="M240" s="19" t="n">
        <v>-0.2202771286212547</v>
      </c>
      <c r="N240" s="20" t="n">
        <v>0</v>
      </c>
      <c r="O240" s="27" t="n">
        <v>0.725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MSST @ MINN</t>
        </is>
      </c>
      <c r="C241" s="12" t="inlineStr">
        <is>
          <t>2026-09-12 19:30</t>
        </is>
      </c>
      <c r="D241" s="22" t="n">
        <v>2</v>
      </c>
      <c r="E241" s="12" t="inlineStr">
        <is>
          <t>ATS</t>
        </is>
      </c>
      <c r="F241" s="12" t="inlineStr">
        <is>
          <t>MSST -1.5</t>
        </is>
      </c>
      <c r="G241" s="23" t="n">
        <v>1.5</v>
      </c>
      <c r="H241" s="13" t="n">
        <v>-110</v>
      </c>
      <c r="I241" s="15" t="n">
        <v>0.4078183711338896</v>
      </c>
      <c r="J241" s="15" t="n">
        <v>0.5</v>
      </c>
      <c r="K241" s="15" t="n">
        <v>0.5238095238095238</v>
      </c>
      <c r="L241" s="14" t="n">
        <v>-0.09116074333798416</v>
      </c>
      <c r="M241" s="14" t="n">
        <v>-0.2214376551080288</v>
      </c>
      <c r="N241" s="15" t="n">
        <v>0</v>
      </c>
      <c r="O241" s="24" t="n">
        <v>0.725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MTSU @ MRSH</t>
        </is>
      </c>
      <c r="C242" s="17" t="inlineStr">
        <is>
          <t>2026-09-12 23:00</t>
        </is>
      </c>
      <c r="D242" s="25" t="n">
        <v>2</v>
      </c>
      <c r="E242" s="17" t="inlineStr">
        <is>
          <t>TOTAL</t>
        </is>
      </c>
      <c r="F242" s="17" t="inlineStr">
        <is>
          <t>Over 57.5</t>
        </is>
      </c>
      <c r="G242" s="26" t="n">
        <v>57.5</v>
      </c>
      <c r="H242" s="18" t="n">
        <v>-105</v>
      </c>
      <c r="I242" s="20" t="n">
        <v>0.398814957170634</v>
      </c>
      <c r="J242" s="20" t="n">
        <v>0.4891657638136511</v>
      </c>
      <c r="K242" s="20" t="n">
        <v>0.5121951219512195</v>
      </c>
      <c r="L242" s="19" t="n">
        <v>-0.09118762443836274</v>
      </c>
      <c r="M242" s="19" t="n">
        <v>-0.2213612740954288</v>
      </c>
      <c r="N242" s="20" t="n">
        <v>0</v>
      </c>
      <c r="O242" s="27" t="n">
        <v>0.725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NDSU @ AFA</t>
        </is>
      </c>
      <c r="C243" s="12" t="inlineStr">
        <is>
          <t>2026-09-13 02:00</t>
        </is>
      </c>
      <c r="D243" s="22" t="n">
        <v>2</v>
      </c>
      <c r="E243" s="12" t="inlineStr">
        <is>
          <t>ML</t>
        </is>
      </c>
      <c r="F243" s="12" t="inlineStr">
        <is>
          <t>NDSU ML</t>
        </is>
      </c>
      <c r="G243" s="23" t="n"/>
      <c r="H243" s="13" t="n">
        <v>-162</v>
      </c>
      <c r="I243" s="15" t="n">
        <v>0.4818429816973318</v>
      </c>
      <c r="J243" s="15" t="n">
        <v>0.5933697541594239</v>
      </c>
      <c r="K243" s="15" t="n">
        <v>0.6183206106870229</v>
      </c>
      <c r="L243" s="14" t="n">
        <v>-0.0914350957124348</v>
      </c>
      <c r="M243" s="14" t="n">
        <v>-0.2207230789833277</v>
      </c>
      <c r="N243" s="15" t="n">
        <v>0</v>
      </c>
      <c r="O243" s="24" t="n">
        <v>0.725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SMU @ FSU</t>
        </is>
      </c>
      <c r="C244" s="17" t="inlineStr">
        <is>
          <t>2026-09-07 23:30</t>
        </is>
      </c>
      <c r="D244" s="25" t="n">
        <v>1</v>
      </c>
      <c r="E244" s="17" t="inlineStr">
        <is>
          <t>ML</t>
        </is>
      </c>
      <c r="F244" s="17" t="inlineStr">
        <is>
          <t>SMU ML</t>
        </is>
      </c>
      <c r="G244" s="26" t="n"/>
      <c r="H244" s="18" t="n">
        <v>-155</v>
      </c>
      <c r="I244" s="20" t="n">
        <v>0.4721575386545027</v>
      </c>
      <c r="J244" s="20" t="n">
        <v>0.5829926410466066</v>
      </c>
      <c r="K244" s="20" t="n">
        <v>0.6078431372549019</v>
      </c>
      <c r="L244" s="19" t="n">
        <v>-0.09159066975838528</v>
      </c>
      <c r="M244" s="19" t="n">
        <v>-0.2232246944716246</v>
      </c>
      <c r="N244" s="20" t="n">
        <v>0</v>
      </c>
      <c r="O244" s="27" t="n">
        <v>0.4</v>
      </c>
      <c r="P244" s="17" t="inlineStr">
        <is>
          <t>DraftKings</t>
        </is>
      </c>
      <c r="Q244" s="17" t="inlineStr">
        <is>
          <t>raw model/market disagreement exceeds the safety limit</t>
        </is>
      </c>
    </row>
    <row r="245">
      <c r="A245" s="12" t="inlineStr">
        <is>
          <t>PASS</t>
        </is>
      </c>
      <c r="B245" s="12" t="inlineStr">
        <is>
          <t>USA @ TULN</t>
        </is>
      </c>
      <c r="C245" s="12" t="inlineStr">
        <is>
          <t>2026-09-12 23:00</t>
        </is>
      </c>
      <c r="D245" s="22" t="n">
        <v>2</v>
      </c>
      <c r="E245" s="12" t="inlineStr">
        <is>
          <t>ATS</t>
        </is>
      </c>
      <c r="F245" s="12" t="inlineStr">
        <is>
          <t>TULN -10.5</t>
        </is>
      </c>
      <c r="G245" s="23" t="n">
        <v>-10.5</v>
      </c>
      <c r="H245" s="13" t="n">
        <v>-105</v>
      </c>
      <c r="I245" s="15" t="n">
        <v>0.3939577907508887</v>
      </c>
      <c r="J245" s="15" t="n">
        <v>0.4891657638136511</v>
      </c>
      <c r="K245" s="15" t="n">
        <v>0.5121951219512195</v>
      </c>
      <c r="L245" s="14" t="n">
        <v>-0.09189503371651488</v>
      </c>
      <c r="M245" s="14" t="n">
        <v>-0.2308443132958841</v>
      </c>
      <c r="N245" s="15" t="n">
        <v>0</v>
      </c>
      <c r="O245" s="24" t="n">
        <v>0.725</v>
      </c>
      <c r="P245" s="12" t="inlineStr">
        <is>
          <t>DraftKings</t>
        </is>
      </c>
      <c r="Q245" s="12" t="n"/>
    </row>
    <row r="246">
      <c r="A246" s="17" t="inlineStr">
        <is>
          <t>PASS</t>
        </is>
      </c>
      <c r="B246" s="17" t="inlineStr">
        <is>
          <t>SDSU @ UCLA</t>
        </is>
      </c>
      <c r="C246" s="17" t="inlineStr">
        <is>
          <t>2026-09-12 23:15</t>
        </is>
      </c>
      <c r="D246" s="25" t="n">
        <v>2</v>
      </c>
      <c r="E246" s="17" t="inlineStr">
        <is>
          <t>ATS</t>
        </is>
      </c>
      <c r="F246" s="17" t="inlineStr">
        <is>
          <t>UCLA -11.5</t>
        </is>
      </c>
      <c r="G246" s="26" t="n">
        <v>-11.5</v>
      </c>
      <c r="H246" s="18" t="n">
        <v>-112</v>
      </c>
      <c r="I246" s="20" t="n">
        <v>0.4053862487037666</v>
      </c>
      <c r="J246" s="20" t="n">
        <v>0.5043297540699688</v>
      </c>
      <c r="K246" s="20" t="n">
        <v>0.5283018867924528</v>
      </c>
      <c r="L246" s="19" t="n">
        <v>-0.09199343764203832</v>
      </c>
      <c r="M246" s="19" t="n">
        <v>-0.2326617435250132</v>
      </c>
      <c r="N246" s="20" t="n">
        <v>0</v>
      </c>
      <c r="O246" s="27" t="n">
        <v>0.725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SAC @ FRES</t>
        </is>
      </c>
      <c r="C247" s="12" t="inlineStr">
        <is>
          <t>2026-09-13 02:30</t>
        </is>
      </c>
      <c r="D247" s="22" t="n">
        <v>2</v>
      </c>
      <c r="E247" s="12" t="inlineStr">
        <is>
          <t>TOTAL</t>
        </is>
      </c>
      <c r="F247" s="12" t="inlineStr">
        <is>
          <t>Under 45.5</t>
        </is>
      </c>
      <c r="G247" s="23" t="n">
        <v>45.5</v>
      </c>
      <c r="H247" s="13" t="n">
        <v>-115</v>
      </c>
      <c r="I247" s="15" t="n">
        <v>0.4078926798989941</v>
      </c>
      <c r="J247" s="15" t="n">
        <v>0.5108342361863488</v>
      </c>
      <c r="K247" s="15" t="n">
        <v>0.5348837209302325</v>
      </c>
      <c r="L247" s="14" t="n">
        <v>-0.092307957312099</v>
      </c>
      <c r="M247" s="14" t="n">
        <v>-0.2374180332323154</v>
      </c>
      <c r="N247" s="15" t="n">
        <v>0</v>
      </c>
      <c r="O247" s="24" t="n">
        <v>0.725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UNLV @ UNT</t>
        </is>
      </c>
      <c r="C248" s="17" t="inlineStr">
        <is>
          <t>2026-09-12 19:45</t>
        </is>
      </c>
      <c r="D248" s="25" t="n">
        <v>2</v>
      </c>
      <c r="E248" s="17" t="inlineStr">
        <is>
          <t>ML</t>
        </is>
      </c>
      <c r="F248" s="17" t="inlineStr">
        <is>
          <t>UNLV ML</t>
        </is>
      </c>
      <c r="G248" s="26" t="n"/>
      <c r="H248" s="18" t="n">
        <v>-185</v>
      </c>
      <c r="I248" s="20" t="n">
        <v>0.4969387807326819</v>
      </c>
      <c r="J248" s="20" t="n">
        <v>0.6224665518611737</v>
      </c>
      <c r="K248" s="20" t="n">
        <v>0.6491228070175439</v>
      </c>
      <c r="L248" s="19" t="n">
        <v>-0.09231606434722027</v>
      </c>
      <c r="M248" s="19" t="n">
        <v>-0.234445662114517</v>
      </c>
      <c r="N248" s="20" t="n">
        <v>0</v>
      </c>
      <c r="O248" s="27" t="n">
        <v>0.725</v>
      </c>
      <c r="P248" s="17" t="inlineStr">
        <is>
          <t>DraftKings</t>
        </is>
      </c>
      <c r="Q248" s="17" t="n"/>
    </row>
    <row r="249">
      <c r="A249" s="12" t="inlineStr">
        <is>
          <t>PASS</t>
        </is>
      </c>
      <c r="B249" s="12" t="inlineStr">
        <is>
          <t>OU @ MICH</t>
        </is>
      </c>
      <c r="C249" s="12" t="inlineStr">
        <is>
          <t>2026-09-12 16:00</t>
        </is>
      </c>
      <c r="D249" s="22" t="n">
        <v>2</v>
      </c>
      <c r="E249" s="12" t="inlineStr">
        <is>
          <t>ML</t>
        </is>
      </c>
      <c r="F249" s="12" t="inlineStr">
        <is>
          <t>OU ML</t>
        </is>
      </c>
      <c r="G249" s="23" t="n"/>
      <c r="H249" s="13" t="n">
        <v>-238</v>
      </c>
      <c r="I249" s="15" t="n">
        <v>0.5346841024247344</v>
      </c>
      <c r="J249" s="15" t="n">
        <v>0.6750312469954812</v>
      </c>
      <c r="K249" s="15" t="n">
        <v>0.7041420118343196</v>
      </c>
      <c r="L249" s="14" t="n">
        <v>-0.09264287111935998</v>
      </c>
      <c r="M249" s="14" t="n">
        <v>-0.24065871168252</v>
      </c>
      <c r="N249" s="15" t="n">
        <v>0</v>
      </c>
      <c r="O249" s="24" t="n">
        <v>0.725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NAVY @ FAU</t>
        </is>
      </c>
      <c r="C250" s="17" t="inlineStr">
        <is>
          <t>2026-09-12 23:30</t>
        </is>
      </c>
      <c r="D250" s="25" t="n">
        <v>2</v>
      </c>
      <c r="E250" s="17" t="inlineStr">
        <is>
          <t>ML</t>
        </is>
      </c>
      <c r="F250" s="17" t="inlineStr">
        <is>
          <t>NAVY ML</t>
        </is>
      </c>
      <c r="G250" s="26" t="n"/>
      <c r="H250" s="18" t="n">
        <v>-218</v>
      </c>
      <c r="I250" s="20" t="n">
        <v>0.5196672466173231</v>
      </c>
      <c r="J250" s="20" t="n">
        <v>0.6574752261956054</v>
      </c>
      <c r="K250" s="20" t="n">
        <v>0.6855345911949685</v>
      </c>
      <c r="L250" s="19" t="n">
        <v>-0.09272426045518847</v>
      </c>
      <c r="M250" s="19" t="n">
        <v>-0.2419532824572994</v>
      </c>
      <c r="N250" s="20" t="n">
        <v>0</v>
      </c>
      <c r="O250" s="27" t="n">
        <v>0.725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WAKE @ PUR</t>
        </is>
      </c>
      <c r="C251" s="12" t="inlineStr">
        <is>
          <t>2026-09-12 16:00</t>
        </is>
      </c>
      <c r="D251" s="22" t="n">
        <v>2</v>
      </c>
      <c r="E251" s="12" t="inlineStr">
        <is>
          <t>ML</t>
        </is>
      </c>
      <c r="F251" s="12" t="inlineStr">
        <is>
          <t>WAKE ML</t>
        </is>
      </c>
      <c r="G251" s="23" t="n"/>
      <c r="H251" s="13" t="n">
        <v>-198</v>
      </c>
      <c r="I251" s="15" t="n">
        <v>0.50238035301565</v>
      </c>
      <c r="J251" s="15" t="n">
        <v>0.6369041816941223</v>
      </c>
      <c r="K251" s="15" t="n">
        <v>0.6644295302013423</v>
      </c>
      <c r="L251" s="14" t="n">
        <v>-0.09279938033193709</v>
      </c>
      <c r="M251" s="14" t="n">
        <v>-0.2438921959663449</v>
      </c>
      <c r="N251" s="15" t="n">
        <v>0</v>
      </c>
      <c r="O251" s="24" t="n">
        <v>0.725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NMSU @ HAW</t>
        </is>
      </c>
      <c r="C252" s="17" t="inlineStr">
        <is>
          <t>2026-09-13 03:59</t>
        </is>
      </c>
      <c r="D252" s="25" t="n">
        <v>2</v>
      </c>
      <c r="E252" s="17" t="inlineStr">
        <is>
          <t>ATS</t>
        </is>
      </c>
      <c r="F252" s="17" t="inlineStr">
        <is>
          <t>HAW -9.5</t>
        </is>
      </c>
      <c r="G252" s="26" t="n">
        <v>-9.5</v>
      </c>
      <c r="H252" s="18" t="n">
        <v>-112</v>
      </c>
      <c r="I252" s="20" t="n">
        <v>0.3966256380599908</v>
      </c>
      <c r="J252" s="20" t="n">
        <v>0.5043297540699688</v>
      </c>
      <c r="K252" s="20" t="n">
        <v>0.5283018867924528</v>
      </c>
      <c r="L252" s="19" t="n">
        <v>-0.09290415912679156</v>
      </c>
      <c r="M252" s="19" t="n">
        <v>-0.2492443279578745</v>
      </c>
      <c r="N252" s="20" t="n">
        <v>0</v>
      </c>
      <c r="O252" s="27" t="n">
        <v>0.839</v>
      </c>
      <c r="P252" s="17" t="inlineStr">
        <is>
          <t>DraftKings</t>
        </is>
      </c>
      <c r="Q252" s="17" t="n"/>
    </row>
    <row r="253">
      <c r="A253" s="12" t="inlineStr">
        <is>
          <t>PASS</t>
        </is>
      </c>
      <c r="B253" s="12" t="inlineStr">
        <is>
          <t>ARK @ UTAH</t>
        </is>
      </c>
      <c r="C253" s="12" t="inlineStr">
        <is>
          <t>2026-09-13 02:15</t>
        </is>
      </c>
      <c r="D253" s="22" t="n">
        <v>2</v>
      </c>
      <c r="E253" s="12" t="inlineStr">
        <is>
          <t>ATS</t>
        </is>
      </c>
      <c r="F253" s="12" t="inlineStr">
        <is>
          <t>UTAH -12.5</t>
        </is>
      </c>
      <c r="G253" s="23" t="n">
        <v>-12.5</v>
      </c>
      <c r="H253" s="13" t="n">
        <v>-108</v>
      </c>
      <c r="I253" s="15" t="n">
        <v>0.3861342538332165</v>
      </c>
      <c r="J253" s="15" t="n">
        <v>0.4956702459300312</v>
      </c>
      <c r="K253" s="15" t="n">
        <v>0.5192307692307693</v>
      </c>
      <c r="L253" s="14" t="n">
        <v>-0.09320464769648466</v>
      </c>
      <c r="M253" s="14" t="n">
        <v>-0.256334029654546</v>
      </c>
      <c r="N253" s="15" t="n">
        <v>0</v>
      </c>
      <c r="O253" s="24" t="n">
        <v>0.725</v>
      </c>
      <c r="P253" s="12" t="inlineStr">
        <is>
          <t>DraftKings</t>
        </is>
      </c>
      <c r="Q253" s="12" t="n"/>
    </row>
    <row r="254">
      <c r="A254" s="17" t="inlineStr">
        <is>
          <t>PASS</t>
        </is>
      </c>
      <c r="B254" s="17" t="inlineStr">
        <is>
          <t>MIZ @ KU</t>
        </is>
      </c>
      <c r="C254" s="17" t="inlineStr">
        <is>
          <t>2026-09-12 00:00</t>
        </is>
      </c>
      <c r="D254" s="25" t="n">
        <v>2</v>
      </c>
      <c r="E254" s="17" t="inlineStr">
        <is>
          <t>ML</t>
        </is>
      </c>
      <c r="F254" s="17" t="inlineStr">
        <is>
          <t>MIZ ML</t>
        </is>
      </c>
      <c r="G254" s="26" t="n"/>
      <c r="H254" s="18" t="n">
        <v>-238</v>
      </c>
      <c r="I254" s="20" t="n">
        <v>0.5224002125991152</v>
      </c>
      <c r="J254" s="20" t="n">
        <v>0.6750312469954812</v>
      </c>
      <c r="K254" s="20" t="n">
        <v>0.7041420118343196</v>
      </c>
      <c r="L254" s="19" t="n">
        <v>-0.09338667884100563</v>
      </c>
      <c r="M254" s="19" t="n">
        <v>-0.2581038997541978</v>
      </c>
      <c r="N254" s="20" t="n">
        <v>0</v>
      </c>
      <c r="O254" s="27" t="n">
        <v>0.725</v>
      </c>
      <c r="P254" s="17" t="inlineStr">
        <is>
          <t>DraftKings</t>
        </is>
      </c>
      <c r="Q254" s="17" t="inlineStr">
        <is>
          <t>raw model/market disagreement exceeds the safety limit</t>
        </is>
      </c>
    </row>
    <row r="255">
      <c r="A255" s="12" t="inlineStr">
        <is>
          <t>PASS</t>
        </is>
      </c>
      <c r="B255" s="12" t="inlineStr">
        <is>
          <t>SMU @ FSU</t>
        </is>
      </c>
      <c r="C255" s="12" t="inlineStr">
        <is>
          <t>2026-09-07 23:30</t>
        </is>
      </c>
      <c r="D255" s="22" t="n">
        <v>1</v>
      </c>
      <c r="E255" s="12" t="inlineStr">
        <is>
          <t>ATS</t>
        </is>
      </c>
      <c r="F255" s="12" t="inlineStr">
        <is>
          <t>SMU -3</t>
        </is>
      </c>
      <c r="G255" s="23" t="n">
        <v>3</v>
      </c>
      <c r="H255" s="13" t="n">
        <v>-105</v>
      </c>
      <c r="I255" s="15" t="n">
        <v>0.3777578901170502</v>
      </c>
      <c r="J255" s="15" t="n">
        <v>0.4891657638136511</v>
      </c>
      <c r="K255" s="15" t="n">
        <v>0.5121951219512195</v>
      </c>
      <c r="L255" s="14" t="n">
        <v>-0.09344101923185463</v>
      </c>
      <c r="M255" s="14" t="n">
        <v>-0.2490865834969378</v>
      </c>
      <c r="N255" s="15" t="n">
        <v>0.051</v>
      </c>
      <c r="O255" s="24" t="n">
        <v>0.4</v>
      </c>
      <c r="P255" s="12" t="inlineStr">
        <is>
          <t>DraftKings</t>
        </is>
      </c>
      <c r="Q255" s="12" t="inlineStr">
        <is>
          <t>raw model/market disagreement exceeds the safety limit</t>
        </is>
      </c>
    </row>
    <row r="256">
      <c r="A256" s="17" t="inlineStr">
        <is>
          <t>PASS</t>
        </is>
      </c>
      <c r="B256" s="17" t="inlineStr">
        <is>
          <t>NDSU @ AFA</t>
        </is>
      </c>
      <c r="C256" s="17" t="inlineStr">
        <is>
          <t>2026-09-13 02:00</t>
        </is>
      </c>
      <c r="D256" s="25" t="n">
        <v>2</v>
      </c>
      <c r="E256" s="17" t="inlineStr">
        <is>
          <t>ATS</t>
        </is>
      </c>
      <c r="F256" s="17" t="inlineStr">
        <is>
          <t>NDSU -3</t>
        </is>
      </c>
      <c r="G256" s="26" t="n">
        <v>3</v>
      </c>
      <c r="H256" s="18" t="n">
        <v>-115</v>
      </c>
      <c r="I256" s="20" t="n">
        <v>0.3927219564477186</v>
      </c>
      <c r="J256" s="20" t="n">
        <v>0.5108342361863488</v>
      </c>
      <c r="K256" s="20" t="n">
        <v>0.5348837209302325</v>
      </c>
      <c r="L256" s="19" t="n">
        <v>-0.09354981854348277</v>
      </c>
      <c r="M256" s="19" t="n">
        <v>-0.2520398284403054</v>
      </c>
      <c r="N256" s="20" t="n">
        <v>0.0517</v>
      </c>
      <c r="O256" s="27" t="n">
        <v>0.725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ORE @ OKST</t>
        </is>
      </c>
      <c r="C257" s="12" t="inlineStr">
        <is>
          <t>2026-09-12 16:00</t>
        </is>
      </c>
      <c r="D257" s="22" t="n">
        <v>2</v>
      </c>
      <c r="E257" s="12" t="inlineStr">
        <is>
          <t>TOTAL</t>
        </is>
      </c>
      <c r="F257" s="12" t="inlineStr">
        <is>
          <t>Over 57.5</t>
        </is>
      </c>
      <c r="G257" s="23" t="n">
        <v>57.5</v>
      </c>
      <c r="H257" s="13" t="n">
        <v>-115</v>
      </c>
      <c r="I257" s="15" t="n">
        <v>0.3908404598950155</v>
      </c>
      <c r="J257" s="15" t="n">
        <v>0.5108342361863488</v>
      </c>
      <c r="K257" s="15" t="n">
        <v>0.5348837209302325</v>
      </c>
      <c r="L257" s="14" t="n">
        <v>-0.09365725288255397</v>
      </c>
      <c r="M257" s="14" t="n">
        <v>-0.2692982706310579</v>
      </c>
      <c r="N257" s="15" t="n">
        <v>0</v>
      </c>
      <c r="O257" s="24" t="n">
        <v>0.725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OU @ MICH</t>
        </is>
      </c>
      <c r="C258" s="17" t="inlineStr">
        <is>
          <t>2026-09-12 16:00</t>
        </is>
      </c>
      <c r="D258" s="25" t="n">
        <v>2</v>
      </c>
      <c r="E258" s="17" t="inlineStr">
        <is>
          <t>TOTAL</t>
        </is>
      </c>
      <c r="F258" s="17" t="inlineStr">
        <is>
          <t>Under 43.5</t>
        </is>
      </c>
      <c r="G258" s="26" t="n">
        <v>43.5</v>
      </c>
      <c r="H258" s="18" t="n">
        <v>-108</v>
      </c>
      <c r="I258" s="20" t="n">
        <v>0.3783348133237667</v>
      </c>
      <c r="J258" s="20" t="n">
        <v>0.4956702459300312</v>
      </c>
      <c r="K258" s="20" t="n">
        <v>0.5192307692307693</v>
      </c>
      <c r="L258" s="19" t="n">
        <v>-0.09370746774913891</v>
      </c>
      <c r="M258" s="19" t="n">
        <v>-0.2713551743394121</v>
      </c>
      <c r="N258" s="20" t="n">
        <v>0</v>
      </c>
      <c r="O258" s="27" t="n">
        <v>0.725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CLT @ MISS</t>
        </is>
      </c>
      <c r="C259" s="12" t="inlineStr">
        <is>
          <t>2026-09-12 23:45</t>
        </is>
      </c>
      <c r="D259" s="22" t="n">
        <v>2</v>
      </c>
      <c r="E259" s="12" t="inlineStr">
        <is>
          <t>TOTAL</t>
        </is>
      </c>
      <c r="F259" s="12" t="inlineStr">
        <is>
          <t>Over 61.5</t>
        </is>
      </c>
      <c r="G259" s="23" t="n">
        <v>61.5</v>
      </c>
      <c r="H259" s="13" t="n">
        <v>-112</v>
      </c>
      <c r="I259" s="15" t="n">
        <v>0.3826646542002848</v>
      </c>
      <c r="J259" s="15" t="n">
        <v>0.5043297540699688</v>
      </c>
      <c r="K259" s="15" t="n">
        <v>0.5283018867924528</v>
      </c>
      <c r="L259" s="14" t="n">
        <v>-0.09382407591307264</v>
      </c>
      <c r="M259" s="14" t="n">
        <v>-0.2756704759780323</v>
      </c>
      <c r="N259" s="15" t="n">
        <v>0</v>
      </c>
      <c r="O259" s="24" t="n">
        <v>0.725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UNLV @ UNT</t>
        </is>
      </c>
      <c r="C260" s="17" t="inlineStr">
        <is>
          <t>2026-09-12 19:45</t>
        </is>
      </c>
      <c r="D260" s="25" t="n">
        <v>2</v>
      </c>
      <c r="E260" s="17" t="inlineStr">
        <is>
          <t>ATS</t>
        </is>
      </c>
      <c r="F260" s="17" t="inlineStr">
        <is>
          <t>UNLV -4.5</t>
        </is>
      </c>
      <c r="G260" s="26" t="n">
        <v>4.5</v>
      </c>
      <c r="H260" s="18" t="n">
        <v>-105</v>
      </c>
      <c r="I260" s="20" t="n">
        <v>0.3626424683348568</v>
      </c>
      <c r="J260" s="20" t="n">
        <v>0.4891657638136511</v>
      </c>
      <c r="K260" s="20" t="n">
        <v>0.5121951219512195</v>
      </c>
      <c r="L260" s="19" t="n">
        <v>-0.09418337146263507</v>
      </c>
      <c r="M260" s="19" t="n">
        <v>-0.291983752298613</v>
      </c>
      <c r="N260" s="20" t="n">
        <v>0</v>
      </c>
      <c r="O260" s="27" t="n">
        <v>0.725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TENN @ GT</t>
        </is>
      </c>
      <c r="C261" s="12" t="inlineStr">
        <is>
          <t>2026-09-12 23:00</t>
        </is>
      </c>
      <c r="D261" s="22" t="n">
        <v>2</v>
      </c>
      <c r="E261" s="12" t="inlineStr">
        <is>
          <t>ML</t>
        </is>
      </c>
      <c r="F261" s="12" t="inlineStr">
        <is>
          <t>TENN ML</t>
        </is>
      </c>
      <c r="G261" s="23" t="n"/>
      <c r="H261" s="13" t="n">
        <v>-575</v>
      </c>
      <c r="I261" s="15" t="n">
        <v>0.6023251882624594</v>
      </c>
      <c r="J261" s="15" t="n">
        <v>0.817258883248731</v>
      </c>
      <c r="K261" s="15" t="n">
        <v>0.8518518518518519</v>
      </c>
      <c r="L261" s="14" t="n">
        <v>-0.09425443346975837</v>
      </c>
      <c r="M261" s="14" t="n">
        <v>-0.2929226050831999</v>
      </c>
      <c r="N261" s="15" t="n">
        <v>0</v>
      </c>
      <c r="O261" s="24" t="n">
        <v>0.725</v>
      </c>
      <c r="P261" s="12" t="inlineStr">
        <is>
          <t>DraftKings</t>
        </is>
      </c>
      <c r="Q261" s="12" t="inlineStr">
        <is>
          <t>price outside allowed range</t>
        </is>
      </c>
    </row>
    <row r="262">
      <c r="A262" s="17" t="inlineStr">
        <is>
          <t>PASS</t>
        </is>
      </c>
      <c r="B262" s="17" t="inlineStr">
        <is>
          <t>ALA @ UK</t>
        </is>
      </c>
      <c r="C262" s="17" t="inlineStr">
        <is>
          <t>2026-09-12 19:30</t>
        </is>
      </c>
      <c r="D262" s="25" t="n">
        <v>2</v>
      </c>
      <c r="E262" s="17" t="inlineStr">
        <is>
          <t>ML</t>
        </is>
      </c>
      <c r="F262" s="17" t="inlineStr">
        <is>
          <t>ALA ML</t>
        </is>
      </c>
      <c r="G262" s="26" t="n"/>
      <c r="H262" s="18" t="n">
        <v>-410</v>
      </c>
      <c r="I262" s="20" t="n">
        <v>0.5661424940393768</v>
      </c>
      <c r="J262" s="20" t="n">
        <v>0.771505376344086</v>
      </c>
      <c r="K262" s="20" t="n">
        <v>0.803921568627451</v>
      </c>
      <c r="L262" s="19" t="n">
        <v>-0.09430270023021521</v>
      </c>
      <c r="M262" s="19" t="n">
        <v>-0.2957739708290679</v>
      </c>
      <c r="N262" s="20" t="n">
        <v>0</v>
      </c>
      <c r="O262" s="27" t="n">
        <v>0.725</v>
      </c>
      <c r="P262" s="17" t="inlineStr">
        <is>
          <t>DraftKings</t>
        </is>
      </c>
      <c r="Q262" s="17" t="inlineStr">
        <is>
          <t>price outside allowed range</t>
        </is>
      </c>
    </row>
    <row r="263">
      <c r="A263" s="12" t="inlineStr">
        <is>
          <t>PASS</t>
        </is>
      </c>
      <c r="B263" s="12" t="inlineStr">
        <is>
          <t>WAKE @ PUR</t>
        </is>
      </c>
      <c r="C263" s="12" t="inlineStr">
        <is>
          <t>2026-09-12 16:00</t>
        </is>
      </c>
      <c r="D263" s="22" t="n">
        <v>2</v>
      </c>
      <c r="E263" s="12" t="inlineStr">
        <is>
          <t>ATS</t>
        </is>
      </c>
      <c r="F263" s="12" t="inlineStr">
        <is>
          <t>WAKE -4.5</t>
        </is>
      </c>
      <c r="G263" s="23" t="n">
        <v>4.5</v>
      </c>
      <c r="H263" s="13" t="n">
        <v>-112</v>
      </c>
      <c r="I263" s="15" t="n">
        <v>0.3687888213387289</v>
      </c>
      <c r="J263" s="15" t="n">
        <v>0.5043297540699688</v>
      </c>
      <c r="K263" s="15" t="n">
        <v>0.5283018867924528</v>
      </c>
      <c r="L263" s="14" t="n">
        <v>-0.0943392968243198</v>
      </c>
      <c r="M263" s="14" t="n">
        <v>-0.3019354453231202</v>
      </c>
      <c r="N263" s="15" t="n">
        <v>0</v>
      </c>
      <c r="O263" s="24" t="n">
        <v>0.725</v>
      </c>
      <c r="P263" s="12" t="inlineStr">
        <is>
          <t>DraftKings</t>
        </is>
      </c>
      <c r="Q263" s="12" t="n"/>
    </row>
    <row r="264">
      <c r="A264" s="17" t="inlineStr">
        <is>
          <t>PASS</t>
        </is>
      </c>
      <c r="B264" s="17" t="inlineStr">
        <is>
          <t>OU @ MICH</t>
        </is>
      </c>
      <c r="C264" s="17" t="inlineStr">
        <is>
          <t>2026-09-12 16:00</t>
        </is>
      </c>
      <c r="D264" s="25" t="n">
        <v>2</v>
      </c>
      <c r="E264" s="17" t="inlineStr">
        <is>
          <t>ATS</t>
        </is>
      </c>
      <c r="F264" s="17" t="inlineStr">
        <is>
          <t>OU -6</t>
        </is>
      </c>
      <c r="G264" s="26" t="n">
        <v>6</v>
      </c>
      <c r="H264" s="18" t="n">
        <v>-105</v>
      </c>
      <c r="I264" s="20" t="n">
        <v>0.3536867707468097</v>
      </c>
      <c r="J264" s="20" t="n">
        <v>0.4891657638136511</v>
      </c>
      <c r="K264" s="20" t="n">
        <v>0.5121951219512195</v>
      </c>
      <c r="L264" s="19" t="n">
        <v>-0.0944438009621872</v>
      </c>
      <c r="M264" s="19" t="n">
        <v>-0.3027532152054401</v>
      </c>
      <c r="N264" s="20" t="n">
        <v>0.0217</v>
      </c>
      <c r="O264" s="27" t="n">
        <v>0.725</v>
      </c>
      <c r="P264" s="17" t="inlineStr">
        <is>
          <t>DraftKings</t>
        </is>
      </c>
      <c r="Q264" s="17" t="n"/>
    </row>
    <row r="265">
      <c r="A265" s="12" t="inlineStr">
        <is>
          <t>PASS</t>
        </is>
      </c>
      <c r="B265" s="12" t="inlineStr">
        <is>
          <t>NAVY @ FAU</t>
        </is>
      </c>
      <c r="C265" s="12" t="inlineStr">
        <is>
          <t>2026-09-12 23:30</t>
        </is>
      </c>
      <c r="D265" s="22" t="n">
        <v>2</v>
      </c>
      <c r="E265" s="12" t="inlineStr">
        <is>
          <t>ATS</t>
        </is>
      </c>
      <c r="F265" s="12" t="inlineStr">
        <is>
          <t>NAVY -5.5</t>
        </is>
      </c>
      <c r="G265" s="23" t="n">
        <v>5.5</v>
      </c>
      <c r="H265" s="13" t="n">
        <v>-115</v>
      </c>
      <c r="I265" s="15" t="n">
        <v>0.3680722822287494</v>
      </c>
      <c r="J265" s="15" t="n">
        <v>0.5108342361863488</v>
      </c>
      <c r="K265" s="15" t="n">
        <v>0.5348837209302325</v>
      </c>
      <c r="L265" s="14" t="n">
        <v>-0.09447233793434144</v>
      </c>
      <c r="M265" s="14" t="n">
        <v>-0.3118648636592946</v>
      </c>
      <c r="N265" s="15" t="n">
        <v>0</v>
      </c>
      <c r="O265" s="24" t="n">
        <v>0.725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MD @ CONN</t>
        </is>
      </c>
      <c r="C266" s="17" t="inlineStr">
        <is>
          <t>2026-09-12 19:30</t>
        </is>
      </c>
      <c r="D266" s="25" t="n">
        <v>2</v>
      </c>
      <c r="E266" s="17" t="inlineStr">
        <is>
          <t>ML</t>
        </is>
      </c>
      <c r="F266" s="17" t="inlineStr">
        <is>
          <t>MD ML</t>
        </is>
      </c>
      <c r="G266" s="26" t="n"/>
      <c r="H266" s="18" t="n">
        <v>-470</v>
      </c>
      <c r="I266" s="20" t="n">
        <v>0.5695973307479686</v>
      </c>
      <c r="J266" s="20" t="n">
        <v>0.7913616398243045</v>
      </c>
      <c r="K266" s="20" t="n">
        <v>0.8245614035087719</v>
      </c>
      <c r="L266" s="19" t="n">
        <v>-0.09448072373265273</v>
      </c>
      <c r="M266" s="19" t="n">
        <v>-0.3092117478162933</v>
      </c>
      <c r="N266" s="20" t="n">
        <v>0</v>
      </c>
      <c r="O266" s="27" t="n">
        <v>0.725</v>
      </c>
      <c r="P266" s="17" t="inlineStr">
        <is>
          <t>DraftKings</t>
        </is>
      </c>
      <c r="Q266" s="17" t="inlineStr">
        <is>
          <t>price outside allowed range</t>
        </is>
      </c>
    </row>
    <row r="267">
      <c r="A267" s="12" t="inlineStr">
        <is>
          <t>PASS</t>
        </is>
      </c>
      <c r="B267" s="12" t="inlineStr">
        <is>
          <t>ASU @ TA&amp;M</t>
        </is>
      </c>
      <c r="C267" s="12" t="inlineStr">
        <is>
          <t>2026-09-12 16:00</t>
        </is>
      </c>
      <c r="D267" s="22" t="n">
        <v>2</v>
      </c>
      <c r="E267" s="12" t="inlineStr">
        <is>
          <t>ATS</t>
        </is>
      </c>
      <c r="F267" s="12" t="inlineStr">
        <is>
          <t>TA&amp;M -14</t>
        </is>
      </c>
      <c r="G267" s="23" t="n">
        <v>-14</v>
      </c>
      <c r="H267" s="13" t="n">
        <v>-112</v>
      </c>
      <c r="I267" s="15" t="n">
        <v>0.3591976960208031</v>
      </c>
      <c r="J267" s="15" t="n">
        <v>0.5043297540699688</v>
      </c>
      <c r="K267" s="15" t="n">
        <v>0.5283018867924528</v>
      </c>
      <c r="L267" s="14" t="n">
        <v>-0.09455677267793321</v>
      </c>
      <c r="M267" s="14" t="n">
        <v>-0.3093350488561173</v>
      </c>
      <c r="N267" s="15" t="n">
        <v>0.0336</v>
      </c>
      <c r="O267" s="24" t="n">
        <v>0.725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ISU @ IOWA</t>
        </is>
      </c>
      <c r="C268" s="17" t="inlineStr">
        <is>
          <t>2026-09-12 23:30</t>
        </is>
      </c>
      <c r="D268" s="25" t="n">
        <v>2</v>
      </c>
      <c r="E268" s="17" t="inlineStr">
        <is>
          <t>ATS</t>
        </is>
      </c>
      <c r="F268" s="17" t="inlineStr">
        <is>
          <t>IOWA -14</t>
        </is>
      </c>
      <c r="G268" s="26" t="n">
        <v>-14</v>
      </c>
      <c r="H268" s="18" t="n">
        <v>-110</v>
      </c>
      <c r="I268" s="20" t="n">
        <v>0.3529436652740585</v>
      </c>
      <c r="J268" s="20" t="n">
        <v>0.5</v>
      </c>
      <c r="K268" s="20" t="n">
        <v>0.5238095238095238</v>
      </c>
      <c r="L268" s="19" t="n">
        <v>-0.09461204485710618</v>
      </c>
      <c r="M268" s="19" t="n">
        <v>-0.3154339081163357</v>
      </c>
      <c r="N268" s="20" t="n">
        <v>0.033</v>
      </c>
      <c r="O268" s="27" t="n">
        <v>0.725</v>
      </c>
      <c r="P268" s="17" t="inlineStr">
        <is>
          <t>DraftKings</t>
        </is>
      </c>
      <c r="Q268" s="17" t="n"/>
    </row>
    <row r="269">
      <c r="A269" s="12" t="inlineStr">
        <is>
          <t>PASS</t>
        </is>
      </c>
      <c r="B269" s="12" t="inlineStr">
        <is>
          <t>TLSA @ SHSU</t>
        </is>
      </c>
      <c r="C269" s="12" t="inlineStr">
        <is>
          <t>2026-09-12 23:00</t>
        </is>
      </c>
      <c r="D269" s="22" t="n">
        <v>2</v>
      </c>
      <c r="E269" s="12" t="inlineStr">
        <is>
          <t>ML</t>
        </is>
      </c>
      <c r="F269" s="12" t="inlineStr">
        <is>
          <t>TLSA ML</t>
        </is>
      </c>
      <c r="G269" s="23" t="n"/>
      <c r="H269" s="13" t="n">
        <v>-600</v>
      </c>
      <c r="I269" s="15" t="n">
        <v>0.577240733659858</v>
      </c>
      <c r="J269" s="15" t="n">
        <v>0.8223350253807106</v>
      </c>
      <c r="K269" s="15" t="n">
        <v>0.8571428571428571</v>
      </c>
      <c r="L269" s="14" t="n">
        <v>-0.09464282386672115</v>
      </c>
      <c r="M269" s="14" t="n">
        <v>-0.3265524773968324</v>
      </c>
      <c r="N269" s="15" t="n">
        <v>0</v>
      </c>
      <c r="O269" s="24" t="n">
        <v>0.725</v>
      </c>
      <c r="P269" s="12" t="inlineStr">
        <is>
          <t>DraftKings</t>
        </is>
      </c>
      <c r="Q269" s="12" t="inlineStr">
        <is>
          <t>price outside allowed range</t>
        </is>
      </c>
    </row>
    <row r="270">
      <c r="A270" s="17" t="inlineStr">
        <is>
          <t>PASS</t>
        </is>
      </c>
      <c r="B270" s="17" t="inlineStr">
        <is>
          <t>UL @ USC</t>
        </is>
      </c>
      <c r="C270" s="17" t="inlineStr">
        <is>
          <t>2026-09-13 03:00</t>
        </is>
      </c>
      <c r="D270" s="25" t="n">
        <v>2</v>
      </c>
      <c r="E270" s="17" t="inlineStr">
        <is>
          <t>TOTAL</t>
        </is>
      </c>
      <c r="F270" s="17" t="inlineStr">
        <is>
          <t>Over 60.5</t>
        </is>
      </c>
      <c r="G270" s="26" t="n">
        <v>60.5</v>
      </c>
      <c r="H270" s="18" t="n">
        <v>-108</v>
      </c>
      <c r="I270" s="20" t="n">
        <v>0.346617142728704</v>
      </c>
      <c r="J270" s="20" t="n">
        <v>0.4956702459300312</v>
      </c>
      <c r="K270" s="20" t="n">
        <v>0.5192307692307693</v>
      </c>
      <c r="L270" s="19" t="n">
        <v>-0.09466226587237207</v>
      </c>
      <c r="M270" s="19" t="n">
        <v>-0.3324410584484219</v>
      </c>
      <c r="N270" s="20" t="n">
        <v>0</v>
      </c>
      <c r="O270" s="27" t="n">
        <v>0.725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PSU @ TEM</t>
        </is>
      </c>
      <c r="C271" s="12" t="inlineStr">
        <is>
          <t>2026-09-12 16:00</t>
        </is>
      </c>
      <c r="D271" s="22" t="n">
        <v>2</v>
      </c>
      <c r="E271" s="12" t="inlineStr">
        <is>
          <t>ML</t>
        </is>
      </c>
      <c r="F271" s="12" t="inlineStr">
        <is>
          <t>PSU ML</t>
        </is>
      </c>
      <c r="G271" s="23" t="n"/>
      <c r="H271" s="13" t="n">
        <v>-2800</v>
      </c>
      <c r="I271" s="15" t="n">
        <v>0.6489406728364655</v>
      </c>
      <c r="J271" s="15" t="n">
        <v>0.9311163895486935</v>
      </c>
      <c r="K271" s="15" t="n">
        <v>0.9655172413793104</v>
      </c>
      <c r="L271" s="14" t="n">
        <v>-0.09467847816266114</v>
      </c>
      <c r="M271" s="14" t="n">
        <v>-0.3278828745622321</v>
      </c>
      <c r="N271" s="15" t="n">
        <v>0</v>
      </c>
      <c r="O271" s="24" t="n">
        <v>0.725</v>
      </c>
      <c r="P271" s="12" t="inlineStr">
        <is>
          <t>DraftKings</t>
        </is>
      </c>
      <c r="Q271" s="12" t="inlineStr">
        <is>
          <t>price outside allowed range</t>
        </is>
      </c>
    </row>
    <row r="272">
      <c r="A272" s="17" t="inlineStr">
        <is>
          <t>PASS</t>
        </is>
      </c>
      <c r="B272" s="17" t="inlineStr">
        <is>
          <t>MIZ @ KU</t>
        </is>
      </c>
      <c r="C272" s="17" t="inlineStr">
        <is>
          <t>2026-09-12 00:00</t>
        </is>
      </c>
      <c r="D272" s="25" t="n">
        <v>2</v>
      </c>
      <c r="E272" s="17" t="inlineStr">
        <is>
          <t>ATS</t>
        </is>
      </c>
      <c r="F272" s="17" t="inlineStr">
        <is>
          <t>MIZ -6.5</t>
        </is>
      </c>
      <c r="G272" s="26" t="n">
        <v>6.5</v>
      </c>
      <c r="H272" s="18" t="n">
        <v>-110</v>
      </c>
      <c r="I272" s="20" t="n">
        <v>0.3476729287791882</v>
      </c>
      <c r="J272" s="20" t="n">
        <v>0.5</v>
      </c>
      <c r="K272" s="20" t="n">
        <v>0.5238095238095238</v>
      </c>
      <c r="L272" s="19" t="n">
        <v>-0.09468913136090158</v>
      </c>
      <c r="M272" s="19" t="n">
        <v>-0.3362607723306407</v>
      </c>
      <c r="N272" s="20" t="n">
        <v>0</v>
      </c>
      <c r="O272" s="27" t="n">
        <v>0.725</v>
      </c>
      <c r="P272" s="17" t="inlineStr">
        <is>
          <t>DraftKings</t>
        </is>
      </c>
      <c r="Q272" s="17" t="inlineStr">
        <is>
          <t>raw model/market disagreement exceeds the safety limit</t>
        </is>
      </c>
    </row>
    <row r="273">
      <c r="A273" s="12" t="inlineStr">
        <is>
          <t>PASS</t>
        </is>
      </c>
      <c r="B273" s="12" t="inlineStr">
        <is>
          <t>MTSU @ MRSH</t>
        </is>
      </c>
      <c r="C273" s="12" t="inlineStr">
        <is>
          <t>2026-09-12 23:00</t>
        </is>
      </c>
      <c r="D273" s="22" t="n">
        <v>2</v>
      </c>
      <c r="E273" s="12" t="inlineStr">
        <is>
          <t>ATS</t>
        </is>
      </c>
      <c r="F273" s="12" t="inlineStr">
        <is>
          <t>MRSH -14</t>
        </is>
      </c>
      <c r="G273" s="23" t="n">
        <v>-14</v>
      </c>
      <c r="H273" s="13" t="n">
        <v>-108</v>
      </c>
      <c r="I273" s="15" t="n">
        <v>0.3444678441222133</v>
      </c>
      <c r="J273" s="15" t="n">
        <v>0.4956702459300312</v>
      </c>
      <c r="K273" s="15" t="n">
        <v>0.5192307692307693</v>
      </c>
      <c r="L273" s="14" t="n">
        <v>-0.09469168351988359</v>
      </c>
      <c r="M273" s="14" t="n">
        <v>-0.3258435320546235</v>
      </c>
      <c r="N273" s="15" t="n">
        <v>0.0319</v>
      </c>
      <c r="O273" s="24" t="n">
        <v>0.725</v>
      </c>
      <c r="P273" s="12" t="inlineStr">
        <is>
          <t>DraftKings</t>
        </is>
      </c>
      <c r="Q273" s="12" t="inlineStr">
        <is>
          <t>raw model/market disagreement exceeds the safety limit</t>
        </is>
      </c>
    </row>
    <row r="274">
      <c r="A274" s="17" t="inlineStr">
        <is>
          <t>PASS</t>
        </is>
      </c>
      <c r="B274" s="17" t="inlineStr">
        <is>
          <t>TTU @ ORST</t>
        </is>
      </c>
      <c r="C274" s="17" t="inlineStr">
        <is>
          <t>2026-09-12 23:30</t>
        </is>
      </c>
      <c r="D274" s="25" t="n">
        <v>2</v>
      </c>
      <c r="E274" s="17" t="inlineStr">
        <is>
          <t>ML</t>
        </is>
      </c>
      <c r="F274" s="17" t="inlineStr">
        <is>
          <t>TTU ML</t>
        </is>
      </c>
      <c r="G274" s="26" t="n"/>
      <c r="H274" s="18" t="n">
        <v>-3600</v>
      </c>
      <c r="I274" s="20" t="n">
        <v>0.6500747037389534</v>
      </c>
      <c r="J274" s="20" t="n">
        <v>0.9396411092985318</v>
      </c>
      <c r="K274" s="20" t="n">
        <v>0.972972972972973</v>
      </c>
      <c r="L274" s="19" t="n">
        <v>-0.09471125854922699</v>
      </c>
      <c r="M274" s="19" t="n">
        <v>-0.3318676656016313</v>
      </c>
      <c r="N274" s="20" t="n">
        <v>0</v>
      </c>
      <c r="O274" s="27" t="n">
        <v>0.725</v>
      </c>
      <c r="P274" s="17" t="inlineStr">
        <is>
          <t>DraftKings</t>
        </is>
      </c>
      <c r="Q274" s="17" t="inlineStr">
        <is>
          <t>price outside allowed range</t>
        </is>
      </c>
    </row>
    <row r="275">
      <c r="A275" s="12" t="inlineStr">
        <is>
          <t>PASS</t>
        </is>
      </c>
      <c r="B275" s="12" t="inlineStr">
        <is>
          <t>ORE @ OKST</t>
        </is>
      </c>
      <c r="C275" s="12" t="inlineStr">
        <is>
          <t>2026-09-12 16:00</t>
        </is>
      </c>
      <c r="D275" s="22" t="n">
        <v>2</v>
      </c>
      <c r="E275" s="12" t="inlineStr">
        <is>
          <t>ML</t>
        </is>
      </c>
      <c r="F275" s="12" t="inlineStr">
        <is>
          <t>ORE ML</t>
        </is>
      </c>
      <c r="G275" s="23" t="n"/>
      <c r="H275" s="13" t="n">
        <v>-2100</v>
      </c>
      <c r="I275" s="15" t="n">
        <v>0.6305643581854651</v>
      </c>
      <c r="J275" s="15" t="n">
        <v>0.9197080291970804</v>
      </c>
      <c r="K275" s="15" t="n">
        <v>0.9545454545454546</v>
      </c>
      <c r="L275" s="14" t="n">
        <v>-0.09474664680297928</v>
      </c>
      <c r="M275" s="14" t="n">
        <v>-0.339408767615227</v>
      </c>
      <c r="N275" s="15" t="n">
        <v>0</v>
      </c>
      <c r="O275" s="24" t="n">
        <v>0.725</v>
      </c>
      <c r="P275" s="12" t="inlineStr">
        <is>
          <t>DraftKings</t>
        </is>
      </c>
      <c r="Q275" s="12" t="inlineStr">
        <is>
          <t>price outside allowed range</t>
        </is>
      </c>
    </row>
    <row r="276">
      <c r="A276" s="17" t="inlineStr">
        <is>
          <t>PASS</t>
        </is>
      </c>
      <c r="B276" s="17" t="inlineStr">
        <is>
          <t>ISU @ IOWA</t>
        </is>
      </c>
      <c r="C276" s="17" t="inlineStr">
        <is>
          <t>2026-09-12 23:30</t>
        </is>
      </c>
      <c r="D276" s="25" t="n">
        <v>2</v>
      </c>
      <c r="E276" s="17" t="inlineStr">
        <is>
          <t>TOTAL</t>
        </is>
      </c>
      <c r="F276" s="17" t="inlineStr">
        <is>
          <t>Under 41.5</t>
        </is>
      </c>
      <c r="G276" s="26" t="n">
        <v>41.5</v>
      </c>
      <c r="H276" s="18" t="n">
        <v>-120</v>
      </c>
      <c r="I276" s="20" t="n">
        <v>0.3502125816351025</v>
      </c>
      <c r="J276" s="20" t="n">
        <v>0.5217391304347826</v>
      </c>
      <c r="K276" s="20" t="n">
        <v>0.5454545454545454</v>
      </c>
      <c r="L276" s="19" t="n">
        <v>-0.09481273091638237</v>
      </c>
      <c r="M276" s="19" t="n">
        <v>-0.3579436003356454</v>
      </c>
      <c r="N276" s="20" t="n">
        <v>0</v>
      </c>
      <c r="O276" s="27" t="n">
        <v>0.725</v>
      </c>
      <c r="P276" s="17" t="inlineStr">
        <is>
          <t>DraftKings</t>
        </is>
      </c>
      <c r="Q276" s="17" t="inlineStr">
        <is>
          <t>raw model/market disagreement exceeds the safety limit</t>
        </is>
      </c>
    </row>
    <row r="277">
      <c r="A277" s="12" t="inlineStr">
        <is>
          <t>PASS</t>
        </is>
      </c>
      <c r="B277" s="12" t="inlineStr">
        <is>
          <t>UTSA @ TXST</t>
        </is>
      </c>
      <c r="C277" s="12" t="inlineStr">
        <is>
          <t>2026-09-12 19:30</t>
        </is>
      </c>
      <c r="D277" s="22" t="n">
        <v>2</v>
      </c>
      <c r="E277" s="12" t="inlineStr">
        <is>
          <t>TOTAL</t>
        </is>
      </c>
      <c r="F277" s="12" t="inlineStr">
        <is>
          <t>Over 64.5</t>
        </is>
      </c>
      <c r="G277" s="23" t="n">
        <v>64.5</v>
      </c>
      <c r="H277" s="13" t="n">
        <v>-108</v>
      </c>
      <c r="I277" s="15" t="n">
        <v>0.3307963522803155</v>
      </c>
      <c r="J277" s="15" t="n">
        <v>0.4956702459300312</v>
      </c>
      <c r="K277" s="15" t="n">
        <v>0.5192307692307693</v>
      </c>
      <c r="L277" s="14" t="n">
        <v>-0.09482736634736046</v>
      </c>
      <c r="M277" s="14" t="n">
        <v>-0.3629107289416147</v>
      </c>
      <c r="N277" s="15" t="n">
        <v>0</v>
      </c>
      <c r="O277" s="24" t="n">
        <v>0.725</v>
      </c>
      <c r="P277" s="12" t="inlineStr">
        <is>
          <t>DraftKings</t>
        </is>
      </c>
      <c r="Q277" s="12" t="inlineStr">
        <is>
          <t>raw model/market disagreement exceeds the safety limit</t>
        </is>
      </c>
    </row>
    <row r="278">
      <c r="A278" s="17" t="inlineStr">
        <is>
          <t>PASS</t>
        </is>
      </c>
      <c r="B278" s="17" t="inlineStr">
        <is>
          <t>EMU @ MSU</t>
        </is>
      </c>
      <c r="C278" s="17" t="inlineStr">
        <is>
          <t>2026-09-12 19:30</t>
        </is>
      </c>
      <c r="D278" s="25" t="n">
        <v>2</v>
      </c>
      <c r="E278" s="17" t="inlineStr">
        <is>
          <t>ATS</t>
        </is>
      </c>
      <c r="F278" s="17" t="inlineStr">
        <is>
          <t>MSU -17.5</t>
        </is>
      </c>
      <c r="G278" s="26" t="n">
        <v>-17.5</v>
      </c>
      <c r="H278" s="18" t="n">
        <v>-108</v>
      </c>
      <c r="I278" s="20" t="n">
        <v>0.3241219239337002</v>
      </c>
      <c r="J278" s="20" t="n">
        <v>0.4956702459300312</v>
      </c>
      <c r="K278" s="20" t="n">
        <v>0.5192307692307693</v>
      </c>
      <c r="L278" s="19" t="n">
        <v>-0.09486995082434437</v>
      </c>
      <c r="M278" s="19" t="n">
        <v>-0.3757651835350959</v>
      </c>
      <c r="N278" s="20" t="n">
        <v>0</v>
      </c>
      <c r="O278" s="27" t="n">
        <v>0.725</v>
      </c>
      <c r="P278" s="17" t="inlineStr">
        <is>
          <t>DraftKings</t>
        </is>
      </c>
      <c r="Q278" s="17" t="inlineStr">
        <is>
          <t>raw model/market disagreement exceeds the safety limit</t>
        </is>
      </c>
    </row>
    <row r="279">
      <c r="A279" s="12" t="inlineStr">
        <is>
          <t>PASS</t>
        </is>
      </c>
      <c r="B279" s="12" t="inlineStr">
        <is>
          <t>WSU @ KSU</t>
        </is>
      </c>
      <c r="C279" s="12" t="inlineStr">
        <is>
          <t>2026-09-12 16:00</t>
        </is>
      </c>
      <c r="D279" s="22" t="n">
        <v>2</v>
      </c>
      <c r="E279" s="12" t="inlineStr">
        <is>
          <t>ATS</t>
        </is>
      </c>
      <c r="F279" s="12" t="inlineStr">
        <is>
          <t>KSU -17.5</t>
        </is>
      </c>
      <c r="G279" s="23" t="n">
        <v>-17.5</v>
      </c>
      <c r="H279" s="13" t="n">
        <v>-108</v>
      </c>
      <c r="I279" s="15" t="n">
        <v>0.3219333118038724</v>
      </c>
      <c r="J279" s="15" t="n">
        <v>0.4956702459300312</v>
      </c>
      <c r="K279" s="15" t="n">
        <v>0.5192307692307693</v>
      </c>
      <c r="L279" s="14" t="n">
        <v>-0.0948814877463495</v>
      </c>
      <c r="M279" s="14" t="n">
        <v>-0.3799802883777271</v>
      </c>
      <c r="N279" s="15" t="n">
        <v>0</v>
      </c>
      <c r="O279" s="24" t="n">
        <v>0.725</v>
      </c>
      <c r="P279" s="12" t="inlineStr">
        <is>
          <t>DraftKings</t>
        </is>
      </c>
      <c r="Q279" s="12" t="inlineStr">
        <is>
          <t>raw model/market disagreement exceeds the safety limit</t>
        </is>
      </c>
    </row>
    <row r="280">
      <c r="A280" s="17" t="inlineStr">
        <is>
          <t>PASS</t>
        </is>
      </c>
      <c r="B280" s="17" t="inlineStr">
        <is>
          <t>ODU @ VT</t>
        </is>
      </c>
      <c r="C280" s="17" t="inlineStr">
        <is>
          <t>2026-09-12 16:00</t>
        </is>
      </c>
      <c r="D280" s="25" t="n">
        <v>2</v>
      </c>
      <c r="E280" s="17" t="inlineStr">
        <is>
          <t>ATS</t>
        </is>
      </c>
      <c r="F280" s="17" t="inlineStr">
        <is>
          <t>VT -17.5</t>
        </is>
      </c>
      <c r="G280" s="26" t="n">
        <v>-17.5</v>
      </c>
      <c r="H280" s="18" t="n">
        <v>-115</v>
      </c>
      <c r="I280" s="20" t="n">
        <v>0.3272011636180324</v>
      </c>
      <c r="J280" s="20" t="n">
        <v>0.5108342361863488</v>
      </c>
      <c r="K280" s="20" t="n">
        <v>0.5348837209302325</v>
      </c>
      <c r="L280" s="19" t="n">
        <v>-0.09490186643747033</v>
      </c>
      <c r="M280" s="19" t="n">
        <v>-0.3882760854097655</v>
      </c>
      <c r="N280" s="20" t="n">
        <v>0</v>
      </c>
      <c r="O280" s="27" t="n">
        <v>0.725</v>
      </c>
      <c r="P280" s="17" t="inlineStr">
        <is>
          <t>DraftKings</t>
        </is>
      </c>
      <c r="Q280" s="17" t="inlineStr">
        <is>
          <t>raw model/market disagreement exceeds the safety limit</t>
        </is>
      </c>
    </row>
    <row r="281">
      <c r="A281" s="12" t="inlineStr">
        <is>
          <t>PASS</t>
        </is>
      </c>
      <c r="B281" s="12" t="inlineStr">
        <is>
          <t>SAC @ FRES</t>
        </is>
      </c>
      <c r="C281" s="12" t="inlineStr">
        <is>
          <t>2026-09-13 02:30</t>
        </is>
      </c>
      <c r="D281" s="22" t="n">
        <v>2</v>
      </c>
      <c r="E281" s="12" t="inlineStr">
        <is>
          <t>ATS</t>
        </is>
      </c>
      <c r="F281" s="12" t="inlineStr">
        <is>
          <t>FRES -18.5</t>
        </is>
      </c>
      <c r="G281" s="23" t="n">
        <v>-18.5</v>
      </c>
      <c r="H281" s="13" t="n">
        <v>-108</v>
      </c>
      <c r="I281" s="15" t="n">
        <v>0.3052626324803975</v>
      </c>
      <c r="J281" s="15" t="n">
        <v>0.4956702459300312</v>
      </c>
      <c r="K281" s="15" t="n">
        <v>0.5192307692307693</v>
      </c>
      <c r="L281" s="14" t="n">
        <v>-0.09494160220367033</v>
      </c>
      <c r="M281" s="14" t="n">
        <v>-0.4120867818896047</v>
      </c>
      <c r="N281" s="15" t="n">
        <v>0</v>
      </c>
      <c r="O281" s="24" t="n">
        <v>0.725</v>
      </c>
      <c r="P281" s="12" t="inlineStr">
        <is>
          <t>DraftKings</t>
        </is>
      </c>
      <c r="Q281" s="12" t="inlineStr">
        <is>
          <t>raw model/market disagreement exceeds the safety limit</t>
        </is>
      </c>
    </row>
    <row r="282">
      <c r="A282" s="17" t="inlineStr">
        <is>
          <t>PASS</t>
        </is>
      </c>
      <c r="B282" s="17" t="inlineStr">
        <is>
          <t>ALA @ UK</t>
        </is>
      </c>
      <c r="C282" s="17" t="inlineStr">
        <is>
          <t>2026-09-12 19:30</t>
        </is>
      </c>
      <c r="D282" s="25" t="n">
        <v>2</v>
      </c>
      <c r="E282" s="17" t="inlineStr">
        <is>
          <t>ATS</t>
        </is>
      </c>
      <c r="F282" s="17" t="inlineStr">
        <is>
          <t>ALA -10</t>
        </is>
      </c>
      <c r="G282" s="26" t="n">
        <v>10</v>
      </c>
      <c r="H282" s="18" t="n">
        <v>-115</v>
      </c>
      <c r="I282" s="20" t="n">
        <v>0.3088172826366278</v>
      </c>
      <c r="J282" s="20" t="n">
        <v>0.5108342361863488</v>
      </c>
      <c r="K282" s="20" t="n">
        <v>0.5348837209302325</v>
      </c>
      <c r="L282" s="19" t="n">
        <v>-0.0949539852209557</v>
      </c>
      <c r="M282" s="19" t="n">
        <v>-0.413812649501328</v>
      </c>
      <c r="N282" s="20" t="n">
        <v>0.0209</v>
      </c>
      <c r="O282" s="27" t="n">
        <v>0.725</v>
      </c>
      <c r="P282" s="17" t="inlineStr">
        <is>
          <t>DraftKings</t>
        </is>
      </c>
      <c r="Q282" s="17" t="inlineStr">
        <is>
          <t>raw model/market disagreement exceeds the safety limit</t>
        </is>
      </c>
    </row>
    <row r="283">
      <c r="A283" s="12" t="inlineStr">
        <is>
          <t>PASS</t>
        </is>
      </c>
      <c r="B283" s="12" t="inlineStr">
        <is>
          <t>DEL @ VAN</t>
        </is>
      </c>
      <c r="C283" s="12" t="inlineStr">
        <is>
          <t>2026-09-12 20:15</t>
        </is>
      </c>
      <c r="D283" s="22" t="n">
        <v>2</v>
      </c>
      <c r="E283" s="12" t="inlineStr">
        <is>
          <t>ATS</t>
        </is>
      </c>
      <c r="F283" s="12" t="inlineStr">
        <is>
          <t>VAN -20.5</t>
        </is>
      </c>
      <c r="G283" s="23" t="n">
        <v>-20.5</v>
      </c>
      <c r="H283" s="13" t="n">
        <v>-118</v>
      </c>
      <c r="I283" s="15" t="n">
        <v>0.3027173873935994</v>
      </c>
      <c r="J283" s="15" t="n">
        <v>0.5173641257162701</v>
      </c>
      <c r="K283" s="15" t="n">
        <v>0.5412844036697247</v>
      </c>
      <c r="L283" s="14" t="n">
        <v>-0.09496942470417816</v>
      </c>
      <c r="M283" s="14" t="n">
        <v>-0.4407424537982656</v>
      </c>
      <c r="N283" s="15" t="n">
        <v>0</v>
      </c>
      <c r="O283" s="24" t="n">
        <v>0.725</v>
      </c>
      <c r="P283" s="12" t="inlineStr">
        <is>
          <t>DraftKings</t>
        </is>
      </c>
      <c r="Q283" s="12" t="inlineStr">
        <is>
          <t>raw model/market disagreement exceeds the safety limit</t>
        </is>
      </c>
    </row>
    <row r="284">
      <c r="A284" s="17" t="inlineStr">
        <is>
          <t>PASS</t>
        </is>
      </c>
      <c r="B284" s="17" t="inlineStr">
        <is>
          <t>TENN @ GT</t>
        </is>
      </c>
      <c r="C284" s="17" t="inlineStr">
        <is>
          <t>2026-09-12 23:00</t>
        </is>
      </c>
      <c r="D284" s="25" t="n">
        <v>2</v>
      </c>
      <c r="E284" s="17" t="inlineStr">
        <is>
          <t>ATS</t>
        </is>
      </c>
      <c r="F284" s="17" t="inlineStr">
        <is>
          <t>TENN -13.5</t>
        </is>
      </c>
      <c r="G284" s="26" t="n">
        <v>13.5</v>
      </c>
      <c r="H284" s="18" t="n">
        <v>-108</v>
      </c>
      <c r="I284" s="20" t="n">
        <v>0.2888844570210416</v>
      </c>
      <c r="J284" s="20" t="n">
        <v>0.4956702459300312</v>
      </c>
      <c r="K284" s="20" t="n">
        <v>0.5192307692307693</v>
      </c>
      <c r="L284" s="19" t="n">
        <v>-0.09497086905489929</v>
      </c>
      <c r="M284" s="19" t="n">
        <v>-0.4436299346261421</v>
      </c>
      <c r="N284" s="20" t="n">
        <v>0</v>
      </c>
      <c r="O284" s="27" t="n">
        <v>0.725</v>
      </c>
      <c r="P284" s="17" t="inlineStr">
        <is>
          <t>DraftKings</t>
        </is>
      </c>
      <c r="Q284" s="17" t="inlineStr">
        <is>
          <t>raw model/market disagreement exceeds the safety limit</t>
        </is>
      </c>
    </row>
    <row r="285">
      <c r="A285" s="12" t="inlineStr">
        <is>
          <t>PASS</t>
        </is>
      </c>
      <c r="B285" s="12" t="inlineStr">
        <is>
          <t>MD @ CONN</t>
        </is>
      </c>
      <c r="C285" s="12" t="inlineStr">
        <is>
          <t>2026-09-12 19:30</t>
        </is>
      </c>
      <c r="D285" s="22" t="n">
        <v>2</v>
      </c>
      <c r="E285" s="12" t="inlineStr">
        <is>
          <t>ATS</t>
        </is>
      </c>
      <c r="F285" s="12" t="inlineStr">
        <is>
          <t>MD -12.5</t>
        </is>
      </c>
      <c r="G285" s="23" t="n">
        <v>12.5</v>
      </c>
      <c r="H285" s="13" t="n">
        <v>-110</v>
      </c>
      <c r="I285" s="15" t="n">
        <v>0.2881863460163048</v>
      </c>
      <c r="J285" s="15" t="n">
        <v>0.5</v>
      </c>
      <c r="K285" s="15" t="n">
        <v>0.5238095238095238</v>
      </c>
      <c r="L285" s="14" t="n">
        <v>-0.09497456373718653</v>
      </c>
      <c r="M285" s="14" t="n">
        <v>-0.4498260666961454</v>
      </c>
      <c r="N285" s="15" t="n">
        <v>0</v>
      </c>
      <c r="O285" s="24" t="n">
        <v>0.725</v>
      </c>
      <c r="P285" s="12" t="inlineStr">
        <is>
          <t>DraftKings</t>
        </is>
      </c>
      <c r="Q285" s="12" t="inlineStr">
        <is>
          <t>raw model/market disagreement exceeds the safety limit</t>
        </is>
      </c>
    </row>
    <row r="286">
      <c r="A286" s="17" t="inlineStr">
        <is>
          <t>PASS</t>
        </is>
      </c>
      <c r="B286" s="17" t="inlineStr">
        <is>
          <t>GASO @ CLEM</t>
        </is>
      </c>
      <c r="C286" s="17" t="inlineStr">
        <is>
          <t>2026-09-12 23:30</t>
        </is>
      </c>
      <c r="D286" s="25" t="n">
        <v>2</v>
      </c>
      <c r="E286" s="17" t="inlineStr">
        <is>
          <t>ATS</t>
        </is>
      </c>
      <c r="F286" s="17" t="inlineStr">
        <is>
          <t>CLEM -21</t>
        </is>
      </c>
      <c r="G286" s="26" t="n">
        <v>-21</v>
      </c>
      <c r="H286" s="18" t="n">
        <v>-105</v>
      </c>
      <c r="I286" s="20" t="n">
        <v>0.2813446810290371</v>
      </c>
      <c r="J286" s="20" t="n">
        <v>0.4891657638136511</v>
      </c>
      <c r="K286" s="20" t="n">
        <v>0.5121951219512195</v>
      </c>
      <c r="L286" s="19" t="n">
        <v>-0.09497520899143362</v>
      </c>
      <c r="M286" s="19" t="n">
        <v>-0.4440375252503762</v>
      </c>
      <c r="N286" s="20" t="n">
        <v>0.0148</v>
      </c>
      <c r="O286" s="27" t="n">
        <v>0.725</v>
      </c>
      <c r="P286" s="17" t="inlineStr">
        <is>
          <t>DraftKings</t>
        </is>
      </c>
      <c r="Q286" s="17" t="inlineStr">
        <is>
          <t>raw model/market disagreement exceeds the safety limit</t>
        </is>
      </c>
    </row>
    <row r="287">
      <c r="A287" s="12" t="inlineStr">
        <is>
          <t>PASS</t>
        </is>
      </c>
      <c r="B287" s="12" t="inlineStr">
        <is>
          <t>TLSA @ SHSU</t>
        </is>
      </c>
      <c r="C287" s="12" t="inlineStr">
        <is>
          <t>2026-09-12 23:00</t>
        </is>
      </c>
      <c r="D287" s="22" t="n">
        <v>2</v>
      </c>
      <c r="E287" s="12" t="inlineStr">
        <is>
          <t>ATS</t>
        </is>
      </c>
      <c r="F287" s="12" t="inlineStr">
        <is>
          <t>TLSA -13.5</t>
        </is>
      </c>
      <c r="G287" s="23" t="n">
        <v>13.5</v>
      </c>
      <c r="H287" s="13" t="n">
        <v>-115</v>
      </c>
      <c r="I287" s="15" t="n">
        <v>0.2863431239229638</v>
      </c>
      <c r="J287" s="15" t="n">
        <v>0.5108342361863488</v>
      </c>
      <c r="K287" s="15" t="n">
        <v>0.5348837209302325</v>
      </c>
      <c r="L287" s="14" t="n">
        <v>-0.09498177310753736</v>
      </c>
      <c r="M287" s="14" t="n">
        <v>-0.4646628552744591</v>
      </c>
      <c r="N287" s="15" t="n">
        <v>0</v>
      </c>
      <c r="O287" s="24" t="n">
        <v>0.725</v>
      </c>
      <c r="P287" s="12" t="inlineStr">
        <is>
          <t>DraftKings</t>
        </is>
      </c>
      <c r="Q287" s="12" t="inlineStr">
        <is>
          <t>raw model/market disagreement exceeds the safety limit</t>
        </is>
      </c>
    </row>
    <row r="288">
      <c r="A288" s="17" t="inlineStr">
        <is>
          <t>PASS</t>
        </is>
      </c>
      <c r="B288" s="17" t="inlineStr">
        <is>
          <t>USU @ WASH</t>
        </is>
      </c>
      <c r="C288" s="17" t="inlineStr">
        <is>
          <t>2026-09-12 19:30</t>
        </is>
      </c>
      <c r="D288" s="25" t="n">
        <v>2</v>
      </c>
      <c r="E288" s="17" t="inlineStr">
        <is>
          <t>ATS</t>
        </is>
      </c>
      <c r="F288" s="17" t="inlineStr">
        <is>
          <t>WASH -26.5</t>
        </is>
      </c>
      <c r="G288" s="26" t="n">
        <v>-26.5</v>
      </c>
      <c r="H288" s="18" t="n">
        <v>-115</v>
      </c>
      <c r="I288" s="20" t="n">
        <v>0.2801833912666774</v>
      </c>
      <c r="J288" s="20" t="n">
        <v>0.5108342361863488</v>
      </c>
      <c r="K288" s="20" t="n">
        <v>0.5348837209302325</v>
      </c>
      <c r="L288" s="19" t="n">
        <v>-0.09498585921554442</v>
      </c>
      <c r="M288" s="19" t="n">
        <v>-0.4761788771970815</v>
      </c>
      <c r="N288" s="20" t="n">
        <v>0</v>
      </c>
      <c r="O288" s="27" t="n">
        <v>0.725</v>
      </c>
      <c r="P288" s="17" t="inlineStr">
        <is>
          <t>DraftKings</t>
        </is>
      </c>
      <c r="Q288" s="17" t="inlineStr">
        <is>
          <t>raw model/market disagreement exceeds the safety limit</t>
        </is>
      </c>
    </row>
    <row r="289">
      <c r="A289" s="12" t="inlineStr">
        <is>
          <t>PASS</t>
        </is>
      </c>
      <c r="B289" s="12" t="inlineStr">
        <is>
          <t>BGSU @ NEB</t>
        </is>
      </c>
      <c r="C289" s="12" t="inlineStr">
        <is>
          <t>2026-09-12 23:00</t>
        </is>
      </c>
      <c r="D289" s="22" t="n">
        <v>2</v>
      </c>
      <c r="E289" s="12" t="inlineStr">
        <is>
          <t>ATS</t>
        </is>
      </c>
      <c r="F289" s="12" t="inlineStr">
        <is>
          <t>NEB -28.5</t>
        </is>
      </c>
      <c r="G289" s="23" t="n">
        <v>-28.5</v>
      </c>
      <c r="H289" s="13" t="n">
        <v>-112</v>
      </c>
      <c r="I289" s="15" t="n">
        <v>0.2721861880261785</v>
      </c>
      <c r="J289" s="15" t="n">
        <v>0.5043297540699688</v>
      </c>
      <c r="K289" s="15" t="n">
        <v>0.5283018867924528</v>
      </c>
      <c r="L289" s="14" t="n">
        <v>-0.09498824631333275</v>
      </c>
      <c r="M289" s="14" t="n">
        <v>-0.4847904298075907</v>
      </c>
      <c r="N289" s="15" t="n">
        <v>0</v>
      </c>
      <c r="O289" s="24" t="n">
        <v>0.725</v>
      </c>
      <c r="P289" s="12" t="inlineStr">
        <is>
          <t>DraftKings</t>
        </is>
      </c>
      <c r="Q289" s="12" t="inlineStr">
        <is>
          <t>raw model/market disagreement exceeds the safety limit</t>
        </is>
      </c>
    </row>
    <row r="290">
      <c r="A290" s="17" t="inlineStr">
        <is>
          <t>PASS</t>
        </is>
      </c>
      <c r="B290" s="17" t="inlineStr">
        <is>
          <t>UL @ USC</t>
        </is>
      </c>
      <c r="C290" s="17" t="inlineStr">
        <is>
          <t>2026-09-13 03:00</t>
        </is>
      </c>
      <c r="D290" s="25" t="n">
        <v>2</v>
      </c>
      <c r="E290" s="17" t="inlineStr">
        <is>
          <t>ATS</t>
        </is>
      </c>
      <c r="F290" s="17" t="inlineStr">
        <is>
          <t>USC -30.5</t>
        </is>
      </c>
      <c r="G290" s="26" t="n">
        <v>-30.5</v>
      </c>
      <c r="H290" s="18" t="n">
        <v>-118</v>
      </c>
      <c r="I290" s="20" t="n">
        <v>0.2699564769200558</v>
      </c>
      <c r="J290" s="20" t="n">
        <v>0.5173641257162701</v>
      </c>
      <c r="K290" s="20" t="n">
        <v>0.5412844036697247</v>
      </c>
      <c r="L290" s="19" t="n">
        <v>-0.09499193768539861</v>
      </c>
      <c r="M290" s="19" t="n">
        <v>-0.5012668477239648</v>
      </c>
      <c r="N290" s="20" t="n">
        <v>0</v>
      </c>
      <c r="O290" s="27" t="n">
        <v>0.725</v>
      </c>
      <c r="P290" s="17" t="inlineStr">
        <is>
          <t>DraftKings</t>
        </is>
      </c>
      <c r="Q290" s="17" t="inlineStr">
        <is>
          <t>raw model/market disagreement exceeds the safety limit</t>
        </is>
      </c>
    </row>
    <row r="291">
      <c r="A291" s="12" t="inlineStr">
        <is>
          <t>PASS</t>
        </is>
      </c>
      <c r="B291" s="12" t="inlineStr">
        <is>
          <t>USM @ AUB</t>
        </is>
      </c>
      <c r="C291" s="12" t="inlineStr">
        <is>
          <t>2026-09-12 23:45</t>
        </is>
      </c>
      <c r="D291" s="22" t="n">
        <v>2</v>
      </c>
      <c r="E291" s="12" t="inlineStr">
        <is>
          <t>ATS</t>
        </is>
      </c>
      <c r="F291" s="12" t="inlineStr">
        <is>
          <t>AUB -30.5</t>
        </is>
      </c>
      <c r="G291" s="23" t="n">
        <v>-30.5</v>
      </c>
      <c r="H291" s="13" t="n">
        <v>-112</v>
      </c>
      <c r="I291" s="15" t="n">
        <v>0.2622121691172813</v>
      </c>
      <c r="J291" s="15" t="n">
        <v>0.5043297540699688</v>
      </c>
      <c r="K291" s="15" t="n">
        <v>0.5283018867924528</v>
      </c>
      <c r="L291" s="14" t="n">
        <v>-0.09499224890021293</v>
      </c>
      <c r="M291" s="14" t="n">
        <v>-0.503669822742289</v>
      </c>
      <c r="N291" s="15" t="n">
        <v>0</v>
      </c>
      <c r="O291" s="24" t="n">
        <v>0.725</v>
      </c>
      <c r="P291" s="12" t="inlineStr">
        <is>
          <t>DraftKings</t>
        </is>
      </c>
      <c r="Q291" s="12" t="inlineStr">
        <is>
          <t>raw model/market disagreement exceeds the safety limit</t>
        </is>
      </c>
    </row>
    <row r="292">
      <c r="A292" s="17" t="inlineStr">
        <is>
          <t>PASS</t>
        </is>
      </c>
      <c r="B292" s="17" t="inlineStr">
        <is>
          <t>PSU @ TEM</t>
        </is>
      </c>
      <c r="C292" s="17" t="inlineStr">
        <is>
          <t>2026-09-12 16:00</t>
        </is>
      </c>
      <c r="D292" s="25" t="n">
        <v>2</v>
      </c>
      <c r="E292" s="17" t="inlineStr">
        <is>
          <t>ATS</t>
        </is>
      </c>
      <c r="F292" s="17" t="inlineStr">
        <is>
          <t>PSU -23.5</t>
        </is>
      </c>
      <c r="G292" s="26" t="n">
        <v>23.5</v>
      </c>
      <c r="H292" s="18" t="n">
        <v>-110</v>
      </c>
      <c r="I292" s="20" t="n">
        <v>0.2564613664239015</v>
      </c>
      <c r="J292" s="20" t="n">
        <v>0.5</v>
      </c>
      <c r="K292" s="20" t="n">
        <v>0.5238095238095238</v>
      </c>
      <c r="L292" s="19" t="n">
        <v>-0.09499331085616804</v>
      </c>
      <c r="M292" s="19" t="n">
        <v>-0.510391936827097</v>
      </c>
      <c r="N292" s="20" t="n">
        <v>0</v>
      </c>
      <c r="O292" s="27" t="n">
        <v>0.725</v>
      </c>
      <c r="P292" s="17" t="inlineStr">
        <is>
          <t>DraftKings</t>
        </is>
      </c>
      <c r="Q292" s="17" t="inlineStr">
        <is>
          <t>raw model/market disagreement exceeds the safety limit</t>
        </is>
      </c>
    </row>
    <row r="293">
      <c r="A293" s="12" t="inlineStr">
        <is>
          <t>PASS</t>
        </is>
      </c>
      <c r="B293" s="12" t="inlineStr">
        <is>
          <t>ORE @ OKST</t>
        </is>
      </c>
      <c r="C293" s="12" t="inlineStr">
        <is>
          <t>2026-09-12 16:00</t>
        </is>
      </c>
      <c r="D293" s="22" t="n">
        <v>2</v>
      </c>
      <c r="E293" s="12" t="inlineStr">
        <is>
          <t>ATS</t>
        </is>
      </c>
      <c r="F293" s="12" t="inlineStr">
        <is>
          <t>ORE -22.5</t>
        </is>
      </c>
      <c r="G293" s="23" t="n">
        <v>22.5</v>
      </c>
      <c r="H293" s="13" t="n">
        <v>-112</v>
      </c>
      <c r="I293" s="15" t="n">
        <v>0.2585325186380625</v>
      </c>
      <c r="J293" s="15" t="n">
        <v>0.5043297540699688</v>
      </c>
      <c r="K293" s="15" t="n">
        <v>0.5283018867924528</v>
      </c>
      <c r="L293" s="14" t="n">
        <v>-0.09499335251876914</v>
      </c>
      <c r="M293" s="14" t="n">
        <v>-0.510634875435096</v>
      </c>
      <c r="N293" s="15" t="n">
        <v>0</v>
      </c>
      <c r="O293" s="24" t="n">
        <v>0.725</v>
      </c>
      <c r="P293" s="12" t="inlineStr">
        <is>
          <t>DraftKings</t>
        </is>
      </c>
      <c r="Q293" s="12" t="inlineStr">
        <is>
          <t>raw model/market disagreement exceeds the safety limit</t>
        </is>
      </c>
    </row>
    <row r="294">
      <c r="A294" s="17" t="inlineStr">
        <is>
          <t>PASS</t>
        </is>
      </c>
      <c r="B294" s="17" t="inlineStr">
        <is>
          <t>LT @ LSU</t>
        </is>
      </c>
      <c r="C294" s="17" t="inlineStr">
        <is>
          <t>2026-09-12 23:30</t>
        </is>
      </c>
      <c r="D294" s="25" t="n">
        <v>2</v>
      </c>
      <c r="E294" s="17" t="inlineStr">
        <is>
          <t>ATS</t>
        </is>
      </c>
      <c r="F294" s="17" t="inlineStr">
        <is>
          <t>LSU -34.5</t>
        </is>
      </c>
      <c r="G294" s="26" t="n">
        <v>-34.5</v>
      </c>
      <c r="H294" s="18" t="n">
        <v>-105</v>
      </c>
      <c r="I294" s="20" t="n">
        <v>0.249162043284804</v>
      </c>
      <c r="J294" s="20" t="n">
        <v>0.4891657638136511</v>
      </c>
      <c r="K294" s="20" t="n">
        <v>0.5121951219512195</v>
      </c>
      <c r="L294" s="19" t="n">
        <v>-0.09499379405282526</v>
      </c>
      <c r="M294" s="19" t="n">
        <v>-0.5135407726344302</v>
      </c>
      <c r="N294" s="20" t="n">
        <v>0</v>
      </c>
      <c r="O294" s="27" t="n">
        <v>0.725</v>
      </c>
      <c r="P294" s="17" t="inlineStr">
        <is>
          <t>DraftKings</t>
        </is>
      </c>
      <c r="Q294" s="17" t="inlineStr">
        <is>
          <t>raw model/market disagreement exceeds the safety limit</t>
        </is>
      </c>
    </row>
    <row r="295">
      <c r="A295" s="12" t="inlineStr">
        <is>
          <t>PASS</t>
        </is>
      </c>
      <c r="B295" s="12" t="inlineStr">
        <is>
          <t>TTU @ ORST</t>
        </is>
      </c>
      <c r="C295" s="12" t="inlineStr">
        <is>
          <t>2026-09-12 23:30</t>
        </is>
      </c>
      <c r="D295" s="22" t="n">
        <v>2</v>
      </c>
      <c r="E295" s="12" t="inlineStr">
        <is>
          <t>ATS</t>
        </is>
      </c>
      <c r="F295" s="12" t="inlineStr">
        <is>
          <t>TTU -26.5</t>
        </is>
      </c>
      <c r="G295" s="23" t="n">
        <v>26.5</v>
      </c>
      <c r="H295" s="13" t="n">
        <v>-108</v>
      </c>
      <c r="I295" s="15" t="n">
        <v>0.2512065357227274</v>
      </c>
      <c r="J295" s="15" t="n">
        <v>0.4956702459300312</v>
      </c>
      <c r="K295" s="15" t="n">
        <v>0.5192307692307693</v>
      </c>
      <c r="L295" s="14" t="n">
        <v>-0.09499411958801765</v>
      </c>
      <c r="M295" s="14" t="n">
        <v>-0.5161948200895619</v>
      </c>
      <c r="N295" s="15" t="n">
        <v>0</v>
      </c>
      <c r="O295" s="24" t="n">
        <v>0.725</v>
      </c>
      <c r="P295" s="12" t="inlineStr">
        <is>
          <t>DraftKings</t>
        </is>
      </c>
      <c r="Q295" s="12" t="inlineStr">
        <is>
          <t>raw model/market disagreement exceeds the safety limit</t>
        </is>
      </c>
    </row>
    <row r="296">
      <c r="A296" s="17" t="inlineStr">
        <is>
          <t>PASS</t>
        </is>
      </c>
      <c r="B296" s="17" t="inlineStr">
        <is>
          <t>WKU @ UGA</t>
        </is>
      </c>
      <c r="C296" s="17" t="inlineStr">
        <is>
          <t>2026-09-12 16:45</t>
        </is>
      </c>
      <c r="D296" s="25" t="n">
        <v>2</v>
      </c>
      <c r="E296" s="17" t="inlineStr">
        <is>
          <t>ATS</t>
        </is>
      </c>
      <c r="F296" s="17" t="inlineStr">
        <is>
          <t>UGA -40.5</t>
        </is>
      </c>
      <c r="G296" s="26" t="n">
        <v>-40.5</v>
      </c>
      <c r="H296" s="18" t="n">
        <v>-112</v>
      </c>
      <c r="I296" s="20" t="n">
        <v>0.2539485752086236</v>
      </c>
      <c r="J296" s="20" t="n">
        <v>0.5043297540699688</v>
      </c>
      <c r="K296" s="20" t="n">
        <v>0.5283018867924528</v>
      </c>
      <c r="L296" s="19" t="n">
        <v>-0.09499451019368006</v>
      </c>
      <c r="M296" s="19" t="n">
        <v>-0.5193116254979626</v>
      </c>
      <c r="N296" s="20" t="n">
        <v>0</v>
      </c>
      <c r="O296" s="27" t="n">
        <v>0.725</v>
      </c>
      <c r="P296" s="17" t="inlineStr">
        <is>
          <t>DraftKings</t>
        </is>
      </c>
      <c r="Q296" s="17" t="inlineStr">
        <is>
          <t>raw model/market disagreement exceeds the safety limit</t>
        </is>
      </c>
    </row>
    <row r="297">
      <c r="A297" s="12" t="inlineStr">
        <is>
          <t>PASS</t>
        </is>
      </c>
      <c r="B297" s="12" t="inlineStr">
        <is>
          <t>RICE @ ND</t>
        </is>
      </c>
      <c r="C297" s="12" t="inlineStr">
        <is>
          <t>2026-09-12 19:30</t>
        </is>
      </c>
      <c r="D297" s="22" t="n">
        <v>2</v>
      </c>
      <c r="E297" s="12" t="inlineStr">
        <is>
          <t>ATS</t>
        </is>
      </c>
      <c r="F297" s="12" t="inlineStr">
        <is>
          <t>ND -44.5</t>
        </is>
      </c>
      <c r="G297" s="23" t="n">
        <v>-44.5</v>
      </c>
      <c r="H297" s="13" t="n">
        <v>-112</v>
      </c>
      <c r="I297" s="15" t="n">
        <v>0.2527874824078101</v>
      </c>
      <c r="J297" s="15" t="n">
        <v>0.5043297540699688</v>
      </c>
      <c r="K297" s="15" t="n">
        <v>0.5283018867924528</v>
      </c>
      <c r="L297" s="14" t="n">
        <v>-0.09499476992332878</v>
      </c>
      <c r="M297" s="14" t="n">
        <v>-0.5215094082995024</v>
      </c>
      <c r="N297" s="15" t="n">
        <v>0</v>
      </c>
      <c r="O297" s="24" t="n">
        <v>0.725</v>
      </c>
      <c r="P297" s="12" t="inlineStr">
        <is>
          <t>DraftKings</t>
        </is>
      </c>
      <c r="Q297" s="12" t="inlineStr">
        <is>
          <t>raw model/market disagreement exceeds the safety limit</t>
        </is>
      </c>
    </row>
    <row r="298">
      <c r="A298" s="17" t="inlineStr">
        <is>
          <t>PASS</t>
        </is>
      </c>
      <c r="B298" s="17" t="inlineStr">
        <is>
          <t>CLT @ MISS</t>
        </is>
      </c>
      <c r="C298" s="17" t="inlineStr">
        <is>
          <t>2026-09-12 23:45</t>
        </is>
      </c>
      <c r="D298" s="25" t="n">
        <v>2</v>
      </c>
      <c r="E298" s="17" t="inlineStr">
        <is>
          <t>ATS</t>
        </is>
      </c>
      <c r="F298" s="17" t="inlineStr">
        <is>
          <t>MISS -47.5</t>
        </is>
      </c>
      <c r="G298" s="26" t="n">
        <v>-47.5</v>
      </c>
      <c r="H298" s="18" t="n">
        <v>-108</v>
      </c>
      <c r="I298" s="20" t="n">
        <v>0.2481403367647009</v>
      </c>
      <c r="J298" s="20" t="n">
        <v>0.4956702459300312</v>
      </c>
      <c r="K298" s="20" t="n">
        <v>0.5192307692307693</v>
      </c>
      <c r="L298" s="19" t="n">
        <v>-0.09499483760946323</v>
      </c>
      <c r="M298" s="19" t="n">
        <v>-0.5221000921568724</v>
      </c>
      <c r="N298" s="20" t="n">
        <v>0</v>
      </c>
      <c r="O298" s="27" t="n">
        <v>0.725</v>
      </c>
      <c r="P298" s="17" t="inlineStr">
        <is>
          <t>DraftKings</t>
        </is>
      </c>
      <c r="Q298" s="17" t="inlineStr">
        <is>
          <t>raw model/market disagreement exceeds the safety limit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2026-09-13</t>
        </is>
      </c>
      <c r="B6" s="12" t="inlineStr">
        <is>
          <t>NMSU @ HAW</t>
        </is>
      </c>
      <c r="C6" s="12" t="inlineStr">
        <is>
          <t>ATS</t>
        </is>
      </c>
      <c r="D6" s="12" t="inlineStr">
        <is>
          <t>NMSU +11.5</t>
        </is>
      </c>
      <c r="E6" s="13" t="n">
        <v>-108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0.0994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2026-09-13</t>
        </is>
      </c>
      <c r="B7" s="17" t="inlineStr">
        <is>
          <t>NMSU @ HAW</t>
        </is>
      </c>
      <c r="C7" s="17" t="inlineStr">
        <is>
          <t>ML</t>
        </is>
      </c>
      <c r="D7" s="17" t="inlineStr">
        <is>
          <t>NMSU ML</t>
        </is>
      </c>
      <c r="E7" s="18" t="n">
        <v>300</v>
      </c>
      <c r="F7" s="21" t="n">
        <v>2.5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BEST BET</t>
        </is>
      </c>
      <c r="L7" s="19" t="n">
        <v>0.0949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2026-09-13</t>
        </is>
      </c>
      <c r="B8" s="12" t="inlineStr">
        <is>
          <t>UL @ USC</t>
        </is>
      </c>
      <c r="C8" s="12" t="inlineStr">
        <is>
          <t>TOTAL</t>
        </is>
      </c>
      <c r="D8" s="12" t="inlineStr">
        <is>
          <t>Under 59.5</t>
        </is>
      </c>
      <c r="E8" s="13" t="n">
        <v>-112</v>
      </c>
      <c r="F8" s="16" t="n">
        <v>18.5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0.1106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2026-09-13</t>
        </is>
      </c>
      <c r="B9" s="17" t="inlineStr">
        <is>
          <t>ARK @ UTAH</t>
        </is>
      </c>
      <c r="C9" s="17" t="inlineStr">
        <is>
          <t>ATS</t>
        </is>
      </c>
      <c r="D9" s="17" t="inlineStr">
        <is>
          <t>ARK +9.5</t>
        </is>
      </c>
      <c r="E9" s="18" t="n">
        <v>-105</v>
      </c>
      <c r="F9" s="21" t="n">
        <v>23.5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0.09180000000000001</v>
      </c>
      <c r="M9" s="19" t="n"/>
      <c r="N9" s="17" t="n"/>
      <c r="O9" s="17" t="inlineStr">
        <is>
          <t>Draft Kings</t>
        </is>
      </c>
    </row>
    <row r="10">
      <c r="A10" s="12" t="inlineStr">
        <is>
          <t>2026-09-13</t>
        </is>
      </c>
      <c r="B10" s="12" t="inlineStr">
        <is>
          <t>ARK @ UTAH</t>
        </is>
      </c>
      <c r="C10" s="12" t="inlineStr">
        <is>
          <t>ML</t>
        </is>
      </c>
      <c r="D10" s="12" t="inlineStr">
        <is>
          <t>ARK ML</t>
        </is>
      </c>
      <c r="E10" s="13" t="n">
        <v>380</v>
      </c>
      <c r="F10" s="16" t="n">
        <v>2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GOOD</t>
        </is>
      </c>
      <c r="L10" s="14" t="n">
        <v>0.0948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2026-09-13</t>
        </is>
      </c>
      <c r="B11" s="17" t="inlineStr">
        <is>
          <t>NDSU @ AFA</t>
        </is>
      </c>
      <c r="C11" s="17" t="inlineStr">
        <is>
          <t>ML</t>
        </is>
      </c>
      <c r="D11" s="17" t="inlineStr">
        <is>
          <t>AFA ML</t>
        </is>
      </c>
      <c r="E11" s="18" t="n">
        <v>180</v>
      </c>
      <c r="F11" s="21" t="n">
        <v>4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0.095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2026-09-12</t>
        </is>
      </c>
      <c r="B12" s="12" t="inlineStr">
        <is>
          <t>CLT @ MISS</t>
        </is>
      </c>
      <c r="C12" s="12" t="inlineStr">
        <is>
          <t>TOTAL</t>
        </is>
      </c>
      <c r="D12" s="12" t="inlineStr">
        <is>
          <t>Under 61.5</t>
        </is>
      </c>
      <c r="E12" s="13" t="n">
        <v>-108</v>
      </c>
      <c r="F12" s="16" t="n">
        <v>18.5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0.1108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2026-09-12</t>
        </is>
      </c>
      <c r="B13" s="17" t="inlineStr">
        <is>
          <t>OSU @ TEX</t>
        </is>
      </c>
      <c r="C13" s="17" t="inlineStr">
        <is>
          <t>TOTAL</t>
        </is>
      </c>
      <c r="D13" s="17" t="inlineStr">
        <is>
          <t>Over 47.5</t>
        </is>
      </c>
      <c r="E13" s="18" t="n">
        <v>-110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0.1189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2026-09-12</t>
        </is>
      </c>
      <c r="B14" s="12" t="inlineStr">
        <is>
          <t>TTU @ ORST</t>
        </is>
      </c>
      <c r="C14" s="12" t="inlineStr">
        <is>
          <t>TOTAL</t>
        </is>
      </c>
      <c r="D14" s="12" t="inlineStr">
        <is>
          <t>Over 49.5</t>
        </is>
      </c>
      <c r="E14" s="13" t="n">
        <v>-108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0.1092</v>
      </c>
      <c r="M14" s="14" t="n"/>
      <c r="N14" s="12" t="n"/>
      <c r="O14" s="12" t="inlineStr">
        <is>
          <t>Draft Kings</t>
        </is>
      </c>
    </row>
    <row r="15">
      <c r="A15" s="17" t="inlineStr">
        <is>
          <t>2026-09-12</t>
        </is>
      </c>
      <c r="B15" s="17" t="inlineStr">
        <is>
          <t>ISU @ IOWA</t>
        </is>
      </c>
      <c r="C15" s="17" t="inlineStr">
        <is>
          <t>ATS</t>
        </is>
      </c>
      <c r="D15" s="17" t="inlineStr">
        <is>
          <t>ISU +12.5</t>
        </is>
      </c>
      <c r="E15" s="18" t="n">
        <v>-110</v>
      </c>
      <c r="F15" s="21" t="n">
        <v>25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0.1201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2026-09-12</t>
        </is>
      </c>
      <c r="B16" s="12" t="inlineStr">
        <is>
          <t>ISU @ IOWA</t>
        </is>
      </c>
      <c r="C16" s="12" t="inlineStr">
        <is>
          <t>ML</t>
        </is>
      </c>
      <c r="D16" s="12" t="inlineStr">
        <is>
          <t>ISU ML</t>
        </is>
      </c>
      <c r="E16" s="13" t="n">
        <v>550</v>
      </c>
      <c r="F16" s="16" t="n">
        <v>19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0.128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2026-09-12</t>
        </is>
      </c>
      <c r="B17" s="17" t="inlineStr">
        <is>
          <t>GASO @ CLEM</t>
        </is>
      </c>
      <c r="C17" s="17" t="inlineStr">
        <is>
          <t>TOTAL</t>
        </is>
      </c>
      <c r="D17" s="17" t="inlineStr">
        <is>
          <t>Under 57.5</t>
        </is>
      </c>
      <c r="E17" s="18" t="n">
        <v>-108</v>
      </c>
      <c r="F17" s="21" t="n">
        <v>24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0.0882</v>
      </c>
      <c r="M17" s="19" t="n"/>
      <c r="N17" s="17" t="n"/>
      <c r="O17" s="17" t="inlineStr">
        <is>
          <t>Draft Kings</t>
        </is>
      </c>
    </row>
    <row r="18">
      <c r="A18" s="12" t="inlineStr">
        <is>
          <t>2026-09-12</t>
        </is>
      </c>
      <c r="B18" s="12" t="inlineStr">
        <is>
          <t>NAVY @ FAU</t>
        </is>
      </c>
      <c r="C18" s="12" t="inlineStr">
        <is>
          <t>ML</t>
        </is>
      </c>
      <c r="D18" s="12" t="inlineStr">
        <is>
          <t>FAU ML</t>
        </is>
      </c>
      <c r="E18" s="13" t="n">
        <v>195</v>
      </c>
      <c r="F18" s="16" t="n">
        <v>18.5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BEST BET</t>
        </is>
      </c>
      <c r="L18" s="14" t="n">
        <v>0.1327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2026-09-12</t>
        </is>
      </c>
      <c r="B19" s="17" t="inlineStr">
        <is>
          <t>SDSU @ UCLA</t>
        </is>
      </c>
      <c r="C19" s="17" t="inlineStr">
        <is>
          <t>TOTAL</t>
        </is>
      </c>
      <c r="D19" s="17" t="inlineStr">
        <is>
          <t>Over 48.5</t>
        </is>
      </c>
      <c r="E19" s="18" t="n">
        <v>-110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0.1218</v>
      </c>
      <c r="M19" s="19" t="n"/>
      <c r="N19" s="17" t="n"/>
      <c r="O19" s="17" t="inlineStr">
        <is>
          <t>Draft Kings</t>
        </is>
      </c>
    </row>
    <row r="20">
      <c r="A20" s="12" t="inlineStr">
        <is>
          <t>2026-09-12</t>
        </is>
      </c>
      <c r="B20" s="12" t="inlineStr">
        <is>
          <t>USA @ TULN</t>
        </is>
      </c>
      <c r="C20" s="12" t="inlineStr">
        <is>
          <t>ML</t>
        </is>
      </c>
      <c r="D20" s="12" t="inlineStr">
        <is>
          <t>USA ML</t>
        </is>
      </c>
      <c r="E20" s="13" t="n">
        <v>330</v>
      </c>
      <c r="F20" s="16" t="n">
        <v>2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GOOD</t>
        </is>
      </c>
      <c r="L20" s="14" t="n">
        <v>0.09470000000000001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2026-09-12</t>
        </is>
      </c>
      <c r="B21" s="17" t="inlineStr">
        <is>
          <t>MTSU @ MRSH</t>
        </is>
      </c>
      <c r="C21" s="17" t="inlineStr">
        <is>
          <t>ML</t>
        </is>
      </c>
      <c r="D21" s="17" t="inlineStr">
        <is>
          <t>MTSU ML</t>
        </is>
      </c>
      <c r="E21" s="18" t="n">
        <v>490</v>
      </c>
      <c r="F21" s="21" t="n">
        <v>1.5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BEST BET</t>
        </is>
      </c>
      <c r="L21" s="19" t="n">
        <v>0.095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2026-09-12</t>
        </is>
      </c>
      <c r="B22" s="12" t="inlineStr">
        <is>
          <t>MTSU @ MRSH</t>
        </is>
      </c>
      <c r="C22" s="12" t="inlineStr">
        <is>
          <t>TOTAL</t>
        </is>
      </c>
      <c r="D22" s="12" t="inlineStr">
        <is>
          <t>Under 57.5</t>
        </is>
      </c>
      <c r="E22" s="13" t="n">
        <v>-105</v>
      </c>
      <c r="F22" s="16" t="n">
        <v>14.5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0.07820000000000001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2026-09-12</t>
        </is>
      </c>
      <c r="B23" s="17" t="inlineStr">
        <is>
          <t>JVST @ OHIO</t>
        </is>
      </c>
      <c r="C23" s="17" t="inlineStr">
        <is>
          <t>TOTAL</t>
        </is>
      </c>
      <c r="D23" s="17" t="inlineStr">
        <is>
          <t>Over 48.5</t>
        </is>
      </c>
      <c r="E23" s="18" t="n">
        <v>-110</v>
      </c>
      <c r="F23" s="21" t="n">
        <v>25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LEAN</t>
        </is>
      </c>
      <c r="L23" s="19" t="n">
        <v>0.1159</v>
      </c>
      <c r="M23" s="19" t="n"/>
      <c r="N23" s="17" t="n"/>
      <c r="O23" s="17" t="inlineStr">
        <is>
          <t>Draft Kings</t>
        </is>
      </c>
    </row>
    <row r="24">
      <c r="A24" s="12" t="inlineStr">
        <is>
          <t>2026-09-12</t>
        </is>
      </c>
      <c r="B24" s="12" t="inlineStr">
        <is>
          <t>UNLV @ UNT</t>
        </is>
      </c>
      <c r="C24" s="12" t="inlineStr">
        <is>
          <t>ATS</t>
        </is>
      </c>
      <c r="D24" s="12" t="inlineStr">
        <is>
          <t>UNT +5.5</t>
        </is>
      </c>
      <c r="E24" s="13" t="n">
        <v>-105</v>
      </c>
      <c r="F24" s="16" t="n">
        <v>18.5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BEST BET</t>
        </is>
      </c>
      <c r="L24" s="14" t="n">
        <v>0.1238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2026-09-12</t>
        </is>
      </c>
      <c r="B25" s="17" t="inlineStr">
        <is>
          <t>UNLV @ UNT</t>
        </is>
      </c>
      <c r="C25" s="17" t="inlineStr">
        <is>
          <t>ML</t>
        </is>
      </c>
      <c r="D25" s="17" t="inlineStr">
        <is>
          <t>UNT ML</t>
        </is>
      </c>
      <c r="E25" s="18" t="n">
        <v>185</v>
      </c>
      <c r="F25" s="21" t="n">
        <v>24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GOOD</t>
        </is>
      </c>
      <c r="L25" s="19" t="n">
        <v>0.1187</v>
      </c>
      <c r="M25" s="19" t="n"/>
      <c r="N25" s="17" t="n"/>
      <c r="O25" s="17" t="inlineStr">
        <is>
          <t>Draft Kings</t>
        </is>
      </c>
    </row>
    <row r="26">
      <c r="A26" s="12" t="inlineStr">
        <is>
          <t>2026-09-12</t>
        </is>
      </c>
      <c r="B26" s="12" t="inlineStr">
        <is>
          <t>UCF @ PITT</t>
        </is>
      </c>
      <c r="C26" s="12" t="inlineStr">
        <is>
          <t>ATS</t>
        </is>
      </c>
      <c r="D26" s="12" t="inlineStr">
        <is>
          <t>UCF +8.5</t>
        </is>
      </c>
      <c r="E26" s="13" t="n">
        <v>-110</v>
      </c>
      <c r="F26" s="16" t="n">
        <v>15.5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0.0569</v>
      </c>
      <c r="M26" s="14" t="n"/>
      <c r="N26" s="12" t="n"/>
      <c r="O26" s="12" t="inlineStr">
        <is>
          <t>Draft Kings</t>
        </is>
      </c>
    </row>
    <row r="27">
      <c r="A27" s="17" t="inlineStr">
        <is>
          <t>2026-09-12</t>
        </is>
      </c>
      <c r="B27" s="17" t="inlineStr">
        <is>
          <t>UCF @ PITT</t>
        </is>
      </c>
      <c r="C27" s="17" t="inlineStr">
        <is>
          <t>TOTAL</t>
        </is>
      </c>
      <c r="D27" s="17" t="inlineStr">
        <is>
          <t>Over 51.5</t>
        </is>
      </c>
      <c r="E27" s="18" t="n">
        <v>-108</v>
      </c>
      <c r="F27" s="21" t="n">
        <v>25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0.1061</v>
      </c>
      <c r="M27" s="19" t="n"/>
      <c r="N27" s="17" t="n"/>
      <c r="O27" s="17" t="inlineStr">
        <is>
          <t>Draft Kings</t>
        </is>
      </c>
    </row>
    <row r="28">
      <c r="A28" s="12" t="inlineStr">
        <is>
          <t>2026-09-12</t>
        </is>
      </c>
      <c r="B28" s="12" t="inlineStr">
        <is>
          <t>CAL @ SYR</t>
        </is>
      </c>
      <c r="C28" s="12" t="inlineStr">
        <is>
          <t>ATS</t>
        </is>
      </c>
      <c r="D28" s="12" t="inlineStr">
        <is>
          <t>SYR +1.5</t>
        </is>
      </c>
      <c r="E28" s="13" t="n">
        <v>-108</v>
      </c>
      <c r="F28" s="16" t="n">
        <v>23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GOOD</t>
        </is>
      </c>
      <c r="L28" s="14" t="n">
        <v>0.0987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2026-09-12</t>
        </is>
      </c>
      <c r="B29" s="17" t="inlineStr">
        <is>
          <t>EMU @ MSU</t>
        </is>
      </c>
      <c r="C29" s="17" t="inlineStr">
        <is>
          <t>ML</t>
        </is>
      </c>
      <c r="D29" s="17" t="inlineStr">
        <is>
          <t>EMU ML</t>
        </is>
      </c>
      <c r="E29" s="18" t="n">
        <v>550</v>
      </c>
      <c r="F29" s="21" t="n">
        <v>16.5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0.1106</v>
      </c>
      <c r="M29" s="19" t="n"/>
      <c r="N29" s="17" t="n"/>
      <c r="O29" s="17" t="inlineStr">
        <is>
          <t>Draft Kings</t>
        </is>
      </c>
    </row>
    <row r="30">
      <c r="A30" s="12" t="inlineStr">
        <is>
          <t>2026-09-12</t>
        </is>
      </c>
      <c r="B30" s="12" t="inlineStr">
        <is>
          <t>OU @ MICH</t>
        </is>
      </c>
      <c r="C30" s="12" t="inlineStr">
        <is>
          <t>ML</t>
        </is>
      </c>
      <c r="D30" s="12" t="inlineStr">
        <is>
          <t>MICH ML</t>
        </is>
      </c>
      <c r="E30" s="13" t="n">
        <v>170</v>
      </c>
      <c r="F30" s="16" t="n">
        <v>20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GOOD</t>
        </is>
      </c>
      <c r="L30" s="14" t="n">
        <v>0.1101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2026-09-12</t>
        </is>
      </c>
      <c r="B31" s="17" t="inlineStr">
        <is>
          <t>OU @ MICH</t>
        </is>
      </c>
      <c r="C31" s="17" t="inlineStr">
        <is>
          <t>TOTAL</t>
        </is>
      </c>
      <c r="D31" s="17" t="inlineStr">
        <is>
          <t>Over 46.5</t>
        </is>
      </c>
      <c r="E31" s="18" t="n">
        <v>-105</v>
      </c>
      <c r="F31" s="21" t="n">
        <v>23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0.0851</v>
      </c>
      <c r="M31" s="19" t="n"/>
      <c r="N31" s="17" t="n"/>
      <c r="O31" s="17" t="inlineStr">
        <is>
          <t>Draft Kings</t>
        </is>
      </c>
    </row>
    <row r="32">
      <c r="A32" s="12" t="inlineStr">
        <is>
          <t>2026-09-12</t>
        </is>
      </c>
      <c r="B32" s="12" t="inlineStr">
        <is>
          <t>ASU @ TA&amp;M</t>
        </is>
      </c>
      <c r="C32" s="12" t="inlineStr">
        <is>
          <t>ATS</t>
        </is>
      </c>
      <c r="D32" s="12" t="inlineStr">
        <is>
          <t>ASU +14.5</t>
        </is>
      </c>
      <c r="E32" s="13" t="n">
        <v>-110</v>
      </c>
      <c r="F32" s="16" t="n">
        <v>26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LEAN</t>
        </is>
      </c>
      <c r="L32" s="14" t="n">
        <v>0.1221</v>
      </c>
      <c r="M32" s="14" t="n"/>
      <c r="N32" s="12" t="n"/>
      <c r="O32" s="12" t="inlineStr">
        <is>
          <t>Draft Kings</t>
        </is>
      </c>
    </row>
    <row r="33">
      <c r="A33" s="17" t="inlineStr">
        <is>
          <t>2026-09-12</t>
        </is>
      </c>
      <c r="B33" s="17" t="inlineStr">
        <is>
          <t>ASU @ TA&amp;M</t>
        </is>
      </c>
      <c r="C33" s="17" t="inlineStr">
        <is>
          <t>ML</t>
        </is>
      </c>
      <c r="D33" s="17" t="inlineStr">
        <is>
          <t>ASU ML</t>
        </is>
      </c>
      <c r="E33" s="18" t="n">
        <v>410</v>
      </c>
      <c r="F33" s="21" t="n">
        <v>16.5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0.1061</v>
      </c>
      <c r="M33" s="19" t="n"/>
      <c r="N33" s="17" t="n"/>
      <c r="O33" s="17" t="inlineStr">
        <is>
          <t>DraftKings</t>
        </is>
      </c>
    </row>
    <row r="34">
      <c r="A34" s="12" t="inlineStr">
        <is>
          <t>2026-09-12</t>
        </is>
      </c>
      <c r="B34" s="12" t="inlineStr">
        <is>
          <t>ASU @ TA&amp;M</t>
        </is>
      </c>
      <c r="C34" s="12" t="inlineStr">
        <is>
          <t>TOTAL</t>
        </is>
      </c>
      <c r="D34" s="12" t="inlineStr">
        <is>
          <t>Over 50.5</t>
        </is>
      </c>
      <c r="E34" s="13" t="n">
        <v>-112</v>
      </c>
      <c r="F34" s="16" t="n">
        <v>25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0.09660000000000001</v>
      </c>
      <c r="M34" s="14" t="n"/>
      <c r="N34" s="12" t="n"/>
      <c r="O34" s="12" t="inlineStr">
        <is>
          <t>Draft Kings</t>
        </is>
      </c>
    </row>
    <row r="35">
      <c r="A35" s="17" t="inlineStr">
        <is>
          <t>2026-09-12</t>
        </is>
      </c>
      <c r="B35" s="17" t="inlineStr">
        <is>
          <t>ORE @ OKST</t>
        </is>
      </c>
      <c r="C35" s="17" t="inlineStr">
        <is>
          <t>TOTAL</t>
        </is>
      </c>
      <c r="D35" s="17" t="inlineStr">
        <is>
          <t>Under 60.5</t>
        </is>
      </c>
      <c r="E35" s="18" t="n">
        <v>-112</v>
      </c>
      <c r="F35" s="21" t="n">
        <v>26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LEAN</t>
        </is>
      </c>
      <c r="L35" s="19" t="n">
        <v>0.1106</v>
      </c>
      <c r="M35" s="19" t="n"/>
      <c r="N35" s="17" t="n"/>
      <c r="O35" s="17" t="inlineStr">
        <is>
          <t>Draft Kings</t>
        </is>
      </c>
    </row>
    <row r="36">
      <c r="A36" s="12" t="inlineStr">
        <is>
          <t>2026-09-12</t>
        </is>
      </c>
      <c r="B36" s="12" t="inlineStr">
        <is>
          <t>ODU @ VT</t>
        </is>
      </c>
      <c r="C36" s="12" t="inlineStr">
        <is>
          <t>ML</t>
        </is>
      </c>
      <c r="D36" s="12" t="inlineStr">
        <is>
          <t>ODU ML</t>
        </is>
      </c>
      <c r="E36" s="13" t="n">
        <v>455</v>
      </c>
      <c r="F36" s="16" t="n">
        <v>15.5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LEAN</t>
        </is>
      </c>
      <c r="L36" s="14" t="n">
        <v>0.1006</v>
      </c>
      <c r="M36" s="14" t="n"/>
      <c r="N36" s="12" t="n"/>
      <c r="O36" s="12" t="inlineStr">
        <is>
          <t>Draft Kings</t>
        </is>
      </c>
    </row>
    <row r="37">
      <c r="A37" s="17" t="inlineStr">
        <is>
          <t>2026-09-12</t>
        </is>
      </c>
      <c r="B37" s="17" t="inlineStr">
        <is>
          <t>WAKE @ PUR</t>
        </is>
      </c>
      <c r="C37" s="17" t="inlineStr">
        <is>
          <t>ATS</t>
        </is>
      </c>
      <c r="D37" s="17" t="inlineStr">
        <is>
          <t>PUR +3.5</t>
        </is>
      </c>
      <c r="E37" s="18" t="n">
        <v>-115</v>
      </c>
      <c r="F37" s="21" t="n">
        <v>26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GOOD</t>
        </is>
      </c>
      <c r="L37" s="19" t="n">
        <v>0.0922</v>
      </c>
      <c r="M37" s="19" t="n"/>
      <c r="N37" s="17" t="n"/>
      <c r="O37" s="17" t="inlineStr">
        <is>
          <t>Draft Kings</t>
        </is>
      </c>
    </row>
    <row r="38">
      <c r="A38" s="12" t="inlineStr">
        <is>
          <t>2026-09-12</t>
        </is>
      </c>
      <c r="B38" s="12" t="inlineStr">
        <is>
          <t>WAKE @ PUR</t>
        </is>
      </c>
      <c r="C38" s="12" t="inlineStr">
        <is>
          <t>ML</t>
        </is>
      </c>
      <c r="D38" s="12" t="inlineStr">
        <is>
          <t>PUR ML</t>
        </is>
      </c>
      <c r="E38" s="13" t="n">
        <v>164</v>
      </c>
      <c r="F38" s="16" t="n">
        <v>4.5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GOOD</t>
        </is>
      </c>
      <c r="L38" s="14" t="n">
        <v>0.0949</v>
      </c>
      <c r="M38" s="14" t="n"/>
      <c r="N38" s="12" t="n"/>
      <c r="O38" s="12" t="inlineStr">
        <is>
          <t>DraftKings</t>
        </is>
      </c>
    </row>
    <row r="39">
      <c r="A39" s="17" t="inlineStr">
        <is>
          <t>2026-09-12</t>
        </is>
      </c>
      <c r="B39" s="17" t="inlineStr">
        <is>
          <t>WAKE @ PUR</t>
        </is>
      </c>
      <c r="C39" s="17" t="inlineStr">
        <is>
          <t>TOTAL</t>
        </is>
      </c>
      <c r="D39" s="17" t="inlineStr">
        <is>
          <t>Over 49.5</t>
        </is>
      </c>
      <c r="E39" s="18" t="n">
        <v>-110</v>
      </c>
      <c r="F39" s="21" t="n">
        <v>25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LEAN</t>
        </is>
      </c>
      <c r="L39" s="19" t="n">
        <v>0.1129</v>
      </c>
      <c r="M39" s="19" t="n"/>
      <c r="N39" s="17" t="n"/>
      <c r="O39" s="17" t="inlineStr">
        <is>
          <t>Draft Kings</t>
        </is>
      </c>
    </row>
    <row r="40">
      <c r="A40" s="12" t="inlineStr">
        <is>
          <t>2026-09-12</t>
        </is>
      </c>
      <c r="B40" s="12" t="inlineStr">
        <is>
          <t>PSU @ TEM</t>
        </is>
      </c>
      <c r="C40" s="12" t="inlineStr">
        <is>
          <t>TOTAL</t>
        </is>
      </c>
      <c r="D40" s="12" t="inlineStr">
        <is>
          <t>Over 51.5</t>
        </is>
      </c>
      <c r="E40" s="13" t="n">
        <v>-105</v>
      </c>
      <c r="F40" s="16" t="n">
        <v>25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LEAN</t>
        </is>
      </c>
      <c r="L40" s="14" t="n">
        <v>0.09859999999999999</v>
      </c>
      <c r="M40" s="14" t="n"/>
      <c r="N40" s="12" t="n"/>
      <c r="O40" s="12" t="inlineStr">
        <is>
          <t>DraftKings</t>
        </is>
      </c>
    </row>
    <row r="41">
      <c r="A41" s="17" t="inlineStr">
        <is>
          <t>2026-09-12</t>
        </is>
      </c>
      <c r="B41" s="17" t="inlineStr">
        <is>
          <t>APP @ ECU</t>
        </is>
      </c>
      <c r="C41" s="17" t="inlineStr">
        <is>
          <t>ATS</t>
        </is>
      </c>
      <c r="D41" s="17" t="inlineStr">
        <is>
          <t>APP +10</t>
        </is>
      </c>
      <c r="E41" s="18" t="n">
        <v>-110</v>
      </c>
      <c r="F41" s="21" t="n">
        <v>22.5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GOOD</t>
        </is>
      </c>
      <c r="L41" s="19" t="n">
        <v>0.0818</v>
      </c>
      <c r="M41" s="19" t="n"/>
      <c r="N41" s="17" t="n"/>
      <c r="O41" s="17" t="inlineStr">
        <is>
          <t>Draft Kings</t>
        </is>
      </c>
    </row>
    <row r="42">
      <c r="A42" s="12" t="inlineStr">
        <is>
          <t>2026-09-12</t>
        </is>
      </c>
      <c r="B42" s="12" t="inlineStr">
        <is>
          <t>MIZ @ KU</t>
        </is>
      </c>
      <c r="C42" s="12" t="inlineStr">
        <is>
          <t>ATS</t>
        </is>
      </c>
      <c r="D42" s="12" t="inlineStr">
        <is>
          <t>KU +6.5</t>
        </is>
      </c>
      <c r="E42" s="13" t="n">
        <v>-105</v>
      </c>
      <c r="F42" s="16" t="n">
        <v>25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LEAN</t>
        </is>
      </c>
      <c r="L42" s="14" t="n">
        <v>0.1173</v>
      </c>
      <c r="M42" s="14" t="n"/>
      <c r="N42" s="12" t="n"/>
      <c r="O42" s="12" t="inlineStr">
        <is>
          <t>Draft Kings</t>
        </is>
      </c>
    </row>
    <row r="43">
      <c r="A43" s="17" t="inlineStr">
        <is>
          <t>2026-09-12</t>
        </is>
      </c>
      <c r="B43" s="17" t="inlineStr">
        <is>
          <t>MIZ @ KU</t>
        </is>
      </c>
      <c r="C43" s="17" t="inlineStr">
        <is>
          <t>ML</t>
        </is>
      </c>
      <c r="D43" s="17" t="inlineStr">
        <is>
          <t>KU ML</t>
        </is>
      </c>
      <c r="E43" s="18" t="n">
        <v>205</v>
      </c>
      <c r="F43" s="21" t="n">
        <v>22.5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LEAN</t>
        </is>
      </c>
      <c r="L43" s="19" t="n">
        <v>0.1213</v>
      </c>
      <c r="M43" s="19" t="n"/>
      <c r="N43" s="17" t="n"/>
      <c r="O43" s="17" t="inlineStr">
        <is>
          <t>DraftKings</t>
        </is>
      </c>
    </row>
    <row r="44">
      <c r="A44" s="12" t="inlineStr">
        <is>
          <t>2026-09-07</t>
        </is>
      </c>
      <c r="B44" s="12" t="inlineStr">
        <is>
          <t>SMU @ FSU</t>
        </is>
      </c>
      <c r="C44" s="12" t="inlineStr">
        <is>
          <t>ML</t>
        </is>
      </c>
      <c r="D44" s="12" t="inlineStr">
        <is>
          <t>FSU ML</t>
        </is>
      </c>
      <c r="E44" s="13" t="n">
        <v>130</v>
      </c>
      <c r="F44" s="16" t="n">
        <v>21.5</v>
      </c>
      <c r="G44" s="12" t="inlineStr">
        <is>
          <t>Pending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LEAN</t>
        </is>
      </c>
      <c r="L44" s="14" t="n">
        <v>0.0935</v>
      </c>
      <c r="M44" s="14" t="n"/>
      <c r="N44" s="12" t="n"/>
      <c r="O44" s="12" t="inlineStr">
        <is>
          <t>Draft Kings</t>
        </is>
      </c>
    </row>
    <row r="45">
      <c r="A45" s="17" t="inlineStr">
        <is>
          <t>2026-09-06</t>
        </is>
      </c>
      <c r="B45" s="17" t="inlineStr">
        <is>
          <t>UNLV @ HAW</t>
        </is>
      </c>
      <c r="C45" s="17" t="inlineStr">
        <is>
          <t>ATS</t>
        </is>
      </c>
      <c r="D45" s="17" t="inlineStr">
        <is>
          <t>HAW +3</t>
        </is>
      </c>
      <c r="E45" s="18" t="n">
        <v>-108</v>
      </c>
      <c r="F45" s="21" t="n">
        <v>23</v>
      </c>
      <c r="G45" s="17" t="inlineStr">
        <is>
          <t>Loss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GOOD</t>
        </is>
      </c>
      <c r="L45" s="19" t="n">
        <v>0.08989999999999999</v>
      </c>
      <c r="M45" s="19" t="n">
        <v>0</v>
      </c>
      <c r="N45" s="17" t="inlineStr">
        <is>
          <t>UNLV 21 - HAW 6</t>
        </is>
      </c>
      <c r="O45" s="17" t="inlineStr">
        <is>
          <t>Draft Kings</t>
        </is>
      </c>
    </row>
    <row r="46">
      <c r="A46" s="12" t="inlineStr">
        <is>
          <t>2026-09-06</t>
        </is>
      </c>
      <c r="B46" s="12" t="inlineStr">
        <is>
          <t>UNLV @ HAW</t>
        </is>
      </c>
      <c r="C46" s="12" t="inlineStr">
        <is>
          <t>ML</t>
        </is>
      </c>
      <c r="D46" s="12" t="inlineStr">
        <is>
          <t>HAW ML</t>
        </is>
      </c>
      <c r="E46" s="13" t="n">
        <v>136</v>
      </c>
      <c r="F46" s="16" t="n">
        <v>24.5</v>
      </c>
      <c r="G46" s="12" t="inlineStr">
        <is>
          <t>Loss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GOOD</t>
        </is>
      </c>
      <c r="L46" s="14" t="n">
        <v>0.1085</v>
      </c>
      <c r="M46" s="14" t="n">
        <v>0.0111</v>
      </c>
      <c r="N46" s="12" t="inlineStr">
        <is>
          <t>UNLV 21 - HAW 6</t>
        </is>
      </c>
      <c r="O46" s="12" t="inlineStr">
        <is>
          <t>DraftKings</t>
        </is>
      </c>
    </row>
    <row r="47">
      <c r="A47" s="17" t="inlineStr">
        <is>
          <t>2026-09-06</t>
        </is>
      </c>
      <c r="B47" s="17" t="inlineStr">
        <is>
          <t>CMU @ UNM</t>
        </is>
      </c>
      <c r="C47" s="17" t="inlineStr">
        <is>
          <t>ATS</t>
        </is>
      </c>
      <c r="D47" s="17" t="inlineStr">
        <is>
          <t>CMU +10.5</t>
        </is>
      </c>
      <c r="E47" s="18" t="n">
        <v>-112</v>
      </c>
      <c r="F47" s="21" t="n">
        <v>25</v>
      </c>
      <c r="G47" s="17" t="inlineStr">
        <is>
          <t>Loss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0.0988</v>
      </c>
      <c r="M47" s="19" t="n">
        <v>-0.0045</v>
      </c>
      <c r="N47" s="17" t="inlineStr">
        <is>
          <t>CMU 7 - UNM 38</t>
        </is>
      </c>
      <c r="O47" s="17" t="inlineStr">
        <is>
          <t>Draft Kings</t>
        </is>
      </c>
    </row>
    <row r="48">
      <c r="A48" s="12" t="inlineStr">
        <is>
          <t>2026-09-05</t>
        </is>
      </c>
      <c r="B48" s="12" t="inlineStr">
        <is>
          <t>CLEM @ LSU</t>
        </is>
      </c>
      <c r="C48" s="12" t="inlineStr">
        <is>
          <t>ATS</t>
        </is>
      </c>
      <c r="D48" s="12" t="inlineStr">
        <is>
          <t>CLEM +10.5</t>
        </is>
      </c>
      <c r="E48" s="13" t="n">
        <v>-110</v>
      </c>
      <c r="F48" s="16" t="n">
        <v>25</v>
      </c>
      <c r="G48" s="12" t="inlineStr">
        <is>
          <t>Loss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LEAN</t>
        </is>
      </c>
      <c r="L48" s="14" t="n">
        <v>0.109</v>
      </c>
      <c r="M48" s="14" t="n">
        <v>0.0236</v>
      </c>
      <c r="N48" s="12" t="inlineStr">
        <is>
          <t>CLEM 10 - LSU 51</t>
        </is>
      </c>
      <c r="O48" s="12" t="inlineStr">
        <is>
          <t>Draft Kings</t>
        </is>
      </c>
    </row>
    <row r="49">
      <c r="A49" s="17" t="inlineStr">
        <is>
          <t>2026-09-05</t>
        </is>
      </c>
      <c r="B49" s="17" t="inlineStr">
        <is>
          <t>CLEM @ LSU</t>
        </is>
      </c>
      <c r="C49" s="17" t="inlineStr">
        <is>
          <t>ML</t>
        </is>
      </c>
      <c r="D49" s="17" t="inlineStr">
        <is>
          <t>CLEM ML</t>
        </is>
      </c>
      <c r="E49" s="18" t="n">
        <v>275</v>
      </c>
      <c r="F49" s="21" t="n">
        <v>15.5</v>
      </c>
      <c r="G49" s="17" t="inlineStr">
        <is>
          <t>Loss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LEAN</t>
        </is>
      </c>
      <c r="L49" s="19" t="n">
        <v>0.0896</v>
      </c>
      <c r="M49" s="19" t="n">
        <v>-0.0069</v>
      </c>
      <c r="N49" s="17" t="inlineStr">
        <is>
          <t>CLEM 10 - LSU 51</t>
        </is>
      </c>
      <c r="O49" s="17" t="inlineStr">
        <is>
          <t>DraftKings</t>
        </is>
      </c>
    </row>
    <row r="50">
      <c r="A50" s="12" t="inlineStr">
        <is>
          <t>2026-09-05</t>
        </is>
      </c>
      <c r="B50" s="12" t="inlineStr">
        <is>
          <t>CLEM @ LSU</t>
        </is>
      </c>
      <c r="C50" s="12" t="inlineStr">
        <is>
          <t>TOTAL</t>
        </is>
      </c>
      <c r="D50" s="12" t="inlineStr">
        <is>
          <t>Over 50.5</t>
        </is>
      </c>
      <c r="E50" s="13" t="n">
        <v>-112</v>
      </c>
      <c r="F50" s="16" t="n">
        <v>25</v>
      </c>
      <c r="G50" s="12" t="inlineStr">
        <is>
          <t>Win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LEAN</t>
        </is>
      </c>
      <c r="L50" s="14" t="n">
        <v>0.0901</v>
      </c>
      <c r="M50" s="14" t="n">
        <v>-0.0345</v>
      </c>
      <c r="N50" s="12" t="inlineStr">
        <is>
          <t>CLEM 10 - LSU 51</t>
        </is>
      </c>
      <c r="O50" s="12" t="inlineStr">
        <is>
          <t>DraftKings</t>
        </is>
      </c>
    </row>
    <row r="51">
      <c r="A51" s="17" t="inlineStr">
        <is>
          <t>2026-09-05</t>
        </is>
      </c>
      <c r="B51" s="17" t="inlineStr">
        <is>
          <t>WMU @ MICH</t>
        </is>
      </c>
      <c r="C51" s="17" t="inlineStr">
        <is>
          <t>TOTAL</t>
        </is>
      </c>
      <c r="D51" s="17" t="inlineStr">
        <is>
          <t>Over 47.5</t>
        </is>
      </c>
      <c r="E51" s="18" t="n">
        <v>-115</v>
      </c>
      <c r="F51" s="21" t="n">
        <v>25</v>
      </c>
      <c r="G51" s="17" t="inlineStr">
        <is>
          <t>Loss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LEAN</t>
        </is>
      </c>
      <c r="L51" s="19" t="n">
        <v>0.1073</v>
      </c>
      <c r="M51" s="19" t="n">
        <v>0.0443</v>
      </c>
      <c r="N51" s="17" t="inlineStr">
        <is>
          <t>WMU 12 - MICH 13</t>
        </is>
      </c>
      <c r="O51" s="17" t="inlineStr">
        <is>
          <t>Draft Kings</t>
        </is>
      </c>
    </row>
    <row r="52">
      <c r="A52" s="12" t="inlineStr">
        <is>
          <t>2026-09-05</t>
        </is>
      </c>
      <c r="B52" s="12" t="inlineStr">
        <is>
          <t>ARST @ MEM</t>
        </is>
      </c>
      <c r="C52" s="12" t="inlineStr">
        <is>
          <t>ATS</t>
        </is>
      </c>
      <c r="D52" s="12" t="inlineStr">
        <is>
          <t>ARST +11.5</t>
        </is>
      </c>
      <c r="E52" s="13" t="n">
        <v>-112</v>
      </c>
      <c r="F52" s="16" t="n">
        <v>25</v>
      </c>
      <c r="G52" s="12" t="inlineStr">
        <is>
          <t>Loss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LEAN</t>
        </is>
      </c>
      <c r="L52" s="14" t="n">
        <v>0.1011</v>
      </c>
      <c r="M52" s="14" t="n">
        <v>0.0159</v>
      </c>
      <c r="N52" s="12" t="inlineStr">
        <is>
          <t>ARST 24 - MEM 42</t>
        </is>
      </c>
      <c r="O52" s="12" t="inlineStr">
        <is>
          <t>DraftKings</t>
        </is>
      </c>
    </row>
    <row r="53">
      <c r="A53" s="17" t="inlineStr">
        <is>
          <t>2026-09-05</t>
        </is>
      </c>
      <c r="B53" s="17" t="inlineStr">
        <is>
          <t>FIU @ USF</t>
        </is>
      </c>
      <c r="C53" s="17" t="inlineStr">
        <is>
          <t>ATS</t>
        </is>
      </c>
      <c r="D53" s="17" t="inlineStr">
        <is>
          <t>FIU +14.5</t>
        </is>
      </c>
      <c r="E53" s="18" t="n">
        <v>-115</v>
      </c>
      <c r="F53" s="21" t="n">
        <v>26</v>
      </c>
      <c r="G53" s="17" t="inlineStr">
        <is>
          <t>Win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LEAN</t>
        </is>
      </c>
      <c r="L53" s="19" t="n">
        <v>0.1214</v>
      </c>
      <c r="M53" s="19" t="n">
        <v>0</v>
      </c>
      <c r="N53" s="17" t="inlineStr">
        <is>
          <t>FIU 9 - USF 19</t>
        </is>
      </c>
      <c r="O53" s="17" t="inlineStr">
        <is>
          <t>Draft Kings</t>
        </is>
      </c>
    </row>
    <row r="54">
      <c r="A54" s="12" t="inlineStr">
        <is>
          <t>2026-09-05</t>
        </is>
      </c>
      <c r="B54" s="12" t="inlineStr">
        <is>
          <t>FIU @ USF</t>
        </is>
      </c>
      <c r="C54" s="12" t="inlineStr">
        <is>
          <t>ML</t>
        </is>
      </c>
      <c r="D54" s="12" t="inlineStr">
        <is>
          <t>FIU ML</t>
        </is>
      </c>
      <c r="E54" s="13" t="n">
        <v>425</v>
      </c>
      <c r="F54" s="16" t="n">
        <v>18</v>
      </c>
      <c r="G54" s="12" t="inlineStr">
        <is>
          <t>Loss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LEAN</t>
        </is>
      </c>
      <c r="L54" s="14" t="n">
        <v>0.1165</v>
      </c>
      <c r="M54" s="14" t="n">
        <v>-0.015</v>
      </c>
      <c r="N54" s="12" t="inlineStr">
        <is>
          <t>FIU 9 - USF 19</t>
        </is>
      </c>
      <c r="O54" s="12" t="inlineStr">
        <is>
          <t>Draft Kings</t>
        </is>
      </c>
    </row>
    <row r="55">
      <c r="A55" s="17" t="inlineStr">
        <is>
          <t>2026-09-05</t>
        </is>
      </c>
      <c r="B55" s="17" t="inlineStr">
        <is>
          <t>FIU @ USF</t>
        </is>
      </c>
      <c r="C55" s="17" t="inlineStr">
        <is>
          <t>TOTAL</t>
        </is>
      </c>
      <c r="D55" s="17" t="inlineStr">
        <is>
          <t>Over 53.5</t>
        </is>
      </c>
      <c r="E55" s="18" t="n">
        <v>-115</v>
      </c>
      <c r="F55" s="21" t="n">
        <v>25</v>
      </c>
      <c r="G55" s="17" t="inlineStr">
        <is>
          <t>Loss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LEAN</t>
        </is>
      </c>
      <c r="L55" s="19" t="n">
        <v>0.09329999999999999</v>
      </c>
      <c r="M55" s="19" t="n">
        <v>-0.0227</v>
      </c>
      <c r="N55" s="17" t="inlineStr">
        <is>
          <t>FIU 9 - USF 19</t>
        </is>
      </c>
      <c r="O55" s="17" t="inlineStr">
        <is>
          <t>DraftKings</t>
        </is>
      </c>
    </row>
    <row r="56">
      <c r="A56" s="12" t="inlineStr">
        <is>
          <t>2026-09-05</t>
        </is>
      </c>
      <c r="B56" s="12" t="inlineStr">
        <is>
          <t>SHSU @ TROY</t>
        </is>
      </c>
      <c r="C56" s="12" t="inlineStr">
        <is>
          <t>ML</t>
        </is>
      </c>
      <c r="D56" s="12" t="inlineStr">
        <is>
          <t>SHSU ML</t>
        </is>
      </c>
      <c r="E56" s="13" t="n">
        <v>600</v>
      </c>
      <c r="F56" s="16" t="n">
        <v>19.5</v>
      </c>
      <c r="G56" s="12" t="inlineStr">
        <is>
          <t>Loss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LEAN</t>
        </is>
      </c>
      <c r="L56" s="14" t="n">
        <v>0.1337</v>
      </c>
      <c r="M56" s="14" t="n">
        <v>0.0053</v>
      </c>
      <c r="N56" s="12" t="inlineStr">
        <is>
          <t>SHSU 21 - TROY 24</t>
        </is>
      </c>
      <c r="O56" s="12" t="inlineStr">
        <is>
          <t>DraftKings</t>
        </is>
      </c>
    </row>
    <row r="57">
      <c r="A57" s="17" t="inlineStr">
        <is>
          <t>2026-09-05</t>
        </is>
      </c>
      <c r="B57" s="17" t="inlineStr">
        <is>
          <t>WYO @ CSU</t>
        </is>
      </c>
      <c r="C57" s="17" t="inlineStr">
        <is>
          <t>TOTAL</t>
        </is>
      </c>
      <c r="D57" s="17" t="inlineStr">
        <is>
          <t>Over 47.5</t>
        </is>
      </c>
      <c r="E57" s="18" t="n">
        <v>-112</v>
      </c>
      <c r="F57" s="21" t="n">
        <v>25</v>
      </c>
      <c r="G57" s="17" t="inlineStr">
        <is>
          <t>Win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LEAN</t>
        </is>
      </c>
      <c r="L57" s="19" t="n">
        <v>0.1091</v>
      </c>
      <c r="M57" s="19" t="n">
        <v>-0.0345</v>
      </c>
      <c r="N57" s="17" t="inlineStr">
        <is>
          <t>WYO 13 - CSU 35</t>
        </is>
      </c>
      <c r="O57" s="17" t="inlineStr">
        <is>
          <t>Draft Kings</t>
        </is>
      </c>
    </row>
    <row r="58">
      <c r="A58" s="12" t="inlineStr">
        <is>
          <t>2026-09-05</t>
        </is>
      </c>
      <c r="B58" s="12" t="inlineStr">
        <is>
          <t>OKST @ TLSA</t>
        </is>
      </c>
      <c r="C58" s="12" t="inlineStr">
        <is>
          <t>TOTAL</t>
        </is>
      </c>
      <c r="D58" s="12" t="inlineStr">
        <is>
          <t>Under 60.5</t>
        </is>
      </c>
      <c r="E58" s="13" t="n">
        <v>-102</v>
      </c>
      <c r="F58" s="16" t="n">
        <v>25</v>
      </c>
      <c r="G58" s="12" t="inlineStr">
        <is>
          <t>Win</t>
        </is>
      </c>
      <c r="H58" s="16">
        <f>IF(OR($G58="",$G58="Pending"),"",ROUND(IF($G58="Win",IF($E58&gt;0,$F58*$E58/100,$F58*100/-$E58),IF($G58="Loss",-$F58,0)),2))</f>
        <v/>
      </c>
      <c r="I58" s="16">
        <f>Settings!$B$5+SUM($H$6:$H58)</f>
        <v/>
      </c>
      <c r="J58" s="14">
        <f>IFERROR(SUM($H$6:$H58)/SUMIF($G$6:$G58,"&lt;&gt;Pending",$F$6:$F58),"")</f>
        <v/>
      </c>
      <c r="K58" s="12" t="inlineStr">
        <is>
          <t>LEAN</t>
        </is>
      </c>
      <c r="L58" s="14" t="n">
        <v>0.1091</v>
      </c>
      <c r="M58" s="14" t="n">
        <v>0.1089</v>
      </c>
      <c r="N58" s="12" t="inlineStr">
        <is>
          <t>OKST 10 - TLSA 24</t>
        </is>
      </c>
      <c r="O58" s="12" t="inlineStr">
        <is>
          <t>DraftKings</t>
        </is>
      </c>
    </row>
    <row r="59">
      <c r="A59" s="17" t="inlineStr">
        <is>
          <t>2026-09-05</t>
        </is>
      </c>
      <c r="B59" s="17" t="inlineStr">
        <is>
          <t>BAY @ AUB</t>
        </is>
      </c>
      <c r="C59" s="17" t="inlineStr">
        <is>
          <t>ATS</t>
        </is>
      </c>
      <c r="D59" s="17" t="inlineStr">
        <is>
          <t>BAY +7</t>
        </is>
      </c>
      <c r="E59" s="18" t="n">
        <v>-105</v>
      </c>
      <c r="F59" s="21" t="n">
        <v>26</v>
      </c>
      <c r="G59" s="17" t="inlineStr">
        <is>
          <t>Win</t>
        </is>
      </c>
      <c r="H59" s="21">
        <f>IF(OR($G59="",$G59="Pending"),"",ROUND(IF($G59="Win",IF($E59&gt;0,$F59*$E59/100,$F59*100/-$E59),IF($G59="Loss",-$F59,0)),2))</f>
        <v/>
      </c>
      <c r="I59" s="21">
        <f>Settings!$B$5+SUM($H$6:$H59)</f>
        <v/>
      </c>
      <c r="J59" s="19">
        <f>IFERROR(SUM($H$6:$H59)/SUMIF($G$6:$G59,"&lt;&gt;Pending",$F$6:$F59),"")</f>
        <v/>
      </c>
      <c r="K59" s="17" t="inlineStr">
        <is>
          <t>LEAN</t>
        </is>
      </c>
      <c r="L59" s="19" t="n">
        <v>0.099</v>
      </c>
      <c r="M59" s="19" t="n">
        <v>0</v>
      </c>
      <c r="N59" s="17" t="inlineStr">
        <is>
          <t>BAY 16 - AUB 17</t>
        </is>
      </c>
      <c r="O59" s="17" t="inlineStr">
        <is>
          <t>DraftKings</t>
        </is>
      </c>
    </row>
    <row r="60">
      <c r="A60" s="12" t="inlineStr">
        <is>
          <t>2026-09-05</t>
        </is>
      </c>
      <c r="B60" s="12" t="inlineStr">
        <is>
          <t>BAY @ AUB</t>
        </is>
      </c>
      <c r="C60" s="12" t="inlineStr">
        <is>
          <t>ML</t>
        </is>
      </c>
      <c r="D60" s="12" t="inlineStr">
        <is>
          <t>BAY ML</t>
        </is>
      </c>
      <c r="E60" s="13" t="n">
        <v>240</v>
      </c>
      <c r="F60" s="16" t="n">
        <v>18</v>
      </c>
      <c r="G60" s="12" t="inlineStr">
        <is>
          <t>Loss</t>
        </is>
      </c>
      <c r="H60" s="16">
        <f>IF(OR($G60="",$G60="Pending"),"",ROUND(IF($G60="Win",IF($E60&gt;0,$F60*$E60/100,$F60*100/-$E60),IF($G60="Loss",-$F60,0)),2))</f>
        <v/>
      </c>
      <c r="I60" s="16">
        <f>Settings!$B$5+SUM($H$6:$H60)</f>
        <v/>
      </c>
      <c r="J60" s="14">
        <f>IFERROR(SUM($H$6:$H60)/SUMIF($G$6:$G60,"&lt;&gt;Pending",$F$6:$F60),"")</f>
        <v/>
      </c>
      <c r="K60" s="12" t="inlineStr">
        <is>
          <t>LEAN</t>
        </is>
      </c>
      <c r="L60" s="14" t="n">
        <v>0.0969</v>
      </c>
      <c r="M60" s="14" t="n">
        <v>0.0184</v>
      </c>
      <c r="N60" s="12" t="inlineStr">
        <is>
          <t>BAY 16 - AUB 17</t>
        </is>
      </c>
      <c r="O60" s="12" t="inlineStr">
        <is>
          <t>DraftKings</t>
        </is>
      </c>
    </row>
    <row r="61">
      <c r="A61" s="17" t="inlineStr">
        <is>
          <t>2026-09-05</t>
        </is>
      </c>
      <c r="B61" s="17" t="inlineStr">
        <is>
          <t>BAY @ AUB</t>
        </is>
      </c>
      <c r="C61" s="17" t="inlineStr">
        <is>
          <t>TOTAL</t>
        </is>
      </c>
      <c r="D61" s="17" t="inlineStr">
        <is>
          <t>Under 59.5</t>
        </is>
      </c>
      <c r="E61" s="18" t="n">
        <v>-115</v>
      </c>
      <c r="F61" s="21" t="n">
        <v>25</v>
      </c>
      <c r="G61" s="17" t="inlineStr">
        <is>
          <t>Win</t>
        </is>
      </c>
      <c r="H61" s="21">
        <f>IF(OR($G61="",$G61="Pending"),"",ROUND(IF($G61="Win",IF($E61&gt;0,$F61*$E61/100,$F61*100/-$E61),IF($G61="Loss",-$F61,0)),2))</f>
        <v/>
      </c>
      <c r="I61" s="21">
        <f>Settings!$B$5+SUM($H$6:$H61)</f>
        <v/>
      </c>
      <c r="J61" s="19">
        <f>IFERROR(SUM($H$6:$H61)/SUMIF($G$6:$G61,"&lt;&gt;Pending",$F$6:$F61),"")</f>
        <v/>
      </c>
      <c r="K61" s="17" t="inlineStr">
        <is>
          <t>LEAN</t>
        </is>
      </c>
      <c r="L61" s="19" t="n">
        <v>0.098</v>
      </c>
      <c r="M61" s="19" t="n">
        <v>0.0373</v>
      </c>
      <c r="N61" s="17" t="inlineStr">
        <is>
          <t>BAY 16 - AUB 17</t>
        </is>
      </c>
      <c r="O61" s="17" t="inlineStr">
        <is>
          <t>DraftKings</t>
        </is>
      </c>
    </row>
    <row r="62">
      <c r="A62" s="12" t="inlineStr">
        <is>
          <t>2026-09-05</t>
        </is>
      </c>
      <c r="B62" s="12" t="inlineStr">
        <is>
          <t>BC @ CIN</t>
        </is>
      </c>
      <c r="C62" s="12" t="inlineStr">
        <is>
          <t>TOTAL</t>
        </is>
      </c>
      <c r="D62" s="12" t="inlineStr">
        <is>
          <t>Over 49.5</t>
        </is>
      </c>
      <c r="E62" s="13" t="n">
        <v>-115</v>
      </c>
      <c r="F62" s="16" t="n">
        <v>25</v>
      </c>
      <c r="G62" s="12" t="inlineStr">
        <is>
          <t>Loss</t>
        </is>
      </c>
      <c r="H62" s="16">
        <f>IF(OR($G62="",$G62="Pending"),"",ROUND(IF($G62="Win",IF($E62&gt;0,$F62*$E62/100,$F62*100/-$E62),IF($G62="Loss",-$F62,0)),2))</f>
        <v/>
      </c>
      <c r="I62" s="16">
        <f>Settings!$B$5+SUM($H$6:$H62)</f>
        <v/>
      </c>
      <c r="J62" s="14">
        <f>IFERROR(SUM($H$6:$H62)/SUMIF($G$6:$G62,"&lt;&gt;Pending",$F$6:$F62),"")</f>
        <v/>
      </c>
      <c r="K62" s="12" t="inlineStr">
        <is>
          <t>LEAN</t>
        </is>
      </c>
      <c r="L62" s="14" t="n">
        <v>0.1042</v>
      </c>
      <c r="M62" s="14" t="n">
        <v>0.0301</v>
      </c>
      <c r="N62" s="12" t="inlineStr">
        <is>
          <t>BC 15 - CIN 34</t>
        </is>
      </c>
      <c r="O62" s="12" t="inlineStr">
        <is>
          <t>DraftKings</t>
        </is>
      </c>
    </row>
    <row r="63">
      <c r="A63" s="17" t="inlineStr">
        <is>
          <t>2026-09-05</t>
        </is>
      </c>
      <c r="B63" s="17" t="inlineStr">
        <is>
          <t>TULN @ DUKE</t>
        </is>
      </c>
      <c r="C63" s="17" t="inlineStr">
        <is>
          <t>TOTAL</t>
        </is>
      </c>
      <c r="D63" s="17" t="inlineStr">
        <is>
          <t>Over 51.5</t>
        </is>
      </c>
      <c r="E63" s="18" t="n">
        <v>-108</v>
      </c>
      <c r="F63" s="21" t="n">
        <v>25</v>
      </c>
      <c r="G63" s="17" t="inlineStr">
        <is>
          <t>Loss</t>
        </is>
      </c>
      <c r="H63" s="21">
        <f>IF(OR($G63="",$G63="Pending"),"",ROUND(IF($G63="Win",IF($E63&gt;0,$F63*$E63/100,$F63*100/-$E63),IF($G63="Loss",-$F63,0)),2))</f>
        <v/>
      </c>
      <c r="I63" s="21">
        <f>Settings!$B$5+SUM($H$6:$H63)</f>
        <v/>
      </c>
      <c r="J63" s="19">
        <f>IFERROR(SUM($H$6:$H63)/SUMIF($G$6:$G63,"&lt;&gt;Pending",$F$6:$F63),"")</f>
        <v/>
      </c>
      <c r="K63" s="17" t="inlineStr">
        <is>
          <t>LEAN</t>
        </is>
      </c>
      <c r="L63" s="19" t="n">
        <v>0.1029</v>
      </c>
      <c r="M63" s="19" t="n">
        <v>-0.0143</v>
      </c>
      <c r="N63" s="17" t="inlineStr">
        <is>
          <t>TULN 3 - DUKE 17</t>
        </is>
      </c>
      <c r="O63" s="17" t="inlineStr">
        <is>
          <t>DraftKings</t>
        </is>
      </c>
    </row>
    <row r="64">
      <c r="A64" s="12" t="inlineStr">
        <is>
          <t>2026-09-05</t>
        </is>
      </c>
      <c r="B64" s="12" t="inlineStr">
        <is>
          <t>BOIS @ ORE</t>
        </is>
      </c>
      <c r="C64" s="12" t="inlineStr">
        <is>
          <t>TOTAL</t>
        </is>
      </c>
      <c r="D64" s="12" t="inlineStr">
        <is>
          <t>Over 51.5</t>
        </is>
      </c>
      <c r="E64" s="13" t="n">
        <v>-108</v>
      </c>
      <c r="F64" s="16" t="n">
        <v>23.5</v>
      </c>
      <c r="G64" s="12" t="inlineStr">
        <is>
          <t>Win</t>
        </is>
      </c>
      <c r="H64" s="16">
        <f>IF(OR($G64="",$G64="Pending"),"",ROUND(IF($G64="Win",IF($E64&gt;0,$F64*$E64/100,$F64*100/-$E64),IF($G64="Loss",-$F64,0)),2))</f>
        <v/>
      </c>
      <c r="I64" s="16">
        <f>Settings!$B$5+SUM($H$6:$H64)</f>
        <v/>
      </c>
      <c r="J64" s="14">
        <f>IFERROR(SUM($H$6:$H64)/SUMIF($G$6:$G64,"&lt;&gt;Pending",$F$6:$F64),"")</f>
        <v/>
      </c>
      <c r="K64" s="12" t="inlineStr">
        <is>
          <t>LEAN</t>
        </is>
      </c>
      <c r="L64" s="14" t="n">
        <v>0.0898</v>
      </c>
      <c r="M64" s="14" t="n">
        <v>0.0091</v>
      </c>
      <c r="N64" s="12" t="inlineStr">
        <is>
          <t>BOIS 27 - ORE 34</t>
        </is>
      </c>
      <c r="O64" s="12" t="inlineStr">
        <is>
          <t>Draft Kings</t>
        </is>
      </c>
    </row>
    <row r="65">
      <c r="A65" s="17" t="inlineStr">
        <is>
          <t>2026-09-05</t>
        </is>
      </c>
      <c r="B65" s="17" t="inlineStr">
        <is>
          <t>MRSH @ PSU</t>
        </is>
      </c>
      <c r="C65" s="17" t="inlineStr">
        <is>
          <t>TOTAL</t>
        </is>
      </c>
      <c r="D65" s="17" t="inlineStr">
        <is>
          <t>Over 52.5</t>
        </is>
      </c>
      <c r="E65" s="18" t="n">
        <v>-102</v>
      </c>
      <c r="F65" s="21" t="n">
        <v>24.5</v>
      </c>
      <c r="G65" s="17" t="inlineStr">
        <is>
          <t>Loss</t>
        </is>
      </c>
      <c r="H65" s="21">
        <f>IF(OR($G65="",$G65="Pending"),"",ROUND(IF($G65="Win",IF($E65&gt;0,$F65*$E65/100,$F65*100/-$E65),IF($G65="Loss",-$F65,0)),2))</f>
        <v/>
      </c>
      <c r="I65" s="21">
        <f>Settings!$B$5+SUM($H$6:$H65)</f>
        <v/>
      </c>
      <c r="J65" s="19">
        <f>IFERROR(SUM($H$6:$H65)/SUMIF($G$6:$G65,"&lt;&gt;Pending",$F$6:$F65),"")</f>
        <v/>
      </c>
      <c r="K65" s="17" t="inlineStr">
        <is>
          <t>LEAN</t>
        </is>
      </c>
      <c r="L65" s="19" t="n">
        <v>0.0925</v>
      </c>
      <c r="M65" s="19" t="n">
        <v>0</v>
      </c>
      <c r="N65" s="17" t="inlineStr">
        <is>
          <t>MRSH 0 - PSU 45</t>
        </is>
      </c>
      <c r="O65" s="17" t="inlineStr">
        <is>
          <t>DraftKings</t>
        </is>
      </c>
    </row>
    <row r="66">
      <c r="A66" s="12" t="inlineStr">
        <is>
          <t>2026-09-05</t>
        </is>
      </c>
      <c r="B66" s="12" t="inlineStr">
        <is>
          <t>M-OH @ PITT</t>
        </is>
      </c>
      <c r="C66" s="12" t="inlineStr">
        <is>
          <t>ML</t>
        </is>
      </c>
      <c r="D66" s="12" t="inlineStr">
        <is>
          <t>M-OH ML</t>
        </is>
      </c>
      <c r="E66" s="13" t="n">
        <v>550</v>
      </c>
      <c r="F66" s="16" t="n">
        <v>19</v>
      </c>
      <c r="G66" s="12" t="inlineStr">
        <is>
          <t>Loss</t>
        </is>
      </c>
      <c r="H66" s="16">
        <f>IF(OR($G66="",$G66="Pending"),"",ROUND(IF($G66="Win",IF($E66&gt;0,$F66*$E66/100,$F66*100/-$E66),IF($G66="Loss",-$F66,0)),2))</f>
        <v/>
      </c>
      <c r="I66" s="16">
        <f>Settings!$B$5+SUM($H$6:$H66)</f>
        <v/>
      </c>
      <c r="J66" s="14">
        <f>IFERROR(SUM($H$6:$H66)/SUMIF($G$6:$G66,"&lt;&gt;Pending",$F$6:$F66),"")</f>
        <v/>
      </c>
      <c r="K66" s="12" t="inlineStr">
        <is>
          <t>GOOD</t>
        </is>
      </c>
      <c r="L66" s="14" t="n">
        <v>0.1283</v>
      </c>
      <c r="M66" s="14" t="n">
        <v>0</v>
      </c>
      <c r="N66" s="12" t="inlineStr">
        <is>
          <t>M-OH 14 - PITT 59</t>
        </is>
      </c>
      <c r="O66" s="12" t="inlineStr">
        <is>
          <t>DraftKings</t>
        </is>
      </c>
    </row>
    <row r="67">
      <c r="A67" s="17" t="inlineStr">
        <is>
          <t>2026-09-05</t>
        </is>
      </c>
      <c r="B67" s="17" t="inlineStr">
        <is>
          <t>BALL @ OSU</t>
        </is>
      </c>
      <c r="C67" s="17" t="inlineStr">
        <is>
          <t>TOTAL</t>
        </is>
      </c>
      <c r="D67" s="17" t="inlineStr">
        <is>
          <t>Under 56.5</t>
        </is>
      </c>
      <c r="E67" s="18" t="n">
        <v>-105</v>
      </c>
      <c r="F67" s="21" t="n">
        <v>22.5</v>
      </c>
      <c r="G67" s="17" t="inlineStr">
        <is>
          <t>Loss</t>
        </is>
      </c>
      <c r="H67" s="21">
        <f>IF(OR($G67="",$G67="Pending"),"",ROUND(IF($G67="Win",IF($E67&gt;0,$F67*$E67/100,$F67*100/-$E67),IF($G67="Loss",-$F67,0)),2))</f>
        <v/>
      </c>
      <c r="I67" s="21">
        <f>Settings!$B$5+SUM($H$6:$H67)</f>
        <v/>
      </c>
      <c r="J67" s="19">
        <f>IFERROR(SUM($H$6:$H67)/SUMIF($G$6:$G67,"&lt;&gt;Pending",$F$6:$F67),"")</f>
        <v/>
      </c>
      <c r="K67" s="17" t="inlineStr">
        <is>
          <t>LEAN</t>
        </is>
      </c>
      <c r="L67" s="19" t="n">
        <v>0.0886</v>
      </c>
      <c r="M67" s="19" t="n">
        <v>0.0161</v>
      </c>
      <c r="N67" s="17" t="inlineStr">
        <is>
          <t>BALL 3 - OSU 56</t>
        </is>
      </c>
      <c r="O67" s="17" t="inlineStr">
        <is>
          <t>DraftKings</t>
        </is>
      </c>
    </row>
    <row r="68">
      <c r="A68" s="12" t="inlineStr">
        <is>
          <t>2026-09-05</t>
        </is>
      </c>
      <c r="B68" s="12" t="inlineStr">
        <is>
          <t>ORST @ HOU</t>
        </is>
      </c>
      <c r="C68" s="12" t="inlineStr">
        <is>
          <t>TOTAL</t>
        </is>
      </c>
      <c r="D68" s="12" t="inlineStr">
        <is>
          <t>Over 49.5</t>
        </is>
      </c>
      <c r="E68" s="13" t="n">
        <v>-110</v>
      </c>
      <c r="F68" s="16" t="n">
        <v>25</v>
      </c>
      <c r="G68" s="12" t="inlineStr">
        <is>
          <t>Win</t>
        </is>
      </c>
      <c r="H68" s="16">
        <f>IF(OR($G68="",$G68="Pending"),"",ROUND(IF($G68="Win",IF($E68&gt;0,$F68*$E68/100,$F68*100/-$E68),IF($G68="Loss",-$F68,0)),2))</f>
        <v/>
      </c>
      <c r="I68" s="16">
        <f>Settings!$B$5+SUM($H$6:$H68)</f>
        <v/>
      </c>
      <c r="J68" s="14">
        <f>IFERROR(SUM($H$6:$H68)/SUMIF($G$6:$G68,"&lt;&gt;Pending",$F$6:$F68),"")</f>
        <v/>
      </c>
      <c r="K68" s="12" t="inlineStr">
        <is>
          <t>LEAN</t>
        </is>
      </c>
      <c r="L68" s="14" t="n">
        <v>0.0973</v>
      </c>
      <c r="M68" s="14" t="n">
        <v>0.0475</v>
      </c>
      <c r="N68" s="12" t="inlineStr">
        <is>
          <t>ORST 20 - HOU 33</t>
        </is>
      </c>
      <c r="O68" s="12" t="inlineStr">
        <is>
          <t>DraftKings</t>
        </is>
      </c>
    </row>
    <row r="69">
      <c r="A69" s="17" t="inlineStr">
        <is>
          <t>2026-09-05</t>
        </is>
      </c>
      <c r="B69" s="17" t="inlineStr">
        <is>
          <t>UNT @ IU</t>
        </is>
      </c>
      <c r="C69" s="17" t="inlineStr">
        <is>
          <t>TOTAL</t>
        </is>
      </c>
      <c r="D69" s="17" t="inlineStr">
        <is>
          <t>Over 55.5</t>
        </is>
      </c>
      <c r="E69" s="18" t="n">
        <v>-108</v>
      </c>
      <c r="F69" s="21" t="n">
        <v>23.5</v>
      </c>
      <c r="G69" s="17" t="inlineStr">
        <is>
          <t>Win</t>
        </is>
      </c>
      <c r="H69" s="21">
        <f>IF(OR($G69="",$G69="Pending"),"",ROUND(IF($G69="Win",IF($E69&gt;0,$F69*$E69/100,$F69*100/-$E69),IF($G69="Loss",-$F69,0)),2))</f>
        <v/>
      </c>
      <c r="I69" s="21">
        <f>Settings!$B$5+SUM($H$6:$H69)</f>
        <v/>
      </c>
      <c r="J69" s="19">
        <f>IFERROR(SUM($H$6:$H69)/SUMIF($G$6:$G69,"&lt;&gt;Pending",$F$6:$F69),"")</f>
        <v/>
      </c>
      <c r="K69" s="17" t="inlineStr">
        <is>
          <t>LEAN</t>
        </is>
      </c>
      <c r="L69" s="19" t="n">
        <v>0.0898</v>
      </c>
      <c r="M69" s="19" t="n">
        <v>0.03</v>
      </c>
      <c r="N69" s="17" t="inlineStr">
        <is>
          <t>UNT 16 - IU 52</t>
        </is>
      </c>
      <c r="O69" s="17" t="inlineStr">
        <is>
          <t>DraftKings</t>
        </is>
      </c>
    </row>
    <row r="70">
      <c r="A70" s="12" t="inlineStr">
        <is>
          <t>2026-09-05</t>
        </is>
      </c>
      <c r="B70" s="12" t="inlineStr">
        <is>
          <t>OHIO @ NEB</t>
        </is>
      </c>
      <c r="C70" s="12" t="inlineStr">
        <is>
          <t>TOTAL</t>
        </is>
      </c>
      <c r="D70" s="12" t="inlineStr">
        <is>
          <t>Over 47.5</t>
        </is>
      </c>
      <c r="E70" s="13" t="n">
        <v>-108</v>
      </c>
      <c r="F70" s="16" t="n">
        <v>25</v>
      </c>
      <c r="G70" s="12" t="inlineStr">
        <is>
          <t>Win</t>
        </is>
      </c>
      <c r="H70" s="16">
        <f>IF(OR($G70="",$G70="Pending"),"",ROUND(IF($G70="Win",IF($E70&gt;0,$F70*$E70/100,$F70*100/-$E70),IF($G70="Loss",-$F70,0)),2))</f>
        <v/>
      </c>
      <c r="I70" s="16">
        <f>Settings!$B$5+SUM($H$6:$H70)</f>
        <v/>
      </c>
      <c r="J70" s="14">
        <f>IFERROR(SUM($H$6:$H70)/SUMIF($G$6:$G70,"&lt;&gt;Pending",$F$6:$F70),"")</f>
        <v/>
      </c>
      <c r="K70" s="12" t="inlineStr">
        <is>
          <t>LEAN</t>
        </is>
      </c>
      <c r="L70" s="14" t="n">
        <v>0.1092</v>
      </c>
      <c r="M70" s="14" t="n">
        <v>-0.0254</v>
      </c>
      <c r="N70" s="12" t="inlineStr">
        <is>
          <t>OHIO 21 - NEB 49</t>
        </is>
      </c>
      <c r="O70" s="12" t="inlineStr">
        <is>
          <t>DraftKings</t>
        </is>
      </c>
    </row>
    <row r="71">
      <c r="A71" s="17" t="inlineStr">
        <is>
          <t>2026-09-05</t>
        </is>
      </c>
      <c r="B71" s="17" t="inlineStr">
        <is>
          <t>LIB @ JMU</t>
        </is>
      </c>
      <c r="C71" s="17" t="inlineStr">
        <is>
          <t>TOTAL</t>
        </is>
      </c>
      <c r="D71" s="17" t="inlineStr">
        <is>
          <t>Over 50.5</t>
        </is>
      </c>
      <c r="E71" s="18" t="n">
        <v>-112</v>
      </c>
      <c r="F71" s="21" t="n">
        <v>25</v>
      </c>
      <c r="G71" s="17" t="inlineStr">
        <is>
          <t>Loss</t>
        </is>
      </c>
      <c r="H71" s="21">
        <f>IF(OR($G71="",$G71="Pending"),"",ROUND(IF($G71="Win",IF($E71&gt;0,$F71*$E71/100,$F71*100/-$E71),IF($G71="Loss",-$F71,0)),2))</f>
        <v/>
      </c>
      <c r="I71" s="21">
        <f>Settings!$B$5+SUM($H$6:$H71)</f>
        <v/>
      </c>
      <c r="J71" s="19">
        <f>IFERROR(SUM($H$6:$H71)/SUMIF($G$6:$G71,"&lt;&gt;Pending",$F$6:$F71),"")</f>
        <v/>
      </c>
      <c r="K71" s="17" t="inlineStr">
        <is>
          <t>LEAN</t>
        </is>
      </c>
      <c r="L71" s="19" t="n">
        <v>0.0982</v>
      </c>
      <c r="M71" s="19" t="n">
        <v>0</v>
      </c>
      <c r="N71" s="17" t="inlineStr">
        <is>
          <t>LIB 13 - JMU 20</t>
        </is>
      </c>
      <c r="O71" s="17" t="inlineStr">
        <is>
          <t>DraftKings</t>
        </is>
      </c>
    </row>
    <row r="72">
      <c r="A72" s="12" t="inlineStr">
        <is>
          <t>2026-09-05</t>
        </is>
      </c>
      <c r="B72" s="12" t="inlineStr">
        <is>
          <t>MIA @ STAN</t>
        </is>
      </c>
      <c r="C72" s="12" t="inlineStr">
        <is>
          <t>TOTAL</t>
        </is>
      </c>
      <c r="D72" s="12" t="inlineStr">
        <is>
          <t>Over 48.5</t>
        </is>
      </c>
      <c r="E72" s="13" t="n">
        <v>100</v>
      </c>
      <c r="F72" s="16" t="n">
        <v>25</v>
      </c>
      <c r="G72" s="12" t="inlineStr">
        <is>
          <t>Win</t>
        </is>
      </c>
      <c r="H72" s="16">
        <f>IF(OR($G72="",$G72="Pending"),"",ROUND(IF($G72="Win",IF($E72&gt;0,$F72*$E72/100,$F72*100/-$E72),IF($G72="Loss",-$F72,0)),2))</f>
        <v/>
      </c>
      <c r="I72" s="16">
        <f>Settings!$B$5+SUM($H$6:$H72)</f>
        <v/>
      </c>
      <c r="J72" s="14">
        <f>IFERROR(SUM($H$6:$H72)/SUMIF($G$6:$G72,"&lt;&gt;Pending",$F$6:$F72),"")</f>
        <v/>
      </c>
      <c r="K72" s="12" t="inlineStr">
        <is>
          <t>LEAN</t>
        </is>
      </c>
      <c r="L72" s="14" t="n">
        <v>0.1103</v>
      </c>
      <c r="M72" s="14" t="n">
        <v>-0.0362</v>
      </c>
      <c r="N72" s="12" t="inlineStr">
        <is>
          <t>MIA 45 - STAN 6</t>
        </is>
      </c>
      <c r="O72" s="12" t="inlineStr">
        <is>
          <t>Draft Kings</t>
        </is>
      </c>
    </row>
    <row r="73">
      <c r="A73" s="17" t="inlineStr">
        <is>
          <t>2026-09-05</t>
        </is>
      </c>
      <c r="B73" s="17" t="inlineStr">
        <is>
          <t>TOL @ MSU</t>
        </is>
      </c>
      <c r="C73" s="17" t="inlineStr">
        <is>
          <t>ATS</t>
        </is>
      </c>
      <c r="D73" s="17" t="inlineStr">
        <is>
          <t>TOL +10</t>
        </is>
      </c>
      <c r="E73" s="18" t="n">
        <v>-105</v>
      </c>
      <c r="F73" s="21" t="n">
        <v>25</v>
      </c>
      <c r="G73" s="17" t="inlineStr">
        <is>
          <t>Push</t>
        </is>
      </c>
      <c r="H73" s="21">
        <f>IF(OR($G73="",$G73="Pending"),"",ROUND(IF($G73="Win",IF($E73&gt;0,$F73*$E73/100,$F73*100/-$E73),IF($G73="Loss",-$F73,0)),2))</f>
        <v/>
      </c>
      <c r="I73" s="21">
        <f>Settings!$B$5+SUM($H$6:$H73)</f>
        <v/>
      </c>
      <c r="J73" s="19">
        <f>IFERROR(SUM($H$6:$H73)/SUMIF($G$6:$G73,"&lt;&gt;Pending",$F$6:$F73),"")</f>
        <v/>
      </c>
      <c r="K73" s="17" t="inlineStr">
        <is>
          <t>LEAN</t>
        </is>
      </c>
      <c r="L73" s="19" t="n">
        <v>0.111</v>
      </c>
      <c r="M73" s="19" t="n">
        <v>0.0241</v>
      </c>
      <c r="N73" s="17" t="inlineStr">
        <is>
          <t>TOL 20 - MSU 30</t>
        </is>
      </c>
      <c r="O73" s="17" t="inlineStr">
        <is>
          <t>Draft Kings</t>
        </is>
      </c>
    </row>
    <row r="74">
      <c r="A74" s="12" t="inlineStr">
        <is>
          <t>2026-09-04</t>
        </is>
      </c>
      <c r="B74" s="12" t="inlineStr">
        <is>
          <t>COLO @ GT</t>
        </is>
      </c>
      <c r="C74" s="12" t="inlineStr">
        <is>
          <t>TOTAL</t>
        </is>
      </c>
      <c r="D74" s="12" t="inlineStr">
        <is>
          <t>Over 50.5</t>
        </is>
      </c>
      <c r="E74" s="13" t="n">
        <v>-115</v>
      </c>
      <c r="F74" s="16" t="n">
        <v>21</v>
      </c>
      <c r="G74" s="12" t="inlineStr">
        <is>
          <t>Loss</t>
        </is>
      </c>
      <c r="H74" s="16">
        <f>IF(OR($G74="",$G74="Pending"),"",ROUND(IF($G74="Win",IF($E74&gt;0,$F74*$E74/100,$F74*100/-$E74),IF($G74="Loss",-$F74,0)),2))</f>
        <v/>
      </c>
      <c r="I74" s="16">
        <f>Settings!$B$5+SUM($H$6:$H74)</f>
        <v/>
      </c>
      <c r="J74" s="14">
        <f>IFERROR(SUM($H$6:$H74)/SUMIF($G$6:$G74,"&lt;&gt;Pending",$F$6:$F74),"")</f>
        <v/>
      </c>
      <c r="K74" s="12" t="inlineStr">
        <is>
          <t>LEAN</t>
        </is>
      </c>
      <c r="L74" s="14" t="n">
        <v>0.0784</v>
      </c>
      <c r="M74" s="14" t="n">
        <v>0.0189</v>
      </c>
      <c r="N74" s="12" t="inlineStr">
        <is>
          <t>COLO 14 - GT 13</t>
        </is>
      </c>
      <c r="O74" s="12" t="inlineStr">
        <is>
          <t>DraftKings</t>
        </is>
      </c>
    </row>
    <row r="75">
      <c r="A75" s="17" t="inlineStr">
        <is>
          <t>2026-09-03</t>
        </is>
      </c>
      <c r="B75" s="17" t="inlineStr">
        <is>
          <t>AKR @ WAKE</t>
        </is>
      </c>
      <c r="C75" s="17" t="inlineStr">
        <is>
          <t>TOTAL</t>
        </is>
      </c>
      <c r="D75" s="17" t="inlineStr">
        <is>
          <t>Over 48.5</t>
        </is>
      </c>
      <c r="E75" s="18" t="n">
        <v>-112</v>
      </c>
      <c r="F75" s="21" t="n">
        <v>24.5</v>
      </c>
      <c r="G75" s="17" t="inlineStr">
        <is>
          <t>Win</t>
        </is>
      </c>
      <c r="H75" s="21">
        <f>IF(OR($G75="",$G75="Pending"),"",ROUND(IF($G75="Win",IF($E75&gt;0,$F75*$E75/100,$F75*100/-$E75),IF($G75="Loss",-$F75,0)),2))</f>
        <v/>
      </c>
      <c r="I75" s="21">
        <f>Settings!$B$5+SUM($H$6:$H75)</f>
        <v/>
      </c>
      <c r="J75" s="19">
        <f>IFERROR(SUM($H$6:$H75)/SUMIF($G$6:$G75,"&lt;&gt;Pending",$F$6:$F75),"")</f>
        <v/>
      </c>
      <c r="K75" s="17" t="inlineStr">
        <is>
          <t>LEAN</t>
        </is>
      </c>
      <c r="L75" s="19" t="n">
        <v>0.0917</v>
      </c>
      <c r="M75" s="19" t="n">
        <v>0.0509</v>
      </c>
      <c r="N75" s="17" t="inlineStr">
        <is>
          <t>AKR 16 - WAKE 38</t>
        </is>
      </c>
      <c r="O75" s="17" t="inlineStr">
        <is>
          <t>DraftKings</t>
        </is>
      </c>
    </row>
    <row r="76">
      <c r="A76" s="12" t="inlineStr">
        <is>
          <t>2026-08-29</t>
        </is>
      </c>
      <c r="B76" s="12" t="inlineStr">
        <is>
          <t>HAW @ STAN</t>
        </is>
      </c>
      <c r="C76" s="12" t="inlineStr">
        <is>
          <t>TOTAL</t>
        </is>
      </c>
      <c r="D76" s="12" t="inlineStr">
        <is>
          <t>Over 49.5</t>
        </is>
      </c>
      <c r="E76" s="13" t="n">
        <v>-105</v>
      </c>
      <c r="F76" s="16" t="n">
        <v>21.5</v>
      </c>
      <c r="G76" s="12" t="inlineStr">
        <is>
          <t>Win</t>
        </is>
      </c>
      <c r="H76" s="16">
        <f>IF(OR($G76="",$G76="Pending"),"",ROUND(IF($G76="Win",IF($E76&gt;0,$F76*$E76/100,$F76*100/-$E76),IF($G76="Loss",-$F76,0)),2))</f>
        <v/>
      </c>
      <c r="I76" s="16">
        <f>Settings!$B$5+SUM($H$6:$H76)</f>
        <v/>
      </c>
      <c r="J76" s="14">
        <f>IFERROR(SUM($H$6:$H76)/SUMIF($G$6:$G76,"&lt;&gt;Pending",$F$6:$F76),"")</f>
        <v/>
      </c>
      <c r="K76" s="12" t="inlineStr">
        <is>
          <t>LEAN</t>
        </is>
      </c>
      <c r="L76" s="14" t="n">
        <v>0.0834</v>
      </c>
      <c r="M76" s="14" t="n">
        <v>-0.0139</v>
      </c>
      <c r="N76" s="12" t="inlineStr">
        <is>
          <t>HAW 27 - STAN 37</t>
        </is>
      </c>
      <c r="O76" s="12" t="inlineStr">
        <is>
          <t>Draft Kings</t>
        </is>
      </c>
    </row>
    <row r="77">
      <c r="A77" s="17" t="inlineStr">
        <is>
          <t>2026-08-29</t>
        </is>
      </c>
      <c r="B77" s="17" t="inlineStr">
        <is>
          <t>SAC @ EMU</t>
        </is>
      </c>
      <c r="C77" s="17" t="inlineStr">
        <is>
          <t>ATS</t>
        </is>
      </c>
      <c r="D77" s="17" t="inlineStr">
        <is>
          <t>SAC +8.5</t>
        </is>
      </c>
      <c r="E77" s="18" t="n">
        <v>-108</v>
      </c>
      <c r="F77" s="21" t="n">
        <v>25</v>
      </c>
      <c r="G77" s="17" t="inlineStr">
        <is>
          <t>Loss</t>
        </is>
      </c>
      <c r="H77" s="21">
        <f>IF(OR($G77="",$G77="Pending"),"",ROUND(IF($G77="Win",IF($E77&gt;0,$F77*$E77/100,$F77*100/-$E77),IF($G77="Loss",-$F77,0)),2))</f>
        <v/>
      </c>
      <c r="I77" s="21">
        <f>Settings!$B$5+SUM($H$6:$H77)</f>
        <v/>
      </c>
      <c r="J77" s="19">
        <f>IFERROR(SUM($H$6:$H77)/SUMIF($G$6:$G77,"&lt;&gt;Pending",$F$6:$F77),"")</f>
        <v/>
      </c>
      <c r="K77" s="17" t="inlineStr">
        <is>
          <t>LEAN</t>
        </is>
      </c>
      <c r="L77" s="19" t="n">
        <v>0.1065</v>
      </c>
      <c r="M77" s="19" t="n">
        <v>0.0046</v>
      </c>
      <c r="N77" s="17" t="inlineStr">
        <is>
          <t>SAC 17 - EMU 28</t>
        </is>
      </c>
      <c r="O77" s="17" t="inlineStr">
        <is>
          <t>DraftKings</t>
        </is>
      </c>
    </row>
    <row r="78">
      <c r="A78" s="12" t="inlineStr">
        <is>
          <t>2026-08-29</t>
        </is>
      </c>
      <c r="B78" s="12" t="inlineStr">
        <is>
          <t>SAC @ EMU</t>
        </is>
      </c>
      <c r="C78" s="12" t="inlineStr">
        <is>
          <t>ML</t>
        </is>
      </c>
      <c r="D78" s="12" t="inlineStr">
        <is>
          <t>SAC ML</t>
        </is>
      </c>
      <c r="E78" s="13" t="n">
        <v>280</v>
      </c>
      <c r="F78" s="16" t="n">
        <v>18</v>
      </c>
      <c r="G78" s="12" t="inlineStr">
        <is>
          <t>Loss</t>
        </is>
      </c>
      <c r="H78" s="16">
        <f>IF(OR($G78="",$G78="Pending"),"",ROUND(IF($G78="Win",IF($E78&gt;0,$F78*$E78/100,$F78*100/-$E78),IF($G78="Loss",-$F78,0)),2))</f>
        <v/>
      </c>
      <c r="I78" s="16">
        <f>Settings!$B$5+SUM($H$6:$H78)</f>
        <v/>
      </c>
      <c r="J78" s="14">
        <f>IFERROR(SUM($H$6:$H78)/SUMIF($G$6:$G78,"&lt;&gt;Pending",$F$6:$F78),"")</f>
        <v/>
      </c>
      <c r="K78" s="12" t="inlineStr">
        <is>
          <t>LEAN</t>
        </is>
      </c>
      <c r="L78" s="14" t="n">
        <v>0.1055</v>
      </c>
      <c r="M78" s="14" t="n">
        <v>0</v>
      </c>
      <c r="N78" s="12" t="inlineStr">
        <is>
          <t>SAC 17 - EMU 28</t>
        </is>
      </c>
      <c r="O78" s="12" t="inlineStr">
        <is>
          <t>Draft Kings</t>
        </is>
      </c>
    </row>
    <row r="79">
      <c r="A79" s="17" t="inlineStr">
        <is>
          <t>2026-08-29</t>
        </is>
      </c>
      <c r="B79" s="17" t="inlineStr">
        <is>
          <t>UNC @ TCU</t>
        </is>
      </c>
      <c r="C79" s="17" t="inlineStr">
        <is>
          <t>ATS</t>
        </is>
      </c>
      <c r="D79" s="17" t="inlineStr">
        <is>
          <t>UNC +7.5</t>
        </is>
      </c>
      <c r="E79" s="18" t="n">
        <v>-108</v>
      </c>
      <c r="F79" s="21" t="n">
        <v>21</v>
      </c>
      <c r="G79" s="17" t="inlineStr">
        <is>
          <t>Win</t>
        </is>
      </c>
      <c r="H79" s="21">
        <f>IF(OR($G79="",$G79="Pending"),"",ROUND(IF($G79="Win",IF($E79&gt;0,$F79*$E79/100,$F79*100/-$E79),IF($G79="Loss",-$F79,0)),2))</f>
        <v/>
      </c>
      <c r="I79" s="21">
        <f>Settings!$B$5+SUM($H$6:$H79)</f>
        <v/>
      </c>
      <c r="J79" s="19">
        <f>IFERROR(SUM($H$6:$H79)/SUMIF($G$6:$G79,"&lt;&gt;Pending",$F$6:$F79),"")</f>
        <v/>
      </c>
      <c r="K79" s="17" t="inlineStr">
        <is>
          <t>LEAN</t>
        </is>
      </c>
      <c r="L79" s="19" t="n">
        <v>0.0801</v>
      </c>
      <c r="M79" s="19" t="n">
        <v>-0.009299999999999999</v>
      </c>
      <c r="N79" s="17" t="inlineStr">
        <is>
          <t>UNC 15 - TCU 10</t>
        </is>
      </c>
      <c r="O79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2.38</v>
      </c>
      <c r="D5" s="23" t="n">
        <v>0.87</v>
      </c>
      <c r="E5" s="23" t="n">
        <v>2.93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UCLA</t>
        </is>
      </c>
      <c r="C6" s="26" t="n">
        <v>1.87</v>
      </c>
      <c r="D6" s="26" t="n">
        <v>0.16</v>
      </c>
      <c r="E6" s="26" t="n">
        <v>0.41</v>
      </c>
      <c r="F6" s="25" t="n">
        <v>1</v>
      </c>
      <c r="G6" s="17" t="inlineStr">
        <is>
          <t>—</t>
        </is>
      </c>
    </row>
    <row r="7">
      <c r="A7" s="22" t="n">
        <v>3</v>
      </c>
      <c r="B7" s="12" t="inlineStr">
        <is>
          <t>MASS</t>
        </is>
      </c>
      <c r="C7" s="23" t="n">
        <v>1.51</v>
      </c>
      <c r="D7" s="23" t="n">
        <v>-0.7</v>
      </c>
      <c r="E7" s="23" t="n">
        <v>0.15</v>
      </c>
      <c r="F7" s="22" t="n">
        <v>1</v>
      </c>
      <c r="G7" s="12" t="inlineStr">
        <is>
          <t>1-0</t>
        </is>
      </c>
    </row>
    <row r="8">
      <c r="A8" s="25" t="n">
        <v>4</v>
      </c>
      <c r="B8" s="17" t="inlineStr">
        <is>
          <t>IDST</t>
        </is>
      </c>
      <c r="C8" s="26" t="n">
        <v>1.5</v>
      </c>
      <c r="D8" s="26" t="n">
        <v>0.14</v>
      </c>
      <c r="E8" s="26" t="n">
        <v>0.9399999999999999</v>
      </c>
      <c r="F8" s="25" t="n">
        <v>1</v>
      </c>
      <c r="G8" s="17" t="inlineStr">
        <is>
          <t>1-0</t>
        </is>
      </c>
    </row>
    <row r="9">
      <c r="A9" s="22" t="n">
        <v>5</v>
      </c>
      <c r="B9" s="12" t="inlineStr">
        <is>
          <t>ND</t>
        </is>
      </c>
      <c r="C9" s="23" t="n">
        <v>1.47</v>
      </c>
      <c r="D9" s="23" t="n">
        <v>0.99</v>
      </c>
      <c r="E9" s="23" t="n">
        <v>1.44</v>
      </c>
      <c r="F9" s="22" t="n">
        <v>1</v>
      </c>
      <c r="G9" s="12" t="inlineStr">
        <is>
          <t>—</t>
        </is>
      </c>
    </row>
    <row r="10">
      <c r="A10" s="25" t="n">
        <v>6</v>
      </c>
      <c r="B10" s="17" t="inlineStr">
        <is>
          <t>TAR</t>
        </is>
      </c>
      <c r="C10" s="26" t="n">
        <v>1.27</v>
      </c>
      <c r="D10" s="26" t="n">
        <v>-0.28</v>
      </c>
      <c r="E10" s="26" t="n">
        <v>1.14</v>
      </c>
      <c r="F10" s="25" t="n">
        <v>1</v>
      </c>
      <c r="G10" s="17" t="inlineStr">
        <is>
          <t>—</t>
        </is>
      </c>
    </row>
    <row r="11">
      <c r="A11" s="22" t="n">
        <v>7</v>
      </c>
      <c r="B11" s="12" t="inlineStr">
        <is>
          <t>SJSU</t>
        </is>
      </c>
      <c r="C11" s="23" t="n">
        <v>1.25</v>
      </c>
      <c r="D11" s="23" t="n">
        <v>-0.48</v>
      </c>
      <c r="E11" s="23" t="n">
        <v>0.22</v>
      </c>
      <c r="F11" s="22" t="n">
        <v>2</v>
      </c>
      <c r="G11" s="12" t="inlineStr">
        <is>
          <t>1-0</t>
        </is>
      </c>
    </row>
    <row r="12">
      <c r="A12" s="25" t="n">
        <v>8</v>
      </c>
      <c r="B12" s="17" t="inlineStr">
        <is>
          <t>MEM</t>
        </is>
      </c>
      <c r="C12" s="26" t="n">
        <v>1.15</v>
      </c>
      <c r="D12" s="26" t="n">
        <v>0.38</v>
      </c>
      <c r="E12" s="26" t="n">
        <v>1.15</v>
      </c>
      <c r="F12" s="25" t="n">
        <v>2</v>
      </c>
      <c r="G12" s="17" t="inlineStr">
        <is>
          <t>1-0</t>
        </is>
      </c>
    </row>
    <row r="13">
      <c r="A13" s="22" t="n">
        <v>9</v>
      </c>
      <c r="B13" s="12" t="inlineStr">
        <is>
          <t>CIT</t>
        </is>
      </c>
      <c r="C13" s="23" t="n">
        <v>0.99</v>
      </c>
      <c r="D13" s="23" t="n">
        <v>0.51</v>
      </c>
      <c r="E13" s="23" t="n">
        <v>-0.42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WMU</t>
        </is>
      </c>
      <c r="C14" s="26" t="n">
        <v>0.95</v>
      </c>
      <c r="D14" s="26" t="n">
        <v>-1.05</v>
      </c>
      <c r="E14" s="26" t="n">
        <v>2.01</v>
      </c>
      <c r="F14" s="25" t="n">
        <v>1</v>
      </c>
      <c r="G14" s="17" t="inlineStr">
        <is>
          <t>1-0</t>
        </is>
      </c>
    </row>
    <row r="15">
      <c r="A15" s="22" t="n">
        <v>11</v>
      </c>
      <c r="B15" s="12" t="inlineStr">
        <is>
          <t>COLO</t>
        </is>
      </c>
      <c r="C15" s="23" t="n">
        <v>0.91</v>
      </c>
      <c r="D15" s="23" t="n">
        <v>-1.19</v>
      </c>
      <c r="E15" s="23" t="n">
        <v>1.03</v>
      </c>
      <c r="F15" s="22" t="n">
        <v>1</v>
      </c>
      <c r="G15" s="12" t="inlineStr">
        <is>
          <t>—</t>
        </is>
      </c>
    </row>
    <row r="16">
      <c r="A16" s="25" t="n">
        <v>12</v>
      </c>
      <c r="B16" s="17" t="inlineStr">
        <is>
          <t>NDSU</t>
        </is>
      </c>
      <c r="C16" s="26" t="n">
        <v>0.8100000000000001</v>
      </c>
      <c r="D16" s="26" t="n">
        <v>0.55</v>
      </c>
      <c r="E16" s="26" t="n">
        <v>3.05</v>
      </c>
      <c r="F16" s="25" t="n">
        <v>2</v>
      </c>
      <c r="G16" s="17" t="inlineStr">
        <is>
          <t>1-0</t>
        </is>
      </c>
    </row>
    <row r="17">
      <c r="A17" s="22" t="n">
        <v>13</v>
      </c>
      <c r="B17" s="12" t="inlineStr">
        <is>
          <t>SAC</t>
        </is>
      </c>
      <c r="C17" s="23" t="n">
        <v>0.75</v>
      </c>
      <c r="D17" s="23" t="n">
        <v>0.48</v>
      </c>
      <c r="E17" s="23" t="n">
        <v>1.74</v>
      </c>
      <c r="F17" s="22" t="n">
        <v>2</v>
      </c>
      <c r="G17" s="12" t="inlineStr">
        <is>
          <t>0-1</t>
        </is>
      </c>
    </row>
    <row r="18">
      <c r="A18" s="25" t="n">
        <v>14</v>
      </c>
      <c r="B18" s="17" t="inlineStr">
        <is>
          <t>ALB</t>
        </is>
      </c>
      <c r="C18" s="26" t="n">
        <v>0.72</v>
      </c>
      <c r="D18" s="26" t="n">
        <v>-0.52</v>
      </c>
      <c r="E18" s="26" t="n">
        <v>0.71</v>
      </c>
      <c r="F18" s="25" t="n">
        <v>1</v>
      </c>
      <c r="G18" s="17" t="inlineStr">
        <is>
          <t>—</t>
        </is>
      </c>
    </row>
    <row r="19">
      <c r="A19" s="22" t="n">
        <v>15</v>
      </c>
      <c r="B19" s="12" t="inlineStr">
        <is>
          <t>SHSU</t>
        </is>
      </c>
      <c r="C19" s="23" t="n">
        <v>0.6899999999999999</v>
      </c>
      <c r="D19" s="23" t="n">
        <v>-0.95</v>
      </c>
      <c r="E19" s="23" t="n">
        <v>0.17</v>
      </c>
      <c r="F19" s="22" t="n">
        <v>1</v>
      </c>
      <c r="G19" s="12" t="inlineStr">
        <is>
          <t>1-0</t>
        </is>
      </c>
    </row>
    <row r="20">
      <c r="A20" s="25" t="n">
        <v>16</v>
      </c>
      <c r="B20" s="17" t="inlineStr">
        <is>
          <t>BOIS</t>
        </is>
      </c>
      <c r="C20" s="26" t="n">
        <v>0.64</v>
      </c>
      <c r="D20" s="26" t="n">
        <v>-0.02</v>
      </c>
      <c r="E20" s="26" t="n">
        <v>0.61</v>
      </c>
      <c r="F20" s="25" t="n">
        <v>1</v>
      </c>
      <c r="G20" s="17" t="inlineStr">
        <is>
          <t>—</t>
        </is>
      </c>
    </row>
    <row r="21">
      <c r="A21" s="22" t="n">
        <v>17</v>
      </c>
      <c r="B21" s="12" t="inlineStr">
        <is>
          <t>LIB</t>
        </is>
      </c>
      <c r="C21" s="23" t="n">
        <v>0.6</v>
      </c>
      <c r="D21" s="23" t="n">
        <v>-0.8100000000000001</v>
      </c>
      <c r="E21" s="23" t="n">
        <v>0.95</v>
      </c>
      <c r="F21" s="22" t="n">
        <v>1</v>
      </c>
      <c r="G21" s="12" t="inlineStr">
        <is>
          <t>—</t>
        </is>
      </c>
    </row>
    <row r="22">
      <c r="A22" s="25" t="n">
        <v>18</v>
      </c>
      <c r="B22" s="17" t="inlineStr">
        <is>
          <t>IU</t>
        </is>
      </c>
      <c r="C22" s="26" t="n">
        <v>0.59</v>
      </c>
      <c r="D22" s="26" t="n">
        <v>1.59</v>
      </c>
      <c r="E22" s="26" t="n">
        <v>2.16</v>
      </c>
      <c r="F22" s="25" t="n">
        <v>1</v>
      </c>
      <c r="G22" s="17" t="inlineStr">
        <is>
          <t>—</t>
        </is>
      </c>
    </row>
    <row r="23">
      <c r="A23" s="22" t="n">
        <v>19</v>
      </c>
      <c r="B23" s="12" t="inlineStr">
        <is>
          <t>CCU</t>
        </is>
      </c>
      <c r="C23" s="23" t="n">
        <v>0.55</v>
      </c>
      <c r="D23" s="23" t="n">
        <v>-0.62</v>
      </c>
      <c r="E23" s="23" t="n">
        <v>0.04</v>
      </c>
      <c r="F23" s="22" t="n">
        <v>1</v>
      </c>
      <c r="G23" s="12" t="inlineStr">
        <is>
          <t>—</t>
        </is>
      </c>
    </row>
    <row r="24">
      <c r="A24" s="25" t="n">
        <v>20</v>
      </c>
      <c r="B24" s="17" t="inlineStr">
        <is>
          <t>TOL</t>
        </is>
      </c>
      <c r="C24" s="26" t="n">
        <v>0.55</v>
      </c>
      <c r="D24" s="26" t="n">
        <v>-0.33</v>
      </c>
      <c r="E24" s="26" t="n">
        <v>1.44</v>
      </c>
      <c r="F24" s="25" t="n">
        <v>1</v>
      </c>
      <c r="G24" s="17" t="inlineStr">
        <is>
          <t>—</t>
        </is>
      </c>
    </row>
    <row r="25">
      <c r="A25" s="22" t="n">
        <v>21</v>
      </c>
      <c r="B25" s="12" t="inlineStr">
        <is>
          <t>OSU</t>
        </is>
      </c>
      <c r="C25" s="23" t="n">
        <v>0.54</v>
      </c>
      <c r="D25" s="23" t="n">
        <v>0.95</v>
      </c>
      <c r="E25" s="23" t="n">
        <v>2.51</v>
      </c>
      <c r="F25" s="22" t="n">
        <v>1</v>
      </c>
      <c r="G25" s="12" t="inlineStr">
        <is>
          <t>—</t>
        </is>
      </c>
    </row>
    <row r="26">
      <c r="A26" s="25" t="n">
        <v>22</v>
      </c>
      <c r="B26" s="17" t="inlineStr">
        <is>
          <t>UNLV</t>
        </is>
      </c>
      <c r="C26" s="26" t="n">
        <v>0.52</v>
      </c>
      <c r="D26" s="26" t="n">
        <v>-0.63</v>
      </c>
      <c r="E26" s="26" t="n">
        <v>1.64</v>
      </c>
      <c r="F26" s="25" t="n">
        <v>2</v>
      </c>
      <c r="G26" s="17" t="inlineStr">
        <is>
          <t>—</t>
        </is>
      </c>
    </row>
    <row r="27">
      <c r="A27" s="22" t="n">
        <v>23</v>
      </c>
      <c r="B27" s="12" t="inlineStr">
        <is>
          <t>UTAH</t>
        </is>
      </c>
      <c r="C27" s="23" t="n">
        <v>0.52</v>
      </c>
      <c r="D27" s="23" t="n">
        <v>2.13</v>
      </c>
      <c r="E27" s="23" t="n">
        <v>1.29</v>
      </c>
      <c r="F27" s="22" t="n">
        <v>1</v>
      </c>
      <c r="G27" s="12" t="inlineStr">
        <is>
          <t>—</t>
        </is>
      </c>
    </row>
    <row r="28">
      <c r="A28" s="25" t="n">
        <v>24</v>
      </c>
      <c r="B28" s="17" t="inlineStr">
        <is>
          <t>UGA</t>
        </is>
      </c>
      <c r="C28" s="26" t="n">
        <v>0.49</v>
      </c>
      <c r="D28" s="26" t="n">
        <v>1.28</v>
      </c>
      <c r="E28" s="26" t="n">
        <v>2.06</v>
      </c>
      <c r="F28" s="25" t="n">
        <v>1</v>
      </c>
      <c r="G28" s="17" t="inlineStr">
        <is>
          <t>—</t>
        </is>
      </c>
    </row>
    <row r="29">
      <c r="A29" s="22" t="n">
        <v>25</v>
      </c>
      <c r="B29" s="12" t="inlineStr">
        <is>
          <t>ARIZ</t>
        </is>
      </c>
      <c r="C29" s="23" t="n">
        <v>0.47</v>
      </c>
      <c r="D29" s="23" t="n">
        <v>-0</v>
      </c>
      <c r="E29" s="23" t="n">
        <v>1.72</v>
      </c>
      <c r="F29" s="22" t="n">
        <v>1</v>
      </c>
      <c r="G29" s="12" t="inlineStr">
        <is>
          <t>—</t>
        </is>
      </c>
    </row>
    <row r="30">
      <c r="A30" s="25" t="n">
        <v>26</v>
      </c>
      <c r="B30" s="17" t="inlineStr">
        <is>
          <t>BYU</t>
        </is>
      </c>
      <c r="C30" s="26" t="n">
        <v>0.47</v>
      </c>
      <c r="D30" s="26" t="n">
        <v>1.23</v>
      </c>
      <c r="E30" s="26" t="n">
        <v>1.71</v>
      </c>
      <c r="F30" s="25" t="n">
        <v>1</v>
      </c>
      <c r="G30" s="17" t="inlineStr">
        <is>
          <t>—</t>
        </is>
      </c>
    </row>
    <row r="31">
      <c r="A31" s="22" t="n">
        <v>27</v>
      </c>
      <c r="B31" s="12" t="inlineStr">
        <is>
          <t>IOWA</t>
        </is>
      </c>
      <c r="C31" s="23" t="n">
        <v>0.47</v>
      </c>
      <c r="D31" s="23" t="n">
        <v>0.14</v>
      </c>
      <c r="E31" s="23" t="n">
        <v>2.16</v>
      </c>
      <c r="F31" s="22" t="n">
        <v>1</v>
      </c>
      <c r="G31" s="12" t="inlineStr">
        <is>
          <t>—</t>
        </is>
      </c>
    </row>
    <row r="32">
      <c r="A32" s="25" t="n">
        <v>28</v>
      </c>
      <c r="B32" s="17" t="inlineStr">
        <is>
          <t>TA&amp;M</t>
        </is>
      </c>
      <c r="C32" s="26" t="n">
        <v>0.47</v>
      </c>
      <c r="D32" s="26" t="n">
        <v>0.73</v>
      </c>
      <c r="E32" s="26" t="n">
        <v>1.93</v>
      </c>
      <c r="F32" s="25" t="n">
        <v>1</v>
      </c>
      <c r="G32" s="17" t="inlineStr">
        <is>
          <t>1-0</t>
        </is>
      </c>
    </row>
    <row r="33">
      <c r="A33" s="22" t="n">
        <v>29</v>
      </c>
      <c r="B33" s="12" t="inlineStr">
        <is>
          <t>FIU</t>
        </is>
      </c>
      <c r="C33" s="23" t="n">
        <v>0.46</v>
      </c>
      <c r="D33" s="23" t="n">
        <v>-0.82</v>
      </c>
      <c r="E33" s="23" t="n">
        <v>0.87</v>
      </c>
      <c r="F33" s="22" t="n">
        <v>1</v>
      </c>
      <c r="G33" s="12" t="inlineStr">
        <is>
          <t>1-0</t>
        </is>
      </c>
    </row>
    <row r="34">
      <c r="A34" s="25" t="n">
        <v>30</v>
      </c>
      <c r="B34" s="17" t="inlineStr">
        <is>
          <t>NMSU</t>
        </is>
      </c>
      <c r="C34" s="26" t="n">
        <v>0.46</v>
      </c>
      <c r="D34" s="26" t="n">
        <v>-0.23</v>
      </c>
      <c r="E34" s="26" t="n">
        <v>0.79</v>
      </c>
      <c r="F34" s="25" t="n">
        <v>2</v>
      </c>
      <c r="G34" s="17" t="inlineStr">
        <is>
          <t>1-0</t>
        </is>
      </c>
    </row>
    <row r="35">
      <c r="A35" s="22" t="n">
        <v>31</v>
      </c>
      <c r="B35" s="12" t="inlineStr">
        <is>
          <t>PSU</t>
        </is>
      </c>
      <c r="C35" s="23" t="n">
        <v>0.46</v>
      </c>
      <c r="D35" s="23" t="n">
        <v>0.41</v>
      </c>
      <c r="E35" s="23" t="n">
        <v>1.96</v>
      </c>
      <c r="F35" s="22" t="n">
        <v>1</v>
      </c>
      <c r="G35" s="12" t="inlineStr">
        <is>
          <t>—</t>
        </is>
      </c>
    </row>
    <row r="36">
      <c r="A36" s="25" t="n">
        <v>32</v>
      </c>
      <c r="B36" s="17" t="inlineStr">
        <is>
          <t>SDSU</t>
        </is>
      </c>
      <c r="C36" s="26" t="n">
        <v>0.46</v>
      </c>
      <c r="D36" s="26" t="n">
        <v>0.45</v>
      </c>
      <c r="E36" s="26" t="n">
        <v>1.18</v>
      </c>
      <c r="F36" s="25" t="n">
        <v>1</v>
      </c>
      <c r="G36" s="17" t="inlineStr">
        <is>
          <t>—</t>
        </is>
      </c>
    </row>
    <row r="37">
      <c r="A37" s="22" t="n">
        <v>33</v>
      </c>
      <c r="B37" s="12" t="inlineStr">
        <is>
          <t>TEX</t>
        </is>
      </c>
      <c r="C37" s="23" t="n">
        <v>0.46</v>
      </c>
      <c r="D37" s="23" t="n">
        <v>1.07</v>
      </c>
      <c r="E37" s="23" t="n">
        <v>1.46</v>
      </c>
      <c r="F37" s="22" t="n">
        <v>1</v>
      </c>
      <c r="G37" s="12" t="inlineStr">
        <is>
          <t>—</t>
        </is>
      </c>
    </row>
    <row r="38">
      <c r="A38" s="25" t="n">
        <v>34</v>
      </c>
      <c r="B38" s="17" t="inlineStr">
        <is>
          <t>ALA</t>
        </is>
      </c>
      <c r="C38" s="26" t="n">
        <v>0.45</v>
      </c>
      <c r="D38" s="26" t="n">
        <v>0.39</v>
      </c>
      <c r="E38" s="26" t="n">
        <v>1.68</v>
      </c>
      <c r="F38" s="25" t="n">
        <v>1</v>
      </c>
      <c r="G38" s="17" t="inlineStr">
        <is>
          <t>—</t>
        </is>
      </c>
    </row>
    <row r="39">
      <c r="A39" s="22" t="n">
        <v>35</v>
      </c>
      <c r="B39" s="12" t="inlineStr">
        <is>
          <t>UTSA</t>
        </is>
      </c>
      <c r="C39" s="23" t="n">
        <v>0.45</v>
      </c>
      <c r="D39" s="23" t="n">
        <v>0.79</v>
      </c>
      <c r="E39" s="23" t="n">
        <v>0.63</v>
      </c>
      <c r="F39" s="22" t="n">
        <v>1</v>
      </c>
      <c r="G39" s="12" t="inlineStr">
        <is>
          <t>—</t>
        </is>
      </c>
    </row>
    <row r="40">
      <c r="A40" s="25" t="n">
        <v>36</v>
      </c>
      <c r="B40" s="17" t="inlineStr">
        <is>
          <t>OU</t>
        </is>
      </c>
      <c r="C40" s="26" t="n">
        <v>0.44</v>
      </c>
      <c r="D40" s="26" t="n">
        <v>0.29</v>
      </c>
      <c r="E40" s="26" t="n">
        <v>2.12</v>
      </c>
      <c r="F40" s="25" t="n">
        <v>1</v>
      </c>
      <c r="G40" s="17" t="inlineStr">
        <is>
          <t>—</t>
        </is>
      </c>
    </row>
    <row r="41">
      <c r="A41" s="22" t="n">
        <v>37</v>
      </c>
      <c r="B41" s="12" t="inlineStr">
        <is>
          <t>TENN</t>
        </is>
      </c>
      <c r="C41" s="23" t="n">
        <v>0.44</v>
      </c>
      <c r="D41" s="23" t="n">
        <v>1.38</v>
      </c>
      <c r="E41" s="23" t="n">
        <v>0.95</v>
      </c>
      <c r="F41" s="22" t="n">
        <v>1</v>
      </c>
      <c r="G41" s="12" t="inlineStr">
        <is>
          <t>—</t>
        </is>
      </c>
    </row>
    <row r="42">
      <c r="A42" s="25" t="n">
        <v>38</v>
      </c>
      <c r="B42" s="17" t="inlineStr">
        <is>
          <t>ARMY</t>
        </is>
      </c>
      <c r="C42" s="26" t="n">
        <v>0.43</v>
      </c>
      <c r="D42" s="26" t="n">
        <v>0.65</v>
      </c>
      <c r="E42" s="26" t="n">
        <v>1.83</v>
      </c>
      <c r="F42" s="25" t="n">
        <v>1</v>
      </c>
      <c r="G42" s="17" t="inlineStr">
        <is>
          <t>—</t>
        </is>
      </c>
    </row>
    <row r="43">
      <c r="A43" s="22" t="n">
        <v>39</v>
      </c>
      <c r="B43" s="12" t="inlineStr">
        <is>
          <t>ISU</t>
        </is>
      </c>
      <c r="C43" s="23" t="n">
        <v>0.43</v>
      </c>
      <c r="D43" s="23" t="n">
        <v>-0.1</v>
      </c>
      <c r="E43" s="23" t="n">
        <v>1.4</v>
      </c>
      <c r="F43" s="22" t="n">
        <v>1</v>
      </c>
      <c r="G43" s="12" t="inlineStr">
        <is>
          <t>0-1</t>
        </is>
      </c>
    </row>
    <row r="44">
      <c r="A44" s="25" t="n">
        <v>40</v>
      </c>
      <c r="B44" s="17" t="inlineStr">
        <is>
          <t>LT</t>
        </is>
      </c>
      <c r="C44" s="26" t="n">
        <v>0.43</v>
      </c>
      <c r="D44" s="26" t="n">
        <v>1.78</v>
      </c>
      <c r="E44" s="26" t="n">
        <v>1.54</v>
      </c>
      <c r="F44" s="25" t="n">
        <v>1</v>
      </c>
      <c r="G44" s="17" t="inlineStr">
        <is>
          <t>1-0</t>
        </is>
      </c>
    </row>
    <row r="45">
      <c r="A45" s="22" t="n">
        <v>41</v>
      </c>
      <c r="B45" s="12" t="inlineStr">
        <is>
          <t>MIZ</t>
        </is>
      </c>
      <c r="C45" s="23" t="n">
        <v>0.43</v>
      </c>
      <c r="D45" s="23" t="n">
        <v>0.54</v>
      </c>
      <c r="E45" s="23" t="n">
        <v>1.3</v>
      </c>
      <c r="F45" s="22" t="n">
        <v>1</v>
      </c>
      <c r="G45" s="12" t="inlineStr">
        <is>
          <t>—</t>
        </is>
      </c>
    </row>
    <row r="46">
      <c r="A46" s="25" t="n">
        <v>42</v>
      </c>
      <c r="B46" s="17" t="inlineStr">
        <is>
          <t>PITT</t>
        </is>
      </c>
      <c r="C46" s="26" t="n">
        <v>0.43</v>
      </c>
      <c r="D46" s="26" t="n">
        <v>1.17</v>
      </c>
      <c r="E46" s="26" t="n">
        <v>0.9</v>
      </c>
      <c r="F46" s="25" t="n">
        <v>1</v>
      </c>
      <c r="G46" s="17" t="inlineStr">
        <is>
          <t>—</t>
        </is>
      </c>
    </row>
    <row r="47">
      <c r="A47" s="22" t="n">
        <v>43</v>
      </c>
      <c r="B47" s="12" t="inlineStr">
        <is>
          <t>UNM</t>
        </is>
      </c>
      <c r="C47" s="23" t="n">
        <v>0.43</v>
      </c>
      <c r="D47" s="23" t="n">
        <v>-0.13</v>
      </c>
      <c r="E47" s="23" t="n">
        <v>1.56</v>
      </c>
      <c r="F47" s="22" t="n">
        <v>1</v>
      </c>
      <c r="G47" s="12" t="inlineStr">
        <is>
          <t>—</t>
        </is>
      </c>
    </row>
    <row r="48">
      <c r="A48" s="25" t="n">
        <v>44</v>
      </c>
      <c r="B48" s="17" t="inlineStr">
        <is>
          <t>CONN</t>
        </is>
      </c>
      <c r="C48" s="26" t="n">
        <v>0.42</v>
      </c>
      <c r="D48" s="26" t="n">
        <v>1.2</v>
      </c>
      <c r="E48" s="26" t="n">
        <v>1.1</v>
      </c>
      <c r="F48" s="25" t="n">
        <v>1</v>
      </c>
      <c r="G48" s="17" t="inlineStr">
        <is>
          <t>—</t>
        </is>
      </c>
    </row>
    <row r="49">
      <c r="A49" s="22" t="n">
        <v>45</v>
      </c>
      <c r="B49" s="12" t="inlineStr">
        <is>
          <t>KENN</t>
        </is>
      </c>
      <c r="C49" s="23" t="n">
        <v>0.42</v>
      </c>
      <c r="D49" s="23" t="n">
        <v>0.34</v>
      </c>
      <c r="E49" s="23" t="n">
        <v>1.59</v>
      </c>
      <c r="F49" s="22" t="n">
        <v>1</v>
      </c>
      <c r="G49" s="12" t="inlineStr">
        <is>
          <t>—</t>
        </is>
      </c>
    </row>
    <row r="50">
      <c r="A50" s="25" t="n">
        <v>46</v>
      </c>
      <c r="B50" s="17" t="inlineStr">
        <is>
          <t>KSU</t>
        </is>
      </c>
      <c r="C50" s="26" t="n">
        <v>0.42</v>
      </c>
      <c r="D50" s="26" t="n">
        <v>1.59</v>
      </c>
      <c r="E50" s="26" t="n">
        <v>1.34</v>
      </c>
      <c r="F50" s="25" t="n">
        <v>1</v>
      </c>
      <c r="G50" s="17" t="inlineStr">
        <is>
          <t>1-0</t>
        </is>
      </c>
    </row>
    <row r="51">
      <c r="A51" s="22" t="n">
        <v>47</v>
      </c>
      <c r="B51" s="12" t="inlineStr">
        <is>
          <t>ASU</t>
        </is>
      </c>
      <c r="C51" s="23" t="n">
        <v>0.41</v>
      </c>
      <c r="D51" s="23" t="n">
        <v>1.28</v>
      </c>
      <c r="E51" s="23" t="n">
        <v>1.28</v>
      </c>
      <c r="F51" s="22" t="n">
        <v>1</v>
      </c>
      <c r="G51" s="12" t="inlineStr">
        <is>
          <t>—</t>
        </is>
      </c>
    </row>
    <row r="52">
      <c r="A52" s="25" t="n">
        <v>48</v>
      </c>
      <c r="B52" s="17" t="inlineStr">
        <is>
          <t>LSU</t>
        </is>
      </c>
      <c r="C52" s="26" t="n">
        <v>0.41</v>
      </c>
      <c r="D52" s="26" t="n">
        <v>0.21</v>
      </c>
      <c r="E52" s="26" t="n">
        <v>1.44</v>
      </c>
      <c r="F52" s="25" t="n">
        <v>1</v>
      </c>
      <c r="G52" s="17" t="inlineStr">
        <is>
          <t>—</t>
        </is>
      </c>
    </row>
    <row r="53">
      <c r="A53" s="22" t="n">
        <v>49</v>
      </c>
      <c r="B53" s="12" t="inlineStr">
        <is>
          <t>AFA</t>
        </is>
      </c>
      <c r="C53" s="23" t="n">
        <v>0.39</v>
      </c>
      <c r="D53" s="23" t="n">
        <v>-0.2</v>
      </c>
      <c r="E53" s="23" t="n">
        <v>1.36</v>
      </c>
      <c r="F53" s="22" t="n">
        <v>1</v>
      </c>
      <c r="G53" s="12" t="inlineStr">
        <is>
          <t>1-0</t>
        </is>
      </c>
    </row>
    <row r="54">
      <c r="A54" s="25" t="n">
        <v>50</v>
      </c>
      <c r="B54" s="17" t="inlineStr">
        <is>
          <t>NAVY</t>
        </is>
      </c>
      <c r="C54" s="26" t="n">
        <v>0.39</v>
      </c>
      <c r="D54" s="26" t="n">
        <v>0.25</v>
      </c>
      <c r="E54" s="26" t="n">
        <v>0.97</v>
      </c>
      <c r="F54" s="25" t="n">
        <v>1</v>
      </c>
      <c r="G54" s="17" t="inlineStr">
        <is>
          <t>—</t>
        </is>
      </c>
    </row>
    <row r="55">
      <c r="A55" s="22" t="n">
        <v>51</v>
      </c>
      <c r="B55" s="12" t="inlineStr">
        <is>
          <t>USM</t>
        </is>
      </c>
      <c r="C55" s="23" t="n">
        <v>0.39</v>
      </c>
      <c r="D55" s="23" t="n">
        <v>0.32</v>
      </c>
      <c r="E55" s="23" t="n">
        <v>1.22</v>
      </c>
      <c r="F55" s="22" t="n">
        <v>1</v>
      </c>
      <c r="G55" s="12" t="inlineStr">
        <is>
          <t>—</t>
        </is>
      </c>
    </row>
    <row r="56">
      <c r="A56" s="25" t="n">
        <v>52</v>
      </c>
      <c r="B56" s="17" t="inlineStr">
        <is>
          <t>DEL</t>
        </is>
      </c>
      <c r="C56" s="26" t="n">
        <v>0.38</v>
      </c>
      <c r="D56" s="26" t="n">
        <v>0.15</v>
      </c>
      <c r="E56" s="26" t="n">
        <v>0.84</v>
      </c>
      <c r="F56" s="25" t="n">
        <v>1</v>
      </c>
      <c r="G56" s="17" t="inlineStr">
        <is>
          <t>1-0</t>
        </is>
      </c>
    </row>
    <row r="57">
      <c r="A57" s="22" t="n">
        <v>53</v>
      </c>
      <c r="B57" s="12" t="inlineStr">
        <is>
          <t>GASO</t>
        </is>
      </c>
      <c r="C57" s="23" t="n">
        <v>0.38</v>
      </c>
      <c r="D57" s="23" t="n">
        <v>-0.37</v>
      </c>
      <c r="E57" s="23" t="n">
        <v>1.28</v>
      </c>
      <c r="F57" s="22" t="n">
        <v>1</v>
      </c>
      <c r="G57" s="12" t="inlineStr">
        <is>
          <t>1-0</t>
        </is>
      </c>
    </row>
    <row r="58">
      <c r="A58" s="25" t="n">
        <v>54</v>
      </c>
      <c r="B58" s="17" t="inlineStr">
        <is>
          <t>KU</t>
        </is>
      </c>
      <c r="C58" s="26" t="n">
        <v>0.38</v>
      </c>
      <c r="D58" s="26" t="n">
        <v>0.46</v>
      </c>
      <c r="E58" s="26" t="n">
        <v>1.12</v>
      </c>
      <c r="F58" s="25" t="n">
        <v>1</v>
      </c>
      <c r="G58" s="17" t="inlineStr">
        <is>
          <t>—</t>
        </is>
      </c>
    </row>
    <row r="59">
      <c r="A59" s="22" t="n">
        <v>55</v>
      </c>
      <c r="B59" s="12" t="inlineStr">
        <is>
          <t>MINN</t>
        </is>
      </c>
      <c r="C59" s="23" t="n">
        <v>0.38</v>
      </c>
      <c r="D59" s="23" t="n">
        <v>0.41</v>
      </c>
      <c r="E59" s="23" t="n">
        <v>1.32</v>
      </c>
      <c r="F59" s="22" t="n">
        <v>1</v>
      </c>
      <c r="G59" s="12" t="inlineStr">
        <is>
          <t>—</t>
        </is>
      </c>
    </row>
    <row r="60">
      <c r="A60" s="25" t="n">
        <v>56</v>
      </c>
      <c r="B60" s="17" t="inlineStr">
        <is>
          <t>SC</t>
        </is>
      </c>
      <c r="C60" s="26" t="n">
        <v>0.38</v>
      </c>
      <c r="D60" s="26" t="n">
        <v>0.46</v>
      </c>
      <c r="E60" s="26" t="n">
        <v>1.66</v>
      </c>
      <c r="F60" s="25" t="n">
        <v>1</v>
      </c>
      <c r="G60" s="17" t="inlineStr">
        <is>
          <t>—</t>
        </is>
      </c>
    </row>
    <row r="61">
      <c r="A61" s="22" t="n">
        <v>57</v>
      </c>
      <c r="B61" s="12" t="inlineStr">
        <is>
          <t>UK</t>
        </is>
      </c>
      <c r="C61" s="23" t="n">
        <v>0.38</v>
      </c>
      <c r="D61" s="23" t="n">
        <v>-0.09</v>
      </c>
      <c r="E61" s="23" t="n">
        <v>0.9</v>
      </c>
      <c r="F61" s="22" t="n">
        <v>1</v>
      </c>
      <c r="G61" s="12" t="inlineStr">
        <is>
          <t>—</t>
        </is>
      </c>
    </row>
    <row r="62">
      <c r="A62" s="25" t="n">
        <v>58</v>
      </c>
      <c r="B62" s="17" t="inlineStr">
        <is>
          <t>UL</t>
        </is>
      </c>
      <c r="C62" s="26" t="n">
        <v>0.38</v>
      </c>
      <c r="D62" s="26" t="n">
        <v>-0.19</v>
      </c>
      <c r="E62" s="26" t="n">
        <v>1.06</v>
      </c>
      <c r="F62" s="25" t="n">
        <v>1</v>
      </c>
      <c r="G62" s="17" t="inlineStr">
        <is>
          <t>—</t>
        </is>
      </c>
    </row>
    <row r="63">
      <c r="A63" s="22" t="n">
        <v>59</v>
      </c>
      <c r="B63" s="12" t="inlineStr">
        <is>
          <t>FLA</t>
        </is>
      </c>
      <c r="C63" s="23" t="n">
        <v>0.37</v>
      </c>
      <c r="D63" s="23" t="n">
        <v>0.8100000000000001</v>
      </c>
      <c r="E63" s="23" t="n">
        <v>0.6</v>
      </c>
      <c r="F63" s="22" t="n">
        <v>1</v>
      </c>
      <c r="G63" s="12" t="inlineStr">
        <is>
          <t>—</t>
        </is>
      </c>
    </row>
    <row r="64">
      <c r="A64" s="25" t="n">
        <v>60</v>
      </c>
      <c r="B64" s="17" t="inlineStr">
        <is>
          <t>NEB</t>
        </is>
      </c>
      <c r="C64" s="26" t="n">
        <v>0.37</v>
      </c>
      <c r="D64" s="26" t="n">
        <v>0.39</v>
      </c>
      <c r="E64" s="26" t="n">
        <v>0.54</v>
      </c>
      <c r="F64" s="25" t="n">
        <v>1</v>
      </c>
      <c r="G64" s="17" t="inlineStr">
        <is>
          <t>—</t>
        </is>
      </c>
    </row>
    <row r="65">
      <c r="A65" s="22" t="n">
        <v>61</v>
      </c>
      <c r="B65" s="12" t="inlineStr">
        <is>
          <t>MD</t>
        </is>
      </c>
      <c r="C65" s="23" t="n">
        <v>0.36</v>
      </c>
      <c r="D65" s="23" t="n">
        <v>0.6899999999999999</v>
      </c>
      <c r="E65" s="23" t="n">
        <v>1.34</v>
      </c>
      <c r="F65" s="22" t="n">
        <v>1</v>
      </c>
      <c r="G65" s="12" t="inlineStr">
        <is>
          <t>—</t>
        </is>
      </c>
    </row>
    <row r="66">
      <c r="A66" s="25" t="n">
        <v>62</v>
      </c>
      <c r="B66" s="17" t="inlineStr">
        <is>
          <t>MSST</t>
        </is>
      </c>
      <c r="C66" s="26" t="n">
        <v>0.36</v>
      </c>
      <c r="D66" s="26" t="n">
        <v>1.07</v>
      </c>
      <c r="E66" s="26" t="n">
        <v>0.43</v>
      </c>
      <c r="F66" s="25" t="n">
        <v>1</v>
      </c>
      <c r="G66" s="17" t="inlineStr">
        <is>
          <t>1-0</t>
        </is>
      </c>
    </row>
    <row r="67">
      <c r="A67" s="22" t="n">
        <v>63</v>
      </c>
      <c r="B67" s="12" t="inlineStr">
        <is>
          <t>UCF</t>
        </is>
      </c>
      <c r="C67" s="23" t="n">
        <v>0.36</v>
      </c>
      <c r="D67" s="23" t="n">
        <v>1.23</v>
      </c>
      <c r="E67" s="23" t="n">
        <v>1.27</v>
      </c>
      <c r="F67" s="22" t="n">
        <v>1</v>
      </c>
      <c r="G67" s="12" t="inlineStr">
        <is>
          <t>1-0</t>
        </is>
      </c>
    </row>
    <row r="68">
      <c r="A68" s="25" t="n">
        <v>64</v>
      </c>
      <c r="B68" s="17" t="inlineStr">
        <is>
          <t>APP</t>
        </is>
      </c>
      <c r="C68" s="26" t="n">
        <v>0.35</v>
      </c>
      <c r="D68" s="26" t="n">
        <v>0.32</v>
      </c>
      <c r="E68" s="26" t="n">
        <v>1.05</v>
      </c>
      <c r="F68" s="25" t="n">
        <v>1</v>
      </c>
      <c r="G68" s="17" t="inlineStr">
        <is>
          <t>—</t>
        </is>
      </c>
    </row>
    <row r="69">
      <c r="A69" s="22" t="n">
        <v>65</v>
      </c>
      <c r="B69" s="12" t="inlineStr">
        <is>
          <t>UVA</t>
        </is>
      </c>
      <c r="C69" s="23" t="n">
        <v>0.35</v>
      </c>
      <c r="D69" s="23" t="n">
        <v>-0.27</v>
      </c>
      <c r="E69" s="23" t="n">
        <v>1.68</v>
      </c>
      <c r="F69" s="22" t="n">
        <v>1</v>
      </c>
      <c r="G69" s="12" t="inlineStr">
        <is>
          <t>—</t>
        </is>
      </c>
    </row>
    <row r="70">
      <c r="A70" s="25" t="n">
        <v>66</v>
      </c>
      <c r="B70" s="17" t="inlineStr">
        <is>
          <t>NEV</t>
        </is>
      </c>
      <c r="C70" s="26" t="n">
        <v>0.34</v>
      </c>
      <c r="D70" s="26" t="n">
        <v>-0.09</v>
      </c>
      <c r="E70" s="26" t="n">
        <v>0.78</v>
      </c>
      <c r="F70" s="25" t="n">
        <v>1</v>
      </c>
      <c r="G70" s="17" t="inlineStr">
        <is>
          <t>—</t>
        </is>
      </c>
    </row>
    <row r="71">
      <c r="A71" s="22" t="n">
        <v>67</v>
      </c>
      <c r="B71" s="12" t="inlineStr">
        <is>
          <t>USC</t>
        </is>
      </c>
      <c r="C71" s="23" t="n">
        <v>0.33</v>
      </c>
      <c r="D71" s="23" t="n">
        <v>0.66</v>
      </c>
      <c r="E71" s="23" t="n">
        <v>1.64</v>
      </c>
      <c r="F71" s="22" t="n">
        <v>2</v>
      </c>
      <c r="G71" s="12" t="inlineStr">
        <is>
          <t>—</t>
        </is>
      </c>
    </row>
    <row r="72">
      <c r="A72" s="25" t="n">
        <v>68</v>
      </c>
      <c r="B72" s="17" t="inlineStr">
        <is>
          <t>VT</t>
        </is>
      </c>
      <c r="C72" s="26" t="n">
        <v>0.33</v>
      </c>
      <c r="D72" s="26" t="n">
        <v>1.13</v>
      </c>
      <c r="E72" s="26" t="n">
        <v>1.11</v>
      </c>
      <c r="F72" s="25" t="n">
        <v>1</v>
      </c>
      <c r="G72" s="17" t="inlineStr">
        <is>
          <t>1-0</t>
        </is>
      </c>
    </row>
    <row r="73">
      <c r="A73" s="22" t="n">
        <v>69</v>
      </c>
      <c r="B73" s="12" t="inlineStr">
        <is>
          <t>WSU</t>
        </is>
      </c>
      <c r="C73" s="23" t="n">
        <v>0.32</v>
      </c>
      <c r="D73" s="23" t="n">
        <v>-1.18</v>
      </c>
      <c r="E73" s="23" t="n">
        <v>1.41</v>
      </c>
      <c r="F73" s="22" t="n">
        <v>1</v>
      </c>
      <c r="G73" s="12" t="inlineStr">
        <is>
          <t>—</t>
        </is>
      </c>
    </row>
    <row r="74">
      <c r="A74" s="25" t="n">
        <v>70</v>
      </c>
      <c r="B74" s="17" t="inlineStr">
        <is>
          <t>GAST</t>
        </is>
      </c>
      <c r="C74" s="26" t="n">
        <v>0.31</v>
      </c>
      <c r="D74" s="26" t="n">
        <v>0.43</v>
      </c>
      <c r="E74" s="26" t="n">
        <v>0.43</v>
      </c>
      <c r="F74" s="25" t="n">
        <v>1</v>
      </c>
      <c r="G74" s="17" t="inlineStr">
        <is>
          <t>1-0</t>
        </is>
      </c>
    </row>
    <row r="75">
      <c r="A75" s="22" t="n">
        <v>71</v>
      </c>
      <c r="B75" s="12" t="inlineStr">
        <is>
          <t>SYR</t>
        </is>
      </c>
      <c r="C75" s="23" t="n">
        <v>0.31</v>
      </c>
      <c r="D75" s="23" t="n">
        <v>0.7</v>
      </c>
      <c r="E75" s="23" t="n">
        <v>0.8100000000000001</v>
      </c>
      <c r="F75" s="22" t="n">
        <v>1</v>
      </c>
      <c r="G75" s="12" t="inlineStr">
        <is>
          <t>—</t>
        </is>
      </c>
    </row>
    <row r="76">
      <c r="A76" s="25" t="n">
        <v>72</v>
      </c>
      <c r="B76" s="17" t="inlineStr">
        <is>
          <t>TTU</t>
        </is>
      </c>
      <c r="C76" s="26" t="n">
        <v>0.31</v>
      </c>
      <c r="D76" s="26" t="n">
        <v>0.23</v>
      </c>
      <c r="E76" s="26" t="n">
        <v>2.11</v>
      </c>
      <c r="F76" s="25" t="n">
        <v>1</v>
      </c>
      <c r="G76" s="17" t="inlineStr">
        <is>
          <t>0-1</t>
        </is>
      </c>
    </row>
    <row r="77">
      <c r="A77" s="22" t="n">
        <v>73</v>
      </c>
      <c r="B77" s="12" t="inlineStr">
        <is>
          <t>TULN</t>
        </is>
      </c>
      <c r="C77" s="23" t="n">
        <v>0.31</v>
      </c>
      <c r="D77" s="23" t="n">
        <v>-1.32</v>
      </c>
      <c r="E77" s="23" t="n">
        <v>1.43</v>
      </c>
      <c r="F77" s="22" t="n">
        <v>1</v>
      </c>
      <c r="G77" s="12" t="inlineStr">
        <is>
          <t>—</t>
        </is>
      </c>
    </row>
    <row r="78">
      <c r="A78" s="25" t="n">
        <v>74</v>
      </c>
      <c r="B78" s="17" t="inlineStr">
        <is>
          <t>RICE</t>
        </is>
      </c>
      <c r="C78" s="26" t="n">
        <v>0.3</v>
      </c>
      <c r="D78" s="26" t="n">
        <v>-1.11</v>
      </c>
      <c r="E78" s="26" t="n">
        <v>0.8100000000000001</v>
      </c>
      <c r="F78" s="25" t="n">
        <v>1</v>
      </c>
      <c r="G78" s="17" t="inlineStr">
        <is>
          <t>1-0</t>
        </is>
      </c>
    </row>
    <row r="79">
      <c r="A79" s="22" t="n">
        <v>75</v>
      </c>
      <c r="B79" s="12" t="inlineStr">
        <is>
          <t>MISS</t>
        </is>
      </c>
      <c r="C79" s="23" t="n">
        <v>0.24</v>
      </c>
      <c r="D79" s="23" t="n">
        <v>0.68</v>
      </c>
      <c r="E79" s="23" t="n">
        <v>0.16</v>
      </c>
      <c r="F79" s="22" t="n">
        <v>1</v>
      </c>
      <c r="G79" s="12" t="inlineStr">
        <is>
          <t>—</t>
        </is>
      </c>
    </row>
    <row r="80">
      <c r="A80" s="25" t="n">
        <v>76</v>
      </c>
      <c r="B80" s="17" t="inlineStr">
        <is>
          <t>ORST</t>
        </is>
      </c>
      <c r="C80" s="26" t="n">
        <v>0.24</v>
      </c>
      <c r="D80" s="26" t="n">
        <v>-1.07</v>
      </c>
      <c r="E80" s="26" t="n">
        <v>0.22</v>
      </c>
      <c r="F80" s="25" t="n">
        <v>1</v>
      </c>
      <c r="G80" s="17" t="inlineStr">
        <is>
          <t>—</t>
        </is>
      </c>
    </row>
    <row r="81">
      <c r="A81" s="22" t="n">
        <v>77</v>
      </c>
      <c r="B81" s="12" t="inlineStr">
        <is>
          <t>USA</t>
        </is>
      </c>
      <c r="C81" s="23" t="n">
        <v>0.23</v>
      </c>
      <c r="D81" s="23" t="n">
        <v>-0.1</v>
      </c>
      <c r="E81" s="23" t="n">
        <v>0.59</v>
      </c>
      <c r="F81" s="22" t="n">
        <v>1</v>
      </c>
      <c r="G81" s="12" t="inlineStr">
        <is>
          <t>1-0</t>
        </is>
      </c>
    </row>
    <row r="82">
      <c r="A82" s="25" t="n">
        <v>78</v>
      </c>
      <c r="B82" s="17" t="inlineStr">
        <is>
          <t>UNC</t>
        </is>
      </c>
      <c r="C82" s="26" t="n">
        <v>0.19</v>
      </c>
      <c r="D82" s="26" t="n">
        <v>-1.2</v>
      </c>
      <c r="E82" s="26" t="n">
        <v>1.52</v>
      </c>
      <c r="F82" s="25" t="n">
        <v>1</v>
      </c>
      <c r="G82" s="17" t="inlineStr">
        <is>
          <t>—</t>
        </is>
      </c>
    </row>
    <row r="83">
      <c r="A83" s="22" t="n">
        <v>79</v>
      </c>
      <c r="B83" s="12" t="inlineStr">
        <is>
          <t>PUR</t>
        </is>
      </c>
      <c r="C83" s="23" t="n">
        <v>0.17</v>
      </c>
      <c r="D83" s="23" t="n">
        <v>-0.44</v>
      </c>
      <c r="E83" s="23" t="n">
        <v>0.17</v>
      </c>
      <c r="F83" s="22" t="n">
        <v>1</v>
      </c>
      <c r="G83" s="12" t="inlineStr">
        <is>
          <t>0-1</t>
        </is>
      </c>
    </row>
    <row r="84">
      <c r="A84" s="25" t="n">
        <v>80</v>
      </c>
      <c r="B84" s="17" t="inlineStr">
        <is>
          <t>TEM</t>
        </is>
      </c>
      <c r="C84" s="26" t="n">
        <v>0.17</v>
      </c>
      <c r="D84" s="26" t="n">
        <v>-0.13</v>
      </c>
      <c r="E84" s="26" t="n">
        <v>0.59</v>
      </c>
      <c r="F84" s="25" t="n">
        <v>1</v>
      </c>
      <c r="G84" s="17" t="inlineStr">
        <is>
          <t>—</t>
        </is>
      </c>
    </row>
    <row r="85">
      <c r="A85" s="22" t="n">
        <v>81</v>
      </c>
      <c r="B85" s="12" t="inlineStr">
        <is>
          <t>OKST</t>
        </is>
      </c>
      <c r="C85" s="23" t="n">
        <v>0.16</v>
      </c>
      <c r="D85" s="23" t="n">
        <v>-1.8</v>
      </c>
      <c r="E85" s="23" t="n">
        <v>0.45</v>
      </c>
      <c r="F85" s="22" t="n">
        <v>1</v>
      </c>
      <c r="G85" s="12" t="inlineStr">
        <is>
          <t>—</t>
        </is>
      </c>
    </row>
    <row r="86">
      <c r="A86" s="25" t="n">
        <v>82</v>
      </c>
      <c r="B86" s="17" t="inlineStr">
        <is>
          <t>SDST</t>
        </is>
      </c>
      <c r="C86" s="26" t="n">
        <v>0.16</v>
      </c>
      <c r="D86" s="26" t="n">
        <v>-0.59</v>
      </c>
      <c r="E86" s="26" t="n">
        <v>0.1</v>
      </c>
      <c r="F86" s="25" t="n">
        <v>1</v>
      </c>
      <c r="G86" s="17" t="inlineStr">
        <is>
          <t>—</t>
        </is>
      </c>
    </row>
    <row r="87">
      <c r="A87" s="22" t="n">
        <v>83</v>
      </c>
      <c r="B87" s="12" t="inlineStr">
        <is>
          <t>MTSU</t>
        </is>
      </c>
      <c r="C87" s="23" t="n">
        <v>0.15</v>
      </c>
      <c r="D87" s="23" t="n">
        <v>-0.33</v>
      </c>
      <c r="E87" s="23" t="n">
        <v>0.5600000000000001</v>
      </c>
      <c r="F87" s="22" t="n">
        <v>1</v>
      </c>
      <c r="G87" s="12" t="inlineStr">
        <is>
          <t>—</t>
        </is>
      </c>
    </row>
    <row r="88">
      <c r="A88" s="25" t="n">
        <v>84</v>
      </c>
      <c r="B88" s="17" t="inlineStr">
        <is>
          <t>ODU</t>
        </is>
      </c>
      <c r="C88" s="26" t="n">
        <v>0.15</v>
      </c>
      <c r="D88" s="26" t="n">
        <v>-0.13</v>
      </c>
      <c r="E88" s="26" t="n">
        <v>1.7</v>
      </c>
      <c r="F88" s="25" t="n">
        <v>1</v>
      </c>
      <c r="G88" s="17" t="inlineStr">
        <is>
          <t>0-1</t>
        </is>
      </c>
    </row>
    <row r="89">
      <c r="A89" s="22" t="n">
        <v>85</v>
      </c>
      <c r="B89" s="12" t="inlineStr">
        <is>
          <t>WAKE</t>
        </is>
      </c>
      <c r="C89" s="23" t="n">
        <v>0.15</v>
      </c>
      <c r="D89" s="23" t="n">
        <v>0.04</v>
      </c>
      <c r="E89" s="23" t="n">
        <v>1.03</v>
      </c>
      <c r="F89" s="22" t="n">
        <v>1</v>
      </c>
      <c r="G89" s="12" t="inlineStr">
        <is>
          <t>0-1</t>
        </is>
      </c>
    </row>
    <row r="90">
      <c r="A90" s="25" t="n">
        <v>86</v>
      </c>
      <c r="B90" s="17" t="inlineStr">
        <is>
          <t>JVST</t>
        </is>
      </c>
      <c r="C90" s="26" t="n">
        <v>0.14</v>
      </c>
      <c r="D90" s="26" t="n">
        <v>-0.39</v>
      </c>
      <c r="E90" s="26" t="n">
        <v>1.4</v>
      </c>
      <c r="F90" s="25" t="n">
        <v>2</v>
      </c>
      <c r="G90" s="17" t="inlineStr">
        <is>
          <t>1-1</t>
        </is>
      </c>
    </row>
    <row r="91">
      <c r="A91" s="22" t="n">
        <v>87</v>
      </c>
      <c r="B91" s="12" t="inlineStr">
        <is>
          <t>ARST</t>
        </is>
      </c>
      <c r="C91" s="23" t="n">
        <v>0.13</v>
      </c>
      <c r="D91" s="23" t="n">
        <v>-0.43</v>
      </c>
      <c r="E91" s="23" t="n">
        <v>-0.06</v>
      </c>
      <c r="F91" s="22" t="n">
        <v>1</v>
      </c>
      <c r="G91" s="12" t="inlineStr">
        <is>
          <t>0-1</t>
        </is>
      </c>
    </row>
    <row r="92">
      <c r="A92" s="25" t="n">
        <v>88</v>
      </c>
      <c r="B92" s="17" t="inlineStr">
        <is>
          <t>UNA</t>
        </is>
      </c>
      <c r="C92" s="26" t="n">
        <v>0.11</v>
      </c>
      <c r="D92" s="26" t="n">
        <v>-0.71</v>
      </c>
      <c r="E92" s="26" t="n">
        <v>0.17</v>
      </c>
      <c r="F92" s="25" t="n">
        <v>1</v>
      </c>
      <c r="G92" s="17" t="inlineStr">
        <is>
          <t>—</t>
        </is>
      </c>
    </row>
    <row r="93">
      <c r="A93" s="22" t="n">
        <v>89</v>
      </c>
      <c r="B93" s="12" t="inlineStr">
        <is>
          <t>AUB</t>
        </is>
      </c>
      <c r="C93" s="23" t="n">
        <v>0.06</v>
      </c>
      <c r="D93" s="23" t="n">
        <v>-1.14</v>
      </c>
      <c r="E93" s="23" t="n">
        <v>1.02</v>
      </c>
      <c r="F93" s="22" t="n">
        <v>1</v>
      </c>
      <c r="G93" s="12" t="inlineStr">
        <is>
          <t>—</t>
        </is>
      </c>
    </row>
    <row r="94">
      <c r="A94" s="25" t="n">
        <v>90</v>
      </c>
      <c r="B94" s="17" t="inlineStr">
        <is>
          <t>VAN</t>
        </is>
      </c>
      <c r="C94" s="26" t="n">
        <v>0.05</v>
      </c>
      <c r="D94" s="26" t="n">
        <v>0.06</v>
      </c>
      <c r="E94" s="26" t="n">
        <v>1.21</v>
      </c>
      <c r="F94" s="25" t="n">
        <v>1</v>
      </c>
      <c r="G94" s="17" t="inlineStr">
        <is>
          <t>0-1</t>
        </is>
      </c>
    </row>
    <row r="95">
      <c r="A95" s="22" t="n">
        <v>91</v>
      </c>
      <c r="B95" s="12" t="inlineStr">
        <is>
          <t>APSU</t>
        </is>
      </c>
      <c r="C95" s="23" t="n">
        <v>0.03</v>
      </c>
      <c r="D95" s="23" t="n">
        <v>-0.89</v>
      </c>
      <c r="E95" s="23" t="n">
        <v>0.53</v>
      </c>
      <c r="F95" s="22" t="n">
        <v>1</v>
      </c>
      <c r="G95" s="12" t="inlineStr">
        <is>
          <t>1-0</t>
        </is>
      </c>
    </row>
    <row r="96">
      <c r="A96" s="25" t="n">
        <v>92</v>
      </c>
      <c r="B96" s="17" t="inlineStr">
        <is>
          <t>CSU</t>
        </is>
      </c>
      <c r="C96" s="26" t="n">
        <v>0.02</v>
      </c>
      <c r="D96" s="26" t="n">
        <v>-0.78</v>
      </c>
      <c r="E96" s="26" t="n">
        <v>0.47</v>
      </c>
      <c r="F96" s="25" t="n">
        <v>1</v>
      </c>
      <c r="G96" s="17" t="inlineStr">
        <is>
          <t>1-0</t>
        </is>
      </c>
    </row>
    <row r="97">
      <c r="A97" s="22" t="n">
        <v>93</v>
      </c>
      <c r="B97" s="12" t="inlineStr">
        <is>
          <t>ILL</t>
        </is>
      </c>
      <c r="C97" s="23" t="n">
        <v>-0</v>
      </c>
      <c r="D97" s="23" t="n">
        <v>0.02</v>
      </c>
      <c r="E97" s="23" t="n">
        <v>0.57</v>
      </c>
      <c r="F97" s="22" t="n">
        <v>1</v>
      </c>
      <c r="G97" s="12" t="inlineStr">
        <is>
          <t>—</t>
        </is>
      </c>
    </row>
    <row r="98">
      <c r="A98" s="25" t="n">
        <v>94</v>
      </c>
      <c r="B98" s="17" t="inlineStr">
        <is>
          <t>BC</t>
        </is>
      </c>
      <c r="C98" s="26" t="n">
        <v>-0.03</v>
      </c>
      <c r="D98" s="26" t="n">
        <v>-0.96</v>
      </c>
      <c r="E98" s="26" t="n">
        <v>-0.07000000000000001</v>
      </c>
      <c r="F98" s="25" t="n">
        <v>1</v>
      </c>
      <c r="G98" s="17" t="inlineStr">
        <is>
          <t>—</t>
        </is>
      </c>
    </row>
    <row r="99">
      <c r="A99" s="22" t="n">
        <v>95</v>
      </c>
      <c r="B99" s="12" t="inlineStr">
        <is>
          <t>CIN</t>
        </is>
      </c>
      <c r="C99" s="23" t="n">
        <v>-0.05</v>
      </c>
      <c r="D99" s="23" t="n">
        <v>-0.36</v>
      </c>
      <c r="E99" s="23" t="n">
        <v>0.66</v>
      </c>
      <c r="F99" s="22" t="n">
        <v>1</v>
      </c>
      <c r="G99" s="12" t="inlineStr">
        <is>
          <t>—</t>
        </is>
      </c>
    </row>
    <row r="100">
      <c r="A100" s="25" t="n">
        <v>96</v>
      </c>
      <c r="B100" s="17" t="inlineStr">
        <is>
          <t>UAB</t>
        </is>
      </c>
      <c r="C100" s="26" t="n">
        <v>-0.05</v>
      </c>
      <c r="D100" s="26" t="n">
        <v>-0.44</v>
      </c>
      <c r="E100" s="26" t="n">
        <v>-0.7</v>
      </c>
      <c r="F100" s="25" t="n">
        <v>1</v>
      </c>
      <c r="G100" s="17" t="inlineStr">
        <is>
          <t>—</t>
        </is>
      </c>
    </row>
    <row r="101">
      <c r="A101" s="22" t="n">
        <v>97</v>
      </c>
      <c r="B101" s="12" t="inlineStr">
        <is>
          <t>BAY</t>
        </is>
      </c>
      <c r="C101" s="23" t="n">
        <v>-0.08</v>
      </c>
      <c r="D101" s="23" t="n">
        <v>-0.53</v>
      </c>
      <c r="E101" s="23" t="n">
        <v>0.72</v>
      </c>
      <c r="F101" s="22" t="n">
        <v>1</v>
      </c>
      <c r="G101" s="12" t="inlineStr">
        <is>
          <t>—</t>
        </is>
      </c>
    </row>
    <row r="102">
      <c r="A102" s="25" t="n">
        <v>98</v>
      </c>
      <c r="B102" s="17" t="inlineStr">
        <is>
          <t>NORF</t>
        </is>
      </c>
      <c r="C102" s="26" t="n">
        <v>-0.08</v>
      </c>
      <c r="D102" s="26" t="n">
        <v>-0.84</v>
      </c>
      <c r="E102" s="26" t="n">
        <v>0.14</v>
      </c>
      <c r="F102" s="25" t="n">
        <v>1</v>
      </c>
      <c r="G102" s="17" t="inlineStr">
        <is>
          <t>1-0</t>
        </is>
      </c>
    </row>
    <row r="103">
      <c r="A103" s="22" t="n">
        <v>99</v>
      </c>
      <c r="B103" s="12" t="inlineStr">
        <is>
          <t>FSU</t>
        </is>
      </c>
      <c r="C103" s="23" t="n">
        <v>-0.09</v>
      </c>
      <c r="D103" s="23" t="n">
        <v>-0.07000000000000001</v>
      </c>
      <c r="E103" s="23" t="n">
        <v>0.9399999999999999</v>
      </c>
      <c r="F103" s="22" t="n">
        <v>1</v>
      </c>
      <c r="G103" s="12" t="inlineStr">
        <is>
          <t>0-1</t>
        </is>
      </c>
    </row>
    <row r="104">
      <c r="A104" s="25" t="n">
        <v>100</v>
      </c>
      <c r="B104" s="17" t="inlineStr">
        <is>
          <t>LOU</t>
        </is>
      </c>
      <c r="C104" s="26" t="n">
        <v>-0.1</v>
      </c>
      <c r="D104" s="26" t="n">
        <v>0.34</v>
      </c>
      <c r="E104" s="26" t="n">
        <v>0.33</v>
      </c>
      <c r="F104" s="25" t="n">
        <v>1</v>
      </c>
      <c r="G104" s="17" t="inlineStr">
        <is>
          <t>—</t>
        </is>
      </c>
    </row>
    <row r="105">
      <c r="A105" s="22" t="n">
        <v>101</v>
      </c>
      <c r="B105" s="12" t="inlineStr">
        <is>
          <t>AKR</t>
        </is>
      </c>
      <c r="C105" s="23" t="n">
        <v>-0.13</v>
      </c>
      <c r="D105" s="23" t="n">
        <v>-0.9</v>
      </c>
      <c r="E105" s="23" t="n">
        <v>0.09</v>
      </c>
      <c r="F105" s="22" t="n">
        <v>1</v>
      </c>
      <c r="G105" s="12" t="inlineStr">
        <is>
          <t>1-0</t>
        </is>
      </c>
    </row>
    <row r="106">
      <c r="A106" s="25" t="n">
        <v>102</v>
      </c>
      <c r="B106" s="17" t="inlineStr">
        <is>
          <t>ARK</t>
        </is>
      </c>
      <c r="C106" s="26" t="n">
        <v>-0.15</v>
      </c>
      <c r="D106" s="26" t="n">
        <v>-0.19</v>
      </c>
      <c r="E106" s="26" t="n">
        <v>0.36</v>
      </c>
      <c r="F106" s="25" t="n">
        <v>1</v>
      </c>
      <c r="G106" s="17" t="inlineStr">
        <is>
          <t>—</t>
        </is>
      </c>
    </row>
    <row r="107">
      <c r="A107" s="22" t="n">
        <v>103</v>
      </c>
      <c r="B107" s="12" t="inlineStr">
        <is>
          <t>NU</t>
        </is>
      </c>
      <c r="C107" s="23" t="n">
        <v>-0.16</v>
      </c>
      <c r="D107" s="23" t="n">
        <v>-0.61</v>
      </c>
      <c r="E107" s="23" t="n">
        <v>1.06</v>
      </c>
      <c r="F107" s="22" t="n">
        <v>1</v>
      </c>
      <c r="G107" s="12" t="inlineStr">
        <is>
          <t>—</t>
        </is>
      </c>
    </row>
    <row r="108">
      <c r="A108" s="25" t="n">
        <v>104</v>
      </c>
      <c r="B108" s="17" t="inlineStr">
        <is>
          <t>WYO</t>
        </is>
      </c>
      <c r="C108" s="26" t="n">
        <v>-0.16</v>
      </c>
      <c r="D108" s="26" t="n">
        <v>-1.55</v>
      </c>
      <c r="E108" s="26" t="n">
        <v>0.62</v>
      </c>
      <c r="F108" s="25" t="n">
        <v>1</v>
      </c>
      <c r="G108" s="17" t="inlineStr">
        <is>
          <t>0-1</t>
        </is>
      </c>
    </row>
    <row r="109">
      <c r="A109" s="22" t="n">
        <v>105</v>
      </c>
      <c r="B109" s="12" t="inlineStr">
        <is>
          <t>ACU</t>
        </is>
      </c>
      <c r="C109" s="23" t="n">
        <v>-0.18</v>
      </c>
      <c r="D109" s="23" t="n">
        <v>-0.84</v>
      </c>
      <c r="E109" s="23" t="n">
        <v>0.13</v>
      </c>
      <c r="F109" s="22" t="n">
        <v>1</v>
      </c>
      <c r="G109" s="12" t="inlineStr">
        <is>
          <t>1-0</t>
        </is>
      </c>
    </row>
    <row r="110">
      <c r="A110" s="25" t="n">
        <v>106</v>
      </c>
      <c r="B110" s="17" t="inlineStr">
        <is>
          <t>WASH</t>
        </is>
      </c>
      <c r="C110" s="26" t="n">
        <v>-0.19</v>
      </c>
      <c r="D110" s="26" t="n">
        <v>-0.4</v>
      </c>
      <c r="E110" s="26" t="n">
        <v>1.53</v>
      </c>
      <c r="F110" s="25" t="n">
        <v>1</v>
      </c>
      <c r="G110" s="17" t="inlineStr">
        <is>
          <t>—</t>
        </is>
      </c>
    </row>
    <row r="111">
      <c r="A111" s="22" t="n">
        <v>107</v>
      </c>
      <c r="B111" s="12" t="inlineStr">
        <is>
          <t>TCU</t>
        </is>
      </c>
      <c r="C111" s="23" t="n">
        <v>-0.2</v>
      </c>
      <c r="D111" s="23" t="n">
        <v>-1.2</v>
      </c>
      <c r="E111" s="23" t="n">
        <v>0.83</v>
      </c>
      <c r="F111" s="22" t="n">
        <v>1</v>
      </c>
      <c r="G111" s="12" t="inlineStr">
        <is>
          <t>—</t>
        </is>
      </c>
    </row>
    <row r="112">
      <c r="A112" s="25" t="n">
        <v>108</v>
      </c>
      <c r="B112" s="17" t="inlineStr">
        <is>
          <t>DUKE</t>
        </is>
      </c>
      <c r="C112" s="26" t="n">
        <v>-0.23</v>
      </c>
      <c r="D112" s="26" t="n">
        <v>-0.51</v>
      </c>
      <c r="E112" s="26" t="n">
        <v>1.15</v>
      </c>
      <c r="F112" s="25" t="n">
        <v>1</v>
      </c>
      <c r="G112" s="17" t="inlineStr">
        <is>
          <t>—</t>
        </is>
      </c>
    </row>
    <row r="113">
      <c r="A113" s="22" t="n">
        <v>109</v>
      </c>
      <c r="B113" s="12" t="inlineStr">
        <is>
          <t>URI</t>
        </is>
      </c>
      <c r="C113" s="23" t="n">
        <v>-0.23</v>
      </c>
      <c r="D113" s="23" t="n">
        <v>-0.67</v>
      </c>
      <c r="E113" s="23" t="n">
        <v>-0.17</v>
      </c>
      <c r="F113" s="22" t="n">
        <v>1</v>
      </c>
      <c r="G113" s="12" t="inlineStr">
        <is>
          <t>—</t>
        </is>
      </c>
    </row>
    <row r="114">
      <c r="A114" s="25" t="n">
        <v>110</v>
      </c>
      <c r="B114" s="17" t="inlineStr">
        <is>
          <t>MUR</t>
        </is>
      </c>
      <c r="C114" s="26" t="n">
        <v>-0.24</v>
      </c>
      <c r="D114" s="26" t="n">
        <v>-0.71</v>
      </c>
      <c r="E114" s="26" t="n">
        <v>-0.17</v>
      </c>
      <c r="F114" s="25" t="n">
        <v>1</v>
      </c>
      <c r="G114" s="17" t="inlineStr">
        <is>
          <t>—</t>
        </is>
      </c>
    </row>
    <row r="115">
      <c r="A115" s="22" t="n">
        <v>111</v>
      </c>
      <c r="B115" s="12" t="inlineStr">
        <is>
          <t>NCSU</t>
        </is>
      </c>
      <c r="C115" s="23" t="n">
        <v>-0.26</v>
      </c>
      <c r="D115" s="23" t="n">
        <v>-0.87</v>
      </c>
      <c r="E115" s="23" t="n">
        <v>0.32</v>
      </c>
      <c r="F115" s="22" t="n">
        <v>1</v>
      </c>
      <c r="G115" s="12" t="inlineStr">
        <is>
          <t>—</t>
        </is>
      </c>
    </row>
    <row r="116">
      <c r="A116" s="25" t="n">
        <v>112</v>
      </c>
      <c r="B116" s="17" t="inlineStr">
        <is>
          <t>SELA</t>
        </is>
      </c>
      <c r="C116" s="26" t="n">
        <v>-0.28</v>
      </c>
      <c r="D116" s="26" t="n">
        <v>-0.78</v>
      </c>
      <c r="E116" s="26" t="n">
        <v>-0.2</v>
      </c>
      <c r="F116" s="25" t="n">
        <v>1</v>
      </c>
      <c r="G116" s="17" t="inlineStr">
        <is>
          <t>0-1</t>
        </is>
      </c>
    </row>
    <row r="117">
      <c r="A117" s="22" t="n">
        <v>113</v>
      </c>
      <c r="B117" s="12" t="inlineStr">
        <is>
          <t>HOU</t>
        </is>
      </c>
      <c r="C117" s="23" t="n">
        <v>-0.29</v>
      </c>
      <c r="D117" s="23" t="n">
        <v>-0.23</v>
      </c>
      <c r="E117" s="23" t="n">
        <v>0.68</v>
      </c>
      <c r="F117" s="22" t="n">
        <v>1</v>
      </c>
      <c r="G117" s="12" t="inlineStr">
        <is>
          <t>—</t>
        </is>
      </c>
    </row>
    <row r="118">
      <c r="A118" s="25" t="n">
        <v>114</v>
      </c>
      <c r="B118" s="17" t="inlineStr">
        <is>
          <t>INST</t>
        </is>
      </c>
      <c r="C118" s="26" t="n">
        <v>-0.29</v>
      </c>
      <c r="D118" s="26" t="n">
        <v>-0.62</v>
      </c>
      <c r="E118" s="26" t="n">
        <v>-0.64</v>
      </c>
      <c r="F118" s="25" t="n">
        <v>1</v>
      </c>
      <c r="G118" s="17" t="inlineStr">
        <is>
          <t>1-0</t>
        </is>
      </c>
    </row>
    <row r="119">
      <c r="A119" s="22" t="n">
        <v>115</v>
      </c>
      <c r="B119" s="12" t="inlineStr">
        <is>
          <t>UNT</t>
        </is>
      </c>
      <c r="C119" s="23" t="n">
        <v>-0.29</v>
      </c>
      <c r="D119" s="23" t="n">
        <v>0.7</v>
      </c>
      <c r="E119" s="23" t="n">
        <v>-0.45</v>
      </c>
      <c r="F119" s="22" t="n">
        <v>1</v>
      </c>
      <c r="G119" s="12" t="inlineStr">
        <is>
          <t>—</t>
        </is>
      </c>
    </row>
    <row r="120">
      <c r="A120" s="25" t="n">
        <v>116</v>
      </c>
      <c r="B120" s="17" t="inlineStr">
        <is>
          <t>TLSA</t>
        </is>
      </c>
      <c r="C120" s="26" t="n">
        <v>-0.31</v>
      </c>
      <c r="D120" s="26" t="n">
        <v>-1</v>
      </c>
      <c r="E120" s="26" t="n">
        <v>0.8100000000000001</v>
      </c>
      <c r="F120" s="25" t="n">
        <v>1</v>
      </c>
      <c r="G120" s="17" t="inlineStr">
        <is>
          <t>—</t>
        </is>
      </c>
    </row>
    <row r="121">
      <c r="A121" s="22" t="n">
        <v>117</v>
      </c>
      <c r="B121" s="12" t="inlineStr">
        <is>
          <t>ECU</t>
        </is>
      </c>
      <c r="C121" s="23" t="n">
        <v>-0.33</v>
      </c>
      <c r="D121" s="23" t="n">
        <v>-0.62</v>
      </c>
      <c r="E121" s="23" t="n">
        <v>0.1</v>
      </c>
      <c r="F121" s="22" t="n">
        <v>1</v>
      </c>
      <c r="G121" s="12" t="inlineStr">
        <is>
          <t>—</t>
        </is>
      </c>
    </row>
    <row r="122">
      <c r="A122" s="25" t="n">
        <v>118</v>
      </c>
      <c r="B122" s="17" t="inlineStr">
        <is>
          <t>TXST</t>
        </is>
      </c>
      <c r="C122" s="26" t="n">
        <v>-0.34</v>
      </c>
      <c r="D122" s="26" t="n">
        <v>-0.51</v>
      </c>
      <c r="E122" s="26" t="n">
        <v>-0.92</v>
      </c>
      <c r="F122" s="25" t="n">
        <v>1</v>
      </c>
      <c r="G122" s="17" t="inlineStr">
        <is>
          <t>—</t>
        </is>
      </c>
    </row>
    <row r="123">
      <c r="A123" s="22" t="n">
        <v>119</v>
      </c>
      <c r="B123" s="12" t="inlineStr">
        <is>
          <t>CLEM</t>
        </is>
      </c>
      <c r="C123" s="23" t="n">
        <v>-0.36</v>
      </c>
      <c r="D123" s="23" t="n">
        <v>-1.03</v>
      </c>
      <c r="E123" s="23" t="n">
        <v>-0.08</v>
      </c>
      <c r="F123" s="22" t="n">
        <v>1</v>
      </c>
      <c r="G123" s="12" t="inlineStr">
        <is>
          <t>—</t>
        </is>
      </c>
    </row>
    <row r="124">
      <c r="A124" s="25" t="n">
        <v>120</v>
      </c>
      <c r="B124" s="17" t="inlineStr">
        <is>
          <t>OHIO</t>
        </is>
      </c>
      <c r="C124" s="26" t="n">
        <v>-0.36</v>
      </c>
      <c r="D124" s="26" t="n">
        <v>-0.49</v>
      </c>
      <c r="E124" s="26" t="n">
        <v>-0.02</v>
      </c>
      <c r="F124" s="25" t="n">
        <v>1</v>
      </c>
      <c r="G124" s="17" t="inlineStr">
        <is>
          <t>—</t>
        </is>
      </c>
    </row>
    <row r="125">
      <c r="A125" s="22" t="n">
        <v>121</v>
      </c>
      <c r="B125" s="12" t="inlineStr">
        <is>
          <t>USF</t>
        </is>
      </c>
      <c r="C125" s="23" t="n">
        <v>-0.36</v>
      </c>
      <c r="D125" s="23" t="n">
        <v>-0.17</v>
      </c>
      <c r="E125" s="23" t="n">
        <v>1.32</v>
      </c>
      <c r="F125" s="22" t="n">
        <v>1</v>
      </c>
      <c r="G125" s="12" t="inlineStr">
        <is>
          <t>0-1</t>
        </is>
      </c>
    </row>
    <row r="126">
      <c r="A126" s="25" t="n">
        <v>122</v>
      </c>
      <c r="B126" s="17" t="inlineStr">
        <is>
          <t>FRES</t>
        </is>
      </c>
      <c r="C126" s="26" t="n">
        <v>-0.37</v>
      </c>
      <c r="D126" s="26" t="n">
        <v>-1.64</v>
      </c>
      <c r="E126" s="26" t="n">
        <v>0.71</v>
      </c>
      <c r="F126" s="25" t="n">
        <v>1</v>
      </c>
      <c r="G126" s="17" t="inlineStr">
        <is>
          <t>—</t>
        </is>
      </c>
    </row>
    <row r="127">
      <c r="A127" s="22" t="n">
        <v>123</v>
      </c>
      <c r="B127" s="12" t="inlineStr">
        <is>
          <t>TOW</t>
        </is>
      </c>
      <c r="C127" s="23" t="n">
        <v>-0.37</v>
      </c>
      <c r="D127" s="23" t="n">
        <v>-0.58</v>
      </c>
      <c r="E127" s="23" t="n">
        <v>-0.33</v>
      </c>
      <c r="F127" s="22" t="n">
        <v>1</v>
      </c>
      <c r="G127" s="12" t="inlineStr">
        <is>
          <t>—</t>
        </is>
      </c>
    </row>
    <row r="128">
      <c r="A128" s="25" t="n">
        <v>124</v>
      </c>
      <c r="B128" s="17" t="inlineStr">
        <is>
          <t>WKU</t>
        </is>
      </c>
      <c r="C128" s="26" t="n">
        <v>-0.37</v>
      </c>
      <c r="D128" s="26" t="n">
        <v>-0.63</v>
      </c>
      <c r="E128" s="26" t="n">
        <v>-0.04</v>
      </c>
      <c r="F128" s="25" t="n">
        <v>1</v>
      </c>
      <c r="G128" s="17" t="inlineStr">
        <is>
          <t>—</t>
        </is>
      </c>
    </row>
    <row r="129">
      <c r="A129" s="22" t="n">
        <v>125</v>
      </c>
      <c r="B129" s="12" t="inlineStr">
        <is>
          <t>IDHO</t>
        </is>
      </c>
      <c r="C129" s="23" t="n">
        <v>-0.39</v>
      </c>
      <c r="D129" s="23" t="n">
        <v>-0.66</v>
      </c>
      <c r="E129" s="23" t="n">
        <v>-1.24</v>
      </c>
      <c r="F129" s="22" t="n">
        <v>1</v>
      </c>
      <c r="G129" s="12" t="inlineStr">
        <is>
          <t>—</t>
        </is>
      </c>
    </row>
    <row r="130">
      <c r="A130" s="25" t="n">
        <v>126</v>
      </c>
      <c r="B130" s="17" t="inlineStr">
        <is>
          <t>M-OH</t>
        </is>
      </c>
      <c r="C130" s="26" t="n">
        <v>-0.39</v>
      </c>
      <c r="D130" s="26" t="n">
        <v>-1.07</v>
      </c>
      <c r="E130" s="26" t="n">
        <v>-0.35</v>
      </c>
      <c r="F130" s="25" t="n">
        <v>1</v>
      </c>
      <c r="G130" s="17" t="inlineStr">
        <is>
          <t>—</t>
        </is>
      </c>
    </row>
    <row r="131">
      <c r="A131" s="22" t="n">
        <v>127</v>
      </c>
      <c r="B131" s="12" t="inlineStr">
        <is>
          <t>MRSH</t>
        </is>
      </c>
      <c r="C131" s="23" t="n">
        <v>-0.39</v>
      </c>
      <c r="D131" s="23" t="n">
        <v>-1.22</v>
      </c>
      <c r="E131" s="23" t="n">
        <v>-0.36</v>
      </c>
      <c r="F131" s="22" t="n">
        <v>1</v>
      </c>
      <c r="G131" s="12" t="inlineStr">
        <is>
          <t>—</t>
        </is>
      </c>
    </row>
    <row r="132">
      <c r="A132" s="25" t="n">
        <v>128</v>
      </c>
      <c r="B132" s="17" t="inlineStr">
        <is>
          <t>CMU</t>
        </is>
      </c>
      <c r="C132" s="26" t="n">
        <v>-0.4</v>
      </c>
      <c r="D132" s="26" t="n">
        <v>-1.4</v>
      </c>
      <c r="E132" s="26" t="n">
        <v>0.45</v>
      </c>
      <c r="F132" s="25" t="n">
        <v>1</v>
      </c>
      <c r="G132" s="17" t="inlineStr">
        <is>
          <t>—</t>
        </is>
      </c>
    </row>
    <row r="133">
      <c r="A133" s="22" t="n">
        <v>129</v>
      </c>
      <c r="B133" s="12" t="inlineStr">
        <is>
          <t>FOR</t>
        </is>
      </c>
      <c r="C133" s="23" t="n">
        <v>-0.4</v>
      </c>
      <c r="D133" s="23" t="n">
        <v>-1.28</v>
      </c>
      <c r="E133" s="23" t="n">
        <v>-0.2</v>
      </c>
      <c r="F133" s="22" t="n">
        <v>1</v>
      </c>
      <c r="G133" s="12" t="inlineStr">
        <is>
          <t>—</t>
        </is>
      </c>
    </row>
    <row r="134">
      <c r="A134" s="25" t="n">
        <v>130</v>
      </c>
      <c r="B134" s="17" t="inlineStr">
        <is>
          <t>MRMK</t>
        </is>
      </c>
      <c r="C134" s="26" t="n">
        <v>-0.4</v>
      </c>
      <c r="D134" s="26" t="n">
        <v>-1.05</v>
      </c>
      <c r="E134" s="26" t="n">
        <v>-0.22</v>
      </c>
      <c r="F134" s="25" t="n">
        <v>1</v>
      </c>
      <c r="G134" s="17" t="inlineStr">
        <is>
          <t>0-1</t>
        </is>
      </c>
    </row>
    <row r="135">
      <c r="A135" s="22" t="n">
        <v>131</v>
      </c>
      <c r="B135" s="12" t="inlineStr">
        <is>
          <t>BRY</t>
        </is>
      </c>
      <c r="C135" s="23" t="n">
        <v>-0.41</v>
      </c>
      <c r="D135" s="23" t="n">
        <v>-1.21</v>
      </c>
      <c r="E135" s="23" t="n">
        <v>-1.06</v>
      </c>
      <c r="F135" s="22" t="n">
        <v>1</v>
      </c>
      <c r="G135" s="12" t="inlineStr">
        <is>
          <t>—</t>
        </is>
      </c>
    </row>
    <row r="136">
      <c r="A136" s="25" t="n">
        <v>132</v>
      </c>
      <c r="B136" s="17" t="inlineStr">
        <is>
          <t>LIU</t>
        </is>
      </c>
      <c r="C136" s="26" t="n">
        <v>-0.41</v>
      </c>
      <c r="D136" s="26" t="n">
        <v>-1.1</v>
      </c>
      <c r="E136" s="26" t="n">
        <v>-0.78</v>
      </c>
      <c r="F136" s="25" t="n">
        <v>1</v>
      </c>
      <c r="G136" s="17" t="inlineStr">
        <is>
          <t>—</t>
        </is>
      </c>
    </row>
    <row r="137">
      <c r="A137" s="22" t="n">
        <v>133</v>
      </c>
      <c r="B137" s="12" t="inlineStr">
        <is>
          <t>MERC</t>
        </is>
      </c>
      <c r="C137" s="23" t="n">
        <v>-0.41</v>
      </c>
      <c r="D137" s="23" t="n">
        <v>-0.6</v>
      </c>
      <c r="E137" s="23" t="n">
        <v>-0.86</v>
      </c>
      <c r="F137" s="22" t="n">
        <v>1</v>
      </c>
      <c r="G137" s="12" t="inlineStr">
        <is>
          <t>—</t>
        </is>
      </c>
    </row>
    <row r="138">
      <c r="A138" s="25" t="n">
        <v>134</v>
      </c>
      <c r="B138" s="17" t="inlineStr">
        <is>
          <t>MOST</t>
        </is>
      </c>
      <c r="C138" s="26" t="n">
        <v>-0.41</v>
      </c>
      <c r="D138" s="26" t="n">
        <v>-1.44</v>
      </c>
      <c r="E138" s="26" t="n">
        <v>-0.47</v>
      </c>
      <c r="F138" s="25" t="n">
        <v>1</v>
      </c>
      <c r="G138" s="17" t="inlineStr">
        <is>
          <t>0-1</t>
        </is>
      </c>
    </row>
    <row r="139">
      <c r="A139" s="22" t="n">
        <v>135</v>
      </c>
      <c r="B139" s="12" t="inlineStr">
        <is>
          <t>MVSU</t>
        </is>
      </c>
      <c r="C139" s="23" t="n">
        <v>-0.41</v>
      </c>
      <c r="D139" s="23" t="n">
        <v>-1.3</v>
      </c>
      <c r="E139" s="23" t="n">
        <v>-0.82</v>
      </c>
      <c r="F139" s="22" t="n">
        <v>1</v>
      </c>
      <c r="G139" s="12" t="inlineStr">
        <is>
          <t>—</t>
        </is>
      </c>
    </row>
    <row r="140">
      <c r="A140" s="25" t="n">
        <v>136</v>
      </c>
      <c r="B140" s="17" t="inlineStr">
        <is>
          <t>NAU</t>
        </is>
      </c>
      <c r="C140" s="26" t="n">
        <v>-0.41</v>
      </c>
      <c r="D140" s="26" t="n">
        <v>-0.96</v>
      </c>
      <c r="E140" s="26" t="n">
        <v>0.04</v>
      </c>
      <c r="F140" s="25" t="n">
        <v>1</v>
      </c>
      <c r="G140" s="17" t="inlineStr">
        <is>
          <t>—</t>
        </is>
      </c>
    </row>
    <row r="141">
      <c r="A141" s="22" t="n">
        <v>137</v>
      </c>
      <c r="B141" s="12" t="inlineStr">
        <is>
          <t>TNST</t>
        </is>
      </c>
      <c r="C141" s="23" t="n">
        <v>-0.41</v>
      </c>
      <c r="D141" s="23" t="n">
        <v>-1.24</v>
      </c>
      <c r="E141" s="23" t="n">
        <v>-1.47</v>
      </c>
      <c r="F141" s="22" t="n">
        <v>1</v>
      </c>
      <c r="G141" s="12" t="inlineStr">
        <is>
          <t>—</t>
        </is>
      </c>
    </row>
    <row r="142">
      <c r="A142" s="25" t="n">
        <v>138</v>
      </c>
      <c r="B142" s="17" t="inlineStr">
        <is>
          <t>UAPB</t>
        </is>
      </c>
      <c r="C142" s="26" t="n">
        <v>-0.41</v>
      </c>
      <c r="D142" s="26" t="n">
        <v>-0.65</v>
      </c>
      <c r="E142" s="26" t="n">
        <v>-1.02</v>
      </c>
      <c r="F142" s="25" t="n">
        <v>1</v>
      </c>
      <c r="G142" s="17" t="inlineStr">
        <is>
          <t>—</t>
        </is>
      </c>
    </row>
    <row r="143">
      <c r="A143" s="22" t="n">
        <v>139</v>
      </c>
      <c r="B143" s="12" t="inlineStr">
        <is>
          <t>UNH</t>
        </is>
      </c>
      <c r="C143" s="23" t="n">
        <v>-0.41</v>
      </c>
      <c r="D143" s="23" t="n">
        <v>-1.18</v>
      </c>
      <c r="E143" s="23" t="n">
        <v>-1.53</v>
      </c>
      <c r="F143" s="22" t="n">
        <v>1</v>
      </c>
      <c r="G143" s="12" t="inlineStr">
        <is>
          <t>—</t>
        </is>
      </c>
    </row>
    <row r="144">
      <c r="A144" s="25" t="n">
        <v>140</v>
      </c>
      <c r="B144" s="17" t="inlineStr">
        <is>
          <t>WES</t>
        </is>
      </c>
      <c r="C144" s="26" t="n">
        <v>-0.41</v>
      </c>
      <c r="D144" s="26" t="n">
        <v>-1.29</v>
      </c>
      <c r="E144" s="26" t="n">
        <v>-0.55</v>
      </c>
      <c r="F144" s="25" t="n">
        <v>1</v>
      </c>
      <c r="G144" s="17" t="inlineStr">
        <is>
          <t>—</t>
        </is>
      </c>
    </row>
    <row r="145">
      <c r="A145" s="22" t="n">
        <v>141</v>
      </c>
      <c r="B145" s="12" t="inlineStr">
        <is>
          <t>YSU</t>
        </is>
      </c>
      <c r="C145" s="23" t="n">
        <v>-0.41</v>
      </c>
      <c r="D145" s="23" t="n">
        <v>-0.62</v>
      </c>
      <c r="E145" s="23" t="n">
        <v>-0.51</v>
      </c>
      <c r="F145" s="22" t="n">
        <v>1</v>
      </c>
      <c r="G145" s="12" t="inlineStr">
        <is>
          <t>—</t>
        </is>
      </c>
    </row>
    <row r="146">
      <c r="A146" s="25" t="n">
        <v>142</v>
      </c>
      <c r="B146" s="17" t="inlineStr">
        <is>
          <t>ALCN</t>
        </is>
      </c>
      <c r="C146" s="26" t="n">
        <v>-0.42</v>
      </c>
      <c r="D146" s="26" t="n">
        <v>-1.27</v>
      </c>
      <c r="E146" s="26" t="n">
        <v>-0.77</v>
      </c>
      <c r="F146" s="25" t="n">
        <v>1</v>
      </c>
      <c r="G146" s="17" t="inlineStr">
        <is>
          <t>—</t>
        </is>
      </c>
    </row>
    <row r="147">
      <c r="A147" s="22" t="n">
        <v>143</v>
      </c>
      <c r="B147" s="12" t="inlineStr">
        <is>
          <t>BCU</t>
        </is>
      </c>
      <c r="C147" s="23" t="n">
        <v>-0.42</v>
      </c>
      <c r="D147" s="23" t="n">
        <v>-1.13</v>
      </c>
      <c r="E147" s="23" t="n">
        <v>-1.89</v>
      </c>
      <c r="F147" s="22" t="n">
        <v>1</v>
      </c>
      <c r="G147" s="12" t="inlineStr">
        <is>
          <t>0-1</t>
        </is>
      </c>
    </row>
    <row r="148">
      <c r="A148" s="25" t="n">
        <v>144</v>
      </c>
      <c r="B148" s="17" t="inlineStr">
        <is>
          <t>CHSO</t>
        </is>
      </c>
      <c r="C148" s="26" t="n">
        <v>-0.42</v>
      </c>
      <c r="D148" s="26" t="n">
        <v>-1.5</v>
      </c>
      <c r="E148" s="26" t="n">
        <v>0.29</v>
      </c>
      <c r="F148" s="25" t="n">
        <v>1</v>
      </c>
      <c r="G148" s="17" t="inlineStr">
        <is>
          <t>0-1</t>
        </is>
      </c>
    </row>
    <row r="149">
      <c r="A149" s="22" t="n">
        <v>145</v>
      </c>
      <c r="B149" s="12" t="inlineStr">
        <is>
          <t>EIU</t>
        </is>
      </c>
      <c r="C149" s="23" t="n">
        <v>-0.42</v>
      </c>
      <c r="D149" s="23" t="n">
        <v>-1.11</v>
      </c>
      <c r="E149" s="23" t="n">
        <v>-1.3</v>
      </c>
      <c r="F149" s="22" t="n">
        <v>1</v>
      </c>
      <c r="G149" s="12" t="inlineStr">
        <is>
          <t>—</t>
        </is>
      </c>
    </row>
    <row r="150">
      <c r="A150" s="25" t="n">
        <v>146</v>
      </c>
      <c r="B150" s="17" t="inlineStr">
        <is>
          <t>FUR</t>
        </is>
      </c>
      <c r="C150" s="26" t="n">
        <v>-0.42</v>
      </c>
      <c r="D150" s="26" t="n">
        <v>-0.97</v>
      </c>
      <c r="E150" s="26" t="n">
        <v>-1.04</v>
      </c>
      <c r="F150" s="25" t="n">
        <v>1</v>
      </c>
      <c r="G150" s="17" t="inlineStr">
        <is>
          <t>—</t>
        </is>
      </c>
    </row>
    <row r="151">
      <c r="A151" s="22" t="n">
        <v>147</v>
      </c>
      <c r="B151" s="12" t="inlineStr">
        <is>
          <t>HCU</t>
        </is>
      </c>
      <c r="C151" s="23" t="n">
        <v>-0.42</v>
      </c>
      <c r="D151" s="23" t="n">
        <v>-1.26</v>
      </c>
      <c r="E151" s="23" t="n">
        <v>0.1</v>
      </c>
      <c r="F151" s="22" t="n">
        <v>1</v>
      </c>
      <c r="G151" s="12" t="inlineStr">
        <is>
          <t>0-1</t>
        </is>
      </c>
    </row>
    <row r="152">
      <c r="A152" s="25" t="n">
        <v>148</v>
      </c>
      <c r="B152" s="17" t="inlineStr">
        <is>
          <t>LAM</t>
        </is>
      </c>
      <c r="C152" s="26" t="n">
        <v>-0.42</v>
      </c>
      <c r="D152" s="26" t="n">
        <v>-1.07</v>
      </c>
      <c r="E152" s="26" t="n">
        <v>-0.17</v>
      </c>
      <c r="F152" s="25" t="n">
        <v>1</v>
      </c>
      <c r="G152" s="17" t="inlineStr">
        <is>
          <t>—</t>
        </is>
      </c>
    </row>
    <row r="153">
      <c r="A153" s="22" t="n">
        <v>149</v>
      </c>
      <c r="B153" s="12" t="inlineStr">
        <is>
          <t>MORG</t>
        </is>
      </c>
      <c r="C153" s="23" t="n">
        <v>-0.42</v>
      </c>
      <c r="D153" s="23" t="n">
        <v>-1.07</v>
      </c>
      <c r="E153" s="23" t="n">
        <v>-1.82</v>
      </c>
      <c r="F153" s="22" t="n">
        <v>1</v>
      </c>
      <c r="G153" s="12" t="inlineStr">
        <is>
          <t>—</t>
        </is>
      </c>
    </row>
    <row r="154">
      <c r="A154" s="25" t="n">
        <v>150</v>
      </c>
      <c r="B154" s="17" t="inlineStr">
        <is>
          <t>NCAT</t>
        </is>
      </c>
      <c r="C154" s="26" t="n">
        <v>-0.42</v>
      </c>
      <c r="D154" s="26" t="n">
        <v>-0.9</v>
      </c>
      <c r="E154" s="26" t="n">
        <v>-1.29</v>
      </c>
      <c r="F154" s="25" t="n">
        <v>1</v>
      </c>
      <c r="G154" s="17" t="inlineStr">
        <is>
          <t>0-1</t>
        </is>
      </c>
    </row>
    <row r="155">
      <c r="A155" s="22" t="n">
        <v>151</v>
      </c>
      <c r="B155" s="12" t="inlineStr">
        <is>
          <t>NICH</t>
        </is>
      </c>
      <c r="C155" s="23" t="n">
        <v>-0.42</v>
      </c>
      <c r="D155" s="23" t="n">
        <v>-1.28</v>
      </c>
      <c r="E155" s="23" t="n">
        <v>-1.75</v>
      </c>
      <c r="F155" s="22" t="n">
        <v>1</v>
      </c>
      <c r="G155" s="12" t="inlineStr">
        <is>
          <t>0-1</t>
        </is>
      </c>
    </row>
    <row r="156">
      <c r="A156" s="25" t="n">
        <v>152</v>
      </c>
      <c r="B156" s="17" t="inlineStr">
        <is>
          <t>RGV</t>
        </is>
      </c>
      <c r="C156" s="26" t="n">
        <v>-0.42</v>
      </c>
      <c r="D156" s="26" t="n">
        <v>-0.52</v>
      </c>
      <c r="E156" s="26" t="n">
        <v>-0.43</v>
      </c>
      <c r="F156" s="25" t="n">
        <v>1</v>
      </c>
      <c r="G156" s="17" t="inlineStr">
        <is>
          <t>—</t>
        </is>
      </c>
    </row>
    <row r="157">
      <c r="A157" s="22" t="n">
        <v>153</v>
      </c>
      <c r="B157" s="12" t="inlineStr">
        <is>
          <t>SEMO</t>
        </is>
      </c>
      <c r="C157" s="23" t="n">
        <v>-0.42</v>
      </c>
      <c r="D157" s="23" t="n">
        <v>-0.83</v>
      </c>
      <c r="E157" s="23" t="n">
        <v>-0.16</v>
      </c>
      <c r="F157" s="22" t="n">
        <v>1</v>
      </c>
      <c r="G157" s="12" t="inlineStr">
        <is>
          <t>1-0</t>
        </is>
      </c>
    </row>
    <row r="158">
      <c r="A158" s="25" t="n">
        <v>154</v>
      </c>
      <c r="B158" s="17" t="inlineStr">
        <is>
          <t>UTU</t>
        </is>
      </c>
      <c r="C158" s="26" t="n">
        <v>-0.42</v>
      </c>
      <c r="D158" s="26" t="n">
        <v>-0.9399999999999999</v>
      </c>
      <c r="E158" s="26" t="n">
        <v>-1.36</v>
      </c>
      <c r="F158" s="25" t="n">
        <v>1</v>
      </c>
      <c r="G158" s="17" t="inlineStr">
        <is>
          <t>—</t>
        </is>
      </c>
    </row>
    <row r="159">
      <c r="A159" s="22" t="n">
        <v>155</v>
      </c>
      <c r="B159" s="12" t="inlineStr">
        <is>
          <t>VMI</t>
        </is>
      </c>
      <c r="C159" s="23" t="n">
        <v>-0.42</v>
      </c>
      <c r="D159" s="23" t="n">
        <v>-1.24</v>
      </c>
      <c r="E159" s="23" t="n">
        <v>-1.93</v>
      </c>
      <c r="F159" s="22" t="n">
        <v>1</v>
      </c>
      <c r="G159" s="12" t="inlineStr">
        <is>
          <t>0-1</t>
        </is>
      </c>
    </row>
    <row r="160">
      <c r="A160" s="25" t="n">
        <v>156</v>
      </c>
      <c r="B160" s="17" t="inlineStr">
        <is>
          <t>DUQ</t>
        </is>
      </c>
      <c r="C160" s="26" t="n">
        <v>-0.43</v>
      </c>
      <c r="D160" s="26" t="n">
        <v>-1.45</v>
      </c>
      <c r="E160" s="26" t="n">
        <v>-0.07000000000000001</v>
      </c>
      <c r="F160" s="25" t="n">
        <v>1</v>
      </c>
      <c r="G160" s="17" t="inlineStr">
        <is>
          <t>0-1</t>
        </is>
      </c>
    </row>
    <row r="161">
      <c r="A161" s="22" t="n">
        <v>157</v>
      </c>
      <c r="B161" s="12" t="inlineStr">
        <is>
          <t>HAMP</t>
        </is>
      </c>
      <c r="C161" s="23" t="n">
        <v>-0.43</v>
      </c>
      <c r="D161" s="23" t="n">
        <v>-1.33</v>
      </c>
      <c r="E161" s="23" t="n">
        <v>-1.34</v>
      </c>
      <c r="F161" s="22" t="n">
        <v>1</v>
      </c>
      <c r="G161" s="12" t="inlineStr">
        <is>
          <t>—</t>
        </is>
      </c>
    </row>
    <row r="162">
      <c r="A162" s="25" t="n">
        <v>158</v>
      </c>
      <c r="B162" s="17" t="inlineStr">
        <is>
          <t>LAF</t>
        </is>
      </c>
      <c r="C162" s="26" t="n">
        <v>-0.43</v>
      </c>
      <c r="D162" s="26" t="n">
        <v>-1.09</v>
      </c>
      <c r="E162" s="26" t="n">
        <v>-1</v>
      </c>
      <c r="F162" s="25" t="n">
        <v>1</v>
      </c>
      <c r="G162" s="17" t="inlineStr">
        <is>
          <t>—</t>
        </is>
      </c>
    </row>
    <row r="163">
      <c r="A163" s="22" t="n">
        <v>159</v>
      </c>
      <c r="B163" s="12" t="inlineStr">
        <is>
          <t>ME</t>
        </is>
      </c>
      <c r="C163" s="23" t="n">
        <v>-0.43</v>
      </c>
      <c r="D163" s="23" t="n">
        <v>-1.27</v>
      </c>
      <c r="E163" s="23" t="n">
        <v>-0.99</v>
      </c>
      <c r="F163" s="22" t="n">
        <v>1</v>
      </c>
      <c r="G163" s="12" t="inlineStr">
        <is>
          <t>—</t>
        </is>
      </c>
    </row>
    <row r="164">
      <c r="A164" s="25" t="n">
        <v>160</v>
      </c>
      <c r="B164" s="17" t="inlineStr">
        <is>
          <t>NWST</t>
        </is>
      </c>
      <c r="C164" s="26" t="n">
        <v>-0.43</v>
      </c>
      <c r="D164" s="26" t="n">
        <v>-1.19</v>
      </c>
      <c r="E164" s="26" t="n">
        <v>-2.45</v>
      </c>
      <c r="F164" s="25" t="n">
        <v>1</v>
      </c>
      <c r="G164" s="17" t="inlineStr">
        <is>
          <t>0-1</t>
        </is>
      </c>
    </row>
    <row r="165">
      <c r="A165" s="22" t="n">
        <v>161</v>
      </c>
      <c r="B165" s="12" t="inlineStr">
        <is>
          <t>EKU</t>
        </is>
      </c>
      <c r="C165" s="23" t="n">
        <v>-0.44</v>
      </c>
      <c r="D165" s="23" t="n">
        <v>-1.06</v>
      </c>
      <c r="E165" s="23" t="n">
        <v>-0.77</v>
      </c>
      <c r="F165" s="22" t="n">
        <v>1</v>
      </c>
      <c r="G165" s="12" t="inlineStr">
        <is>
          <t>0-1</t>
        </is>
      </c>
    </row>
    <row r="166">
      <c r="A166" s="25" t="n">
        <v>162</v>
      </c>
      <c r="B166" s="17" t="inlineStr">
        <is>
          <t>KENT</t>
        </is>
      </c>
      <c r="C166" s="26" t="n">
        <v>-0.44</v>
      </c>
      <c r="D166" s="26" t="n">
        <v>-1.68</v>
      </c>
      <c r="E166" s="26" t="n">
        <v>-1.1</v>
      </c>
      <c r="F166" s="25" t="n">
        <v>1</v>
      </c>
      <c r="G166" s="17" t="inlineStr">
        <is>
          <t>—</t>
        </is>
      </c>
    </row>
    <row r="167">
      <c r="A167" s="22" t="n">
        <v>163</v>
      </c>
      <c r="B167" s="12" t="inlineStr">
        <is>
          <t>FAU</t>
        </is>
      </c>
      <c r="C167" s="23" t="n">
        <v>-0.45</v>
      </c>
      <c r="D167" s="23" t="n">
        <v>-0.34</v>
      </c>
      <c r="E167" s="23" t="n">
        <v>-1.81</v>
      </c>
      <c r="F167" s="22" t="n">
        <v>1</v>
      </c>
      <c r="G167" s="12" t="inlineStr">
        <is>
          <t>—</t>
        </is>
      </c>
    </row>
    <row r="168">
      <c r="A168" s="25" t="n">
        <v>164</v>
      </c>
      <c r="B168" s="17" t="inlineStr">
        <is>
          <t>NIU</t>
        </is>
      </c>
      <c r="C168" s="26" t="n">
        <v>-0.45</v>
      </c>
      <c r="D168" s="26" t="n">
        <v>-1.96</v>
      </c>
      <c r="E168" s="26" t="n">
        <v>0.14</v>
      </c>
      <c r="F168" s="25" t="n">
        <v>1</v>
      </c>
      <c r="G168" s="17" t="inlineStr">
        <is>
          <t>—</t>
        </is>
      </c>
    </row>
    <row r="169">
      <c r="A169" s="22" t="n">
        <v>165</v>
      </c>
      <c r="B169" s="12" t="inlineStr">
        <is>
          <t>PRST</t>
        </is>
      </c>
      <c r="C169" s="23" t="n">
        <v>-0.45</v>
      </c>
      <c r="D169" s="23" t="n">
        <v>-0.53</v>
      </c>
      <c r="E169" s="23" t="n">
        <v>-1.09</v>
      </c>
      <c r="F169" s="22" t="n">
        <v>1</v>
      </c>
      <c r="G169" s="12" t="inlineStr">
        <is>
          <t>—</t>
        </is>
      </c>
    </row>
    <row r="170">
      <c r="A170" s="25" t="n">
        <v>166</v>
      </c>
      <c r="B170" s="17" t="inlineStr">
        <is>
          <t>UTEP</t>
        </is>
      </c>
      <c r="C170" s="26" t="n">
        <v>-0.46</v>
      </c>
      <c r="D170" s="26" t="n">
        <v>-1.59</v>
      </c>
      <c r="E170" s="26" t="n">
        <v>-0.79</v>
      </c>
      <c r="F170" s="25" t="n">
        <v>1</v>
      </c>
      <c r="G170" s="17" t="inlineStr">
        <is>
          <t>—</t>
        </is>
      </c>
    </row>
    <row r="171">
      <c r="A171" s="22" t="n">
        <v>167</v>
      </c>
      <c r="B171" s="12" t="inlineStr">
        <is>
          <t>BALL</t>
        </is>
      </c>
      <c r="C171" s="23" t="n">
        <v>-0.47</v>
      </c>
      <c r="D171" s="23" t="n">
        <v>-1.89</v>
      </c>
      <c r="E171" s="23" t="n">
        <v>-0.87</v>
      </c>
      <c r="F171" s="22" t="n">
        <v>1</v>
      </c>
      <c r="G171" s="12" t="inlineStr">
        <is>
          <t>—</t>
        </is>
      </c>
    </row>
    <row r="172">
      <c r="A172" s="25" t="n">
        <v>168</v>
      </c>
      <c r="B172" s="17" t="inlineStr">
        <is>
          <t>ULM</t>
        </is>
      </c>
      <c r="C172" s="26" t="n">
        <v>-0.48</v>
      </c>
      <c r="D172" s="26" t="n">
        <v>-1.45</v>
      </c>
      <c r="E172" s="26" t="n">
        <v>-1.24</v>
      </c>
      <c r="F172" s="25" t="n">
        <v>1</v>
      </c>
      <c r="G172" s="17" t="inlineStr">
        <is>
          <t>0-1</t>
        </is>
      </c>
    </row>
    <row r="173">
      <c r="A173" s="22" t="n">
        <v>169</v>
      </c>
      <c r="B173" s="12" t="inlineStr">
        <is>
          <t>JMU</t>
        </is>
      </c>
      <c r="C173" s="23" t="n">
        <v>-0.49</v>
      </c>
      <c r="D173" s="23" t="n">
        <v>-0.17</v>
      </c>
      <c r="E173" s="23" t="n">
        <v>1.47</v>
      </c>
      <c r="F173" s="22" t="n">
        <v>1</v>
      </c>
      <c r="G173" s="12" t="inlineStr">
        <is>
          <t>—</t>
        </is>
      </c>
    </row>
    <row r="174">
      <c r="A174" s="25" t="n">
        <v>170</v>
      </c>
      <c r="B174" s="17" t="inlineStr">
        <is>
          <t>MSU</t>
        </is>
      </c>
      <c r="C174" s="26" t="n">
        <v>-0.49</v>
      </c>
      <c r="D174" s="26" t="n">
        <v>-0.63</v>
      </c>
      <c r="E174" s="26" t="n">
        <v>0.36</v>
      </c>
      <c r="F174" s="25" t="n">
        <v>1</v>
      </c>
      <c r="G174" s="17" t="inlineStr">
        <is>
          <t>—</t>
        </is>
      </c>
    </row>
    <row r="175">
      <c r="A175" s="22" t="n">
        <v>171</v>
      </c>
      <c r="B175" s="12" t="inlineStr">
        <is>
          <t>ORE</t>
        </is>
      </c>
      <c r="C175" s="23" t="n">
        <v>-0.49</v>
      </c>
      <c r="D175" s="23" t="n">
        <v>0.38</v>
      </c>
      <c r="E175" s="23" t="n">
        <v>0.9399999999999999</v>
      </c>
      <c r="F175" s="22" t="n">
        <v>1</v>
      </c>
      <c r="G175" s="12" t="inlineStr">
        <is>
          <t>—</t>
        </is>
      </c>
    </row>
    <row r="176">
      <c r="A176" s="25" t="n">
        <v>172</v>
      </c>
      <c r="B176" s="17" t="inlineStr">
        <is>
          <t>WVU</t>
        </is>
      </c>
      <c r="C176" s="26" t="n">
        <v>-0.65</v>
      </c>
      <c r="D176" s="26" t="n">
        <v>-0.77</v>
      </c>
      <c r="E176" s="26" t="n">
        <v>0.07000000000000001</v>
      </c>
      <c r="F176" s="25" t="n">
        <v>1</v>
      </c>
      <c r="G176" s="17" t="inlineStr">
        <is>
          <t>—</t>
        </is>
      </c>
    </row>
    <row r="177">
      <c r="A177" s="22" t="n">
        <v>173</v>
      </c>
      <c r="B177" s="12" t="inlineStr">
        <is>
          <t>BUFF</t>
        </is>
      </c>
      <c r="C177" s="23" t="n">
        <v>-0.76</v>
      </c>
      <c r="D177" s="23" t="n">
        <v>-1.17</v>
      </c>
      <c r="E177" s="23" t="n">
        <v>0.74</v>
      </c>
      <c r="F177" s="22" t="n">
        <v>1</v>
      </c>
      <c r="G177" s="12" t="inlineStr">
        <is>
          <t>—</t>
        </is>
      </c>
    </row>
    <row r="178">
      <c r="A178" s="25" t="n">
        <v>174</v>
      </c>
      <c r="B178" s="17" t="inlineStr">
        <is>
          <t>TROY</t>
        </is>
      </c>
      <c r="C178" s="26" t="n">
        <v>-0.8</v>
      </c>
      <c r="D178" s="26" t="n">
        <v>-1.08</v>
      </c>
      <c r="E178" s="26" t="n">
        <v>0.82</v>
      </c>
      <c r="F178" s="25" t="n">
        <v>1</v>
      </c>
      <c r="G178" s="17" t="inlineStr">
        <is>
          <t>0-1</t>
        </is>
      </c>
    </row>
    <row r="179">
      <c r="A179" s="22" t="n">
        <v>175</v>
      </c>
      <c r="B179" s="12" t="inlineStr">
        <is>
          <t>MICH</t>
        </is>
      </c>
      <c r="C179" s="23" t="n">
        <v>-0.86</v>
      </c>
      <c r="D179" s="23" t="n">
        <v>-1.18</v>
      </c>
      <c r="E179" s="23" t="n">
        <v>1.34</v>
      </c>
      <c r="F179" s="22" t="n">
        <v>1</v>
      </c>
      <c r="G179" s="12" t="inlineStr">
        <is>
          <t>0-1</t>
        </is>
      </c>
    </row>
    <row r="180">
      <c r="A180" s="25" t="n">
        <v>176</v>
      </c>
      <c r="B180" s="17" t="inlineStr">
        <is>
          <t>GT</t>
        </is>
      </c>
      <c r="C180" s="26" t="n">
        <v>-0.95</v>
      </c>
      <c r="D180" s="26" t="n">
        <v>-1.05</v>
      </c>
      <c r="E180" s="26" t="n">
        <v>0.91</v>
      </c>
      <c r="F180" s="25" t="n">
        <v>1</v>
      </c>
      <c r="G180" s="17" t="inlineStr">
        <is>
          <t>—</t>
        </is>
      </c>
    </row>
    <row r="181">
      <c r="A181" s="22" t="n">
        <v>177</v>
      </c>
      <c r="B181" s="12" t="inlineStr">
        <is>
          <t>CLT</t>
        </is>
      </c>
      <c r="C181" s="23" t="n">
        <v>-1.17</v>
      </c>
      <c r="D181" s="23" t="n">
        <v>-0.8100000000000001</v>
      </c>
      <c r="E181" s="23" t="n">
        <v>-1.12</v>
      </c>
      <c r="F181" s="22" t="n">
        <v>1</v>
      </c>
      <c r="G181" s="12" t="inlineStr">
        <is>
          <t>—</t>
        </is>
      </c>
    </row>
    <row r="182">
      <c r="A182" s="25" t="n">
        <v>178</v>
      </c>
      <c r="B182" s="17" t="inlineStr">
        <is>
          <t>BGSU</t>
        </is>
      </c>
      <c r="C182" s="26" t="n">
        <v>-1.3</v>
      </c>
      <c r="D182" s="26" t="n">
        <v>-1.67</v>
      </c>
      <c r="E182" s="26" t="n">
        <v>0.68</v>
      </c>
      <c r="F182" s="25" t="n">
        <v>1</v>
      </c>
      <c r="G182" s="17" t="inlineStr">
        <is>
          <t>—</t>
        </is>
      </c>
    </row>
    <row r="183">
      <c r="A183" s="22" t="n">
        <v>179</v>
      </c>
      <c r="B183" s="12" t="inlineStr">
        <is>
          <t>HAW</t>
        </is>
      </c>
      <c r="C183" s="23" t="n">
        <v>-1.31</v>
      </c>
      <c r="D183" s="23" t="n">
        <v>-1.5</v>
      </c>
      <c r="E183" s="23" t="n">
        <v>0.42</v>
      </c>
      <c r="F183" s="22" t="n">
        <v>2</v>
      </c>
      <c r="G183" s="12" t="inlineStr">
        <is>
          <t>0-1</t>
        </is>
      </c>
    </row>
    <row r="184">
      <c r="A184" s="25" t="n">
        <v>180</v>
      </c>
      <c r="B184" s="17" t="inlineStr">
        <is>
          <t>WIS</t>
        </is>
      </c>
      <c r="C184" s="26" t="n">
        <v>-1.39</v>
      </c>
      <c r="D184" s="26" t="n">
        <v>-1.69</v>
      </c>
      <c r="E184" s="26" t="n">
        <v>0.36</v>
      </c>
      <c r="F184" s="25" t="n">
        <v>1</v>
      </c>
      <c r="G184" s="17" t="inlineStr">
        <is>
          <t>—</t>
        </is>
      </c>
    </row>
    <row r="185">
      <c r="A185" s="22" t="n">
        <v>181</v>
      </c>
      <c r="B185" s="12" t="inlineStr">
        <is>
          <t>USU</t>
        </is>
      </c>
      <c r="C185" s="23" t="n">
        <v>-1.5</v>
      </c>
      <c r="D185" s="23" t="n">
        <v>-0.92</v>
      </c>
      <c r="E185" s="23" t="n">
        <v>0.01</v>
      </c>
      <c r="F185" s="22" t="n">
        <v>1</v>
      </c>
      <c r="G185" s="12" t="inlineStr">
        <is>
          <t>0-1</t>
        </is>
      </c>
    </row>
    <row r="186">
      <c r="A186" s="25" t="n">
        <v>182</v>
      </c>
      <c r="B186" s="17" t="inlineStr">
        <is>
          <t>EMU</t>
        </is>
      </c>
      <c r="C186" s="26" t="n">
        <v>-1.55</v>
      </c>
      <c r="D186" s="26" t="n">
        <v>-1.36</v>
      </c>
      <c r="E186" s="26" t="n">
        <v>0.48</v>
      </c>
      <c r="F186" s="25" t="n">
        <v>2</v>
      </c>
      <c r="G186" s="17" t="inlineStr">
        <is>
          <t>1-1</t>
        </is>
      </c>
    </row>
    <row r="187">
      <c r="A187" s="22" t="n">
        <v>183</v>
      </c>
      <c r="B187" s="12" t="inlineStr">
        <is>
          <t>RUTG</t>
        </is>
      </c>
      <c r="C187" s="23" t="n">
        <v>-1.71</v>
      </c>
      <c r="D187" s="23" t="n">
        <v>-0.91</v>
      </c>
      <c r="E187" s="23" t="n">
        <v>-0.66</v>
      </c>
      <c r="F187" s="22" t="n">
        <v>1</v>
      </c>
      <c r="G187" s="12" t="inlineStr">
        <is>
          <t>0-1</t>
        </is>
      </c>
    </row>
    <row r="188">
      <c r="A188" s="25" t="n">
        <v>184</v>
      </c>
      <c r="B188" s="17" t="inlineStr">
        <is>
          <t>CAL</t>
        </is>
      </c>
      <c r="C188" s="26" t="n">
        <v>-1.97</v>
      </c>
      <c r="D188" s="26" t="n">
        <v>-0.86</v>
      </c>
      <c r="E188" s="26" t="n">
        <v>-0.72</v>
      </c>
      <c r="F188" s="25" t="n">
        <v>1</v>
      </c>
      <c r="G188" s="17" t="inlineStr">
        <is>
          <t>—</t>
        </is>
      </c>
    </row>
    <row r="189">
      <c r="A189" s="22" t="n">
        <v>185</v>
      </c>
      <c r="B189" s="12" t="inlineStr">
        <is>
          <t>STAN</t>
        </is>
      </c>
      <c r="C189" s="23" t="n">
        <v>-2.71</v>
      </c>
      <c r="D189" s="23" t="n">
        <v>-1.86</v>
      </c>
      <c r="E189" s="23" t="n">
        <v>-0.83</v>
      </c>
      <c r="F189" s="22" t="n">
        <v>2</v>
      </c>
      <c r="G189" s="12" t="inlineStr">
        <is>
          <t>1-0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10</v>
      </c>
      <c r="F32" s="25" t="n">
        <v>48</v>
      </c>
      <c r="G32" s="17" t="inlineStr">
        <is>
          <t>Final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20</v>
      </c>
      <c r="F33" s="22" t="n">
        <v>33</v>
      </c>
      <c r="G33" s="12" t="inlineStr">
        <is>
          <t>Final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24</v>
      </c>
      <c r="F34" s="25" t="n">
        <v>31</v>
      </c>
      <c r="G34" s="17" t="inlineStr">
        <is>
          <t>Final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3</v>
      </c>
      <c r="F35" s="22" t="n">
        <v>66</v>
      </c>
      <c r="G35" s="12" t="inlineStr">
        <is>
          <t>Final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16</v>
      </c>
      <c r="F36" s="25" t="n">
        <v>52</v>
      </c>
      <c r="G36" s="17" t="inlineStr">
        <is>
          <t>Final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21</v>
      </c>
      <c r="F37" s="22" t="n">
        <v>49</v>
      </c>
      <c r="G37" s="12" t="inlineStr">
        <is>
          <t>Final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7</v>
      </c>
      <c r="F38" s="25" t="n">
        <v>56</v>
      </c>
      <c r="G38" s="17" t="inlineStr">
        <is>
          <t>Final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3</v>
      </c>
      <c r="F39" s="22" t="n">
        <v>59</v>
      </c>
      <c r="G39" s="12" t="inlineStr">
        <is>
          <t>Final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20</v>
      </c>
      <c r="F40" s="25" t="n">
        <v>13</v>
      </c>
      <c r="G40" s="17" t="inlineStr">
        <is>
          <t>Final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13</v>
      </c>
      <c r="F41" s="22" t="n">
        <v>20</v>
      </c>
      <c r="G41" s="12" t="inlineStr">
        <is>
          <t>Final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14</v>
      </c>
      <c r="F42" s="25" t="n">
        <v>59</v>
      </c>
      <c r="G42" s="17" t="inlineStr">
        <is>
          <t>Final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3</v>
      </c>
      <c r="F43" s="22" t="n">
        <v>56</v>
      </c>
      <c r="G43" s="12" t="inlineStr">
        <is>
          <t>Final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57</v>
      </c>
      <c r="G44" s="17" t="inlineStr">
        <is>
          <t>Final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13</v>
      </c>
      <c r="F45" s="22" t="n">
        <v>45</v>
      </c>
      <c r="G45" s="12" t="inlineStr">
        <is>
          <t>Final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10</v>
      </c>
      <c r="F46" s="25" t="n">
        <v>38</v>
      </c>
      <c r="G46" s="17" t="inlineStr">
        <is>
          <t>Final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34</v>
      </c>
      <c r="G47" s="12" t="inlineStr">
        <is>
          <t>Final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14</v>
      </c>
      <c r="F48" s="25" t="n">
        <v>38</v>
      </c>
      <c r="G48" s="17" t="inlineStr">
        <is>
          <t>Final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3</v>
      </c>
      <c r="F49" s="22" t="n">
        <v>63</v>
      </c>
      <c r="G49" s="12" t="inlineStr">
        <is>
          <t>Final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16</v>
      </c>
      <c r="F50" s="25" t="n">
        <v>17</v>
      </c>
      <c r="G50" s="17" t="inlineStr">
        <is>
          <t>Final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9</v>
      </c>
      <c r="F51" s="22" t="n">
        <v>56</v>
      </c>
      <c r="G51" s="12" t="inlineStr">
        <is>
          <t>Final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7</v>
      </c>
      <c r="F52" s="25" t="n">
        <v>59</v>
      </c>
      <c r="G52" s="17" t="inlineStr">
        <is>
          <t>Final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15</v>
      </c>
      <c r="F53" s="22" t="n">
        <v>34</v>
      </c>
      <c r="G53" s="12" t="inlineStr">
        <is>
          <t>Final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3</v>
      </c>
      <c r="F54" s="25" t="n">
        <v>17</v>
      </c>
      <c r="G54" s="17" t="inlineStr">
        <is>
          <t>Final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27</v>
      </c>
      <c r="F55" s="22" t="n">
        <v>34</v>
      </c>
      <c r="G55" s="12" t="inlineStr">
        <is>
          <t>Final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45</v>
      </c>
      <c r="G56" s="17" t="inlineStr">
        <is>
          <t>Final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43</v>
      </c>
      <c r="F57" s="22" t="n">
        <v>41</v>
      </c>
      <c r="G57" s="12" t="inlineStr">
        <is>
          <t>Final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15</v>
      </c>
      <c r="F58" s="25" t="n">
        <v>42</v>
      </c>
      <c r="G58" s="17" t="inlineStr">
        <is>
          <t>Final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16</v>
      </c>
      <c r="F59" s="22" t="n">
        <v>45</v>
      </c>
      <c r="G59" s="12" t="inlineStr">
        <is>
          <t>Final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38</v>
      </c>
      <c r="G60" s="17" t="inlineStr">
        <is>
          <t>Final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3</v>
      </c>
      <c r="F61" s="22" t="n">
        <v>55</v>
      </c>
      <c r="G61" s="12" t="inlineStr">
        <is>
          <t>Final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10</v>
      </c>
      <c r="F62" s="25" t="n">
        <v>24</v>
      </c>
      <c r="G62" s="17" t="inlineStr">
        <is>
          <t>Final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14</v>
      </c>
      <c r="F63" s="22" t="n">
        <v>31</v>
      </c>
      <c r="G63" s="12" t="inlineStr">
        <is>
          <t>Final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40</v>
      </c>
      <c r="G64" s="17" t="inlineStr">
        <is>
          <t>Final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3</v>
      </c>
      <c r="F65" s="22" t="n">
        <v>49</v>
      </c>
      <c r="G65" s="12" t="inlineStr">
        <is>
          <t>Final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13</v>
      </c>
      <c r="F66" s="25" t="n">
        <v>35</v>
      </c>
      <c r="G66" s="17" t="inlineStr">
        <is>
          <t>Final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10</v>
      </c>
      <c r="F67" s="22" t="n">
        <v>31</v>
      </c>
      <c r="G67" s="12" t="inlineStr">
        <is>
          <t>Final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50</v>
      </c>
      <c r="G68" s="17" t="inlineStr">
        <is>
          <t>Final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9</v>
      </c>
      <c r="F69" s="22" t="n">
        <v>28</v>
      </c>
      <c r="G69" s="12" t="inlineStr">
        <is>
          <t>Final</t>
        </is>
      </c>
      <c r="H69" s="12" t="inlineStr"/>
      <c r="I69" s="23" t="n">
        <v>-28.5</v>
      </c>
      <c r="J69" s="29" t="n">
        <v>58.5</v>
      </c>
      <c r="K69" s="13" t="n">
        <v>2000</v>
      </c>
      <c r="L69" s="13" t="n">
        <v>-6500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10</v>
      </c>
      <c r="F70" s="25" t="n">
        <v>33</v>
      </c>
      <c r="G70" s="17" t="inlineStr">
        <is>
          <t>Final</t>
        </is>
      </c>
      <c r="H70" s="17" t="inlineStr"/>
      <c r="I70" s="26" t="n">
        <v>-44.5</v>
      </c>
      <c r="J70" s="30" t="n">
        <v>60.5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3</v>
      </c>
      <c r="F71" s="22" t="n">
        <v>71</v>
      </c>
      <c r="G71" s="12" t="inlineStr">
        <is>
          <t>Final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29</v>
      </c>
      <c r="F72" s="25" t="n">
        <v>17</v>
      </c>
      <c r="G72" s="17" t="inlineStr">
        <is>
          <t>Final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24</v>
      </c>
      <c r="F73" s="22" t="n">
        <v>42</v>
      </c>
      <c r="G73" s="12" t="inlineStr">
        <is>
          <t>Final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3</v>
      </c>
      <c r="F74" s="25" t="n">
        <v>31</v>
      </c>
      <c r="G74" s="17" t="inlineStr">
        <is>
          <t>Final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9</v>
      </c>
      <c r="F75" s="22" t="n">
        <v>19</v>
      </c>
      <c r="G75" s="12" t="inlineStr">
        <is>
          <t>Final</t>
        </is>
      </c>
      <c r="H75" s="12" t="inlineStr"/>
      <c r="I75" s="23" t="n">
        <v>-14.5</v>
      </c>
      <c r="J75" s="29" t="n">
        <v>53.5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EKU</t>
        </is>
      </c>
      <c r="D76" s="17" t="inlineStr">
        <is>
          <t>JVST</t>
        </is>
      </c>
      <c r="E76" s="25" t="n">
        <v>7</v>
      </c>
      <c r="F76" s="25" t="n">
        <v>49</v>
      </c>
      <c r="G76" s="17" t="inlineStr">
        <is>
          <t>Final</t>
        </is>
      </c>
      <c r="H76" s="17" t="inlineStr"/>
      <c r="I76" s="26" t="n">
        <v>-22.5</v>
      </c>
      <c r="J76" s="30" t="n">
        <v>52.5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CHSO</t>
        </is>
      </c>
      <c r="D77" s="12" t="inlineStr">
        <is>
          <t>GASO</t>
        </is>
      </c>
      <c r="E77" s="22" t="n">
        <v>0</v>
      </c>
      <c r="F77" s="22" t="n">
        <v>31</v>
      </c>
      <c r="G77" s="12" t="inlineStr">
        <is>
          <t>Final</t>
        </is>
      </c>
      <c r="H77" s="12" t="inlineStr"/>
      <c r="I77" s="23" t="n">
        <v>-28.5</v>
      </c>
      <c r="J77" s="29" t="n">
        <v>51.5</v>
      </c>
      <c r="K77" s="13" t="n">
        <v>1800</v>
      </c>
      <c r="L77" s="13" t="n">
        <v>-5000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SELA</t>
        </is>
      </c>
      <c r="D78" s="17" t="inlineStr">
        <is>
          <t>USA</t>
        </is>
      </c>
      <c r="E78" s="25" t="n">
        <v>14</v>
      </c>
      <c r="F78" s="25" t="n">
        <v>39</v>
      </c>
      <c r="G78" s="17" t="inlineStr">
        <is>
          <t>Final</t>
        </is>
      </c>
      <c r="H78" s="17" t="inlineStr"/>
      <c r="I78" s="26" t="n">
        <v>-13.5</v>
      </c>
      <c r="J78" s="30" t="n">
        <v>53.5</v>
      </c>
      <c r="K78" s="18" t="n">
        <v>425</v>
      </c>
      <c r="L78" s="18" t="n">
        <v>-575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SHSU</t>
        </is>
      </c>
      <c r="D79" s="12" t="inlineStr">
        <is>
          <t>TROY</t>
        </is>
      </c>
      <c r="E79" s="22" t="n">
        <v>21</v>
      </c>
      <c r="F79" s="22" t="n">
        <v>24</v>
      </c>
      <c r="G79" s="12" t="inlineStr">
        <is>
          <t>Final</t>
        </is>
      </c>
      <c r="H79" s="12" t="inlineStr"/>
      <c r="I79" s="23" t="n">
        <v>-16.5</v>
      </c>
      <c r="J79" s="29" t="n">
        <v>52.5</v>
      </c>
      <c r="K79" s="13" t="n">
        <v>575</v>
      </c>
      <c r="L79" s="13" t="n">
        <v>-850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ULM</t>
        </is>
      </c>
      <c r="D80" s="17" t="inlineStr">
        <is>
          <t>MSST</t>
        </is>
      </c>
      <c r="E80" s="25" t="n">
        <v>13</v>
      </c>
      <c r="F80" s="25" t="n">
        <v>62</v>
      </c>
      <c r="G80" s="17" t="inlineStr">
        <is>
          <t>Final</t>
        </is>
      </c>
      <c r="H80" s="17" t="inlineStr"/>
      <c r="I80" s="26" t="n">
        <v>-28.5</v>
      </c>
      <c r="J80" s="30" t="n">
        <v>54.5</v>
      </c>
      <c r="K80" s="18" t="n">
        <v>1600</v>
      </c>
      <c r="L80" s="18" t="n">
        <v>-4000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VMI</t>
        </is>
      </c>
      <c r="D81" s="12" t="inlineStr">
        <is>
          <t>VT</t>
        </is>
      </c>
      <c r="E81" s="22" t="n">
        <v>3</v>
      </c>
      <c r="F81" s="22" t="n">
        <v>73</v>
      </c>
      <c r="G81" s="12" t="inlineStr">
        <is>
          <t>Final</t>
        </is>
      </c>
      <c r="H81" s="12" t="inlineStr"/>
      <c r="I81" s="23" t="n">
        <v>-53.5</v>
      </c>
      <c r="J81" s="29" t="n">
        <v>59.5</v>
      </c>
      <c r="K81" s="13" t="n"/>
      <c r="L81" s="13" t="n"/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WMU</t>
        </is>
      </c>
      <c r="D82" s="17" t="inlineStr">
        <is>
          <t>MICH</t>
        </is>
      </c>
      <c r="E82" s="25" t="n">
        <v>12</v>
      </c>
      <c r="F82" s="25" t="n">
        <v>13</v>
      </c>
      <c r="G82" s="17" t="inlineStr">
        <is>
          <t>Final</t>
        </is>
      </c>
      <c r="H82" s="17" t="inlineStr"/>
      <c r="I82" s="26" t="n">
        <v>-27.5</v>
      </c>
      <c r="J82" s="30" t="n">
        <v>49.5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NWST</t>
        </is>
      </c>
      <c r="D83" s="12" t="inlineStr">
        <is>
          <t>LT</t>
        </is>
      </c>
      <c r="E83" s="22" t="n">
        <v>6</v>
      </c>
      <c r="F83" s="22" t="n">
        <v>80</v>
      </c>
      <c r="G83" s="12" t="inlineStr">
        <is>
          <t>Final</t>
        </is>
      </c>
      <c r="H83" s="12" t="inlineStr"/>
      <c r="I83" s="23" t="n">
        <v>-44.5</v>
      </c>
      <c r="J83" s="29" t="n">
        <v>56.5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FAU</t>
        </is>
      </c>
      <c r="D84" s="17" t="inlineStr">
        <is>
          <t>FLA</t>
        </is>
      </c>
      <c r="E84" s="25" t="n">
        <v>21</v>
      </c>
      <c r="F84" s="25" t="n">
        <v>66</v>
      </c>
      <c r="G84" s="17" t="inlineStr">
        <is>
          <t>Final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MUR</t>
        </is>
      </c>
      <c r="D85" s="12" t="inlineStr">
        <is>
          <t>MTSU</t>
        </is>
      </c>
      <c r="E85" s="22" t="n">
        <v>14</v>
      </c>
      <c r="F85" s="22" t="n">
        <v>38</v>
      </c>
      <c r="G85" s="12" t="inlineStr">
        <is>
          <t>Final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2026-09-06</t>
        </is>
      </c>
      <c r="B86" s="25" t="n">
        <v>1</v>
      </c>
      <c r="C86" s="17" t="inlineStr">
        <is>
          <t>UTU</t>
        </is>
      </c>
      <c r="D86" s="17" t="inlineStr">
        <is>
          <t>BYU</t>
        </is>
      </c>
      <c r="E86" s="25" t="n">
        <v>7</v>
      </c>
      <c r="F86" s="25" t="n">
        <v>63</v>
      </c>
      <c r="G86" s="17" t="inlineStr">
        <is>
          <t>Final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HAMP</t>
        </is>
      </c>
      <c r="D87" s="12" t="inlineStr">
        <is>
          <t>MD</t>
        </is>
      </c>
      <c r="E87" s="22" t="n">
        <v>0</v>
      </c>
      <c r="F87" s="22" t="n">
        <v>62</v>
      </c>
      <c r="G87" s="12" t="inlineStr">
        <is>
          <t>Final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SDST</t>
        </is>
      </c>
      <c r="D88" s="17" t="inlineStr">
        <is>
          <t>NU</t>
        </is>
      </c>
      <c r="E88" s="25" t="n">
        <v>18</v>
      </c>
      <c r="F88" s="25" t="n">
        <v>34</v>
      </c>
      <c r="G88" s="17" t="inlineStr">
        <is>
          <t>Final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LAM</t>
        </is>
      </c>
      <c r="D89" s="12" t="inlineStr">
        <is>
          <t>UL</t>
        </is>
      </c>
      <c r="E89" s="22" t="n">
        <v>7</v>
      </c>
      <c r="F89" s="22" t="n">
        <v>38</v>
      </c>
      <c r="G89" s="12" t="inlineStr">
        <is>
          <t>Final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MERC</t>
        </is>
      </c>
      <c r="D90" s="17" t="inlineStr">
        <is>
          <t>NMSU</t>
        </is>
      </c>
      <c r="E90" s="25" t="n">
        <v>14</v>
      </c>
      <c r="F90" s="25" t="n">
        <v>51</v>
      </c>
      <c r="G90" s="17" t="inlineStr">
        <is>
          <t>Final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NAU</t>
        </is>
      </c>
      <c r="D91" s="12" t="inlineStr">
        <is>
          <t>ARIZ</t>
        </is>
      </c>
      <c r="E91" s="22" t="n">
        <v>7</v>
      </c>
      <c r="F91" s="22" t="n">
        <v>35</v>
      </c>
      <c r="G91" s="12" t="inlineStr">
        <is>
          <t>Final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PRST</t>
        </is>
      </c>
      <c r="D92" s="17" t="inlineStr">
        <is>
          <t>SDSU</t>
        </is>
      </c>
      <c r="E92" s="25" t="n">
        <v>20</v>
      </c>
      <c r="F92" s="25" t="n">
        <v>53</v>
      </c>
      <c r="G92" s="17" t="inlineStr">
        <is>
          <t>Final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CLEM</t>
        </is>
      </c>
      <c r="D93" s="12" t="inlineStr">
        <is>
          <t>LSU</t>
        </is>
      </c>
      <c r="E93" s="22" t="n">
        <v>10</v>
      </c>
      <c r="F93" s="22" t="n">
        <v>51</v>
      </c>
      <c r="G93" s="12" t="inlineStr">
        <is>
          <t>Final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7</v>
      </c>
      <c r="F94" s="25" t="n">
        <v>70</v>
      </c>
      <c r="G94" s="17" t="inlineStr">
        <is>
          <t>Final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21</v>
      </c>
      <c r="F95" s="22" t="n">
        <v>6</v>
      </c>
      <c r="G95" s="12" t="inlineStr">
        <is>
          <t>Final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7</v>
      </c>
      <c r="F96" s="25" t="n">
        <v>38</v>
      </c>
      <c r="G96" s="17" t="inlineStr">
        <is>
          <t>Final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52</v>
      </c>
      <c r="G97" s="12" t="inlineStr">
        <is>
          <t>Final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45</v>
      </c>
      <c r="F98" s="25" t="n">
        <v>24</v>
      </c>
      <c r="G98" s="17" t="inlineStr">
        <is>
          <t>Final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14</v>
      </c>
      <c r="F99" s="22" t="n">
        <v>49</v>
      </c>
      <c r="G99" s="12" t="inlineStr">
        <is>
          <t>Final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10</v>
      </c>
      <c r="F100" s="25" t="n">
        <v>24</v>
      </c>
      <c r="G100" s="17" t="inlineStr">
        <is>
          <t>Final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38</v>
      </c>
      <c r="F101" s="22" t="n">
        <v>41</v>
      </c>
      <c r="G101" s="12" t="inlineStr">
        <is>
          <t>Final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13</v>
      </c>
      <c r="F102" s="25" t="n">
        <v>41</v>
      </c>
      <c r="G102" s="17" t="inlineStr">
        <is>
          <t>Final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3</v>
      </c>
      <c r="J103" s="29" t="n">
        <v>53.5</v>
      </c>
      <c r="K103" s="13" t="n">
        <v>-155</v>
      </c>
      <c r="L103" s="13" t="n">
        <v>130</v>
      </c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>
        <v>-3.5</v>
      </c>
      <c r="J108" s="30" t="n">
        <v>54.5</v>
      </c>
      <c r="K108" s="18" t="n">
        <v>145</v>
      </c>
      <c r="L108" s="18" t="n">
        <v>-175</v>
      </c>
      <c r="M108" s="17" t="inlineStr">
        <is>
          <t>DraftKings</t>
        </is>
      </c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6.5</v>
      </c>
      <c r="J109" s="29" t="n">
        <v>50.5</v>
      </c>
      <c r="K109" s="13" t="n">
        <v>-238</v>
      </c>
      <c r="L109" s="13" t="n">
        <v>195</v>
      </c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6</v>
      </c>
      <c r="J110" s="30" t="n">
        <v>43.5</v>
      </c>
      <c r="K110" s="18" t="n">
        <v>-238</v>
      </c>
      <c r="L110" s="18" t="n">
        <v>195</v>
      </c>
      <c r="M110" s="17" t="inlineStr">
        <is>
          <t>DraftKings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-14</v>
      </c>
      <c r="J111" s="29" t="n">
        <v>51.5</v>
      </c>
      <c r="K111" s="13" t="n">
        <v>440</v>
      </c>
      <c r="L111" s="13" t="n">
        <v>-600</v>
      </c>
      <c r="M111" s="12" t="inlineStr">
        <is>
          <t>DraftKings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-17.5</v>
      </c>
      <c r="J112" s="30" t="n">
        <v>50.5</v>
      </c>
      <c r="K112" s="18" t="n">
        <v>800</v>
      </c>
      <c r="L112" s="18" t="n">
        <v>-1350</v>
      </c>
      <c r="M112" s="17" t="inlineStr">
        <is>
          <t>DraftKings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22.5</v>
      </c>
      <c r="J113" s="29" t="n">
        <v>57.5</v>
      </c>
      <c r="K113" s="13" t="n">
        <v>-2100</v>
      </c>
      <c r="L113" s="13" t="n">
        <v>1100</v>
      </c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-17.5</v>
      </c>
      <c r="J115" s="29" t="n">
        <v>50.5</v>
      </c>
      <c r="K115" s="13" t="n">
        <v>700</v>
      </c>
      <c r="L115" s="13" t="n">
        <v>-1100</v>
      </c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>
        <v>4.5</v>
      </c>
      <c r="J116" s="30" t="n">
        <v>50.5</v>
      </c>
      <c r="K116" s="18" t="n">
        <v>-198</v>
      </c>
      <c r="L116" s="18" t="n">
        <v>164</v>
      </c>
      <c r="M116" s="17" t="inlineStr">
        <is>
          <t>DraftKings</t>
        </is>
      </c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>
        <v>23.5</v>
      </c>
      <c r="J118" s="30" t="n">
        <v>49.5</v>
      </c>
      <c r="K118" s="18" t="n">
        <v>-2800</v>
      </c>
      <c r="L118" s="18" t="n">
        <v>1300</v>
      </c>
      <c r="M118" s="17" t="inlineStr">
        <is>
          <t>DraftKings</t>
        </is>
      </c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>
        <v>-3.5</v>
      </c>
      <c r="J119" s="29" t="n">
        <v>48.5</v>
      </c>
      <c r="K119" s="13" t="n">
        <v>154</v>
      </c>
      <c r="L119" s="13" t="n">
        <v>-185</v>
      </c>
      <c r="M119" s="12" t="inlineStr">
        <is>
          <t>DraftKings</t>
        </is>
      </c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>
        <v>-8.5</v>
      </c>
      <c r="J120" s="30" t="n">
        <v>56.5</v>
      </c>
      <c r="K120" s="18" t="n">
        <v>260</v>
      </c>
      <c r="L120" s="18" t="n">
        <v>-325</v>
      </c>
      <c r="M120" s="17" t="inlineStr">
        <is>
          <t>DraftKings</t>
        </is>
      </c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WKU</t>
        </is>
      </c>
      <c r="D122" s="17" t="inlineStr">
        <is>
          <t>UGA</t>
        </is>
      </c>
      <c r="E122" s="25" t="n">
        <v>0</v>
      </c>
      <c r="F122" s="25" t="n">
        <v>0</v>
      </c>
      <c r="G122" s="17" t="inlineStr">
        <is>
          <t>9/12 - 12:45 PM EDT</t>
        </is>
      </c>
      <c r="H122" s="17" t="inlineStr"/>
      <c r="I122" s="26" t="n">
        <v>-40.5</v>
      </c>
      <c r="J122" s="30" t="n">
        <v>54.5</v>
      </c>
      <c r="K122" s="18" t="n"/>
      <c r="L122" s="18" t="n"/>
      <c r="M122" s="17" t="inlineStr">
        <is>
          <t>DraftKings</t>
        </is>
      </c>
    </row>
    <row r="123">
      <c r="A123" s="12" t="inlineStr">
        <is>
          <t>2026-09-12</t>
        </is>
      </c>
      <c r="B123" s="22" t="n">
        <v>2</v>
      </c>
      <c r="C123" s="12" t="inlineStr">
        <is>
          <t>UTM</t>
        </is>
      </c>
      <c r="D123" s="12" t="inlineStr">
        <is>
          <t>WVU</t>
        </is>
      </c>
      <c r="E123" s="22" t="n">
        <v>0</v>
      </c>
      <c r="F123" s="22" t="n">
        <v>0</v>
      </c>
      <c r="G123" s="12" t="inlineStr">
        <is>
          <t>9/12 - 1:00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COLG</t>
        </is>
      </c>
      <c r="D124" s="17" t="inlineStr">
        <is>
          <t>CMU</t>
        </is>
      </c>
      <c r="E124" s="25" t="n">
        <v>0</v>
      </c>
      <c r="F124" s="25" t="n">
        <v>0</v>
      </c>
      <c r="G124" s="17" t="inlineStr">
        <is>
          <t>9/12 - 1:00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HC</t>
        </is>
      </c>
      <c r="D125" s="12" t="inlineStr">
        <is>
          <t>M-OH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STBK</t>
        </is>
      </c>
      <c r="D126" s="17" t="inlineStr">
        <is>
          <t>BALL</t>
        </is>
      </c>
      <c r="E126" s="25" t="n">
        <v>0</v>
      </c>
      <c r="F126" s="25" t="n">
        <v>0</v>
      </c>
      <c r="G126" s="17" t="inlineStr">
        <is>
          <t>9/12 - 2:00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ALA</t>
        </is>
      </c>
      <c r="D127" s="12" t="inlineStr">
        <is>
          <t>UK</t>
        </is>
      </c>
      <c r="E127" s="22" t="n">
        <v>0</v>
      </c>
      <c r="F127" s="22" t="n">
        <v>0</v>
      </c>
      <c r="G127" s="12" t="inlineStr">
        <is>
          <t>9/12 - 3:30 PM EDT</t>
        </is>
      </c>
      <c r="H127" s="12" t="inlineStr"/>
      <c r="I127" s="23" t="n">
        <v>10</v>
      </c>
      <c r="J127" s="29" t="n">
        <v>49.5</v>
      </c>
      <c r="K127" s="13" t="n">
        <v>-410</v>
      </c>
      <c r="L127" s="13" t="n">
        <v>320</v>
      </c>
      <c r="M127" s="12" t="inlineStr">
        <is>
          <t>DraftKings</t>
        </is>
      </c>
    </row>
    <row r="128">
      <c r="A128" s="17" t="inlineStr">
        <is>
          <t>2026-09-12</t>
        </is>
      </c>
      <c r="B128" s="25" t="n">
        <v>2</v>
      </c>
      <c r="C128" s="17" t="inlineStr">
        <is>
          <t>MSST</t>
        </is>
      </c>
      <c r="D128" s="17" t="inlineStr">
        <is>
          <t>MINN</t>
        </is>
      </c>
      <c r="E128" s="25" t="n">
        <v>0</v>
      </c>
      <c r="F128" s="25" t="n">
        <v>0</v>
      </c>
      <c r="G128" s="17" t="inlineStr">
        <is>
          <t>9/12 - 3:30 PM EDT</t>
        </is>
      </c>
      <c r="H128" s="17" t="inlineStr"/>
      <c r="I128" s="26" t="n">
        <v>1.5</v>
      </c>
      <c r="J128" s="30" t="n">
        <v>55.5</v>
      </c>
      <c r="K128" s="18" t="n">
        <v>-120</v>
      </c>
      <c r="L128" s="18" t="n">
        <v>100</v>
      </c>
      <c r="M128" s="17" t="inlineStr">
        <is>
          <t>DraftKings</t>
        </is>
      </c>
    </row>
    <row r="129">
      <c r="A129" s="12" t="inlineStr">
        <is>
          <t>2026-09-12</t>
        </is>
      </c>
      <c r="B129" s="22" t="n">
        <v>2</v>
      </c>
      <c r="C129" s="12" t="inlineStr">
        <is>
          <t>WEB</t>
        </is>
      </c>
      <c r="D129" s="12" t="inlineStr">
        <is>
          <t>COLO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UCF</t>
        </is>
      </c>
      <c r="D130" s="17" t="inlineStr">
        <is>
          <t>PITT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>
        <v>-7.5</v>
      </c>
      <c r="J130" s="30" t="n">
        <v>57.5</v>
      </c>
      <c r="K130" s="18" t="n">
        <v>240</v>
      </c>
      <c r="L130" s="18" t="n">
        <v>-298</v>
      </c>
      <c r="M130" s="17" t="inlineStr">
        <is>
          <t>DraftKings</t>
        </is>
      </c>
    </row>
    <row r="131">
      <c r="A131" s="12" t="inlineStr">
        <is>
          <t>2026-09-12</t>
        </is>
      </c>
      <c r="B131" s="22" t="n">
        <v>2</v>
      </c>
      <c r="C131" s="12" t="inlineStr">
        <is>
          <t>ARIZ</t>
        </is>
      </c>
      <c r="D131" s="12" t="inlineStr">
        <is>
          <t>BYU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>
        <v>-7.5</v>
      </c>
      <c r="J131" s="29" t="n">
        <v>50.5</v>
      </c>
      <c r="K131" s="13" t="n">
        <v>230</v>
      </c>
      <c r="L131" s="13" t="n">
        <v>-285</v>
      </c>
      <c r="M131" s="12" t="inlineStr">
        <is>
          <t>DraftKings</t>
        </is>
      </c>
    </row>
    <row r="132">
      <c r="A132" s="17" t="inlineStr">
        <is>
          <t>2026-09-12</t>
        </is>
      </c>
      <c r="B132" s="25" t="n">
        <v>2</v>
      </c>
      <c r="C132" s="17" t="inlineStr">
        <is>
          <t>CAL</t>
        </is>
      </c>
      <c r="D132" s="17" t="inlineStr">
        <is>
          <t>SYR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>
        <v>-3</v>
      </c>
      <c r="J132" s="30" t="n">
        <v>56.5</v>
      </c>
      <c r="K132" s="18" t="n">
        <v>136</v>
      </c>
      <c r="L132" s="18" t="n">
        <v>-162</v>
      </c>
      <c r="M132" s="17" t="inlineStr">
        <is>
          <t>DraftKings</t>
        </is>
      </c>
    </row>
    <row r="133">
      <c r="A133" s="12" t="inlineStr">
        <is>
          <t>2026-09-12</t>
        </is>
      </c>
      <c r="B133" s="22" t="n">
        <v>2</v>
      </c>
      <c r="C133" s="12" t="inlineStr">
        <is>
          <t>DUKE</t>
        </is>
      </c>
      <c r="D133" s="12" t="inlineStr">
        <is>
          <t>ILL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>
        <v>-6.5</v>
      </c>
      <c r="J133" s="29" t="n">
        <v>53.5</v>
      </c>
      <c r="K133" s="13" t="n">
        <v>190</v>
      </c>
      <c r="L133" s="13" t="n">
        <v>-230</v>
      </c>
      <c r="M133" s="12" t="inlineStr">
        <is>
          <t>DraftKings</t>
        </is>
      </c>
    </row>
    <row r="134">
      <c r="A134" s="17" t="inlineStr">
        <is>
          <t>2026-09-12</t>
        </is>
      </c>
      <c r="B134" s="25" t="n">
        <v>2</v>
      </c>
      <c r="C134" s="17" t="inlineStr">
        <is>
          <t>EMU</t>
        </is>
      </c>
      <c r="D134" s="17" t="inlineStr">
        <is>
          <t>MSU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>
        <v>-17.5</v>
      </c>
      <c r="J134" s="30" t="n">
        <v>50.5</v>
      </c>
      <c r="K134" s="18" t="n">
        <v>600</v>
      </c>
      <c r="L134" s="18" t="n">
        <v>-900</v>
      </c>
      <c r="M134" s="17" t="inlineStr">
        <is>
          <t>DraftKings</t>
        </is>
      </c>
    </row>
    <row r="135">
      <c r="A135" s="12" t="inlineStr">
        <is>
          <t>2026-09-12</t>
        </is>
      </c>
      <c r="B135" s="22" t="n">
        <v>2</v>
      </c>
      <c r="C135" s="12" t="inlineStr">
        <is>
          <t>MD</t>
        </is>
      </c>
      <c r="D135" s="12" t="inlineStr">
        <is>
          <t>CONN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>
        <v>12.5</v>
      </c>
      <c r="J135" s="29" t="n">
        <v>53.5</v>
      </c>
      <c r="K135" s="13" t="n">
        <v>-470</v>
      </c>
      <c r="L135" s="13" t="n">
        <v>360</v>
      </c>
      <c r="M135" s="12" t="inlineStr">
        <is>
          <t>DraftKings</t>
        </is>
      </c>
    </row>
    <row r="136">
      <c r="A136" s="17" t="inlineStr">
        <is>
          <t>2026-09-12</t>
        </is>
      </c>
      <c r="B136" s="25" t="n">
        <v>2</v>
      </c>
      <c r="C136" s="17" t="inlineStr">
        <is>
          <t>USU</t>
        </is>
      </c>
      <c r="D136" s="17" t="inlineStr">
        <is>
          <t>WASH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>
        <v>-26.5</v>
      </c>
      <c r="J136" s="30" t="n">
        <v>55.5</v>
      </c>
      <c r="K136" s="18" t="n">
        <v>1600</v>
      </c>
      <c r="L136" s="18" t="n">
        <v>-4000</v>
      </c>
      <c r="M136" s="17" t="inlineStr">
        <is>
          <t>DraftKings</t>
        </is>
      </c>
    </row>
    <row r="137">
      <c r="A137" s="12" t="inlineStr">
        <is>
          <t>2026-09-12</t>
        </is>
      </c>
      <c r="B137" s="22" t="n">
        <v>2</v>
      </c>
      <c r="C137" s="12" t="inlineStr">
        <is>
          <t>RICE</t>
        </is>
      </c>
      <c r="D137" s="12" t="inlineStr">
        <is>
          <t>ND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>
        <v>-44.5</v>
      </c>
      <c r="J137" s="29" t="n">
        <v>54.5</v>
      </c>
      <c r="K137" s="13" t="n"/>
      <c r="L137" s="13" t="n"/>
      <c r="M137" s="12" t="inlineStr">
        <is>
          <t>DraftKings</t>
        </is>
      </c>
    </row>
    <row r="138">
      <c r="A138" s="17" t="inlineStr">
        <is>
          <t>2026-09-12</t>
        </is>
      </c>
      <c r="B138" s="25" t="n">
        <v>2</v>
      </c>
      <c r="C138" s="17" t="inlineStr">
        <is>
          <t>UTSA</t>
        </is>
      </c>
      <c r="D138" s="17" t="inlineStr">
        <is>
          <t>TXST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>
        <v>-1.5</v>
      </c>
      <c r="J138" s="30" t="n">
        <v>64.5</v>
      </c>
      <c r="K138" s="18" t="n">
        <v>-115</v>
      </c>
      <c r="L138" s="18" t="n">
        <v>-105</v>
      </c>
      <c r="M138" s="17" t="inlineStr">
        <is>
          <t>DraftKings</t>
        </is>
      </c>
    </row>
    <row r="139">
      <c r="A139" s="12" t="inlineStr">
        <is>
          <t>2026-09-12</t>
        </is>
      </c>
      <c r="B139" s="22" t="n">
        <v>2</v>
      </c>
      <c r="C139" s="12" t="inlineStr">
        <is>
          <t>ULM</t>
        </is>
      </c>
      <c r="D139" s="12" t="inlineStr">
        <is>
          <t>UAB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>
        <v>-10.5</v>
      </c>
      <c r="J139" s="29" t="n">
        <v>55.5</v>
      </c>
      <c r="K139" s="13" t="n">
        <v>330</v>
      </c>
      <c r="L139" s="13" t="n">
        <v>-425</v>
      </c>
      <c r="M139" s="12" t="inlineStr">
        <is>
          <t>DraftKings</t>
        </is>
      </c>
    </row>
    <row r="140">
      <c r="A140" s="17" t="inlineStr">
        <is>
          <t>2026-09-12</t>
        </is>
      </c>
      <c r="B140" s="25" t="n">
        <v>2</v>
      </c>
      <c r="C140" s="17" t="inlineStr">
        <is>
          <t>RMU</t>
        </is>
      </c>
      <c r="D140" s="17" t="inlineStr">
        <is>
          <t>AKR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CCSU</t>
        </is>
      </c>
      <c r="D141" s="12" t="inlineStr">
        <is>
          <t>TOL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SHU</t>
        </is>
      </c>
      <c r="D142" s="17" t="inlineStr">
        <is>
          <t>MASS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WAG</t>
        </is>
      </c>
      <c r="D143" s="12" t="inlineStr">
        <is>
          <t>JMU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UNLV</t>
        </is>
      </c>
      <c r="D144" s="17" t="inlineStr">
        <is>
          <t>UNT</t>
        </is>
      </c>
      <c r="E144" s="25" t="n">
        <v>0</v>
      </c>
      <c r="F144" s="25" t="n">
        <v>0</v>
      </c>
      <c r="G144" s="17" t="inlineStr">
        <is>
          <t>9/12 - 3:45 PM EDT</t>
        </is>
      </c>
      <c r="H144" s="17" t="inlineStr"/>
      <c r="I144" s="26" t="n">
        <v>4.5</v>
      </c>
      <c r="J144" s="30" t="n">
        <v>57.5</v>
      </c>
      <c r="K144" s="18" t="n">
        <v>-185</v>
      </c>
      <c r="L144" s="18" t="n">
        <v>154</v>
      </c>
      <c r="M144" s="17" t="inlineStr">
        <is>
          <t>DraftKings</t>
        </is>
      </c>
    </row>
    <row r="145">
      <c r="A145" s="12" t="inlineStr">
        <is>
          <t>2026-09-12</t>
        </is>
      </c>
      <c r="B145" s="22" t="n">
        <v>2</v>
      </c>
      <c r="C145" s="12" t="inlineStr">
        <is>
          <t>UCD</t>
        </is>
      </c>
      <c r="D145" s="12" t="inlineStr">
        <is>
          <t>SMU</t>
        </is>
      </c>
      <c r="E145" s="22" t="n">
        <v>0</v>
      </c>
      <c r="F145" s="22" t="n">
        <v>0</v>
      </c>
      <c r="G145" s="12" t="inlineStr">
        <is>
          <t>9/12 - 4:00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UNCO</t>
        </is>
      </c>
      <c r="D146" s="17" t="inlineStr">
        <is>
          <t>WYO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MERC</t>
        </is>
      </c>
      <c r="D147" s="12" t="inlineStr">
        <is>
          <t>UNM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ALST</t>
        </is>
      </c>
      <c r="D148" s="17" t="inlineStr">
        <is>
          <t>TROY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DEL</t>
        </is>
      </c>
      <c r="D149" s="12" t="inlineStr">
        <is>
          <t>VAN</t>
        </is>
      </c>
      <c r="E149" s="22" t="n">
        <v>0</v>
      </c>
      <c r="F149" s="22" t="n">
        <v>0</v>
      </c>
      <c r="G149" s="12" t="inlineStr">
        <is>
          <t>9/12 - 4:15 PM EDT</t>
        </is>
      </c>
      <c r="H149" s="12" t="inlineStr"/>
      <c r="I149" s="23" t="n">
        <v>-20.5</v>
      </c>
      <c r="J149" s="29" t="n">
        <v>53.5</v>
      </c>
      <c r="K149" s="13" t="n">
        <v>900</v>
      </c>
      <c r="L149" s="13" t="n">
        <v>-1600</v>
      </c>
      <c r="M149" s="12" t="inlineStr">
        <is>
          <t>DraftKings</t>
        </is>
      </c>
    </row>
    <row r="150">
      <c r="A150" s="17" t="inlineStr">
        <is>
          <t>2026-09-12</t>
        </is>
      </c>
      <c r="B150" s="25" t="n">
        <v>2</v>
      </c>
      <c r="C150" s="17" t="inlineStr">
        <is>
          <t>CAM</t>
        </is>
      </c>
      <c r="D150" s="17" t="inlineStr">
        <is>
          <t>FLA</t>
        </is>
      </c>
      <c r="E150" s="25" t="n">
        <v>0</v>
      </c>
      <c r="F150" s="25" t="n">
        <v>0</v>
      </c>
      <c r="G150" s="17" t="inlineStr">
        <is>
          <t>9/12 - 5:30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MEM</t>
        </is>
      </c>
      <c r="D151" s="12" t="inlineStr">
        <is>
          <t>BOIS</t>
        </is>
      </c>
      <c r="E151" s="22" t="n">
        <v>0</v>
      </c>
      <c r="F151" s="22" t="n">
        <v>0</v>
      </c>
      <c r="G151" s="12" t="inlineStr">
        <is>
          <t>9/12 - 6:00 PM EDT</t>
        </is>
      </c>
      <c r="H151" s="12" t="inlineStr"/>
      <c r="I151" s="23" t="n">
        <v>-7.5</v>
      </c>
      <c r="J151" s="29" t="n">
        <v>55.5</v>
      </c>
      <c r="K151" s="13" t="n">
        <v>260</v>
      </c>
      <c r="L151" s="13" t="n">
        <v>-325</v>
      </c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BUFF</t>
        </is>
      </c>
      <c r="D152" s="17" t="inlineStr">
        <is>
          <t>FIU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>
        <v>-10.5</v>
      </c>
      <c r="J152" s="30" t="n">
        <v>47.5</v>
      </c>
      <c r="K152" s="18" t="n">
        <v>340</v>
      </c>
      <c r="L152" s="18" t="n">
        <v>-440</v>
      </c>
      <c r="M152" s="17" t="inlineStr">
        <is>
          <t>DraftKings</t>
        </is>
      </c>
    </row>
    <row r="153">
      <c r="A153" s="12" t="inlineStr">
        <is>
          <t>2026-09-12</t>
        </is>
      </c>
      <c r="B153" s="22" t="n">
        <v>2</v>
      </c>
      <c r="C153" s="12" t="inlineStr">
        <is>
          <t>JVST</t>
        </is>
      </c>
      <c r="D153" s="12" t="inlineStr">
        <is>
          <t>OHIO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>
        <v>-2.5</v>
      </c>
      <c r="J153" s="29" t="n">
        <v>51.5</v>
      </c>
      <c r="K153" s="13" t="n">
        <v>110</v>
      </c>
      <c r="L153" s="13" t="n">
        <v>-130</v>
      </c>
      <c r="M153" s="12" t="inlineStr">
        <is>
          <t>DraftKings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GWEB</t>
        </is>
      </c>
      <c r="D154" s="17" t="inlineStr">
        <is>
          <t>LIB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>
        <v>13.5</v>
      </c>
      <c r="J157" s="29" t="n">
        <v>55.5</v>
      </c>
      <c r="K157" s="13" t="n">
        <v>-575</v>
      </c>
      <c r="L157" s="13" t="n">
        <v>425</v>
      </c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>
        <v>-28.5</v>
      </c>
      <c r="J160" s="30" t="n">
        <v>51.5</v>
      </c>
      <c r="K160" s="18" t="n">
        <v>2200</v>
      </c>
      <c r="L160" s="18" t="n">
        <v>-8000</v>
      </c>
      <c r="M160" s="17" t="inlineStr">
        <is>
          <t>DraftKings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>
        <v>13.5</v>
      </c>
      <c r="J162" s="30" t="n">
        <v>51.5</v>
      </c>
      <c r="K162" s="18" t="n">
        <v>-600</v>
      </c>
      <c r="L162" s="18" t="n">
        <v>440</v>
      </c>
      <c r="M162" s="17" t="inlineStr">
        <is>
          <t>DraftKings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>
        <v>-10.5</v>
      </c>
      <c r="J164" s="30" t="n">
        <v>50.5</v>
      </c>
      <c r="K164" s="18" t="n">
        <v>320</v>
      </c>
      <c r="L164" s="18" t="n">
        <v>-410</v>
      </c>
      <c r="M164" s="17" t="inlineStr">
        <is>
          <t>DraftKings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>
        <v>-8.5</v>
      </c>
      <c r="J166" s="30" t="n">
        <v>52.5</v>
      </c>
      <c r="K166" s="18" t="n">
        <v>260</v>
      </c>
      <c r="L166" s="18" t="n">
        <v>-325</v>
      </c>
      <c r="M166" s="17" t="inlineStr">
        <is>
          <t>DraftKings</t>
        </is>
      </c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>
        <v>-14</v>
      </c>
      <c r="J167" s="29" t="n">
        <v>57.5</v>
      </c>
      <c r="K167" s="13" t="n">
        <v>455</v>
      </c>
      <c r="L167" s="13" t="n">
        <v>-625</v>
      </c>
      <c r="M167" s="12" t="inlineStr">
        <is>
          <t>DraftKings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>
        <v>-11.5</v>
      </c>
      <c r="J169" s="29" t="n">
        <v>53.5</v>
      </c>
      <c r="K169" s="13" t="n">
        <v>360</v>
      </c>
      <c r="L169" s="13" t="n">
        <v>-470</v>
      </c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48.5</v>
      </c>
      <c r="K171" s="13" t="n">
        <v>-105</v>
      </c>
      <c r="L171" s="13" t="n">
        <v>-115</v>
      </c>
      <c r="M171" s="12" t="inlineStr">
        <is>
          <t>DraftKings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>
        <v>26.5</v>
      </c>
      <c r="J172" s="30" t="n">
        <v>51.5</v>
      </c>
      <c r="K172" s="18" t="n">
        <v>-3600</v>
      </c>
      <c r="L172" s="18" t="n">
        <v>1500</v>
      </c>
      <c r="M172" s="17" t="inlineStr">
        <is>
          <t>DraftKings</t>
        </is>
      </c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-14</v>
      </c>
      <c r="J173" s="29" t="n">
        <v>41.5</v>
      </c>
      <c r="K173" s="13" t="n">
        <v>470</v>
      </c>
      <c r="L173" s="13" t="n">
        <v>-650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>
        <v>-21</v>
      </c>
      <c r="J174" s="30" t="n">
        <v>55.5</v>
      </c>
      <c r="K174" s="18" t="n">
        <v>800</v>
      </c>
      <c r="L174" s="18" t="n">
        <v>-1350</v>
      </c>
      <c r="M174" s="17" t="inlineStr">
        <is>
          <t>DraftKings</t>
        </is>
      </c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5.5</v>
      </c>
      <c r="J175" s="29" t="n">
        <v>59.5</v>
      </c>
      <c r="K175" s="13" t="n">
        <v>-218</v>
      </c>
      <c r="L175" s="13" t="n">
        <v>180</v>
      </c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>
        <v>-34.5</v>
      </c>
      <c r="J176" s="30" t="n">
        <v>55.5</v>
      </c>
      <c r="K176" s="18" t="n">
        <v>3500</v>
      </c>
      <c r="L176" s="18" t="n">
        <v>-20000</v>
      </c>
      <c r="M176" s="17" t="inlineStr">
        <is>
          <t>DraftKings</t>
        </is>
      </c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>
        <v>-30.5</v>
      </c>
      <c r="J178" s="30" t="n">
        <v>53.5</v>
      </c>
      <c r="K178" s="18" t="n">
        <v>2200</v>
      </c>
      <c r="L178" s="18" t="n">
        <v>-8000</v>
      </c>
      <c r="M178" s="17" t="inlineStr">
        <is>
          <t>DraftKings</t>
        </is>
      </c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>
        <v>-47.5</v>
      </c>
      <c r="J179" s="29" t="n">
        <v>61.5</v>
      </c>
      <c r="K179" s="13" t="n"/>
      <c r="L179" s="13" t="n"/>
      <c r="M179" s="12" t="inlineStr">
        <is>
          <t>DraftKings</t>
        </is>
      </c>
    </row>
    <row r="180">
      <c r="A180" s="17" t="inlineStr">
        <is>
          <t>2026-09-13</t>
        </is>
      </c>
      <c r="B180" s="25" t="n">
        <v>2</v>
      </c>
      <c r="C180" s="17" t="inlineStr">
        <is>
          <t>PV</t>
        </is>
      </c>
      <c r="D180" s="17" t="inlineStr">
        <is>
          <t>BAY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GRAM</t>
        </is>
      </c>
      <c r="D181" s="12" t="inlineStr">
        <is>
          <t>TCU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>
        <v>3</v>
      </c>
      <c r="J184" s="30" t="n">
        <v>47.5</v>
      </c>
      <c r="K184" s="18" t="n">
        <v>-162</v>
      </c>
      <c r="L184" s="18" t="n">
        <v>136</v>
      </c>
      <c r="M184" s="17" t="inlineStr">
        <is>
          <t>DraftKings</t>
        </is>
      </c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-12.5</v>
      </c>
      <c r="J185" s="29" t="n">
        <v>56.5</v>
      </c>
      <c r="K185" s="13" t="n">
        <v>380</v>
      </c>
      <c r="L185" s="13" t="n">
        <v>-500</v>
      </c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>
        <v>-18.5</v>
      </c>
      <c r="J186" s="30" t="n">
        <v>45.5</v>
      </c>
      <c r="K186" s="18" t="n">
        <v>625</v>
      </c>
      <c r="L186" s="18" t="n">
        <v>-950</v>
      </c>
      <c r="M186" s="17" t="inlineStr">
        <is>
          <t>DraftKings</t>
        </is>
      </c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>
        <v>-30.5</v>
      </c>
      <c r="J188" s="30" t="n">
        <v>60.5</v>
      </c>
      <c r="K188" s="18" t="n">
        <v>3000</v>
      </c>
      <c r="L188" s="18" t="n">
        <v>-10000</v>
      </c>
      <c r="M188" s="17" t="inlineStr">
        <is>
          <t>DraftKings</t>
        </is>
      </c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>
        <v>-9.5</v>
      </c>
      <c r="J189" s="29" t="n">
        <v>50.5</v>
      </c>
      <c r="K189" s="13" t="n">
        <v>300</v>
      </c>
      <c r="L189" s="13" t="n">
        <v>-380</v>
      </c>
      <c r="M189" s="12" t="inlineStr">
        <is>
          <t>DraftKings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5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6</v>
      </c>
      <c r="C5" s="15" t="n">
        <v>0.3303</v>
      </c>
      <c r="D5" s="15" t="n">
        <v>0</v>
      </c>
      <c r="E5" s="14" t="n">
        <v>-0.3303</v>
      </c>
    </row>
    <row r="6">
      <c r="A6" s="17" t="inlineStr">
        <is>
          <t>50-55%</t>
        </is>
      </c>
      <c r="B6" s="25" t="n">
        <v>1</v>
      </c>
      <c r="C6" s="20" t="n">
        <v>0.5322</v>
      </c>
      <c r="D6" s="20" t="n">
        <v>0</v>
      </c>
      <c r="E6" s="19" t="n">
        <v>-0.5322</v>
      </c>
    </row>
    <row r="7">
      <c r="A7" s="12" t="inlineStr">
        <is>
          <t>55-60%</t>
        </is>
      </c>
      <c r="B7" s="22" t="n">
        <v>3</v>
      </c>
      <c r="C7" s="15" t="n">
        <v>0.5975</v>
      </c>
      <c r="D7" s="15" t="n">
        <v>0.6667</v>
      </c>
      <c r="E7" s="14" t="n">
        <v>0.06919999999999993</v>
      </c>
    </row>
    <row r="8">
      <c r="A8" s="17" t="inlineStr">
        <is>
          <t>60-65%</t>
        </is>
      </c>
      <c r="B8" s="25" t="n">
        <v>23</v>
      </c>
      <c r="C8" s="20" t="n">
        <v>0.6221</v>
      </c>
      <c r="D8" s="20" t="n">
        <v>0.4783</v>
      </c>
      <c r="E8" s="19" t="n">
        <v>-0.1438</v>
      </c>
    </row>
    <row r="9">
      <c r="A9" s="12" t="inlineStr">
        <is>
          <t>65-75%</t>
        </is>
      </c>
      <c r="B9" s="22" t="n">
        <v>1</v>
      </c>
      <c r="C9" s="15" t="n">
        <v>0.6563</v>
      </c>
      <c r="D9" s="15" t="n">
        <v>1</v>
      </c>
      <c r="E9" s="14" t="n">
        <v>0.3437</v>
      </c>
    </row>
    <row r="11">
      <c r="A11" s="3" t="inlineStr">
        <is>
          <t>Average CLV</t>
        </is>
      </c>
      <c r="B11" s="34" t="n">
        <v>0.007968571428571427</v>
      </c>
    </row>
    <row r="12">
      <c r="A12" s="3" t="inlineStr">
        <is>
          <t>Bets beating the close</t>
        </is>
      </c>
      <c r="B12" s="35" t="n">
        <v>0.4857142857142857</v>
      </c>
    </row>
    <row r="13">
      <c r="A13" s="3" t="inlineStr">
        <is>
          <t>Brier score</t>
        </is>
      </c>
      <c r="B13" s="36" t="n">
        <v>0.2361</v>
      </c>
    </row>
    <row r="14">
      <c r="A14" s="3" t="inlineStr">
        <is>
          <t>Settled bets</t>
        </is>
      </c>
      <c r="B14" s="37" t="n">
        <v>35</v>
      </c>
    </row>
    <row r="16">
      <c r="A16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7"/>
    <row r="18"/>
    <row r="19"/>
    <row r="20"/>
  </sheetData>
  <mergeCells count="1">
    <mergeCell ref="A16:E2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470</v>
      </c>
    </row>
    <row r="5">
      <c r="A5" s="3" t="inlineStr">
        <is>
          <t>Settled</t>
        </is>
      </c>
      <c r="B5" s="39" t="n">
        <v>296</v>
      </c>
    </row>
    <row r="6">
      <c r="A6" s="3" t="inlineStr">
        <is>
          <t>Pending</t>
        </is>
      </c>
      <c r="B6" s="39" t="n">
        <v>173</v>
      </c>
    </row>
    <row r="7">
      <c r="A7" s="3" t="inlineStr">
        <is>
          <t>Brier (all settled)</t>
        </is>
      </c>
      <c r="B7" s="40" t="n">
        <v>0.2541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20-30%</t>
        </is>
      </c>
      <c r="B11" s="22" t="n">
        <v>42</v>
      </c>
      <c r="C11" s="15" t="n">
        <v>0.25</v>
      </c>
      <c r="D11" s="15" t="n">
        <v>0</v>
      </c>
      <c r="E11" s="14" t="n">
        <v>-0.25</v>
      </c>
    </row>
    <row r="12">
      <c r="A12" s="17" t="inlineStr">
        <is>
          <t>30-40%</t>
        </is>
      </c>
      <c r="B12" s="25" t="n">
        <v>21</v>
      </c>
      <c r="C12" s="20" t="n">
        <v>0.35</v>
      </c>
      <c r="D12" s="20" t="n">
        <v>0.3333</v>
      </c>
      <c r="E12" s="19" t="n">
        <v>-0.01669999999999999</v>
      </c>
    </row>
    <row r="13">
      <c r="A13" s="12" t="inlineStr">
        <is>
          <t>40-50%</t>
        </is>
      </c>
      <c r="B13" s="22" t="n">
        <v>15</v>
      </c>
      <c r="C13" s="15" t="n">
        <v>0.45</v>
      </c>
      <c r="D13" s="15" t="n">
        <v>0.4667</v>
      </c>
      <c r="E13" s="14" t="n">
        <v>0.01669999999999999</v>
      </c>
    </row>
    <row r="14">
      <c r="A14" s="17" t="inlineStr">
        <is>
          <t>50-60%</t>
        </is>
      </c>
      <c r="B14" s="25" t="n">
        <v>105</v>
      </c>
      <c r="C14" s="20" t="n">
        <v>0.55</v>
      </c>
      <c r="D14" s="20" t="n">
        <v>0.5048</v>
      </c>
      <c r="E14" s="19" t="n">
        <v>-0.04520000000000002</v>
      </c>
    </row>
    <row r="15">
      <c r="A15" s="12" t="inlineStr">
        <is>
          <t>60-70%</t>
        </is>
      </c>
      <c r="B15" s="22" t="n">
        <v>41</v>
      </c>
      <c r="C15" s="15" t="n">
        <v>0.65</v>
      </c>
      <c r="D15" s="15" t="n">
        <v>0.439</v>
      </c>
      <c r="E15" s="14" t="n">
        <v>-0.211</v>
      </c>
    </row>
    <row r="16">
      <c r="A16" s="17" t="inlineStr">
        <is>
          <t>70-80%</t>
        </is>
      </c>
      <c r="B16" s="25" t="n">
        <v>68</v>
      </c>
      <c r="C16" s="20" t="n">
        <v>0.75</v>
      </c>
      <c r="D16" s="20" t="n">
        <v>0.3529</v>
      </c>
      <c r="E16" s="19" t="n">
        <v>-0.3971</v>
      </c>
    </row>
    <row r="18">
      <c r="A18" s="3" t="inlineStr">
        <is>
          <t>ACCURACY BY TIER</t>
        </is>
      </c>
    </row>
    <row r="19">
      <c r="A19" s="11" t="inlineStr">
        <is>
          <t>Tier</t>
        </is>
      </c>
      <c r="B19" s="11" t="inlineStr">
        <is>
          <t>N</t>
        </is>
      </c>
      <c r="C19" s="11" t="inlineStr">
        <is>
          <t>Win Rate</t>
        </is>
      </c>
    </row>
    <row r="20">
      <c r="A20" s="12" t="inlineStr">
        <is>
          <t>GOOD</t>
        </is>
      </c>
      <c r="B20" s="22" t="n">
        <v>1</v>
      </c>
      <c r="C20" s="15" t="n">
        <v>0</v>
      </c>
    </row>
    <row r="21">
      <c r="A21" s="17" t="inlineStr">
        <is>
          <t>LEAN</t>
        </is>
      </c>
      <c r="B21" s="25" t="n">
        <v>9</v>
      </c>
      <c r="C21" s="20" t="n">
        <v>0.4444</v>
      </c>
    </row>
    <row r="22">
      <c r="A22" s="12" t="inlineStr">
        <is>
          <t>PASS</t>
        </is>
      </c>
      <c r="B22" s="22" t="n">
        <v>286</v>
      </c>
      <c r="C22" s="15" t="n">
        <v>0.3706</v>
      </c>
    </row>
    <row r="24">
      <c r="A24" s="3" t="inlineStr">
        <is>
          <t>ACCURACY BY MARKET</t>
        </is>
      </c>
    </row>
    <row r="25">
      <c r="A25" s="11" t="inlineStr">
        <is>
          <t>Market</t>
        </is>
      </c>
      <c r="B25" s="11" t="inlineStr">
        <is>
          <t>N</t>
        </is>
      </c>
      <c r="C25" s="11" t="inlineStr">
        <is>
          <t>Win Rate</t>
        </is>
      </c>
      <c r="D25" s="11" t="inlineStr">
        <is>
          <t>Brier</t>
        </is>
      </c>
    </row>
    <row r="26">
      <c r="A26" s="12" t="inlineStr">
        <is>
          <t>ATS</t>
        </is>
      </c>
      <c r="B26" s="22" t="n">
        <v>100</v>
      </c>
      <c r="C26" s="15" t="n">
        <v>0.37</v>
      </c>
      <c r="D26" s="41" t="n">
        <v>0.3447</v>
      </c>
    </row>
    <row r="27">
      <c r="A27" s="17" t="inlineStr">
        <is>
          <t>ML</t>
        </is>
      </c>
      <c r="B27" s="25" t="n">
        <v>76</v>
      </c>
      <c r="C27" s="20" t="n">
        <v>0.1447</v>
      </c>
      <c r="D27" s="42" t="n">
        <v>0.1348</v>
      </c>
    </row>
    <row r="28">
      <c r="A28" s="12" t="inlineStr">
        <is>
          <t>TOTAL</t>
        </is>
      </c>
      <c r="B28" s="22" t="n">
        <v>120</v>
      </c>
      <c r="C28" s="15" t="n">
        <v>0.5167</v>
      </c>
      <c r="D28" s="41" t="n">
        <v>0.2541</v>
      </c>
    </row>
    <row r="30">
      <c r="A30" s="3" t="inlineStr">
        <is>
          <t>WEEK TREND</t>
        </is>
      </c>
    </row>
    <row r="31">
      <c r="A31" s="11" t="inlineStr">
        <is>
          <t>Week</t>
        </is>
      </c>
      <c r="B31" s="11" t="inlineStr">
        <is>
          <t>Predictions Settled</t>
        </is>
      </c>
      <c r="C31" s="11" t="inlineStr">
        <is>
          <t>Win Rate</t>
        </is>
      </c>
      <c r="D31" s="11" t="inlineStr">
        <is>
          <t>Brier</t>
        </is>
      </c>
    </row>
    <row r="32">
      <c r="A32" s="12" t="inlineStr">
        <is>
          <t>1</t>
        </is>
      </c>
      <c r="B32" s="22" t="n">
        <v>296</v>
      </c>
      <c r="C32" s="15" t="n">
        <v>0.3716</v>
      </c>
      <c r="D32" s="41" t="n">
        <v>0.2541</v>
      </c>
    </row>
    <row r="34">
      <c r="A34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5"/>
    <row r="36"/>
  </sheetData>
  <mergeCells count="1">
    <mergeCell ref="A34:E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2026-09-07T13:09:56Z</dcterms:created>
  <dcterms:modified xsi:type="dcterms:W3CDTF">2026-09-07T13:09:57Z</dcterms:modified>
</cp:coreProperties>
</file>
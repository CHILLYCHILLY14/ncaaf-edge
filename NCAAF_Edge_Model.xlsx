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126" headerRowCount="1">
  <autoFilter ref="A4:Q12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2026-08-25T15:27:48+00:00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Ledger'!$G$6:$G$9,"&lt;&gt;Pending",'Bet Ledger'!$H$6:$H$9)</f>
        <v/>
      </c>
    </row>
    <row r="6">
      <c r="A6" s="3" t="inlineStr">
        <is>
          <t>Total Staked</t>
        </is>
      </c>
      <c r="B6" s="5">
        <f>SUMIF('Bet Ledger'!$G$6:$G$9,"&lt;&gt;Pending",'Bet Ledger'!$F$6:$F$9)</f>
        <v/>
      </c>
    </row>
    <row r="7">
      <c r="A7" s="3" t="inlineStr">
        <is>
          <t>Profit / Loss</t>
        </is>
      </c>
      <c r="B7" s="5">
        <f>SUMIF('Bet Ledger'!$G$6:$G$9,"&lt;&gt;Pending",'Bet Ledger'!$H$6:$H$9)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Ledger'!$G$6:$G$9,"&lt;&gt;Pending",'Bet Ledger'!$G$6:$G$9,"&lt;&gt;")</f>
        <v/>
      </c>
    </row>
    <row r="10">
      <c r="A10" s="3" t="inlineStr">
        <is>
          <t>Wins</t>
        </is>
      </c>
      <c r="B10" s="7">
        <f>COUNTIF('Bet Ledger'!$G$6:$G$9,"Win")</f>
        <v/>
      </c>
    </row>
    <row r="11">
      <c r="A11" s="3" t="inlineStr">
        <is>
          <t>Losses</t>
        </is>
      </c>
      <c r="B11" s="7">
        <f>COUNTIF('Bet Ledger'!$G$6:$G$9,"Loss")</f>
        <v/>
      </c>
    </row>
    <row r="12">
      <c r="A12" s="3" t="inlineStr">
        <is>
          <t>Pushes</t>
        </is>
      </c>
      <c r="B12" s="7">
        <f>COUNTIF('Bet Ledger'!$G$6:$G$9,"Push")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Ledger'!$G$6:$G$9,"Pending")</f>
        <v/>
      </c>
    </row>
    <row r="15">
      <c r="A15" s="3" t="inlineStr">
        <is>
          <t>Live Plays On The Board</t>
        </is>
      </c>
      <c r="B15" s="7" t="n">
        <v>4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300</v>
      </c>
      <c r="F21" s="14" t="n">
        <v>0.1125135396003096</v>
      </c>
      <c r="G21" s="15" t="n">
        <v>0.3625135396003096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49.5</t>
        </is>
      </c>
      <c r="E22" s="18" t="n">
        <v>-105</v>
      </c>
      <c r="F22" s="19" t="n">
        <v>0.08339809109262664</v>
      </c>
      <c r="G22" s="20" t="n">
        <v>0.5955932130438462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-108</v>
      </c>
      <c r="F23" s="14" t="n">
        <v>0.08007721496452191</v>
      </c>
      <c r="G23" s="15" t="n">
        <v>0.5993079841952912</v>
      </c>
      <c r="H23" s="16" t="n"/>
      <c r="I23" s="12" t="inlineStr">
        <is>
          <t>2026-08-29 16:00</t>
        </is>
      </c>
    </row>
    <row r="24">
      <c r="A24" s="17" t="inlineStr">
        <is>
          <t>LEAN</t>
        </is>
      </c>
      <c r="B24" s="17" t="inlineStr">
        <is>
          <t>COLO @ GT</t>
        </is>
      </c>
      <c r="C24" s="17" t="inlineStr">
        <is>
          <t>TOTAL</t>
        </is>
      </c>
      <c r="D24" s="17" t="inlineStr">
        <is>
          <t>Over 50.5</t>
        </is>
      </c>
      <c r="E24" s="18" t="n">
        <v>-115</v>
      </c>
      <c r="F24" s="19" t="n">
        <v>0.07840427762989666</v>
      </c>
      <c r="G24" s="20" t="n">
        <v>0.6132879985601292</v>
      </c>
      <c r="H24" s="21" t="n"/>
      <c r="I24" s="17" t="inlineStr">
        <is>
          <t>2026-09-04 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300</v>
      </c>
      <c r="I5" s="15" t="n">
        <v>0.3625135396003096</v>
      </c>
      <c r="J5" s="15" t="n">
        <v>0.24</v>
      </c>
      <c r="K5" s="15" t="n">
        <v>0.25</v>
      </c>
      <c r="L5" s="14" t="n">
        <v>0.1125135396003096</v>
      </c>
      <c r="M5" s="14" t="n">
        <v>0.4500541584012385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49.5</t>
        </is>
      </c>
      <c r="G6" s="26" t="n">
        <v>49.5</v>
      </c>
      <c r="H6" s="18" t="n">
        <v>-105</v>
      </c>
      <c r="I6" s="20" t="n">
        <v>0.5955932130438462</v>
      </c>
      <c r="J6" s="20" t="n">
        <v>0.4891657638136511</v>
      </c>
      <c r="K6" s="20" t="n">
        <v>0.5121951219512195</v>
      </c>
      <c r="L6" s="19" t="n">
        <v>0.08339809109262664</v>
      </c>
      <c r="M6" s="19" t="n">
        <v>0.1628248445141758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-108</v>
      </c>
      <c r="I7" s="15" t="n">
        <v>0.5993079841952912</v>
      </c>
      <c r="J7" s="15" t="n">
        <v>0.4956702459300312</v>
      </c>
      <c r="K7" s="15" t="n">
        <v>0.5192307692307693</v>
      </c>
      <c r="L7" s="14" t="n">
        <v>0.08007721496452191</v>
      </c>
      <c r="M7" s="14" t="n">
        <v>0.1542227843761165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COLO @ GT</t>
        </is>
      </c>
      <c r="C8" s="17" t="inlineStr">
        <is>
          <t>2026-09-04 00:00</t>
        </is>
      </c>
      <c r="D8" s="25" t="n">
        <v>1</v>
      </c>
      <c r="E8" s="17" t="inlineStr">
        <is>
          <t>TOTAL</t>
        </is>
      </c>
      <c r="F8" s="17" t="inlineStr">
        <is>
          <t>Over 50.5</t>
        </is>
      </c>
      <c r="G8" s="26" t="n">
        <v>50.5</v>
      </c>
      <c r="H8" s="18" t="n">
        <v>-115</v>
      </c>
      <c r="I8" s="20" t="n">
        <v>0.6132879985601292</v>
      </c>
      <c r="J8" s="20" t="n">
        <v>0.5108342361863488</v>
      </c>
      <c r="K8" s="20" t="n">
        <v>0.5348837209302325</v>
      </c>
      <c r="L8" s="19" t="n">
        <v>0.07840427762989666</v>
      </c>
      <c r="M8" s="19" t="n">
        <v>0.1465819103515458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PASS</t>
        </is>
      </c>
      <c r="B9" s="12" t="inlineStr">
        <is>
          <t>INST @ PUR</t>
        </is>
      </c>
      <c r="C9" s="12" t="inlineStr">
        <is>
          <t>2026-09-04 23:00</t>
        </is>
      </c>
      <c r="D9" s="22" t="n">
        <v>1</v>
      </c>
      <c r="E9" s="12" t="inlineStr">
        <is>
          <t>ATS</t>
        </is>
      </c>
      <c r="F9" s="12" t="inlineStr">
        <is>
          <t>INST +35.5</t>
        </is>
      </c>
      <c r="G9" s="23" t="n">
        <v>-35.5</v>
      </c>
      <c r="H9" s="13" t="n">
        <v>-108</v>
      </c>
      <c r="I9" s="15" t="n">
        <v>0.7460391470401289</v>
      </c>
      <c r="J9" s="15" t="n">
        <v>0.4956702459300312</v>
      </c>
      <c r="K9" s="15" t="n">
        <v>0.5192307692307693</v>
      </c>
      <c r="L9" s="14" t="n">
        <v>0.2268083778093596</v>
      </c>
      <c r="M9" s="14" t="n">
        <v>0.4368161350402483</v>
      </c>
      <c r="N9" s="15" t="n">
        <v>0</v>
      </c>
      <c r="O9" s="24" t="n">
        <v>0.45</v>
      </c>
      <c r="P9" s="12" t="inlineStr">
        <is>
          <t>DraftKings</t>
        </is>
      </c>
      <c r="Q9" s="12" t="inlineStr">
        <is>
          <t>INST isn't a full FBS participant this season — model doesn't rate them reliably</t>
        </is>
      </c>
    </row>
    <row r="10">
      <c r="A10" s="17" t="inlineStr">
        <is>
          <t>PASS</t>
        </is>
      </c>
      <c r="B10" s="17" t="inlineStr">
        <is>
          <t>EIU @ MINN</t>
        </is>
      </c>
      <c r="C10" s="17" t="inlineStr">
        <is>
          <t>2026-09-04 00:00</t>
        </is>
      </c>
      <c r="D10" s="25" t="n">
        <v>1</v>
      </c>
      <c r="E10" s="17" t="inlineStr">
        <is>
          <t>ATS</t>
        </is>
      </c>
      <c r="F10" s="17" t="inlineStr">
        <is>
          <t>EIU +43.5</t>
        </is>
      </c>
      <c r="G10" s="26" t="n">
        <v>-43.5</v>
      </c>
      <c r="H10" s="18" t="n">
        <v>-110</v>
      </c>
      <c r="I10" s="20" t="n">
        <v>0.7496582967418151</v>
      </c>
      <c r="J10" s="20" t="n">
        <v>0.5</v>
      </c>
      <c r="K10" s="20" t="n">
        <v>0.5238095238095238</v>
      </c>
      <c r="L10" s="19" t="n">
        <v>0.2258487729322912</v>
      </c>
      <c r="M10" s="19" t="n">
        <v>0.4311658392343742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EIU isn't a full FBS participant this season — model doesn't rate them reliably</t>
        </is>
      </c>
    </row>
    <row r="11">
      <c r="A11" s="12" t="inlineStr">
        <is>
          <t>PASS</t>
        </is>
      </c>
      <c r="B11" s="12" t="inlineStr">
        <is>
          <t>SJSU @ USC</t>
        </is>
      </c>
      <c r="C11" s="12" t="inlineStr">
        <is>
          <t>2026-08-29 19:00</t>
        </is>
      </c>
      <c r="D11" s="22" t="n">
        <v>1</v>
      </c>
      <c r="E11" s="12" t="inlineStr">
        <is>
          <t>ATS</t>
        </is>
      </c>
      <c r="F11" s="12" t="inlineStr">
        <is>
          <t>SJSU +38.5</t>
        </is>
      </c>
      <c r="G11" s="23" t="n">
        <v>-38.5</v>
      </c>
      <c r="H11" s="13" t="n">
        <v>-110</v>
      </c>
      <c r="I11" s="15" t="n">
        <v>0.7476789160487953</v>
      </c>
      <c r="J11" s="15" t="n">
        <v>0.5</v>
      </c>
      <c r="K11" s="15" t="n">
        <v>0.5238095238095238</v>
      </c>
      <c r="L11" s="14" t="n">
        <v>0.2238693922392715</v>
      </c>
      <c r="M11" s="14" t="n">
        <v>0.4273870215477003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UAPB @ MIZ</t>
        </is>
      </c>
      <c r="C12" s="17" t="inlineStr">
        <is>
          <t>2026-09-04 00:00</t>
        </is>
      </c>
      <c r="D12" s="25" t="n">
        <v>1</v>
      </c>
      <c r="E12" s="17" t="inlineStr">
        <is>
          <t>ATS</t>
        </is>
      </c>
      <c r="F12" s="17" t="inlineStr">
        <is>
          <t>UAPB +54.5</t>
        </is>
      </c>
      <c r="G12" s="26" t="n">
        <v>-54.5</v>
      </c>
      <c r="H12" s="18" t="n">
        <v>-112</v>
      </c>
      <c r="I12" s="20" t="n">
        <v>0.7521468293620484</v>
      </c>
      <c r="J12" s="20" t="n">
        <v>0.5043297540699688</v>
      </c>
      <c r="K12" s="20" t="n">
        <v>0.5283018867924528</v>
      </c>
      <c r="L12" s="19" t="n">
        <v>0.2238449425695955</v>
      </c>
      <c r="M12" s="19" t="n">
        <v>0.4237064984353057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UAPB isn't a full FBS participant this season — model doesn't rate them reliably</t>
        </is>
      </c>
    </row>
    <row r="13">
      <c r="A13" s="12" t="inlineStr">
        <is>
          <t>PASS</t>
        </is>
      </c>
      <c r="B13" s="12" t="inlineStr">
        <is>
          <t>BCU @ UCF</t>
        </is>
      </c>
      <c r="C13" s="12" t="inlineStr">
        <is>
          <t>2026-09-03 23:00</t>
        </is>
      </c>
      <c r="D13" s="22" t="n">
        <v>1</v>
      </c>
      <c r="E13" s="12" t="inlineStr">
        <is>
          <t>ATS</t>
        </is>
      </c>
      <c r="F13" s="12" t="inlineStr">
        <is>
          <t>BCU +42.5</t>
        </is>
      </c>
      <c r="G13" s="23" t="n">
        <v>-42.5</v>
      </c>
      <c r="H13" s="13" t="n">
        <v>-115</v>
      </c>
      <c r="I13" s="15" t="n">
        <v>0.7550004312438716</v>
      </c>
      <c r="J13" s="15" t="n">
        <v>0.5108342361863488</v>
      </c>
      <c r="K13" s="15" t="n">
        <v>0.5348837209302325</v>
      </c>
      <c r="L13" s="14" t="n">
        <v>0.2201167103136391</v>
      </c>
      <c r="M13" s="14" t="n">
        <v>0.4115225453689773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BCU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IDHO @ UTAH</t>
        </is>
      </c>
      <c r="C14" s="17" t="inlineStr">
        <is>
          <t>2026-09-04 01:00</t>
        </is>
      </c>
      <c r="D14" s="25" t="n">
        <v>1</v>
      </c>
      <c r="E14" s="17" t="inlineStr">
        <is>
          <t>ATS</t>
        </is>
      </c>
      <c r="F14" s="17" t="inlineStr">
        <is>
          <t>IDHO +33.5</t>
        </is>
      </c>
      <c r="G14" s="26" t="n">
        <v>-33.5</v>
      </c>
      <c r="H14" s="18" t="n">
        <v>-110</v>
      </c>
      <c r="I14" s="20" t="n">
        <v>0.7436440297876288</v>
      </c>
      <c r="J14" s="20" t="n">
        <v>0.5</v>
      </c>
      <c r="K14" s="20" t="n">
        <v>0.5238095238095238</v>
      </c>
      <c r="L14" s="19" t="n">
        <v>0.2198345059781049</v>
      </c>
      <c r="M14" s="19" t="n">
        <v>0.4196840568672914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IDHO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MRMK @ DEL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MRMK +28.5</t>
        </is>
      </c>
      <c r="G15" s="23" t="n">
        <v>-28.5</v>
      </c>
      <c r="H15" s="13" t="n">
        <v>-108</v>
      </c>
      <c r="I15" s="15" t="n">
        <v>0.7386849373798826</v>
      </c>
      <c r="J15" s="15" t="n">
        <v>0.4956702459300312</v>
      </c>
      <c r="K15" s="15" t="n">
        <v>0.5192307692307693</v>
      </c>
      <c r="L15" s="14" t="n">
        <v>0.2194541681491133</v>
      </c>
      <c r="M15" s="14" t="n">
        <v>0.4226524719908851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MRMK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NCAT @ GAST</t>
        </is>
      </c>
      <c r="C16" s="17" t="inlineStr">
        <is>
          <t>2026-09-04 23:00</t>
        </is>
      </c>
      <c r="D16" s="25" t="n">
        <v>1</v>
      </c>
      <c r="E16" s="17" t="inlineStr">
        <is>
          <t>ATS</t>
        </is>
      </c>
      <c r="F16" s="17" t="inlineStr">
        <is>
          <t>NCAT +28.5</t>
        </is>
      </c>
      <c r="G16" s="26" t="n">
        <v>-28.5</v>
      </c>
      <c r="H16" s="18" t="n">
        <v>-110</v>
      </c>
      <c r="I16" s="20" t="n">
        <v>0.7431217544793447</v>
      </c>
      <c r="J16" s="20" t="n">
        <v>0.5</v>
      </c>
      <c r="K16" s="20" t="n">
        <v>0.5238095238095238</v>
      </c>
      <c r="L16" s="19" t="n">
        <v>0.2193122306698209</v>
      </c>
      <c r="M16" s="19" t="n">
        <v>0.4186869858242036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NCAT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MASS @ RUTG</t>
        </is>
      </c>
      <c r="C17" s="12" t="inlineStr">
        <is>
          <t>2026-09-03 22:00</t>
        </is>
      </c>
      <c r="D17" s="22" t="n">
        <v>1</v>
      </c>
      <c r="E17" s="12" t="inlineStr">
        <is>
          <t>ATS</t>
        </is>
      </c>
      <c r="F17" s="12" t="inlineStr">
        <is>
          <t>MASS +30.5</t>
        </is>
      </c>
      <c r="G17" s="23" t="n">
        <v>-30.5</v>
      </c>
      <c r="H17" s="13" t="n">
        <v>-108</v>
      </c>
      <c r="I17" s="15" t="n">
        <v>0.7362293114467701</v>
      </c>
      <c r="J17" s="15" t="n">
        <v>0.4956702459300312</v>
      </c>
      <c r="K17" s="15" t="n">
        <v>0.5192307692307693</v>
      </c>
      <c r="L17" s="14" t="n">
        <v>0.2169985422160008</v>
      </c>
      <c r="M17" s="14" t="n">
        <v>0.4179231183419276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NMSU @ FSU</t>
        </is>
      </c>
      <c r="C18" s="17" t="inlineStr">
        <is>
          <t>2026-08-29 23:00</t>
        </is>
      </c>
      <c r="D18" s="25" t="n">
        <v>1</v>
      </c>
      <c r="E18" s="17" t="inlineStr">
        <is>
          <t>ATS</t>
        </is>
      </c>
      <c r="F18" s="17" t="inlineStr">
        <is>
          <t>NMSU +31.5</t>
        </is>
      </c>
      <c r="G18" s="26" t="n">
        <v>-31.5</v>
      </c>
      <c r="H18" s="18" t="n">
        <v>-115</v>
      </c>
      <c r="I18" s="20" t="n">
        <v>0.7484052544756881</v>
      </c>
      <c r="J18" s="20" t="n">
        <v>0.5108342361863488</v>
      </c>
      <c r="K18" s="20" t="n">
        <v>0.5348837209302325</v>
      </c>
      <c r="L18" s="19" t="n">
        <v>0.2135215335454556</v>
      </c>
      <c r="M18" s="19" t="n">
        <v>0.3991924322806341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raw model/market disagreement exceeds the safety limit</t>
        </is>
      </c>
    </row>
    <row r="19">
      <c r="A19" s="12" t="inlineStr">
        <is>
          <t>PASS</t>
        </is>
      </c>
      <c r="B19" s="12" t="inlineStr">
        <is>
          <t>NCAT @ GAST</t>
        </is>
      </c>
      <c r="C19" s="12" t="inlineStr">
        <is>
          <t>2026-09-04 23:00</t>
        </is>
      </c>
      <c r="D19" s="22" t="n">
        <v>1</v>
      </c>
      <c r="E19" s="12" t="inlineStr">
        <is>
          <t>ML</t>
        </is>
      </c>
      <c r="F19" s="12" t="inlineStr">
        <is>
          <t>NCAT ML</t>
        </is>
      </c>
      <c r="G19" s="23" t="n"/>
      <c r="H19" s="13" t="n">
        <v>1800</v>
      </c>
      <c r="I19" s="15" t="n">
        <v>0.2655422309319856</v>
      </c>
      <c r="J19" s="15" t="n">
        <v>0.05094905094905094</v>
      </c>
      <c r="K19" s="15" t="n">
        <v>0.05263157894736842</v>
      </c>
      <c r="L19" s="14" t="n">
        <v>0.2129106519846172</v>
      </c>
      <c r="M19" s="14" t="n">
        <v>4.045302387707726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NCAT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ALB @ BUFF</t>
        </is>
      </c>
      <c r="C20" s="17" t="inlineStr">
        <is>
          <t>2026-09-03 23:00</t>
        </is>
      </c>
      <c r="D20" s="25" t="n">
        <v>1</v>
      </c>
      <c r="E20" s="17" t="inlineStr">
        <is>
          <t>ATS</t>
        </is>
      </c>
      <c r="F20" s="17" t="inlineStr">
        <is>
          <t>ALB +24.5</t>
        </is>
      </c>
      <c r="G20" s="26" t="n">
        <v>-24.5</v>
      </c>
      <c r="H20" s="18" t="n">
        <v>-110</v>
      </c>
      <c r="I20" s="20" t="n">
        <v>0.7320901453539077</v>
      </c>
      <c r="J20" s="20" t="n">
        <v>0.5</v>
      </c>
      <c r="K20" s="20" t="n">
        <v>0.5238095238095238</v>
      </c>
      <c r="L20" s="19" t="n">
        <v>0.2082806215443839</v>
      </c>
      <c r="M20" s="19" t="n">
        <v>0.3976266411301875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ALB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MRMK @ DEL</t>
        </is>
      </c>
      <c r="C21" s="12" t="inlineStr">
        <is>
          <t>2026-09-03 23:00</t>
        </is>
      </c>
      <c r="D21" s="22" t="n">
        <v>1</v>
      </c>
      <c r="E21" s="12" t="inlineStr">
        <is>
          <t>ML</t>
        </is>
      </c>
      <c r="F21" s="12" t="inlineStr">
        <is>
          <t>MRMK ML</t>
        </is>
      </c>
      <c r="G21" s="23" t="n"/>
      <c r="H21" s="13" t="n">
        <v>3500</v>
      </c>
      <c r="I21" s="15" t="n">
        <v>0.2320231923220626</v>
      </c>
      <c r="J21" s="15" t="n">
        <v>0.02715849209566274</v>
      </c>
      <c r="K21" s="15" t="n">
        <v>0.02777777777777778</v>
      </c>
      <c r="L21" s="14" t="n">
        <v>0.2042454145442848</v>
      </c>
      <c r="M21" s="14" t="n">
        <v>7.352834923594253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MRMK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UAB @ ILL</t>
        </is>
      </c>
      <c r="C22" s="17" t="inlineStr">
        <is>
          <t>2026-09-04 01:00</t>
        </is>
      </c>
      <c r="D22" s="25" t="n">
        <v>1</v>
      </c>
      <c r="E22" s="17" t="inlineStr">
        <is>
          <t>ATS</t>
        </is>
      </c>
      <c r="F22" s="17" t="inlineStr">
        <is>
          <t>UAB +28.5</t>
        </is>
      </c>
      <c r="G22" s="26" t="n">
        <v>-28.5</v>
      </c>
      <c r="H22" s="18" t="n">
        <v>-118</v>
      </c>
      <c r="I22" s="20" t="n">
        <v>0.7438096015477024</v>
      </c>
      <c r="J22" s="20" t="n">
        <v>0.5173641257162701</v>
      </c>
      <c r="K22" s="20" t="n">
        <v>0.5412844036697247</v>
      </c>
      <c r="L22" s="19" t="n">
        <v>0.2025251978779776</v>
      </c>
      <c r="M22" s="19" t="n">
        <v>0.3741567215033823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AKR @ WAKE</t>
        </is>
      </c>
      <c r="C23" s="12" t="inlineStr">
        <is>
          <t>2026-09-03 23:00</t>
        </is>
      </c>
      <c r="D23" s="22" t="n">
        <v>1</v>
      </c>
      <c r="E23" s="12" t="inlineStr">
        <is>
          <t>ATS</t>
        </is>
      </c>
      <c r="F23" s="12" t="inlineStr">
        <is>
          <t>AKR +23.5</t>
        </is>
      </c>
      <c r="G23" s="23" t="n">
        <v>-23.5</v>
      </c>
      <c r="H23" s="13" t="n">
        <v>-108</v>
      </c>
      <c r="I23" s="15" t="n">
        <v>0.7202139758215249</v>
      </c>
      <c r="J23" s="15" t="n">
        <v>0.4956702459300312</v>
      </c>
      <c r="K23" s="15" t="n">
        <v>0.5192307692307693</v>
      </c>
      <c r="L23" s="14" t="n">
        <v>0.2009832065907556</v>
      </c>
      <c r="M23" s="14" t="n">
        <v>0.3870787682488629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ALB @ BUFF</t>
        </is>
      </c>
      <c r="C24" s="17" t="inlineStr">
        <is>
          <t>2026-09-03 23:00</t>
        </is>
      </c>
      <c r="D24" s="25" t="n">
        <v>1</v>
      </c>
      <c r="E24" s="17" t="inlineStr">
        <is>
          <t>ML</t>
        </is>
      </c>
      <c r="F24" s="17" t="inlineStr">
        <is>
          <t>ALB ML</t>
        </is>
      </c>
      <c r="G24" s="26" t="n"/>
      <c r="H24" s="18" t="n">
        <v>2200</v>
      </c>
      <c r="I24" s="20" t="n">
        <v>0.2400960739565308</v>
      </c>
      <c r="J24" s="20" t="n">
        <v>0.04216553878188443</v>
      </c>
      <c r="K24" s="20" t="n">
        <v>0.04347826086956522</v>
      </c>
      <c r="L24" s="19" t="n">
        <v>0.1966178130869655</v>
      </c>
      <c r="M24" s="19" t="n">
        <v>4.522209701000207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ALB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22" t="n">
        <v>1</v>
      </c>
      <c r="E25" s="12" t="inlineStr">
        <is>
          <t>ATS</t>
        </is>
      </c>
      <c r="F25" s="12" t="inlineStr">
        <is>
          <t>WES +22.5</t>
        </is>
      </c>
      <c r="G25" s="23" t="n">
        <v>-22.5</v>
      </c>
      <c r="H25" s="13" t="n">
        <v>-115</v>
      </c>
      <c r="I25" s="15" t="n">
        <v>0.7273466517420963</v>
      </c>
      <c r="J25" s="15" t="n">
        <v>0.5108342361863488</v>
      </c>
      <c r="K25" s="15" t="n">
        <v>0.5348837209302325</v>
      </c>
      <c r="L25" s="14" t="n">
        <v>0.1924629308118638</v>
      </c>
      <c r="M25" s="14" t="n">
        <v>0.3598220010830496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WES @ KENN</t>
        </is>
      </c>
      <c r="C26" s="17" t="inlineStr">
        <is>
          <t>2026-09-03 23:00</t>
        </is>
      </c>
      <c r="D26" s="25" t="n">
        <v>1</v>
      </c>
      <c r="E26" s="17" t="inlineStr">
        <is>
          <t>ML</t>
        </is>
      </c>
      <c r="F26" s="17" t="inlineStr">
        <is>
          <t>WES ML</t>
        </is>
      </c>
      <c r="G26" s="26" t="n"/>
      <c r="H26" s="18" t="n">
        <v>1500</v>
      </c>
      <c r="I26" s="20" t="n">
        <v>0.2370117476831352</v>
      </c>
      <c r="J26" s="20" t="n">
        <v>0.06035889070146819</v>
      </c>
      <c r="K26" s="20" t="n">
        <v>0.0625</v>
      </c>
      <c r="L26" s="19" t="n">
        <v>0.1745117476831352</v>
      </c>
      <c r="M26" s="19" t="n">
        <v>2.792187962930162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WES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NMSU @ FSU</t>
        </is>
      </c>
      <c r="C27" s="12" t="inlineStr">
        <is>
          <t>2026-08-29 23:00</t>
        </is>
      </c>
      <c r="D27" s="22" t="n">
        <v>1</v>
      </c>
      <c r="E27" s="12" t="inlineStr">
        <is>
          <t>ML</t>
        </is>
      </c>
      <c r="F27" s="12" t="inlineStr">
        <is>
          <t>NMSU ML</t>
        </is>
      </c>
      <c r="G27" s="23" t="n"/>
      <c r="H27" s="13" t="n">
        <v>2200</v>
      </c>
      <c r="I27" s="15" t="n">
        <v>0.2169991880608585</v>
      </c>
      <c r="J27" s="15" t="n">
        <v>0.04216553878188443</v>
      </c>
      <c r="K27" s="15" t="n">
        <v>0.04347826086956522</v>
      </c>
      <c r="L27" s="14" t="n">
        <v>0.1735209271912933</v>
      </c>
      <c r="M27" s="14" t="n">
        <v>3.990981325399745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AKR @ WAKE</t>
        </is>
      </c>
      <c r="C28" s="17" t="inlineStr">
        <is>
          <t>2026-09-03 23:00</t>
        </is>
      </c>
      <c r="D28" s="25" t="n">
        <v>1</v>
      </c>
      <c r="E28" s="17" t="inlineStr">
        <is>
          <t>ML</t>
        </is>
      </c>
      <c r="F28" s="17" t="inlineStr">
        <is>
          <t>AKR ML</t>
        </is>
      </c>
      <c r="G28" s="26" t="n"/>
      <c r="H28" s="18" t="n">
        <v>1400</v>
      </c>
      <c r="I28" s="20" t="n">
        <v>0.2287754942280706</v>
      </c>
      <c r="J28" s="20" t="n">
        <v>0.06432748538011696</v>
      </c>
      <c r="K28" s="20" t="n">
        <v>0.06666666666666667</v>
      </c>
      <c r="L28" s="19" t="n">
        <v>0.162108827561404</v>
      </c>
      <c r="M28" s="19" t="n">
        <v>2.43163241342106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IDHO @ UTAH</t>
        </is>
      </c>
      <c r="C29" s="12" t="inlineStr">
        <is>
          <t>2026-09-04 01:00</t>
        </is>
      </c>
      <c r="D29" s="22" t="n">
        <v>1</v>
      </c>
      <c r="E29" s="12" t="inlineStr">
        <is>
          <t>ML</t>
        </is>
      </c>
      <c r="F29" s="12" t="inlineStr">
        <is>
          <t>IDHO ML</t>
        </is>
      </c>
      <c r="G29" s="23" t="n"/>
      <c r="H29" s="13" t="n">
        <v>3000</v>
      </c>
      <c r="I29" s="15" t="n">
        <v>0.1915726544041398</v>
      </c>
      <c r="J29" s="15" t="n">
        <v>0.03155263980006248</v>
      </c>
      <c r="K29" s="15" t="n">
        <v>0.03225806451612903</v>
      </c>
      <c r="L29" s="14" t="n">
        <v>0.1593145898880108</v>
      </c>
      <c r="M29" s="14" t="n">
        <v>4.938752286528335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IDHO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UAB @ ILL</t>
        </is>
      </c>
      <c r="C30" s="17" t="inlineStr">
        <is>
          <t>2026-09-04 01:00</t>
        </is>
      </c>
      <c r="D30" s="25" t="n">
        <v>1</v>
      </c>
      <c r="E30" s="17" t="inlineStr">
        <is>
          <t>ML</t>
        </is>
      </c>
      <c r="F30" s="17" t="inlineStr">
        <is>
          <t>UAB ML</t>
        </is>
      </c>
      <c r="G30" s="26" t="n"/>
      <c r="H30" s="18" t="n">
        <v>2200</v>
      </c>
      <c r="I30" s="20" t="n">
        <v>0.2017439875221416</v>
      </c>
      <c r="J30" s="20" t="n">
        <v>0.04216553878188443</v>
      </c>
      <c r="K30" s="20" t="n">
        <v>0.04347826086956522</v>
      </c>
      <c r="L30" s="19" t="n">
        <v>0.1582657266525764</v>
      </c>
      <c r="M30" s="19" t="n">
        <v>3.640111713009257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MASS @ RUTG</t>
        </is>
      </c>
      <c r="C31" s="12" t="inlineStr">
        <is>
          <t>2026-09-03 22:00</t>
        </is>
      </c>
      <c r="D31" s="22" t="n">
        <v>1</v>
      </c>
      <c r="E31" s="12" t="inlineStr">
        <is>
          <t>ML</t>
        </is>
      </c>
      <c r="F31" s="12" t="inlineStr">
        <is>
          <t>MASS ML</t>
        </is>
      </c>
      <c r="G31" s="23" t="n"/>
      <c r="H31" s="13" t="n">
        <v>2000</v>
      </c>
      <c r="I31" s="15" t="n">
        <v>0.1963076315941712</v>
      </c>
      <c r="J31" s="15" t="n">
        <v>0.0461215932914046</v>
      </c>
      <c r="K31" s="15" t="n">
        <v>0.04761904761904762</v>
      </c>
      <c r="L31" s="14" t="n">
        <v>0.1486885839751236</v>
      </c>
      <c r="M31" s="14" t="n">
        <v>3.122460263477595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JVST @ NDSU</t>
        </is>
      </c>
      <c r="C32" s="17" t="inlineStr">
        <is>
          <t>2026-08-29 21:30</t>
        </is>
      </c>
      <c r="D32" s="25" t="n">
        <v>1</v>
      </c>
      <c r="E32" s="17" t="inlineStr">
        <is>
          <t>TOTAL</t>
        </is>
      </c>
      <c r="F32" s="17" t="inlineStr">
        <is>
          <t>Over 46.5</t>
        </is>
      </c>
      <c r="G32" s="26" t="n">
        <v>46.5</v>
      </c>
      <c r="H32" s="18" t="n">
        <v>-112</v>
      </c>
      <c r="I32" s="20" t="n">
        <v>0.6574997451163023</v>
      </c>
      <c r="J32" s="20" t="n">
        <v>0.5043297540699688</v>
      </c>
      <c r="K32" s="20" t="n">
        <v>0.5283018867924528</v>
      </c>
      <c r="L32" s="19" t="n">
        <v>0.1291978583238494</v>
      </c>
      <c r="M32" s="19" t="n">
        <v>0.2445530889701435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SAC @ EMU</t>
        </is>
      </c>
      <c r="C33" s="12" t="inlineStr">
        <is>
          <t>2026-08-29 22:30</t>
        </is>
      </c>
      <c r="D33" s="22" t="n">
        <v>1</v>
      </c>
      <c r="E33" s="12" t="inlineStr">
        <is>
          <t>ATS</t>
        </is>
      </c>
      <c r="F33" s="12" t="inlineStr">
        <is>
          <t>SAC +10</t>
        </is>
      </c>
      <c r="G33" s="23" t="n">
        <v>-10</v>
      </c>
      <c r="H33" s="13" t="n">
        <v>-110</v>
      </c>
      <c r="I33" s="15" t="n">
        <v>0.6496086093420973</v>
      </c>
      <c r="J33" s="15" t="n">
        <v>0.5</v>
      </c>
      <c r="K33" s="15" t="n">
        <v>0.5238095238095238</v>
      </c>
      <c r="L33" s="14" t="n">
        <v>0.1257990855325735</v>
      </c>
      <c r="M33" s="14" t="n">
        <v>0.2327670346937839</v>
      </c>
      <c r="N33" s="15" t="n">
        <v>0.0308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ALB @ BUFF</t>
        </is>
      </c>
      <c r="C34" s="17" t="inlineStr">
        <is>
          <t>2026-09-03 23:00</t>
        </is>
      </c>
      <c r="D34" s="25" t="n">
        <v>1</v>
      </c>
      <c r="E34" s="17" t="inlineStr">
        <is>
          <t>TOTAL</t>
        </is>
      </c>
      <c r="F34" s="17" t="inlineStr">
        <is>
          <t>Over 48.5</t>
        </is>
      </c>
      <c r="G34" s="26" t="n">
        <v>48.5</v>
      </c>
      <c r="H34" s="18" t="n">
        <v>-108</v>
      </c>
      <c r="I34" s="20" t="n">
        <v>0.6237538960930264</v>
      </c>
      <c r="J34" s="20" t="n">
        <v>0.4956702459300312</v>
      </c>
      <c r="K34" s="20" t="n">
        <v>0.5192307692307693</v>
      </c>
      <c r="L34" s="19" t="n">
        <v>0.1045231268622572</v>
      </c>
      <c r="M34" s="19" t="n">
        <v>0.2013037998828658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ALB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NCAT @ GAST</t>
        </is>
      </c>
      <c r="C35" s="12" t="inlineStr">
        <is>
          <t>2026-09-04 23:00</t>
        </is>
      </c>
      <c r="D35" s="22" t="n">
        <v>1</v>
      </c>
      <c r="E35" s="12" t="inlineStr">
        <is>
          <t>TOTAL</t>
        </is>
      </c>
      <c r="F35" s="12" t="inlineStr">
        <is>
          <t>Under 63.5</t>
        </is>
      </c>
      <c r="G35" s="23" t="n">
        <v>63.5</v>
      </c>
      <c r="H35" s="13" t="n">
        <v>-112</v>
      </c>
      <c r="I35" s="15" t="n">
        <v>0.6117269964441806</v>
      </c>
      <c r="J35" s="15" t="n">
        <v>0.5043297540699688</v>
      </c>
      <c r="K35" s="15" t="n">
        <v>0.5283018867924528</v>
      </c>
      <c r="L35" s="14" t="n">
        <v>0.08342510965172778</v>
      </c>
      <c r="M35" s="14" t="n">
        <v>0.1579118146979133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NCAT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UAPB @ MIZ</t>
        </is>
      </c>
      <c r="C36" s="17" t="inlineStr">
        <is>
          <t>2026-09-04 00:00</t>
        </is>
      </c>
      <c r="D36" s="25" t="n">
        <v>1</v>
      </c>
      <c r="E36" s="17" t="inlineStr">
        <is>
          <t>TOTAL</t>
        </is>
      </c>
      <c r="F36" s="17" t="inlineStr">
        <is>
          <t>Under 60.5</t>
        </is>
      </c>
      <c r="G36" s="26" t="n">
        <v>60.5</v>
      </c>
      <c r="H36" s="18" t="n">
        <v>-108</v>
      </c>
      <c r="I36" s="20" t="n">
        <v>0.6022946041225494</v>
      </c>
      <c r="J36" s="20" t="n">
        <v>0.4956702459300312</v>
      </c>
      <c r="K36" s="20" t="n">
        <v>0.5192307692307693</v>
      </c>
      <c r="L36" s="19" t="n">
        <v>0.08306383489178015</v>
      </c>
      <c r="M36" s="19" t="n">
        <v>0.15997479312491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UAPB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SAC @ EMU</t>
        </is>
      </c>
      <c r="C37" s="12" t="inlineStr">
        <is>
          <t>2026-08-29 22:30</t>
        </is>
      </c>
      <c r="D37" s="22" t="n">
        <v>1</v>
      </c>
      <c r="E37" s="12" t="inlineStr">
        <is>
          <t>TOTAL</t>
        </is>
      </c>
      <c r="F37" s="12" t="inlineStr">
        <is>
          <t>Over 52.5</t>
        </is>
      </c>
      <c r="G37" s="23" t="n">
        <v>52.5</v>
      </c>
      <c r="H37" s="13" t="n">
        <v>-105</v>
      </c>
      <c r="I37" s="15" t="n">
        <v>0.592107265818543</v>
      </c>
      <c r="J37" s="15" t="n">
        <v>0.4891657638136511</v>
      </c>
      <c r="K37" s="15" t="n">
        <v>0.5121951219512195</v>
      </c>
      <c r="L37" s="14" t="n">
        <v>0.07991214386732348</v>
      </c>
      <c r="M37" s="14" t="n">
        <v>0.1560189475504887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correlated with a stronger play on the same game</t>
        </is>
      </c>
    </row>
    <row r="38">
      <c r="A38" s="17" t="inlineStr">
        <is>
          <t>PASS</t>
        </is>
      </c>
      <c r="B38" s="17" t="inlineStr">
        <is>
          <t>WES @ KENN</t>
        </is>
      </c>
      <c r="C38" s="17" t="inlineStr">
        <is>
          <t>2026-09-03 23:00</t>
        </is>
      </c>
      <c r="D38" s="25" t="n">
        <v>1</v>
      </c>
      <c r="E38" s="17" t="inlineStr">
        <is>
          <t>TOTAL</t>
        </is>
      </c>
      <c r="F38" s="17" t="inlineStr">
        <is>
          <t>Over 51.5</t>
        </is>
      </c>
      <c r="G38" s="26" t="n">
        <v>51.5</v>
      </c>
      <c r="H38" s="18" t="n">
        <v>-108</v>
      </c>
      <c r="I38" s="20" t="n">
        <v>0.5971070144741464</v>
      </c>
      <c r="J38" s="20" t="n">
        <v>0.4956702459300312</v>
      </c>
      <c r="K38" s="20" t="n">
        <v>0.5192307692307693</v>
      </c>
      <c r="L38" s="19" t="n">
        <v>0.07787624524337711</v>
      </c>
      <c r="M38" s="19" t="n">
        <v>0.1499838797279857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WES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UNC @ TCU</t>
        </is>
      </c>
      <c r="C39" s="12" t="inlineStr">
        <is>
          <t>2026-08-29 16:00</t>
        </is>
      </c>
      <c r="D39" s="22" t="n">
        <v>1</v>
      </c>
      <c r="E39" s="12" t="inlineStr">
        <is>
          <t>ML</t>
        </is>
      </c>
      <c r="F39" s="12" t="inlineStr">
        <is>
          <t>UNC ML</t>
        </is>
      </c>
      <c r="G39" s="23" t="n"/>
      <c r="H39" s="13" t="n">
        <v>250</v>
      </c>
      <c r="I39" s="15" t="n">
        <v>0.3621290026789783</v>
      </c>
      <c r="J39" s="15" t="n">
        <v>0.274247491638796</v>
      </c>
      <c r="K39" s="15" t="n">
        <v>0.2857142857142857</v>
      </c>
      <c r="L39" s="14" t="n">
        <v>0.0764147169646926</v>
      </c>
      <c r="M39" s="14" t="n">
        <v>0.267451509376424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PASS</t>
        </is>
      </c>
      <c r="B40" s="17" t="inlineStr">
        <is>
          <t>AKR @ WAKE</t>
        </is>
      </c>
      <c r="C40" s="17" t="inlineStr">
        <is>
          <t>2026-09-03 23:00</t>
        </is>
      </c>
      <c r="D40" s="25" t="n">
        <v>1</v>
      </c>
      <c r="E40" s="17" t="inlineStr">
        <is>
          <t>TOTAL</t>
        </is>
      </c>
      <c r="F40" s="17" t="inlineStr">
        <is>
          <t>Over 49.5</t>
        </is>
      </c>
      <c r="G40" s="26" t="n">
        <v>49.5</v>
      </c>
      <c r="H40" s="18" t="n">
        <v>-112</v>
      </c>
      <c r="I40" s="20" t="n">
        <v>0.603175208172005</v>
      </c>
      <c r="J40" s="20" t="n">
        <v>0.5043297540699688</v>
      </c>
      <c r="K40" s="20" t="n">
        <v>0.5283018867924528</v>
      </c>
      <c r="L40" s="19" t="n">
        <v>0.07487332137955216</v>
      </c>
      <c r="M40" s="19" t="n">
        <v>0.1417245011827237</v>
      </c>
      <c r="N40" s="20" t="n">
        <v>0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BCU @ UCF</t>
        </is>
      </c>
      <c r="C41" s="12" t="inlineStr">
        <is>
          <t>2026-09-03 23:00</t>
        </is>
      </c>
      <c r="D41" s="22" t="n">
        <v>1</v>
      </c>
      <c r="E41" s="12" t="inlineStr">
        <is>
          <t>TOTAL</t>
        </is>
      </c>
      <c r="F41" s="12" t="inlineStr">
        <is>
          <t>Under 59.5</t>
        </is>
      </c>
      <c r="G41" s="23" t="n">
        <v>59.5</v>
      </c>
      <c r="H41" s="13" t="n">
        <v>-108</v>
      </c>
      <c r="I41" s="15" t="n">
        <v>0.5828840668418837</v>
      </c>
      <c r="J41" s="15" t="n">
        <v>0.4956702459300312</v>
      </c>
      <c r="K41" s="15" t="n">
        <v>0.5192307692307693</v>
      </c>
      <c r="L41" s="14" t="n">
        <v>0.06365329761111438</v>
      </c>
      <c r="M41" s="14" t="n">
        <v>0.1225915361399241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BCU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MASS @ RUTG</t>
        </is>
      </c>
      <c r="C42" s="17" t="inlineStr">
        <is>
          <t>2026-09-03 22:00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-110</v>
      </c>
      <c r="I42" s="20" t="n">
        <v>0.5740430549239717</v>
      </c>
      <c r="J42" s="20" t="n">
        <v>0.5</v>
      </c>
      <c r="K42" s="20" t="n">
        <v>0.5238095238095238</v>
      </c>
      <c r="L42" s="19" t="n">
        <v>0.05023353111444784</v>
      </c>
      <c r="M42" s="19" t="n">
        <v>0.09590037758212777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SJSU @ USC</t>
        </is>
      </c>
      <c r="C43" s="12" t="inlineStr">
        <is>
          <t>2026-08-29 19:00</t>
        </is>
      </c>
      <c r="D43" s="22" t="n">
        <v>1</v>
      </c>
      <c r="E43" s="12" t="inlineStr">
        <is>
          <t>TOTAL</t>
        </is>
      </c>
      <c r="F43" s="12" t="inlineStr">
        <is>
          <t>Under 60.5</t>
        </is>
      </c>
      <c r="G43" s="23" t="n">
        <v>60.5</v>
      </c>
      <c r="H43" s="13" t="n">
        <v>-108</v>
      </c>
      <c r="I43" s="15" t="n">
        <v>0.5606183297218017</v>
      </c>
      <c r="J43" s="15" t="n">
        <v>0.4956702459300312</v>
      </c>
      <c r="K43" s="15" t="n">
        <v>0.5192307692307693</v>
      </c>
      <c r="L43" s="14" t="n">
        <v>0.04138756049103243</v>
      </c>
      <c r="M43" s="14" t="n">
        <v>0.07970937576050707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HAW @ STAN</t>
        </is>
      </c>
      <c r="C44" s="17" t="inlineStr">
        <is>
          <t>2026-08-29 23:00</t>
        </is>
      </c>
      <c r="D44" s="25" t="n">
        <v>1</v>
      </c>
      <c r="E44" s="17" t="inlineStr">
        <is>
          <t>ATS</t>
        </is>
      </c>
      <c r="F44" s="17" t="inlineStr">
        <is>
          <t>HAW +4</t>
        </is>
      </c>
      <c r="G44" s="26" t="n">
        <v>-4</v>
      </c>
      <c r="H44" s="18" t="n">
        <v>-112</v>
      </c>
      <c r="I44" s="20" t="n">
        <v>0.5666660811488681</v>
      </c>
      <c r="J44" s="20" t="n">
        <v>0.5043297540699688</v>
      </c>
      <c r="K44" s="20" t="n">
        <v>0.5283018867924528</v>
      </c>
      <c r="L44" s="19" t="n">
        <v>0.03836419435641525</v>
      </c>
      <c r="M44" s="19" t="n">
        <v>0.07044135577437555</v>
      </c>
      <c r="N44" s="20" t="n">
        <v>0.03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HAW @ STAN</t>
        </is>
      </c>
      <c r="C45" s="12" t="inlineStr">
        <is>
          <t>2026-08-29 23:00</t>
        </is>
      </c>
      <c r="D45" s="22" t="n">
        <v>1</v>
      </c>
      <c r="E45" s="12" t="inlineStr">
        <is>
          <t>ML</t>
        </is>
      </c>
      <c r="F45" s="12" t="inlineStr">
        <is>
          <t>HAW ML</t>
        </is>
      </c>
      <c r="G45" s="23" t="n"/>
      <c r="H45" s="13" t="n">
        <v>154</v>
      </c>
      <c r="I45" s="15" t="n">
        <v>0.4319998430736718</v>
      </c>
      <c r="J45" s="15" t="n">
        <v>0.3775334481388264</v>
      </c>
      <c r="K45" s="15" t="n">
        <v>0.3937007874015748</v>
      </c>
      <c r="L45" s="14" t="n">
        <v>0.03829905567209696</v>
      </c>
      <c r="M45" s="14" t="n">
        <v>0.09727960140712633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EIU @ MINN</t>
        </is>
      </c>
      <c r="C46" s="17" t="inlineStr">
        <is>
          <t>2026-09-04 00:00</t>
        </is>
      </c>
      <c r="D46" s="25" t="n">
        <v>1</v>
      </c>
      <c r="E46" s="17" t="inlineStr">
        <is>
          <t>TOTAL</t>
        </is>
      </c>
      <c r="F46" s="17" t="inlineStr">
        <is>
          <t>Over 51.5</t>
        </is>
      </c>
      <c r="G46" s="26" t="n">
        <v>51.5</v>
      </c>
      <c r="H46" s="18" t="n">
        <v>-112</v>
      </c>
      <c r="I46" s="20" t="n">
        <v>0.5649480897138526</v>
      </c>
      <c r="J46" s="20" t="n">
        <v>0.5043297540699688</v>
      </c>
      <c r="K46" s="20" t="n">
        <v>0.5283018867924528</v>
      </c>
      <c r="L46" s="19" t="n">
        <v>0.03664620292139975</v>
      </c>
      <c r="M46" s="19" t="n">
        <v>0.0693660269583638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EIU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SJSU @ EMU</t>
        </is>
      </c>
      <c r="C47" s="12" t="inlineStr">
        <is>
          <t>2026-09-04 22:30</t>
        </is>
      </c>
      <c r="D47" s="22" t="n">
        <v>1</v>
      </c>
      <c r="E47" s="12" t="inlineStr">
        <is>
          <t>TOTAL</t>
        </is>
      </c>
      <c r="F47" s="12" t="inlineStr">
        <is>
          <t>Over 53.5</t>
        </is>
      </c>
      <c r="G47" s="23" t="n">
        <v>53.5</v>
      </c>
      <c r="H47" s="13" t="n">
        <v>-112</v>
      </c>
      <c r="I47" s="15" t="n">
        <v>0.559233949493164</v>
      </c>
      <c r="J47" s="15" t="n">
        <v>0.5043297540699688</v>
      </c>
      <c r="K47" s="15" t="n">
        <v>0.5283018867924528</v>
      </c>
      <c r="L47" s="14" t="n">
        <v>0.03093206270071114</v>
      </c>
      <c r="M47" s="14" t="n">
        <v>0.05854997582634602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MEM @ UNLV</t>
        </is>
      </c>
      <c r="C48" s="17" t="inlineStr">
        <is>
          <t>2026-08-30 02:00</t>
        </is>
      </c>
      <c r="D48" s="25" t="n">
        <v>1</v>
      </c>
      <c r="E48" s="17" t="inlineStr">
        <is>
          <t>ML</t>
        </is>
      </c>
      <c r="F48" s="17" t="inlineStr">
        <is>
          <t>MEM ML</t>
        </is>
      </c>
      <c r="G48" s="26" t="n"/>
      <c r="H48" s="18" t="n">
        <v>180</v>
      </c>
      <c r="I48" s="20" t="n">
        <v>0.383035891688529</v>
      </c>
      <c r="J48" s="20" t="n">
        <v>0.3425247738043947</v>
      </c>
      <c r="K48" s="20" t="n">
        <v>0.3571428571428572</v>
      </c>
      <c r="L48" s="19" t="n">
        <v>0.02589303454567188</v>
      </c>
      <c r="M48" s="19" t="n">
        <v>0.07250049672788117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NCSU @ UVA</t>
        </is>
      </c>
      <c r="C49" s="12" t="inlineStr">
        <is>
          <t>2026-08-29 19:30</t>
        </is>
      </c>
      <c r="D49" s="22" t="n">
        <v>1</v>
      </c>
      <c r="E49" s="12" t="inlineStr">
        <is>
          <t>ATS</t>
        </is>
      </c>
      <c r="F49" s="12" t="inlineStr">
        <is>
          <t>NCSU +5.5</t>
        </is>
      </c>
      <c r="G49" s="23" t="n">
        <v>-5.5</v>
      </c>
      <c r="H49" s="13" t="n">
        <v>-105</v>
      </c>
      <c r="I49" s="15" t="n">
        <v>0.5380374278212803</v>
      </c>
      <c r="J49" s="15" t="n">
        <v>0.4891657638136511</v>
      </c>
      <c r="K49" s="15" t="n">
        <v>0.5121951219512195</v>
      </c>
      <c r="L49" s="14" t="n">
        <v>0.02584230587006076</v>
      </c>
      <c r="M49" s="14" t="n">
        <v>0.05045402574630908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MEM @ UNLV</t>
        </is>
      </c>
      <c r="C50" s="17" t="inlineStr">
        <is>
          <t>2026-08-30 02:00</t>
        </is>
      </c>
      <c r="D50" s="25" t="n">
        <v>1</v>
      </c>
      <c r="E50" s="17" t="inlineStr">
        <is>
          <t>ATS</t>
        </is>
      </c>
      <c r="F50" s="17" t="inlineStr">
        <is>
          <t>MEM +5.5</t>
        </is>
      </c>
      <c r="G50" s="26" t="n">
        <v>-5.5</v>
      </c>
      <c r="H50" s="18" t="n">
        <v>-112</v>
      </c>
      <c r="I50" s="20" t="n">
        <v>0.5540130817463144</v>
      </c>
      <c r="J50" s="20" t="n">
        <v>0.5043297540699688</v>
      </c>
      <c r="K50" s="20" t="n">
        <v>0.5283018867924528</v>
      </c>
      <c r="L50" s="19" t="n">
        <v>0.02571119495386154</v>
      </c>
      <c r="M50" s="19" t="n">
        <v>0.04866761901980932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COLO @ GT</t>
        </is>
      </c>
      <c r="C51" s="12" t="inlineStr">
        <is>
          <t>2026-09-04 00:00</t>
        </is>
      </c>
      <c r="D51" s="22" t="n">
        <v>1</v>
      </c>
      <c r="E51" s="12" t="inlineStr">
        <is>
          <t>ATS</t>
        </is>
      </c>
      <c r="F51" s="12" t="inlineStr">
        <is>
          <t>COLO +6.5</t>
        </is>
      </c>
      <c r="G51" s="23" t="n">
        <v>-6.5</v>
      </c>
      <c r="H51" s="13" t="n">
        <v>-105</v>
      </c>
      <c r="I51" s="15" t="n">
        <v>0.5359459352051367</v>
      </c>
      <c r="J51" s="15" t="n">
        <v>0.4891657638136511</v>
      </c>
      <c r="K51" s="15" t="n">
        <v>0.5121951219512195</v>
      </c>
      <c r="L51" s="14" t="n">
        <v>0.02375081325391715</v>
      </c>
      <c r="M51" s="14" t="n">
        <v>0.0463706354005049</v>
      </c>
      <c r="N51" s="15" t="n">
        <v>0</v>
      </c>
      <c r="O51" s="24" t="n">
        <v>0.45</v>
      </c>
      <c r="P51" s="12" t="inlineStr">
        <is>
          <t>DraftKings</t>
        </is>
      </c>
      <c r="Q51" s="12" t="n"/>
    </row>
    <row r="52">
      <c r="A52" s="17" t="inlineStr">
        <is>
          <t>PASS</t>
        </is>
      </c>
      <c r="B52" s="17" t="inlineStr">
        <is>
          <t>NCSU @ UVA</t>
        </is>
      </c>
      <c r="C52" s="17" t="inlineStr">
        <is>
          <t>2026-08-29 19:30</t>
        </is>
      </c>
      <c r="D52" s="25" t="n">
        <v>1</v>
      </c>
      <c r="E52" s="17" t="inlineStr">
        <is>
          <t>ML</t>
        </is>
      </c>
      <c r="F52" s="17" t="inlineStr">
        <is>
          <t>NCSU ML</t>
        </is>
      </c>
      <c r="G52" s="26" t="n"/>
      <c r="H52" s="18" t="n">
        <v>185</v>
      </c>
      <c r="I52" s="20" t="n">
        <v>0.3714942648294812</v>
      </c>
      <c r="J52" s="20" t="n">
        <v>0.3363518758085381</v>
      </c>
      <c r="K52" s="20" t="n">
        <v>0.3508771929824561</v>
      </c>
      <c r="L52" s="19" t="n">
        <v>0.0206170718470251</v>
      </c>
      <c r="M52" s="19" t="n">
        <v>0.05875865476402153</v>
      </c>
      <c r="N52" s="20" t="n">
        <v>0</v>
      </c>
      <c r="O52" s="27" t="n">
        <v>0.45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TOTAL</t>
        </is>
      </c>
      <c r="F53" s="12" t="inlineStr">
        <is>
          <t>Over 55.5</t>
        </is>
      </c>
      <c r="G53" s="23" t="n">
        <v>55.5</v>
      </c>
      <c r="H53" s="13" t="n">
        <v>-110</v>
      </c>
      <c r="I53" s="15" t="n">
        <v>0.5416001704595914</v>
      </c>
      <c r="J53" s="15" t="n">
        <v>0.5</v>
      </c>
      <c r="K53" s="15" t="n">
        <v>0.5238095238095238</v>
      </c>
      <c r="L53" s="14" t="n">
        <v>0.01779064665006758</v>
      </c>
      <c r="M53" s="14" t="n">
        <v>0.03396396178649275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SJSU @ EMU</t>
        </is>
      </c>
      <c r="C54" s="17" t="inlineStr">
        <is>
          <t>2026-09-04 22:30</t>
        </is>
      </c>
      <c r="D54" s="25" t="n">
        <v>1</v>
      </c>
      <c r="E54" s="17" t="inlineStr">
        <is>
          <t>ML</t>
        </is>
      </c>
      <c r="F54" s="17" t="inlineStr">
        <is>
          <t>SJSU ML</t>
        </is>
      </c>
      <c r="G54" s="26" t="n"/>
      <c r="H54" s="18" t="n">
        <v>180</v>
      </c>
      <c r="I54" s="20" t="n">
        <v>0.3741599606283899</v>
      </c>
      <c r="J54" s="20" t="n">
        <v>0.3425247738043947</v>
      </c>
      <c r="K54" s="20" t="n">
        <v>0.3571428571428572</v>
      </c>
      <c r="L54" s="19" t="n">
        <v>0.0170171034855327</v>
      </c>
      <c r="M54" s="19" t="n">
        <v>0.04764788975949152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SJSU @ EMU</t>
        </is>
      </c>
      <c r="C55" s="12" t="inlineStr">
        <is>
          <t>2026-09-04 22:30</t>
        </is>
      </c>
      <c r="D55" s="22" t="n">
        <v>1</v>
      </c>
      <c r="E55" s="12" t="inlineStr">
        <is>
          <t>ATS</t>
        </is>
      </c>
      <c r="F55" s="12" t="inlineStr">
        <is>
          <t>SJSU +5.5</t>
        </is>
      </c>
      <c r="G55" s="23" t="n">
        <v>-5.5</v>
      </c>
      <c r="H55" s="13" t="n">
        <v>-112</v>
      </c>
      <c r="I55" s="15" t="n">
        <v>0.5451972766345791</v>
      </c>
      <c r="J55" s="15" t="n">
        <v>0.5043297540699688</v>
      </c>
      <c r="K55" s="15" t="n">
        <v>0.5283018867924528</v>
      </c>
      <c r="L55" s="14" t="n">
        <v>0.01689538984212624</v>
      </c>
      <c r="M55" s="14" t="n">
        <v>0.03198055934402461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COLO @ GT</t>
        </is>
      </c>
      <c r="C56" s="17" t="inlineStr">
        <is>
          <t>2026-09-04 00:00</t>
        </is>
      </c>
      <c r="D56" s="25" t="n">
        <v>1</v>
      </c>
      <c r="E56" s="17" t="inlineStr">
        <is>
          <t>ML</t>
        </is>
      </c>
      <c r="F56" s="17" t="inlineStr">
        <is>
          <t>COLO ML</t>
        </is>
      </c>
      <c r="G56" s="26" t="n"/>
      <c r="H56" s="18" t="n">
        <v>205</v>
      </c>
      <c r="I56" s="20" t="n">
        <v>0.3446539939839948</v>
      </c>
      <c r="J56" s="20" t="n">
        <v>0.3146067415730336</v>
      </c>
      <c r="K56" s="20" t="n">
        <v>0.3278688524590164</v>
      </c>
      <c r="L56" s="19" t="n">
        <v>0.0167851415249784</v>
      </c>
      <c r="M56" s="19" t="n">
        <v>0.05119468165118402</v>
      </c>
      <c r="N56" s="20" t="n">
        <v>0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JVST @ NDSU</t>
        </is>
      </c>
      <c r="C57" s="12" t="inlineStr">
        <is>
          <t>2026-08-29 21:30</t>
        </is>
      </c>
      <c r="D57" s="22" t="n">
        <v>1</v>
      </c>
      <c r="E57" s="12" t="inlineStr">
        <is>
          <t>ATS</t>
        </is>
      </c>
      <c r="F57" s="12" t="inlineStr">
        <is>
          <t>JVST +7</t>
        </is>
      </c>
      <c r="G57" s="23" t="n">
        <v>-7</v>
      </c>
      <c r="H57" s="13" t="n">
        <v>-115</v>
      </c>
      <c r="I57" s="15" t="n">
        <v>0.5499855318495314</v>
      </c>
      <c r="J57" s="15" t="n">
        <v>0.5108342361863488</v>
      </c>
      <c r="K57" s="15" t="n">
        <v>0.5348837209302325</v>
      </c>
      <c r="L57" s="14" t="n">
        <v>0.01510181091929885</v>
      </c>
      <c r="M57" s="14" t="n">
        <v>0.02680803788623665</v>
      </c>
      <c r="N57" s="15" t="n">
        <v>0.0505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UNC @ TCU</t>
        </is>
      </c>
      <c r="C58" s="17" t="inlineStr">
        <is>
          <t>2026-08-29 16:00</t>
        </is>
      </c>
      <c r="D58" s="25" t="n">
        <v>1</v>
      </c>
      <c r="E58" s="17" t="inlineStr">
        <is>
          <t>TOTAL</t>
        </is>
      </c>
      <c r="F58" s="17" t="inlineStr">
        <is>
          <t>Over 47.5</t>
        </is>
      </c>
      <c r="G58" s="26" t="n">
        <v>47.5</v>
      </c>
      <c r="H58" s="18" t="n">
        <v>-110</v>
      </c>
      <c r="I58" s="20" t="n">
        <v>0.5376883257015108</v>
      </c>
      <c r="J58" s="20" t="n">
        <v>0.5</v>
      </c>
      <c r="K58" s="20" t="n">
        <v>0.5238095238095238</v>
      </c>
      <c r="L58" s="19" t="n">
        <v>0.01387880189198698</v>
      </c>
      <c r="M58" s="19" t="n">
        <v>0.02649589452106615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NMSU @ FSU</t>
        </is>
      </c>
      <c r="C59" s="12" t="inlineStr">
        <is>
          <t>2026-08-29 23:00</t>
        </is>
      </c>
      <c r="D59" s="22" t="n">
        <v>1</v>
      </c>
      <c r="E59" s="12" t="inlineStr">
        <is>
          <t>TOTAL</t>
        </is>
      </c>
      <c r="F59" s="12" t="inlineStr">
        <is>
          <t>Over 53.5</t>
        </is>
      </c>
      <c r="G59" s="23" t="n">
        <v>53.5</v>
      </c>
      <c r="H59" s="13" t="n">
        <v>-108</v>
      </c>
      <c r="I59" s="15" t="n">
        <v>0.5276563112932702</v>
      </c>
      <c r="J59" s="15" t="n">
        <v>0.4956702459300312</v>
      </c>
      <c r="K59" s="15" t="n">
        <v>0.5192307692307693</v>
      </c>
      <c r="L59" s="14" t="n">
        <v>0.008425542062500901</v>
      </c>
      <c r="M59" s="14" t="n">
        <v>0.01622696989815003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JVST @ NDSU</t>
        </is>
      </c>
      <c r="C60" s="17" t="inlineStr">
        <is>
          <t>2026-08-29 21:30</t>
        </is>
      </c>
      <c r="D60" s="25" t="n">
        <v>1</v>
      </c>
      <c r="E60" s="17" t="inlineStr">
        <is>
          <t>ML</t>
        </is>
      </c>
      <c r="F60" s="17" t="inlineStr">
        <is>
          <t>JVST ML</t>
        </is>
      </c>
      <c r="G60" s="26" t="n"/>
      <c r="H60" s="18" t="n">
        <v>210</v>
      </c>
      <c r="I60" s="20" t="n">
        <v>0.3308036085807733</v>
      </c>
      <c r="J60" s="20" t="n">
        <v>0.3092071169459319</v>
      </c>
      <c r="K60" s="20" t="n">
        <v>0.3225806451612903</v>
      </c>
      <c r="L60" s="19" t="n">
        <v>0.008222963419482976</v>
      </c>
      <c r="M60" s="19" t="n">
        <v>0.02549118660039718</v>
      </c>
      <c r="N60" s="20" t="n">
        <v>0</v>
      </c>
      <c r="O60" s="27" t="n">
        <v>0.45</v>
      </c>
      <c r="P60" s="17" t="inlineStr">
        <is>
          <t>DraftKings</t>
        </is>
      </c>
      <c r="Q60" s="17" t="n"/>
    </row>
    <row r="61">
      <c r="A61" s="12" t="inlineStr">
        <is>
          <t>PASS</t>
        </is>
      </c>
      <c r="B61" s="12" t="inlineStr">
        <is>
          <t>IDHO @ UTAH</t>
        </is>
      </c>
      <c r="C61" s="12" t="inlineStr">
        <is>
          <t>2026-09-04 01:00</t>
        </is>
      </c>
      <c r="D61" s="22" t="n">
        <v>1</v>
      </c>
      <c r="E61" s="12" t="inlineStr">
        <is>
          <t>TOTAL</t>
        </is>
      </c>
      <c r="F61" s="12" t="inlineStr">
        <is>
          <t>Over 56.5</t>
        </is>
      </c>
      <c r="G61" s="23" t="n">
        <v>56.5</v>
      </c>
      <c r="H61" s="13" t="n">
        <v>-110</v>
      </c>
      <c r="I61" s="15" t="n">
        <v>0.5278465354893196</v>
      </c>
      <c r="J61" s="15" t="n">
        <v>0.5</v>
      </c>
      <c r="K61" s="15" t="n">
        <v>0.5238095238095238</v>
      </c>
      <c r="L61" s="14" t="n">
        <v>0.004037011679795754</v>
      </c>
      <c r="M61" s="14" t="n">
        <v>0.007707022297791966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IDHO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MEM @ UNLV</t>
        </is>
      </c>
      <c r="C62" s="17" t="inlineStr">
        <is>
          <t>2026-08-30 02:00</t>
        </is>
      </c>
      <c r="D62" s="25" t="n">
        <v>1</v>
      </c>
      <c r="E62" s="17" t="inlineStr">
        <is>
          <t>TOTAL</t>
        </is>
      </c>
      <c r="F62" s="17" t="inlineStr">
        <is>
          <t>Over 56.5</t>
        </is>
      </c>
      <c r="G62" s="26" t="n">
        <v>56.5</v>
      </c>
      <c r="H62" s="18" t="n">
        <v>-112</v>
      </c>
      <c r="I62" s="20" t="n">
        <v>0.5319860620965522</v>
      </c>
      <c r="J62" s="20" t="n">
        <v>0.5043297540699688</v>
      </c>
      <c r="K62" s="20" t="n">
        <v>0.5283018867924528</v>
      </c>
      <c r="L62" s="19" t="n">
        <v>0.003684175304099369</v>
      </c>
      <c r="M62" s="19" t="n">
        <v>0.006973617539902333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UAB @ ILL</t>
        </is>
      </c>
      <c r="C63" s="12" t="inlineStr">
        <is>
          <t>2026-09-04 01:00</t>
        </is>
      </c>
      <c r="D63" s="22" t="n">
        <v>1</v>
      </c>
      <c r="E63" s="12" t="inlineStr">
        <is>
          <t>TOTAL</t>
        </is>
      </c>
      <c r="F63" s="12" t="inlineStr">
        <is>
          <t>Over 56.5</t>
        </is>
      </c>
      <c r="G63" s="23" t="n">
        <v>56.5</v>
      </c>
      <c r="H63" s="13" t="n">
        <v>-108</v>
      </c>
      <c r="I63" s="15" t="n">
        <v>0.5177573195518956</v>
      </c>
      <c r="J63" s="15" t="n">
        <v>0.4956702459300312</v>
      </c>
      <c r="K63" s="15" t="n">
        <v>0.5192307692307693</v>
      </c>
      <c r="L63" s="14" t="n">
        <v>-0.00147344967887364</v>
      </c>
      <c r="M63" s="14" t="n">
        <v>-0.00283775493708982</v>
      </c>
      <c r="N63" s="15" t="n">
        <v>0</v>
      </c>
      <c r="O63" s="24" t="n">
        <v>0.45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NCSU @ UVA</t>
        </is>
      </c>
      <c r="C64" s="17" t="inlineStr">
        <is>
          <t>2026-08-29 19:30</t>
        </is>
      </c>
      <c r="D64" s="25" t="n">
        <v>1</v>
      </c>
      <c r="E64" s="17" t="inlineStr">
        <is>
          <t>TOTAL</t>
        </is>
      </c>
      <c r="F64" s="17" t="inlineStr">
        <is>
          <t>Over 53.5</t>
        </is>
      </c>
      <c r="G64" s="26" t="n">
        <v>53.5</v>
      </c>
      <c r="H64" s="18" t="n">
        <v>-110</v>
      </c>
      <c r="I64" s="20" t="n">
        <v>0.5199222007643431</v>
      </c>
      <c r="J64" s="20" t="n">
        <v>0.5</v>
      </c>
      <c r="K64" s="20" t="n">
        <v>0.5238095238095238</v>
      </c>
      <c r="L64" s="19" t="n">
        <v>-0.003887323045180691</v>
      </c>
      <c r="M64" s="19" t="n">
        <v>-0.007421253086253965</v>
      </c>
      <c r="N64" s="20" t="n">
        <v>0</v>
      </c>
      <c r="O64" s="27" t="n">
        <v>0.45</v>
      </c>
      <c r="P64" s="17" t="inlineStr">
        <is>
          <t>DraftKings</t>
        </is>
      </c>
      <c r="Q64" s="17" t="n"/>
    </row>
    <row r="65">
      <c r="A65" s="12" t="inlineStr">
        <is>
          <t>PASS</t>
        </is>
      </c>
      <c r="B65" s="12" t="inlineStr">
        <is>
          <t>INST @ PUR</t>
        </is>
      </c>
      <c r="C65" s="12" t="inlineStr">
        <is>
          <t>2026-09-04 23:00</t>
        </is>
      </c>
      <c r="D65" s="22" t="n">
        <v>1</v>
      </c>
      <c r="E65" s="12" t="inlineStr">
        <is>
          <t>TOTAL</t>
        </is>
      </c>
      <c r="F65" s="12" t="inlineStr">
        <is>
          <t>Under 56.5</t>
        </is>
      </c>
      <c r="G65" s="23" t="n">
        <v>56.5</v>
      </c>
      <c r="H65" s="13" t="n">
        <v>-110</v>
      </c>
      <c r="I65" s="15" t="n">
        <v>0.5079800413890019</v>
      </c>
      <c r="J65" s="15" t="n">
        <v>0.5</v>
      </c>
      <c r="K65" s="15" t="n">
        <v>0.5238095238095238</v>
      </c>
      <c r="L65" s="14" t="n">
        <v>-0.01582948242052196</v>
      </c>
      <c r="M65" s="14" t="n">
        <v>-0.03021992098463272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INST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TOTAL</t>
        </is>
      </c>
      <c r="F66" s="17" t="inlineStr">
        <is>
          <t>Over 56.5</t>
        </is>
      </c>
      <c r="G66" s="26" t="n">
        <v>56.5</v>
      </c>
      <c r="H66" s="18" t="n">
        <v>-110</v>
      </c>
      <c r="I66" s="20" t="n">
        <v>0.4920199586109981</v>
      </c>
      <c r="J66" s="20" t="n">
        <v>0.5</v>
      </c>
      <c r="K66" s="20" t="n">
        <v>0.5238095238095238</v>
      </c>
      <c r="L66" s="19" t="n">
        <v>-0.03178956519852572</v>
      </c>
      <c r="M66" s="19" t="n">
        <v>-0.06068916992445811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NCSU @ UVA</t>
        </is>
      </c>
      <c r="C67" s="12" t="inlineStr">
        <is>
          <t>2026-08-29 19:30</t>
        </is>
      </c>
      <c r="D67" s="22" t="n">
        <v>1</v>
      </c>
      <c r="E67" s="12" t="inlineStr">
        <is>
          <t>TOTAL</t>
        </is>
      </c>
      <c r="F67" s="12" t="inlineStr">
        <is>
          <t>Under 53.5</t>
        </is>
      </c>
      <c r="G67" s="23" t="n">
        <v>53.5</v>
      </c>
      <c r="H67" s="13" t="n">
        <v>-110</v>
      </c>
      <c r="I67" s="15" t="n">
        <v>0.4800777992356569</v>
      </c>
      <c r="J67" s="15" t="n">
        <v>0.5</v>
      </c>
      <c r="K67" s="15" t="n">
        <v>0.5238095238095238</v>
      </c>
      <c r="L67" s="14" t="n">
        <v>-0.04373172457386698</v>
      </c>
      <c r="M67" s="14" t="n">
        <v>-0.08348783782283686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UAB @ ILL</t>
        </is>
      </c>
      <c r="C68" s="17" t="inlineStr">
        <is>
          <t>2026-09-04 01:00</t>
        </is>
      </c>
      <c r="D68" s="25" t="n">
        <v>1</v>
      </c>
      <c r="E68" s="17" t="inlineStr">
        <is>
          <t>TOTAL</t>
        </is>
      </c>
      <c r="F68" s="17" t="inlineStr">
        <is>
          <t>Under 56.5</t>
        </is>
      </c>
      <c r="G68" s="26" t="n">
        <v>56.5</v>
      </c>
      <c r="H68" s="18" t="n">
        <v>-112</v>
      </c>
      <c r="I68" s="20" t="n">
        <v>0.4822426804481044</v>
      </c>
      <c r="J68" s="20" t="n">
        <v>0.5043297540699688</v>
      </c>
      <c r="K68" s="20" t="n">
        <v>0.5283018867924528</v>
      </c>
      <c r="L68" s="19" t="n">
        <v>-0.04605920634434846</v>
      </c>
      <c r="M68" s="19" t="n">
        <v>-0.08718349772323103</v>
      </c>
      <c r="N68" s="20" t="n">
        <v>0</v>
      </c>
      <c r="O68" s="27" t="n">
        <v>0.45</v>
      </c>
      <c r="P68" s="17" t="inlineStr">
        <is>
          <t>DraftKings</t>
        </is>
      </c>
      <c r="Q68" s="17" t="n"/>
    </row>
    <row r="69">
      <c r="A69" s="12" t="inlineStr">
        <is>
          <t>PASS</t>
        </is>
      </c>
      <c r="B69" s="12" t="inlineStr">
        <is>
          <t>MEM @ UNLV</t>
        </is>
      </c>
      <c r="C69" s="12" t="inlineStr">
        <is>
          <t>2026-08-30 02:00</t>
        </is>
      </c>
      <c r="D69" s="22" t="n">
        <v>1</v>
      </c>
      <c r="E69" s="12" t="inlineStr">
        <is>
          <t>TOTAL</t>
        </is>
      </c>
      <c r="F69" s="12" t="inlineStr">
        <is>
          <t>Under 56.5</t>
        </is>
      </c>
      <c r="G69" s="23" t="n">
        <v>56.5</v>
      </c>
      <c r="H69" s="13" t="n">
        <v>-108</v>
      </c>
      <c r="I69" s="15" t="n">
        <v>0.4680139379034478</v>
      </c>
      <c r="J69" s="15" t="n">
        <v>0.4956702459300312</v>
      </c>
      <c r="K69" s="15" t="n">
        <v>0.5192307692307693</v>
      </c>
      <c r="L69" s="14" t="n">
        <v>-0.05121683132732147</v>
      </c>
      <c r="M69" s="14" t="n">
        <v>-0.09863982329706344</v>
      </c>
      <c r="N69" s="15" t="n">
        <v>0</v>
      </c>
      <c r="O69" s="24" t="n">
        <v>0.45</v>
      </c>
      <c r="P69" s="12" t="inlineStr">
        <is>
          <t>DraftKings</t>
        </is>
      </c>
      <c r="Q69" s="12" t="n"/>
    </row>
    <row r="70">
      <c r="A70" s="17" t="inlineStr">
        <is>
          <t>PASS</t>
        </is>
      </c>
      <c r="B70" s="17" t="inlineStr">
        <is>
          <t>JVST @ NDSU</t>
        </is>
      </c>
      <c r="C70" s="17" t="inlineStr">
        <is>
          <t>2026-08-29 21:30</t>
        </is>
      </c>
      <c r="D70" s="25" t="n">
        <v>1</v>
      </c>
      <c r="E70" s="17" t="inlineStr">
        <is>
          <t>ML</t>
        </is>
      </c>
      <c r="F70" s="17" t="inlineStr">
        <is>
          <t>NDSU ML</t>
        </is>
      </c>
      <c r="G70" s="26" t="n"/>
      <c r="H70" s="18" t="n">
        <v>-258</v>
      </c>
      <c r="I70" s="20" t="n">
        <v>0.6691963914192267</v>
      </c>
      <c r="J70" s="20" t="n">
        <v>0.6907928830540681</v>
      </c>
      <c r="K70" s="20" t="n">
        <v>0.7206703910614525</v>
      </c>
      <c r="L70" s="19" t="n">
        <v>-0.05147399964222577</v>
      </c>
      <c r="M70" s="19" t="n">
        <v>-0.07142516229425128</v>
      </c>
      <c r="N70" s="20" t="n">
        <v>0</v>
      </c>
      <c r="O70" s="27" t="n">
        <v>0.45</v>
      </c>
      <c r="P70" s="17" t="inlineStr">
        <is>
          <t>DraftKings</t>
        </is>
      </c>
      <c r="Q70" s="17" t="n"/>
    </row>
    <row r="71">
      <c r="A71" s="12" t="inlineStr">
        <is>
          <t>PASS</t>
        </is>
      </c>
      <c r="B71" s="12" t="inlineStr">
        <is>
          <t>IDHO @ UTAH</t>
        </is>
      </c>
      <c r="C71" s="12" t="inlineStr">
        <is>
          <t>2026-09-04 01:00</t>
        </is>
      </c>
      <c r="D71" s="22" t="n">
        <v>1</v>
      </c>
      <c r="E71" s="12" t="inlineStr">
        <is>
          <t>TOTAL</t>
        </is>
      </c>
      <c r="F71" s="12" t="inlineStr">
        <is>
          <t>Under 56.5</t>
        </is>
      </c>
      <c r="G71" s="23" t="n">
        <v>56.5</v>
      </c>
      <c r="H71" s="13" t="n">
        <v>-110</v>
      </c>
      <c r="I71" s="15" t="n">
        <v>0.4721534645106804</v>
      </c>
      <c r="J71" s="15" t="n">
        <v>0.5</v>
      </c>
      <c r="K71" s="15" t="n">
        <v>0.5238095238095238</v>
      </c>
      <c r="L71" s="14" t="n">
        <v>-0.05165605929884343</v>
      </c>
      <c r="M71" s="14" t="n">
        <v>-0.09861611320688279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IDHO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NMSU @ FSU</t>
        </is>
      </c>
      <c r="C72" s="17" t="inlineStr">
        <is>
          <t>2026-08-29 23:00</t>
        </is>
      </c>
      <c r="D72" s="25" t="n">
        <v>1</v>
      </c>
      <c r="E72" s="17" t="inlineStr">
        <is>
          <t>TOTAL</t>
        </is>
      </c>
      <c r="F72" s="17" t="inlineStr">
        <is>
          <t>Under 53.5</t>
        </is>
      </c>
      <c r="G72" s="26" t="n">
        <v>53.5</v>
      </c>
      <c r="H72" s="18" t="n">
        <v>-112</v>
      </c>
      <c r="I72" s="20" t="n">
        <v>0.4723436887067298</v>
      </c>
      <c r="J72" s="20" t="n">
        <v>0.5043297540699688</v>
      </c>
      <c r="K72" s="20" t="n">
        <v>0.5283018867924528</v>
      </c>
      <c r="L72" s="19" t="n">
        <v>-0.055958198085723</v>
      </c>
      <c r="M72" s="19" t="n">
        <v>-0.1059208749479757</v>
      </c>
      <c r="N72" s="20" t="n">
        <v>0</v>
      </c>
      <c r="O72" s="27" t="n">
        <v>0.45</v>
      </c>
      <c r="P72" s="17" t="inlineStr">
        <is>
          <t>DraftKings</t>
        </is>
      </c>
      <c r="Q72" s="17" t="n"/>
    </row>
    <row r="73">
      <c r="A73" s="12" t="inlineStr">
        <is>
          <t>PASS</t>
        </is>
      </c>
      <c r="B73" s="12" t="inlineStr">
        <is>
          <t>COLO @ GT</t>
        </is>
      </c>
      <c r="C73" s="12" t="inlineStr">
        <is>
          <t>2026-09-04 00:00</t>
        </is>
      </c>
      <c r="D73" s="22" t="n">
        <v>1</v>
      </c>
      <c r="E73" s="12" t="inlineStr">
        <is>
          <t>ML</t>
        </is>
      </c>
      <c r="F73" s="12" t="inlineStr">
        <is>
          <t>GT ML</t>
        </is>
      </c>
      <c r="G73" s="23" t="n"/>
      <c r="H73" s="13" t="n">
        <v>-250</v>
      </c>
      <c r="I73" s="15" t="n">
        <v>0.6553460060160052</v>
      </c>
      <c r="J73" s="15" t="n">
        <v>0.6853932584269663</v>
      </c>
      <c r="K73" s="15" t="n">
        <v>0.7142857142857143</v>
      </c>
      <c r="L73" s="14" t="n">
        <v>-0.05893970826970907</v>
      </c>
      <c r="M73" s="14" t="n">
        <v>-0.08251559157759275</v>
      </c>
      <c r="N73" s="15" t="n">
        <v>0</v>
      </c>
      <c r="O73" s="24" t="n">
        <v>0.45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SJSU @ EMU</t>
        </is>
      </c>
      <c r="C74" s="17" t="inlineStr">
        <is>
          <t>2026-09-04 22:30</t>
        </is>
      </c>
      <c r="D74" s="25" t="n">
        <v>1</v>
      </c>
      <c r="E74" s="17" t="inlineStr">
        <is>
          <t>ML</t>
        </is>
      </c>
      <c r="F74" s="17" t="inlineStr">
        <is>
          <t>EMU ML</t>
        </is>
      </c>
      <c r="G74" s="26" t="n"/>
      <c r="H74" s="18" t="n">
        <v>-218</v>
      </c>
      <c r="I74" s="20" t="n">
        <v>0.6258400393716101</v>
      </c>
      <c r="J74" s="20" t="n">
        <v>0.6574752261956054</v>
      </c>
      <c r="K74" s="20" t="n">
        <v>0.6855345911949685</v>
      </c>
      <c r="L74" s="19" t="n">
        <v>-0.05969455182335837</v>
      </c>
      <c r="M74" s="19" t="n">
        <v>-0.08707737376067881</v>
      </c>
      <c r="N74" s="20" t="n">
        <v>0</v>
      </c>
      <c r="O74" s="27" t="n">
        <v>0.45</v>
      </c>
      <c r="P74" s="17" t="inlineStr">
        <is>
          <t>DraftKings</t>
        </is>
      </c>
      <c r="Q74" s="17" t="n"/>
    </row>
    <row r="75">
      <c r="A75" s="12" t="inlineStr">
        <is>
          <t>PASS</t>
        </is>
      </c>
      <c r="B75" s="12" t="inlineStr">
        <is>
          <t>UNC @ TCU</t>
        </is>
      </c>
      <c r="C75" s="12" t="inlineStr">
        <is>
          <t>2026-08-29 16:00</t>
        </is>
      </c>
      <c r="D75" s="22" t="n">
        <v>1</v>
      </c>
      <c r="E75" s="12" t="inlineStr">
        <is>
          <t>TOTAL</t>
        </is>
      </c>
      <c r="F75" s="12" t="inlineStr">
        <is>
          <t>Under 47.5</t>
        </is>
      </c>
      <c r="G75" s="23" t="n">
        <v>47.5</v>
      </c>
      <c r="H75" s="13" t="n">
        <v>-110</v>
      </c>
      <c r="I75" s="15" t="n">
        <v>0.4623116742984892</v>
      </c>
      <c r="J75" s="15" t="n">
        <v>0.5</v>
      </c>
      <c r="K75" s="15" t="n">
        <v>0.5238095238095238</v>
      </c>
      <c r="L75" s="14" t="n">
        <v>-0.06149784951103465</v>
      </c>
      <c r="M75" s="14" t="n">
        <v>-0.117404985430157</v>
      </c>
      <c r="N75" s="15" t="n">
        <v>0</v>
      </c>
      <c r="O75" s="24" t="n">
        <v>0.45</v>
      </c>
      <c r="P75" s="12" t="inlineStr">
        <is>
          <t>DraftKings</t>
        </is>
      </c>
      <c r="Q75" s="12" t="n"/>
    </row>
    <row r="76">
      <c r="A76" s="17" t="inlineStr">
        <is>
          <t>PASS</t>
        </is>
      </c>
      <c r="B76" s="17" t="inlineStr">
        <is>
          <t>JVST @ NDSU</t>
        </is>
      </c>
      <c r="C76" s="17" t="inlineStr">
        <is>
          <t>2026-08-29 21:30</t>
        </is>
      </c>
      <c r="D76" s="25" t="n">
        <v>1</v>
      </c>
      <c r="E76" s="17" t="inlineStr">
        <is>
          <t>ATS</t>
        </is>
      </c>
      <c r="F76" s="17" t="inlineStr">
        <is>
          <t>NDSU -7</t>
        </is>
      </c>
      <c r="G76" s="26" t="n">
        <v>-7</v>
      </c>
      <c r="H76" s="18" t="n">
        <v>-105</v>
      </c>
      <c r="I76" s="20" t="n">
        <v>0.4500144681504686</v>
      </c>
      <c r="J76" s="20" t="n">
        <v>0.4891657638136511</v>
      </c>
      <c r="K76" s="20" t="n">
        <v>0.5121951219512195</v>
      </c>
      <c r="L76" s="19" t="n">
        <v>-0.06218065380075088</v>
      </c>
      <c r="M76" s="19" t="n">
        <v>-0.1152697169483107</v>
      </c>
      <c r="N76" s="20" t="n">
        <v>0.0505</v>
      </c>
      <c r="O76" s="27" t="n">
        <v>0.45</v>
      </c>
      <c r="P76" s="17" t="inlineStr">
        <is>
          <t>DraftKings</t>
        </is>
      </c>
      <c r="Q76" s="17" t="n"/>
    </row>
    <row r="77">
      <c r="A77" s="12" t="inlineStr">
        <is>
          <t>PASS</t>
        </is>
      </c>
      <c r="B77" s="12" t="inlineStr">
        <is>
          <t>NCSU @ UVA</t>
        </is>
      </c>
      <c r="C77" s="12" t="inlineStr">
        <is>
          <t>2026-08-29 19:30</t>
        </is>
      </c>
      <c r="D77" s="22" t="n">
        <v>1</v>
      </c>
      <c r="E77" s="12" t="inlineStr">
        <is>
          <t>ML</t>
        </is>
      </c>
      <c r="F77" s="12" t="inlineStr">
        <is>
          <t>UVA ML</t>
        </is>
      </c>
      <c r="G77" s="23" t="n"/>
      <c r="H77" s="13" t="n">
        <v>-225</v>
      </c>
      <c r="I77" s="15" t="n">
        <v>0.6285057351705188</v>
      </c>
      <c r="J77" s="15" t="n">
        <v>0.6636481241914618</v>
      </c>
      <c r="K77" s="15" t="n">
        <v>0.6923076923076923</v>
      </c>
      <c r="L77" s="14" t="n">
        <v>-0.06380195713717352</v>
      </c>
      <c r="M77" s="14" t="n">
        <v>-0.0921583825314729</v>
      </c>
      <c r="N77" s="15" t="n">
        <v>0</v>
      </c>
      <c r="O77" s="24" t="n">
        <v>0.45</v>
      </c>
      <c r="P77" s="12" t="inlineStr">
        <is>
          <t>DraftKings</t>
        </is>
      </c>
      <c r="Q77" s="12" t="n"/>
    </row>
    <row r="78">
      <c r="A78" s="17" t="inlineStr">
        <is>
          <t>PASS</t>
        </is>
      </c>
      <c r="B78" s="17" t="inlineStr">
        <is>
          <t>SJSU @ EMU</t>
        </is>
      </c>
      <c r="C78" s="17" t="inlineStr">
        <is>
          <t>2026-09-04 22:30</t>
        </is>
      </c>
      <c r="D78" s="25" t="n">
        <v>1</v>
      </c>
      <c r="E78" s="17" t="inlineStr">
        <is>
          <t>ATS</t>
        </is>
      </c>
      <c r="F78" s="17" t="inlineStr">
        <is>
          <t>EMU -5.5</t>
        </is>
      </c>
      <c r="G78" s="26" t="n">
        <v>-5.5</v>
      </c>
      <c r="H78" s="18" t="n">
        <v>-108</v>
      </c>
      <c r="I78" s="20" t="n">
        <v>0.4548027233654209</v>
      </c>
      <c r="J78" s="20" t="n">
        <v>0.4956702459300312</v>
      </c>
      <c r="K78" s="20" t="n">
        <v>0.5192307692307693</v>
      </c>
      <c r="L78" s="19" t="n">
        <v>-0.06442804586534834</v>
      </c>
      <c r="M78" s="19" t="n">
        <v>-0.1240836438888189</v>
      </c>
      <c r="N78" s="20" t="n">
        <v>0</v>
      </c>
      <c r="O78" s="27" t="n">
        <v>0.45</v>
      </c>
      <c r="P78" s="17" t="inlineStr">
        <is>
          <t>DraftKings</t>
        </is>
      </c>
      <c r="Q78" s="17" t="n"/>
    </row>
    <row r="79">
      <c r="A79" s="12" t="inlineStr">
        <is>
          <t>PASS</t>
        </is>
      </c>
      <c r="B79" s="12" t="inlineStr">
        <is>
          <t>MRMK @ DEL</t>
        </is>
      </c>
      <c r="C79" s="12" t="inlineStr">
        <is>
          <t>2026-09-03 23:00</t>
        </is>
      </c>
      <c r="D79" s="22" t="n">
        <v>1</v>
      </c>
      <c r="E79" s="12" t="inlineStr">
        <is>
          <t>TOTAL</t>
        </is>
      </c>
      <c r="F79" s="12" t="inlineStr">
        <is>
          <t>Under 55.5</t>
        </is>
      </c>
      <c r="G79" s="23" t="n">
        <v>55.5</v>
      </c>
      <c r="H79" s="13" t="n">
        <v>-110</v>
      </c>
      <c r="I79" s="15" t="n">
        <v>0.4583998295404086</v>
      </c>
      <c r="J79" s="15" t="n">
        <v>0.5</v>
      </c>
      <c r="K79" s="15" t="n">
        <v>0.5238095238095238</v>
      </c>
      <c r="L79" s="14" t="n">
        <v>-0.06540969426911525</v>
      </c>
      <c r="M79" s="14" t="n">
        <v>-0.1248730526955836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MRMK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MEM @ UNLV</t>
        </is>
      </c>
      <c r="C80" s="17" t="inlineStr">
        <is>
          <t>2026-08-30 02:00</t>
        </is>
      </c>
      <c r="D80" s="25" t="n">
        <v>1</v>
      </c>
      <c r="E80" s="17" t="inlineStr">
        <is>
          <t>ML</t>
        </is>
      </c>
      <c r="F80" s="17" t="inlineStr">
        <is>
          <t>UNLV ML</t>
        </is>
      </c>
      <c r="G80" s="26" t="n"/>
      <c r="H80" s="18" t="n">
        <v>-218</v>
      </c>
      <c r="I80" s="20" t="n">
        <v>0.616964108311471</v>
      </c>
      <c r="J80" s="20" t="n">
        <v>0.6574752261956054</v>
      </c>
      <c r="K80" s="20" t="n">
        <v>0.6855345911949685</v>
      </c>
      <c r="L80" s="19" t="n">
        <v>-0.06857048288349754</v>
      </c>
      <c r="M80" s="19" t="n">
        <v>-0.1000248328300561</v>
      </c>
      <c r="N80" s="20" t="n">
        <v>0</v>
      </c>
      <c r="O80" s="27" t="n">
        <v>0.45</v>
      </c>
      <c r="P80" s="17" t="inlineStr">
        <is>
          <t>DraftKings</t>
        </is>
      </c>
      <c r="Q80" s="17" t="n"/>
    </row>
    <row r="81">
      <c r="A81" s="12" t="inlineStr">
        <is>
          <t>PASS</t>
        </is>
      </c>
      <c r="B81" s="12" t="inlineStr">
        <is>
          <t>COLO @ GT</t>
        </is>
      </c>
      <c r="C81" s="12" t="inlineStr">
        <is>
          <t>2026-09-04 00:00</t>
        </is>
      </c>
      <c r="D81" s="22" t="n">
        <v>1</v>
      </c>
      <c r="E81" s="12" t="inlineStr">
        <is>
          <t>ATS</t>
        </is>
      </c>
      <c r="F81" s="12" t="inlineStr">
        <is>
          <t>GT -6.5</t>
        </is>
      </c>
      <c r="G81" s="23" t="n">
        <v>-6.5</v>
      </c>
      <c r="H81" s="13" t="n">
        <v>-115</v>
      </c>
      <c r="I81" s="15" t="n">
        <v>0.4640540647948633</v>
      </c>
      <c r="J81" s="15" t="n">
        <v>0.5108342361863488</v>
      </c>
      <c r="K81" s="15" t="n">
        <v>0.5348837209302325</v>
      </c>
      <c r="L81" s="14" t="n">
        <v>-0.07082965613536918</v>
      </c>
      <c r="M81" s="14" t="n">
        <v>-0.132420661470473</v>
      </c>
      <c r="N81" s="15" t="n">
        <v>0</v>
      </c>
      <c r="O81" s="24" t="n">
        <v>0.45</v>
      </c>
      <c r="P81" s="12" t="inlineStr">
        <is>
          <t>DraftKings</t>
        </is>
      </c>
      <c r="Q81" s="12" t="n"/>
    </row>
    <row r="82">
      <c r="A82" s="17" t="inlineStr">
        <is>
          <t>PASS</t>
        </is>
      </c>
      <c r="B82" s="17" t="inlineStr">
        <is>
          <t>NCSU @ UVA</t>
        </is>
      </c>
      <c r="C82" s="17" t="inlineStr">
        <is>
          <t>2026-08-29 19:30</t>
        </is>
      </c>
      <c r="D82" s="25" t="n">
        <v>1</v>
      </c>
      <c r="E82" s="17" t="inlineStr">
        <is>
          <t>ATS</t>
        </is>
      </c>
      <c r="F82" s="17" t="inlineStr">
        <is>
          <t>UVA -5.5</t>
        </is>
      </c>
      <c r="G82" s="26" t="n">
        <v>-5.5</v>
      </c>
      <c r="H82" s="18" t="n">
        <v>-115</v>
      </c>
      <c r="I82" s="20" t="n">
        <v>0.4619625721787197</v>
      </c>
      <c r="J82" s="20" t="n">
        <v>0.5108342361863488</v>
      </c>
      <c r="K82" s="20" t="n">
        <v>0.5348837209302325</v>
      </c>
      <c r="L82" s="19" t="n">
        <v>-0.07292114875151279</v>
      </c>
      <c r="M82" s="19" t="n">
        <v>-0.1363308433180458</v>
      </c>
      <c r="N82" s="20" t="n">
        <v>0</v>
      </c>
      <c r="O82" s="27" t="n">
        <v>0.45</v>
      </c>
      <c r="P82" s="17" t="inlineStr">
        <is>
          <t>DraftKings</t>
        </is>
      </c>
      <c r="Q82" s="17" t="n"/>
    </row>
    <row r="83">
      <c r="A83" s="12" t="inlineStr">
        <is>
          <t>PASS</t>
        </is>
      </c>
      <c r="B83" s="12" t="inlineStr">
        <is>
          <t>MEM @ UNLV</t>
        </is>
      </c>
      <c r="C83" s="12" t="inlineStr">
        <is>
          <t>2026-08-30 02:00</t>
        </is>
      </c>
      <c r="D83" s="22" t="n">
        <v>1</v>
      </c>
      <c r="E83" s="12" t="inlineStr">
        <is>
          <t>ATS</t>
        </is>
      </c>
      <c r="F83" s="12" t="inlineStr">
        <is>
          <t>UNLV -5.5</t>
        </is>
      </c>
      <c r="G83" s="23" t="n">
        <v>-5.5</v>
      </c>
      <c r="H83" s="13" t="n">
        <v>-108</v>
      </c>
      <c r="I83" s="15" t="n">
        <v>0.4459869182536856</v>
      </c>
      <c r="J83" s="15" t="n">
        <v>0.4956702459300312</v>
      </c>
      <c r="K83" s="15" t="n">
        <v>0.5192307692307693</v>
      </c>
      <c r="L83" s="14" t="n">
        <v>-0.07324385097708364</v>
      </c>
      <c r="M83" s="14" t="n">
        <v>-0.1410622315114202</v>
      </c>
      <c r="N83" s="15" t="n">
        <v>0</v>
      </c>
      <c r="O83" s="24" t="n">
        <v>0.45</v>
      </c>
      <c r="P83" s="12" t="inlineStr">
        <is>
          <t>DraftKings</t>
        </is>
      </c>
      <c r="Q83" s="12" t="n"/>
    </row>
    <row r="84">
      <c r="A84" s="17" t="inlineStr">
        <is>
          <t>PASS</t>
        </is>
      </c>
      <c r="B84" s="17" t="inlineStr">
        <is>
          <t>SJSU @ EMU</t>
        </is>
      </c>
      <c r="C84" s="17" t="inlineStr">
        <is>
          <t>2026-09-04 22:30</t>
        </is>
      </c>
      <c r="D84" s="25" t="n">
        <v>1</v>
      </c>
      <c r="E84" s="17" t="inlineStr">
        <is>
          <t>TOTAL</t>
        </is>
      </c>
      <c r="F84" s="17" t="inlineStr">
        <is>
          <t>Under 53.5</t>
        </is>
      </c>
      <c r="G84" s="26" t="n">
        <v>53.5</v>
      </c>
      <c r="H84" s="18" t="n">
        <v>-108</v>
      </c>
      <c r="I84" s="20" t="n">
        <v>0.440766050506836</v>
      </c>
      <c r="J84" s="20" t="n">
        <v>0.4956702459300312</v>
      </c>
      <c r="K84" s="20" t="n">
        <v>0.5192307692307693</v>
      </c>
      <c r="L84" s="19" t="n">
        <v>-0.07846471872393324</v>
      </c>
      <c r="M84" s="19" t="n">
        <v>-0.1511172360609083</v>
      </c>
      <c r="N84" s="20" t="n">
        <v>0</v>
      </c>
      <c r="O84" s="27" t="n">
        <v>0.45</v>
      </c>
      <c r="P84" s="17" t="inlineStr">
        <is>
          <t>DraftKings</t>
        </is>
      </c>
      <c r="Q84" s="17" t="n"/>
    </row>
    <row r="85">
      <c r="A85" s="12" t="inlineStr">
        <is>
          <t>PASS</t>
        </is>
      </c>
      <c r="B85" s="12" t="inlineStr">
        <is>
          <t>HAW @ STAN</t>
        </is>
      </c>
      <c r="C85" s="12" t="inlineStr">
        <is>
          <t>2026-08-29 23:00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-185</v>
      </c>
      <c r="I85" s="15" t="n">
        <v>0.5680001569263282</v>
      </c>
      <c r="J85" s="15" t="n">
        <v>0.6224665518611737</v>
      </c>
      <c r="K85" s="15" t="n">
        <v>0.6491228070175439</v>
      </c>
      <c r="L85" s="14" t="n">
        <v>-0.08112265009121566</v>
      </c>
      <c r="M85" s="14" t="n">
        <v>-0.1249727312216025</v>
      </c>
      <c r="N85" s="15" t="n">
        <v>0</v>
      </c>
      <c r="O85" s="24" t="n">
        <v>0.45</v>
      </c>
      <c r="P85" s="12" t="inlineStr">
        <is>
          <t>DraftKings</t>
        </is>
      </c>
      <c r="Q85" s="12" t="n"/>
    </row>
    <row r="86">
      <c r="A86" s="17" t="inlineStr">
        <is>
          <t>PASS</t>
        </is>
      </c>
      <c r="B86" s="17" t="inlineStr">
        <is>
          <t>EIU @ MINN</t>
        </is>
      </c>
      <c r="C86" s="17" t="inlineStr">
        <is>
          <t>2026-09-04 00:00</t>
        </is>
      </c>
      <c r="D86" s="25" t="n">
        <v>1</v>
      </c>
      <c r="E86" s="17" t="inlineStr">
        <is>
          <t>TOTAL</t>
        </is>
      </c>
      <c r="F86" s="17" t="inlineStr">
        <is>
          <t>Under 51.5</t>
        </is>
      </c>
      <c r="G86" s="26" t="n">
        <v>51.5</v>
      </c>
      <c r="H86" s="18" t="n">
        <v>-108</v>
      </c>
      <c r="I86" s="20" t="n">
        <v>0.4350519102861474</v>
      </c>
      <c r="J86" s="20" t="n">
        <v>0.4956702459300312</v>
      </c>
      <c r="K86" s="20" t="n">
        <v>0.5192307692307693</v>
      </c>
      <c r="L86" s="19" t="n">
        <v>-0.08417885894462185</v>
      </c>
      <c r="M86" s="19" t="n">
        <v>-0.1621222468563086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EIU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HAW @ STAN</t>
        </is>
      </c>
      <c r="C87" s="12" t="inlineStr">
        <is>
          <t>2026-08-29 23:00</t>
        </is>
      </c>
      <c r="D87" s="22" t="n">
        <v>1</v>
      </c>
      <c r="E87" s="12" t="inlineStr">
        <is>
          <t>ATS</t>
        </is>
      </c>
      <c r="F87" s="12" t="inlineStr">
        <is>
          <t>STAN -4</t>
        </is>
      </c>
      <c r="G87" s="23" t="n">
        <v>-4</v>
      </c>
      <c r="H87" s="13" t="n">
        <v>-108</v>
      </c>
      <c r="I87" s="15" t="n">
        <v>0.4333339188511319</v>
      </c>
      <c r="J87" s="15" t="n">
        <v>0.4956702459300312</v>
      </c>
      <c r="K87" s="15" t="n">
        <v>0.5192307692307693</v>
      </c>
      <c r="L87" s="14" t="n">
        <v>-0.08589685037963735</v>
      </c>
      <c r="M87" s="14" t="n">
        <v>-0.1604724948268336</v>
      </c>
      <c r="N87" s="15" t="n">
        <v>0.03</v>
      </c>
      <c r="O87" s="24" t="n">
        <v>0.45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SJSU @ USC</t>
        </is>
      </c>
      <c r="C88" s="17" t="inlineStr">
        <is>
          <t>2026-08-29 19:00</t>
        </is>
      </c>
      <c r="D88" s="25" t="n">
        <v>1</v>
      </c>
      <c r="E88" s="17" t="inlineStr">
        <is>
          <t>TOTAL</t>
        </is>
      </c>
      <c r="F88" s="17" t="inlineStr">
        <is>
          <t>Over 60.5</t>
        </is>
      </c>
      <c r="G88" s="26" t="n">
        <v>60.5</v>
      </c>
      <c r="H88" s="18" t="n">
        <v>-112</v>
      </c>
      <c r="I88" s="20" t="n">
        <v>0.4393816702781982</v>
      </c>
      <c r="J88" s="20" t="n">
        <v>0.5043297540699688</v>
      </c>
      <c r="K88" s="20" t="n">
        <v>0.5283018867924528</v>
      </c>
      <c r="L88" s="19" t="n">
        <v>-0.08892021651425458</v>
      </c>
      <c r="M88" s="19" t="n">
        <v>-0.1683132669734104</v>
      </c>
      <c r="N88" s="20" t="n">
        <v>0</v>
      </c>
      <c r="O88" s="27" t="n">
        <v>0.45</v>
      </c>
      <c r="P88" s="17" t="inlineStr">
        <is>
          <t>DraftKings</t>
        </is>
      </c>
      <c r="Q88" s="17" t="n"/>
    </row>
    <row r="89">
      <c r="A89" s="12" t="inlineStr">
        <is>
          <t>PASS</t>
        </is>
      </c>
      <c r="B89" s="12" t="inlineStr">
        <is>
          <t>MASS @ RUTG</t>
        </is>
      </c>
      <c r="C89" s="12" t="inlineStr">
        <is>
          <t>2026-09-03 22:00</t>
        </is>
      </c>
      <c r="D89" s="22" t="n">
        <v>1</v>
      </c>
      <c r="E89" s="12" t="inlineStr">
        <is>
          <t>TOTAL</t>
        </is>
      </c>
      <c r="F89" s="12" t="inlineStr">
        <is>
          <t>Under 53.5</t>
        </is>
      </c>
      <c r="G89" s="23" t="n">
        <v>53.5</v>
      </c>
      <c r="H89" s="13" t="n">
        <v>-110</v>
      </c>
      <c r="I89" s="15" t="n">
        <v>0.4259569450760283</v>
      </c>
      <c r="J89" s="15" t="n">
        <v>0.5</v>
      </c>
      <c r="K89" s="15" t="n">
        <v>0.5238095238095238</v>
      </c>
      <c r="L89" s="14" t="n">
        <v>-0.09785257873349551</v>
      </c>
      <c r="M89" s="14" t="n">
        <v>-0.1868094684912186</v>
      </c>
      <c r="N89" s="15" t="n">
        <v>0</v>
      </c>
      <c r="O89" s="24" t="n">
        <v>0.45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BCU @ UCF</t>
        </is>
      </c>
      <c r="C90" s="17" t="inlineStr">
        <is>
          <t>2026-09-03 23:00</t>
        </is>
      </c>
      <c r="D90" s="25" t="n">
        <v>1</v>
      </c>
      <c r="E90" s="17" t="inlineStr">
        <is>
          <t>TOTAL</t>
        </is>
      </c>
      <c r="F90" s="17" t="inlineStr">
        <is>
          <t>Over 59.5</t>
        </is>
      </c>
      <c r="G90" s="26" t="n">
        <v>59.5</v>
      </c>
      <c r="H90" s="18" t="n">
        <v>-112</v>
      </c>
      <c r="I90" s="20" t="n">
        <v>0.4171159331581163</v>
      </c>
      <c r="J90" s="20" t="n">
        <v>0.5043297540699688</v>
      </c>
      <c r="K90" s="20" t="n">
        <v>0.5283018867924528</v>
      </c>
      <c r="L90" s="19" t="n">
        <v>-0.1111859536343365</v>
      </c>
      <c r="M90" s="19" t="n">
        <v>-0.2104591265221369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BCU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UNC @ TCU</t>
        </is>
      </c>
      <c r="C91" s="12" t="inlineStr">
        <is>
          <t>2026-08-29 16:00</t>
        </is>
      </c>
      <c r="D91" s="22" t="n">
        <v>1</v>
      </c>
      <c r="E91" s="12" t="inlineStr">
        <is>
          <t>ML</t>
        </is>
      </c>
      <c r="F91" s="12" t="inlineStr">
        <is>
          <t>TCU ML</t>
        </is>
      </c>
      <c r="G91" s="23" t="n"/>
      <c r="H91" s="13" t="n">
        <v>-310</v>
      </c>
      <c r="I91" s="15" t="n">
        <v>0.6378709973210217</v>
      </c>
      <c r="J91" s="15" t="n">
        <v>0.725752508361204</v>
      </c>
      <c r="K91" s="15" t="n">
        <v>0.7560975609756098</v>
      </c>
      <c r="L91" s="14" t="n">
        <v>-0.1182265636545881</v>
      </c>
      <c r="M91" s="14" t="n">
        <v>-0.1563641648334875</v>
      </c>
      <c r="N91" s="15" t="n">
        <v>0</v>
      </c>
      <c r="O91" s="24" t="n">
        <v>0.45</v>
      </c>
      <c r="P91" s="12" t="inlineStr">
        <is>
          <t>DraftKings</t>
        </is>
      </c>
      <c r="Q91" s="12" t="n"/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TOTAL</t>
        </is>
      </c>
      <c r="F92" s="17" t="inlineStr">
        <is>
          <t>Under 49.5</t>
        </is>
      </c>
      <c r="G92" s="26" t="n">
        <v>49.5</v>
      </c>
      <c r="H92" s="18" t="n">
        <v>-108</v>
      </c>
      <c r="I92" s="20" t="n">
        <v>0.396824791827995</v>
      </c>
      <c r="J92" s="20" t="n">
        <v>0.4956702459300312</v>
      </c>
      <c r="K92" s="20" t="n">
        <v>0.5192307692307693</v>
      </c>
      <c r="L92" s="19" t="n">
        <v>-0.1224059774027743</v>
      </c>
      <c r="M92" s="19" t="n">
        <v>-0.2357448453683059</v>
      </c>
      <c r="N92" s="20" t="n">
        <v>0</v>
      </c>
      <c r="O92" s="27" t="n">
        <v>0.45</v>
      </c>
      <c r="P92" s="17" t="inlineStr">
        <is>
          <t>DraftKings</t>
        </is>
      </c>
      <c r="Q92" s="17" t="n"/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TOTAL</t>
        </is>
      </c>
      <c r="F93" s="12" t="inlineStr">
        <is>
          <t>Under 51.5</t>
        </is>
      </c>
      <c r="G93" s="23" t="n">
        <v>51.5</v>
      </c>
      <c r="H93" s="13" t="n">
        <v>-112</v>
      </c>
      <c r="I93" s="15" t="n">
        <v>0.4028929855258536</v>
      </c>
      <c r="J93" s="15" t="n">
        <v>0.5043297540699688</v>
      </c>
      <c r="K93" s="15" t="n">
        <v>0.5283018867924528</v>
      </c>
      <c r="L93" s="14" t="n">
        <v>-0.1254089012665992</v>
      </c>
      <c r="M93" s="14" t="n">
        <v>-0.2373811345403485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COLO @ GT</t>
        </is>
      </c>
      <c r="C94" s="17" t="inlineStr">
        <is>
          <t>2026-09-04 00:00</t>
        </is>
      </c>
      <c r="D94" s="25" t="n">
        <v>1</v>
      </c>
      <c r="E94" s="17" t="inlineStr">
        <is>
          <t>TOTAL</t>
        </is>
      </c>
      <c r="F94" s="17" t="inlineStr">
        <is>
          <t>Under 50.5</t>
        </is>
      </c>
      <c r="G94" s="26" t="n">
        <v>50.5</v>
      </c>
      <c r="H94" s="18" t="n">
        <v>-105</v>
      </c>
      <c r="I94" s="20" t="n">
        <v>0.3867120014398708</v>
      </c>
      <c r="J94" s="20" t="n">
        <v>0.4891657638136511</v>
      </c>
      <c r="K94" s="20" t="n">
        <v>0.5121951219512195</v>
      </c>
      <c r="L94" s="19" t="n">
        <v>-0.1254831205113487</v>
      </c>
      <c r="M94" s="19" t="n">
        <v>-0.2449908543316808</v>
      </c>
      <c r="N94" s="20" t="n">
        <v>0</v>
      </c>
      <c r="O94" s="27" t="n">
        <v>0.45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SAC @ EMU</t>
        </is>
      </c>
      <c r="C95" s="12" t="inlineStr">
        <is>
          <t>2026-08-29 22:30</t>
        </is>
      </c>
      <c r="D95" s="22" t="n">
        <v>1</v>
      </c>
      <c r="E95" s="12" t="inlineStr">
        <is>
          <t>TOTAL</t>
        </is>
      </c>
      <c r="F95" s="12" t="inlineStr">
        <is>
          <t>Under 52.5</t>
        </is>
      </c>
      <c r="G95" s="23" t="n">
        <v>52.5</v>
      </c>
      <c r="H95" s="13" t="n">
        <v>-115</v>
      </c>
      <c r="I95" s="15" t="n">
        <v>0.407892734181457</v>
      </c>
      <c r="J95" s="15" t="n">
        <v>0.5108342361863488</v>
      </c>
      <c r="K95" s="15" t="n">
        <v>0.5348837209302325</v>
      </c>
      <c r="L95" s="14" t="n">
        <v>-0.1269909867487755</v>
      </c>
      <c r="M95" s="14" t="n">
        <v>-0.2374179317477109</v>
      </c>
      <c r="N95" s="15" t="n">
        <v>0</v>
      </c>
      <c r="O95" s="24" t="n">
        <v>0.45</v>
      </c>
      <c r="P95" s="12" t="inlineStr">
        <is>
          <t>DraftKings</t>
        </is>
      </c>
      <c r="Q95" s="12" t="n"/>
    </row>
    <row r="96">
      <c r="A96" s="17" t="inlineStr">
        <is>
          <t>PASS</t>
        </is>
      </c>
      <c r="B96" s="17" t="inlineStr">
        <is>
          <t>UNC @ TCU</t>
        </is>
      </c>
      <c r="C96" s="17" t="inlineStr">
        <is>
          <t>2026-08-29 16:00</t>
        </is>
      </c>
      <c r="D96" s="25" t="n">
        <v>1</v>
      </c>
      <c r="E96" s="17" t="inlineStr">
        <is>
          <t>ATS</t>
        </is>
      </c>
      <c r="F96" s="17" t="inlineStr">
        <is>
          <t>TCU -7.5</t>
        </is>
      </c>
      <c r="G96" s="26" t="n">
        <v>-7.5</v>
      </c>
      <c r="H96" s="18" t="n">
        <v>-112</v>
      </c>
      <c r="I96" s="20" t="n">
        <v>0.4006920158047088</v>
      </c>
      <c r="J96" s="20" t="n">
        <v>0.5043297540699688</v>
      </c>
      <c r="K96" s="20" t="n">
        <v>0.5283018867924528</v>
      </c>
      <c r="L96" s="19" t="n">
        <v>-0.127609870987744</v>
      </c>
      <c r="M96" s="19" t="n">
        <v>-0.2415472557982298</v>
      </c>
      <c r="N96" s="20" t="n">
        <v>0</v>
      </c>
      <c r="O96" s="27" t="n">
        <v>0.45</v>
      </c>
      <c r="P96" s="17" t="inlineStr">
        <is>
          <t>DraftKings</t>
        </is>
      </c>
      <c r="Q96" s="17" t="n"/>
    </row>
    <row r="97">
      <c r="A97" s="12" t="inlineStr">
        <is>
          <t>PASS</t>
        </is>
      </c>
      <c r="B97" s="12" t="inlineStr">
        <is>
          <t>HAW @ STAN</t>
        </is>
      </c>
      <c r="C97" s="12" t="inlineStr">
        <is>
          <t>2026-08-29 23:00</t>
        </is>
      </c>
      <c r="D97" s="22" t="n">
        <v>1</v>
      </c>
      <c r="E97" s="12" t="inlineStr">
        <is>
          <t>TOTAL</t>
        </is>
      </c>
      <c r="F97" s="12" t="inlineStr">
        <is>
          <t>Under 49.5</t>
        </is>
      </c>
      <c r="G97" s="23" t="n">
        <v>49.5</v>
      </c>
      <c r="H97" s="13" t="n">
        <v>-115</v>
      </c>
      <c r="I97" s="15" t="n">
        <v>0.4044067869561538</v>
      </c>
      <c r="J97" s="15" t="n">
        <v>0.5108342361863488</v>
      </c>
      <c r="K97" s="15" t="n">
        <v>0.5348837209302325</v>
      </c>
      <c r="L97" s="14" t="n">
        <v>-0.1304769339740787</v>
      </c>
      <c r="M97" s="14" t="n">
        <v>-0.2439351374297994</v>
      </c>
      <c r="N97" s="15" t="n">
        <v>0</v>
      </c>
      <c r="O97" s="24" t="n">
        <v>0.45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UAPB @ MIZ</t>
        </is>
      </c>
      <c r="C98" s="17" t="inlineStr">
        <is>
          <t>2026-09-04 00:00</t>
        </is>
      </c>
      <c r="D98" s="25" t="n">
        <v>1</v>
      </c>
      <c r="E98" s="17" t="inlineStr">
        <is>
          <t>TOTAL</t>
        </is>
      </c>
      <c r="F98" s="17" t="inlineStr">
        <is>
          <t>Over 60.5</t>
        </is>
      </c>
      <c r="G98" s="26" t="n">
        <v>60.5</v>
      </c>
      <c r="H98" s="18" t="n">
        <v>-112</v>
      </c>
      <c r="I98" s="20" t="n">
        <v>0.3977053958774506</v>
      </c>
      <c r="J98" s="20" t="n">
        <v>0.5043297540699688</v>
      </c>
      <c r="K98" s="20" t="n">
        <v>0.5283018867924528</v>
      </c>
      <c r="L98" s="19" t="n">
        <v>-0.1305964909150022</v>
      </c>
      <c r="M98" s="19" t="n">
        <v>-0.2472005006605399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UAPB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NCAT @ GAST</t>
        </is>
      </c>
      <c r="C99" s="12" t="inlineStr">
        <is>
          <t>2026-09-04 23:00</t>
        </is>
      </c>
      <c r="D99" s="22" t="n">
        <v>1</v>
      </c>
      <c r="E99" s="12" t="inlineStr">
        <is>
          <t>TOTAL</t>
        </is>
      </c>
      <c r="F99" s="12" t="inlineStr">
        <is>
          <t>Over 63.5</t>
        </is>
      </c>
      <c r="G99" s="23" t="n">
        <v>63.5</v>
      </c>
      <c r="H99" s="13" t="n">
        <v>-108</v>
      </c>
      <c r="I99" s="15" t="n">
        <v>0.3882730035558194</v>
      </c>
      <c r="J99" s="15" t="n">
        <v>0.4956702459300312</v>
      </c>
      <c r="K99" s="15" t="n">
        <v>0.5192307692307693</v>
      </c>
      <c r="L99" s="14" t="n">
        <v>-0.1309577656749499</v>
      </c>
      <c r="M99" s="14" t="n">
        <v>-0.2522149561147182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NCAT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ALB @ BUFF</t>
        </is>
      </c>
      <c r="C100" s="17" t="inlineStr">
        <is>
          <t>2026-09-03 23:00</t>
        </is>
      </c>
      <c r="D100" s="25" t="n">
        <v>1</v>
      </c>
      <c r="E100" s="17" t="inlineStr">
        <is>
          <t>TOTAL</t>
        </is>
      </c>
      <c r="F100" s="17" t="inlineStr">
        <is>
          <t>Under 48.5</t>
        </is>
      </c>
      <c r="G100" s="26" t="n">
        <v>48.5</v>
      </c>
      <c r="H100" s="18" t="n">
        <v>-112</v>
      </c>
      <c r="I100" s="20" t="n">
        <v>0.3762461039069736</v>
      </c>
      <c r="J100" s="20" t="n">
        <v>0.5043297540699688</v>
      </c>
      <c r="K100" s="20" t="n">
        <v>0.5283018867924528</v>
      </c>
      <c r="L100" s="19" t="n">
        <v>-0.1520557828854793</v>
      </c>
      <c r="M100" s="19" t="n">
        <v>-0.2878198747475144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ALB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SAC @ EMU</t>
        </is>
      </c>
      <c r="C101" s="12" t="inlineStr">
        <is>
          <t>2026-08-29 22:30</t>
        </is>
      </c>
      <c r="D101" s="22" t="n">
        <v>1</v>
      </c>
      <c r="E101" s="12" t="inlineStr">
        <is>
          <t>ML</t>
        </is>
      </c>
      <c r="F101" s="12" t="inlineStr">
        <is>
          <t>EMU ML</t>
        </is>
      </c>
      <c r="G101" s="23" t="n"/>
      <c r="H101" s="13" t="n">
        <v>-380</v>
      </c>
      <c r="I101" s="15" t="n">
        <v>0.6374864603996904</v>
      </c>
      <c r="J101" s="15" t="n">
        <v>0.7600000000000001</v>
      </c>
      <c r="K101" s="15" t="n">
        <v>0.7916666666666666</v>
      </c>
      <c r="L101" s="14" t="n">
        <v>-0.1541802062669763</v>
      </c>
      <c r="M101" s="14" t="n">
        <v>-0.1947539447582859</v>
      </c>
      <c r="N101" s="15" t="n">
        <v>0</v>
      </c>
      <c r="O101" s="24" t="n">
        <v>0.45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SAC @ EMU</t>
        </is>
      </c>
      <c r="C102" s="17" t="inlineStr">
        <is>
          <t>2026-08-29 22:30</t>
        </is>
      </c>
      <c r="D102" s="25" t="n">
        <v>1</v>
      </c>
      <c r="E102" s="17" t="inlineStr">
        <is>
          <t>ATS</t>
        </is>
      </c>
      <c r="F102" s="17" t="inlineStr">
        <is>
          <t>EMU -10</t>
        </is>
      </c>
      <c r="G102" s="26" t="n">
        <v>-10</v>
      </c>
      <c r="H102" s="18" t="n">
        <v>-110</v>
      </c>
      <c r="I102" s="20" t="n">
        <v>0.3503913906579027</v>
      </c>
      <c r="J102" s="20" t="n">
        <v>0.5</v>
      </c>
      <c r="K102" s="20" t="n">
        <v>0.5238095238095238</v>
      </c>
      <c r="L102" s="19" t="n">
        <v>-0.1734181331516211</v>
      </c>
      <c r="M102" s="19" t="n">
        <v>-0.3208769320138066</v>
      </c>
      <c r="N102" s="20" t="n">
        <v>0.0308</v>
      </c>
      <c r="O102" s="27" t="n">
        <v>0.45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JVST @ NDSU</t>
        </is>
      </c>
      <c r="C103" s="12" t="inlineStr">
        <is>
          <t>2026-08-29 21:30</t>
        </is>
      </c>
      <c r="D103" s="22" t="n">
        <v>1</v>
      </c>
      <c r="E103" s="12" t="inlineStr">
        <is>
          <t>TOTAL</t>
        </is>
      </c>
      <c r="F103" s="12" t="inlineStr">
        <is>
          <t>Under 46.5</t>
        </is>
      </c>
      <c r="G103" s="23" t="n">
        <v>46.5</v>
      </c>
      <c r="H103" s="13" t="n">
        <v>-108</v>
      </c>
      <c r="I103" s="15" t="n">
        <v>0.3425002548836977</v>
      </c>
      <c r="J103" s="15" t="n">
        <v>0.4956702459300312</v>
      </c>
      <c r="K103" s="15" t="n">
        <v>0.5192307692307693</v>
      </c>
      <c r="L103" s="14" t="n">
        <v>-0.1767305143470715</v>
      </c>
      <c r="M103" s="14" t="n">
        <v>-0.3403698794832488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MASS @ RUTG</t>
        </is>
      </c>
      <c r="C104" s="17" t="inlineStr">
        <is>
          <t>2026-09-03 22:00</t>
        </is>
      </c>
      <c r="D104" s="25" t="n">
        <v>1</v>
      </c>
      <c r="E104" s="17" t="inlineStr">
        <is>
          <t>ML</t>
        </is>
      </c>
      <c r="F104" s="17" t="inlineStr">
        <is>
          <t>RUTG ML</t>
        </is>
      </c>
      <c r="G104" s="26" t="n"/>
      <c r="H104" s="18" t="n">
        <v>-6500</v>
      </c>
      <c r="I104" s="20" t="n">
        <v>0.8036923684058288</v>
      </c>
      <c r="J104" s="20" t="n">
        <v>0.9538784067085954</v>
      </c>
      <c r="K104" s="20" t="n">
        <v>0.9848484848484849</v>
      </c>
      <c r="L104" s="19" t="n">
        <v>-0.1811561164426561</v>
      </c>
      <c r="M104" s="19" t="n">
        <v>-0.183943133618697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IDHO @ UTAH</t>
        </is>
      </c>
      <c r="C105" s="12" t="inlineStr">
        <is>
          <t>2026-09-04 01:00</t>
        </is>
      </c>
      <c r="D105" s="22" t="n">
        <v>1</v>
      </c>
      <c r="E105" s="12" t="inlineStr">
        <is>
          <t>ML</t>
        </is>
      </c>
      <c r="F105" s="12" t="inlineStr">
        <is>
          <t>UTAH ML</t>
        </is>
      </c>
      <c r="G105" s="23" t="n"/>
      <c r="H105" s="13" t="n">
        <v>-10000</v>
      </c>
      <c r="I105" s="15" t="n">
        <v>0.8084273455958602</v>
      </c>
      <c r="J105" s="15" t="n">
        <v>0.9684473601999376</v>
      </c>
      <c r="K105" s="15" t="n">
        <v>0.9900990099009901</v>
      </c>
      <c r="L105" s="14" t="n">
        <v>-0.1816716643051299</v>
      </c>
      <c r="M105" s="14" t="n">
        <v>-0.1834883809481812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IDHO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ILL ML</t>
        </is>
      </c>
      <c r="G106" s="26" t="n"/>
      <c r="H106" s="18" t="n">
        <v>-8000</v>
      </c>
      <c r="I106" s="20" t="n">
        <v>0.7982560124778584</v>
      </c>
      <c r="J106" s="20" t="n">
        <v>0.9578344612181156</v>
      </c>
      <c r="K106" s="20" t="n">
        <v>0.9876543209876543</v>
      </c>
      <c r="L106" s="19" t="n">
        <v>-0.1893983085097959</v>
      </c>
      <c r="M106" s="19" t="n">
        <v>-0.1917657873661684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AKR @ WAKE</t>
        </is>
      </c>
      <c r="C107" s="12" t="inlineStr">
        <is>
          <t>2026-09-03 23:00</t>
        </is>
      </c>
      <c r="D107" s="22" t="n">
        <v>1</v>
      </c>
      <c r="E107" s="12" t="inlineStr">
        <is>
          <t>ML</t>
        </is>
      </c>
      <c r="F107" s="12" t="inlineStr">
        <is>
          <t>WAKE ML</t>
        </is>
      </c>
      <c r="G107" s="23" t="n"/>
      <c r="H107" s="13" t="n">
        <v>-3200</v>
      </c>
      <c r="I107" s="15" t="n">
        <v>0.7712245057719294</v>
      </c>
      <c r="J107" s="15" t="n">
        <v>0.9356725146198831</v>
      </c>
      <c r="K107" s="15" t="n">
        <v>0.9696969696969697</v>
      </c>
      <c r="L107" s="14" t="n">
        <v>-0.1984724639250404</v>
      </c>
      <c r="M107" s="14" t="n">
        <v>-0.2046747284226978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NMSU @ FSU</t>
        </is>
      </c>
      <c r="C108" s="17" t="inlineStr">
        <is>
          <t>2026-08-29 23:00</t>
        </is>
      </c>
      <c r="D108" s="25" t="n">
        <v>1</v>
      </c>
      <c r="E108" s="17" t="inlineStr">
        <is>
          <t>ML</t>
        </is>
      </c>
      <c r="F108" s="17" t="inlineStr">
        <is>
          <t>FSU ML</t>
        </is>
      </c>
      <c r="G108" s="26" t="n"/>
      <c r="H108" s="18" t="n">
        <v>-8000</v>
      </c>
      <c r="I108" s="20" t="n">
        <v>0.7830008119391415</v>
      </c>
      <c r="J108" s="20" t="n">
        <v>0.9578344612181156</v>
      </c>
      <c r="K108" s="20" t="n">
        <v>0.9876543209876543</v>
      </c>
      <c r="L108" s="19" t="n">
        <v>-0.2046535090485128</v>
      </c>
      <c r="M108" s="19" t="n">
        <v>-0.2072116779116193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WES @ KENN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KENN ML</t>
        </is>
      </c>
      <c r="G109" s="23" t="n"/>
      <c r="H109" s="13" t="n">
        <v>-3600</v>
      </c>
      <c r="I109" s="15" t="n">
        <v>0.7629882523168648</v>
      </c>
      <c r="J109" s="15" t="n">
        <v>0.9396411092985318</v>
      </c>
      <c r="K109" s="15" t="n">
        <v>0.972972972972973</v>
      </c>
      <c r="L109" s="14" t="n">
        <v>-0.2099847206561082</v>
      </c>
      <c r="M109" s="14" t="n">
        <v>-0.2158176295632223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WES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MRMK @ DEL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DEL ML</t>
        </is>
      </c>
      <c r="G110" s="26" t="n"/>
      <c r="H110" s="18" t="n">
        <v>-20000</v>
      </c>
      <c r="I110" s="20" t="n">
        <v>0.7679768076779374</v>
      </c>
      <c r="J110" s="20" t="n">
        <v>0.9728415079043372</v>
      </c>
      <c r="K110" s="20" t="n">
        <v>0.9950248756218906</v>
      </c>
      <c r="L110" s="19" t="n">
        <v>-0.2270480679439532</v>
      </c>
      <c r="M110" s="19" t="n">
        <v>-0.228183308283673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MRMK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ALB @ BUFF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BUFF ML</t>
        </is>
      </c>
      <c r="G111" s="23" t="n"/>
      <c r="H111" s="13" t="n">
        <v>-8000</v>
      </c>
      <c r="I111" s="15" t="n">
        <v>0.7599039260434692</v>
      </c>
      <c r="J111" s="15" t="n">
        <v>0.9578344612181156</v>
      </c>
      <c r="K111" s="15" t="n">
        <v>0.9876543209876543</v>
      </c>
      <c r="L111" s="14" t="n">
        <v>-0.227750394944185</v>
      </c>
      <c r="M111" s="14" t="n">
        <v>-0.2305972748809874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ALB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WES @ KENN</t>
        </is>
      </c>
      <c r="C112" s="17" t="inlineStr">
        <is>
          <t>2026-09-03 23:00</t>
        </is>
      </c>
      <c r="D112" s="25" t="n">
        <v>1</v>
      </c>
      <c r="E112" s="17" t="inlineStr">
        <is>
          <t>ATS</t>
        </is>
      </c>
      <c r="F112" s="17" t="inlineStr">
        <is>
          <t>KENN -22.5</t>
        </is>
      </c>
      <c r="G112" s="26" t="n">
        <v>-22.5</v>
      </c>
      <c r="H112" s="18" t="n">
        <v>-105</v>
      </c>
      <c r="I112" s="20" t="n">
        <v>0.2726533482579036</v>
      </c>
      <c r="J112" s="20" t="n">
        <v>0.4891657638136511</v>
      </c>
      <c r="K112" s="20" t="n">
        <v>0.5121951219512195</v>
      </c>
      <c r="L112" s="19" t="n">
        <v>-0.2395417736933159</v>
      </c>
      <c r="M112" s="19" t="n">
        <v>-0.4676767962583787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WES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NCAT @ GAST</t>
        </is>
      </c>
      <c r="C113" s="12" t="inlineStr">
        <is>
          <t>2026-09-04 23:00</t>
        </is>
      </c>
      <c r="D113" s="22" t="n">
        <v>1</v>
      </c>
      <c r="E113" s="12" t="inlineStr">
        <is>
          <t>ML</t>
        </is>
      </c>
      <c r="F113" s="12" t="inlineStr">
        <is>
          <t>GAST ML</t>
        </is>
      </c>
      <c r="G113" s="23" t="n"/>
      <c r="H113" s="13" t="n">
        <v>-5000</v>
      </c>
      <c r="I113" s="15" t="n">
        <v>0.7344577690680144</v>
      </c>
      <c r="J113" s="15" t="n">
        <v>0.949050949050949</v>
      </c>
      <c r="K113" s="15" t="n">
        <v>0.9803921568627451</v>
      </c>
      <c r="L113" s="14" t="n">
        <v>-0.2459343877947306</v>
      </c>
      <c r="M113" s="14" t="n">
        <v>-0.2508530755506253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NCAT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AKR @ WAKE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WAKE -23.5</t>
        </is>
      </c>
      <c r="G114" s="26" t="n">
        <v>-23.5</v>
      </c>
      <c r="H114" s="18" t="n">
        <v>-112</v>
      </c>
      <c r="I114" s="20" t="n">
        <v>0.279786024178475</v>
      </c>
      <c r="J114" s="20" t="n">
        <v>0.5043297540699688</v>
      </c>
      <c r="K114" s="20" t="n">
        <v>0.5283018867924528</v>
      </c>
      <c r="L114" s="19" t="n">
        <v>-0.2485158626139778</v>
      </c>
      <c r="M114" s="19" t="n">
        <v>-0.4704050256621722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UAB @ ILL</t>
        </is>
      </c>
      <c r="C115" s="12" t="inlineStr">
        <is>
          <t>2026-09-04 01:00</t>
        </is>
      </c>
      <c r="D115" s="22" t="n">
        <v>1</v>
      </c>
      <c r="E115" s="12" t="inlineStr">
        <is>
          <t>ATS</t>
        </is>
      </c>
      <c r="F115" s="12" t="inlineStr">
        <is>
          <t>ILL -28.5</t>
        </is>
      </c>
      <c r="G115" s="23" t="n">
        <v>-28.5</v>
      </c>
      <c r="H115" s="13" t="n">
        <v>-102</v>
      </c>
      <c r="I115" s="15" t="n">
        <v>0.2561903984522976</v>
      </c>
      <c r="J115" s="15" t="n">
        <v>0.4826358742837298</v>
      </c>
      <c r="K115" s="15" t="n">
        <v>0.504950495049505</v>
      </c>
      <c r="L115" s="14" t="n">
        <v>-0.2487600965972073</v>
      </c>
      <c r="M115" s="14" t="n">
        <v>-0.4926425442415282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ALB @ BUFF</t>
        </is>
      </c>
      <c r="C116" s="17" t="inlineStr">
        <is>
          <t>2026-09-03 23:00</t>
        </is>
      </c>
      <c r="D116" s="25" t="n">
        <v>1</v>
      </c>
      <c r="E116" s="17" t="inlineStr">
        <is>
          <t>ATS</t>
        </is>
      </c>
      <c r="F116" s="17" t="inlineStr">
        <is>
          <t>BUFF -24.5</t>
        </is>
      </c>
      <c r="G116" s="26" t="n">
        <v>-24.5</v>
      </c>
      <c r="H116" s="18" t="n">
        <v>-110</v>
      </c>
      <c r="I116" s="20" t="n">
        <v>0.2679098546460923</v>
      </c>
      <c r="J116" s="20" t="n">
        <v>0.5</v>
      </c>
      <c r="K116" s="20" t="n">
        <v>0.5238095238095238</v>
      </c>
      <c r="L116" s="19" t="n">
        <v>-0.2558996691634315</v>
      </c>
      <c r="M116" s="19" t="n">
        <v>-0.4885357320392782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ALB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NMSU @ FSU</t>
        </is>
      </c>
      <c r="C117" s="12" t="inlineStr">
        <is>
          <t>2026-08-29 23:00</t>
        </is>
      </c>
      <c r="D117" s="22" t="n">
        <v>1</v>
      </c>
      <c r="E117" s="12" t="inlineStr">
        <is>
          <t>ATS</t>
        </is>
      </c>
      <c r="F117" s="12" t="inlineStr">
        <is>
          <t>FSU -31.5</t>
        </is>
      </c>
      <c r="G117" s="23" t="n">
        <v>-31.5</v>
      </c>
      <c r="H117" s="13" t="n">
        <v>-105</v>
      </c>
      <c r="I117" s="15" t="n">
        <v>0.2515947455243119</v>
      </c>
      <c r="J117" s="15" t="n">
        <v>0.4891657638136511</v>
      </c>
      <c r="K117" s="15" t="n">
        <v>0.5121951219512195</v>
      </c>
      <c r="L117" s="14" t="n">
        <v>-0.2606003764269076</v>
      </c>
      <c r="M117" s="14" t="n">
        <v>-0.5087912111192006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MASS @ RUTG</t>
        </is>
      </c>
      <c r="C118" s="17" t="inlineStr">
        <is>
          <t>2026-09-03 22:00</t>
        </is>
      </c>
      <c r="D118" s="25" t="n">
        <v>1</v>
      </c>
      <c r="E118" s="17" t="inlineStr">
        <is>
          <t>ATS</t>
        </is>
      </c>
      <c r="F118" s="17" t="inlineStr">
        <is>
          <t>RUTG -30.5</t>
        </is>
      </c>
      <c r="G118" s="26" t="n">
        <v>-30.5</v>
      </c>
      <c r="H118" s="18" t="n">
        <v>-112</v>
      </c>
      <c r="I118" s="20" t="n">
        <v>0.2637706885532299</v>
      </c>
      <c r="J118" s="20" t="n">
        <v>0.5043297540699688</v>
      </c>
      <c r="K118" s="20" t="n">
        <v>0.5283018867924528</v>
      </c>
      <c r="L118" s="19" t="n">
        <v>-0.2645311982392229</v>
      </c>
      <c r="M118" s="19" t="n">
        <v>-0.5007197680956719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NCAT @ GAST</t>
        </is>
      </c>
      <c r="C119" s="12" t="inlineStr">
        <is>
          <t>2026-09-04 23:00</t>
        </is>
      </c>
      <c r="D119" s="22" t="n">
        <v>1</v>
      </c>
      <c r="E119" s="12" t="inlineStr">
        <is>
          <t>ATS</t>
        </is>
      </c>
      <c r="F119" s="12" t="inlineStr">
        <is>
          <t>GAST -28.5</t>
        </is>
      </c>
      <c r="G119" s="23" t="n">
        <v>-28.5</v>
      </c>
      <c r="H119" s="13" t="n">
        <v>-110</v>
      </c>
      <c r="I119" s="15" t="n">
        <v>0.2568782455206553</v>
      </c>
      <c r="J119" s="15" t="n">
        <v>0.5</v>
      </c>
      <c r="K119" s="15" t="n">
        <v>0.5238095238095238</v>
      </c>
      <c r="L119" s="14" t="n">
        <v>-0.2669312782888685</v>
      </c>
      <c r="M119" s="14" t="n">
        <v>-0.5095960767332944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NCAT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MRMK @ DEL</t>
        </is>
      </c>
      <c r="C120" s="17" t="inlineStr">
        <is>
          <t>2026-09-03 23:00</t>
        </is>
      </c>
      <c r="D120" s="25" t="n">
        <v>1</v>
      </c>
      <c r="E120" s="17" t="inlineStr">
        <is>
          <t>ATS</t>
        </is>
      </c>
      <c r="F120" s="17" t="inlineStr">
        <is>
          <t>DEL -28.5</t>
        </is>
      </c>
      <c r="G120" s="26" t="n">
        <v>-28.5</v>
      </c>
      <c r="H120" s="18" t="n">
        <v>-112</v>
      </c>
      <c r="I120" s="20" t="n">
        <v>0.2613150626201174</v>
      </c>
      <c r="J120" s="20" t="n">
        <v>0.5043297540699688</v>
      </c>
      <c r="K120" s="20" t="n">
        <v>0.5283018867924528</v>
      </c>
      <c r="L120" s="19" t="n">
        <v>-0.2669868241723354</v>
      </c>
      <c r="M120" s="19" t="n">
        <v>-0.5053679171833493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MRMK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BCU @ UCF</t>
        </is>
      </c>
      <c r="C121" s="12" t="inlineStr">
        <is>
          <t>2026-09-03 23:00</t>
        </is>
      </c>
      <c r="D121" s="22" t="n">
        <v>1</v>
      </c>
      <c r="E121" s="12" t="inlineStr">
        <is>
          <t>ATS</t>
        </is>
      </c>
      <c r="F121" s="12" t="inlineStr">
        <is>
          <t>UCF -42.5</t>
        </is>
      </c>
      <c r="G121" s="23" t="n">
        <v>-42.5</v>
      </c>
      <c r="H121" s="13" t="n">
        <v>-105</v>
      </c>
      <c r="I121" s="15" t="n">
        <v>0.2449995687561283</v>
      </c>
      <c r="J121" s="15" t="n">
        <v>0.4891657638136511</v>
      </c>
      <c r="K121" s="15" t="n">
        <v>0.5121951219512195</v>
      </c>
      <c r="L121" s="14" t="n">
        <v>-0.2671955531950912</v>
      </c>
      <c r="M121" s="14" t="n">
        <v>-0.5216675086189875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BCU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IDHO @ UTAH</t>
        </is>
      </c>
      <c r="C122" s="17" t="inlineStr">
        <is>
          <t>2026-09-04 01:00</t>
        </is>
      </c>
      <c r="D122" s="25" t="n">
        <v>1</v>
      </c>
      <c r="E122" s="17" t="inlineStr">
        <is>
          <t>ATS</t>
        </is>
      </c>
      <c r="F122" s="17" t="inlineStr">
        <is>
          <t>UTAH -33.5</t>
        </is>
      </c>
      <c r="G122" s="26" t="n">
        <v>-33.5</v>
      </c>
      <c r="H122" s="18" t="n">
        <v>-110</v>
      </c>
      <c r="I122" s="20" t="n">
        <v>0.2563559702123712</v>
      </c>
      <c r="J122" s="20" t="n">
        <v>0.5</v>
      </c>
      <c r="K122" s="20" t="n">
        <v>0.5238095238095238</v>
      </c>
      <c r="L122" s="19" t="n">
        <v>-0.2674535535971527</v>
      </c>
      <c r="M122" s="19" t="n">
        <v>-0.5105931477763822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IDHO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UAPB @ MIZ</t>
        </is>
      </c>
      <c r="C123" s="12" t="inlineStr">
        <is>
          <t>2026-09-04 00:00</t>
        </is>
      </c>
      <c r="D123" s="22" t="n">
        <v>1</v>
      </c>
      <c r="E123" s="12" t="inlineStr">
        <is>
          <t>ATS</t>
        </is>
      </c>
      <c r="F123" s="12" t="inlineStr">
        <is>
          <t>MIZ -54.5</t>
        </is>
      </c>
      <c r="G123" s="23" t="n">
        <v>-54.5</v>
      </c>
      <c r="H123" s="13" t="n">
        <v>-108</v>
      </c>
      <c r="I123" s="15" t="n">
        <v>0.2478531706379516</v>
      </c>
      <c r="J123" s="15" t="n">
        <v>0.4956702459300312</v>
      </c>
      <c r="K123" s="15" t="n">
        <v>0.5192307692307693</v>
      </c>
      <c r="L123" s="14" t="n">
        <v>-0.2713775985928176</v>
      </c>
      <c r="M123" s="14" t="n">
        <v>-0.5226531528454265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UAPB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SJSU @ USC</t>
        </is>
      </c>
      <c r="C124" s="17" t="inlineStr">
        <is>
          <t>2026-08-29 19:00</t>
        </is>
      </c>
      <c r="D124" s="25" t="n">
        <v>1</v>
      </c>
      <c r="E124" s="17" t="inlineStr">
        <is>
          <t>ATS</t>
        </is>
      </c>
      <c r="F124" s="17" t="inlineStr">
        <is>
          <t>USC -38.5</t>
        </is>
      </c>
      <c r="G124" s="26" t="n">
        <v>-38.5</v>
      </c>
      <c r="H124" s="18" t="n">
        <v>-110</v>
      </c>
      <c r="I124" s="20" t="n">
        <v>0.2523210839512047</v>
      </c>
      <c r="J124" s="20" t="n">
        <v>0.5</v>
      </c>
      <c r="K124" s="20" t="n">
        <v>0.5238095238095238</v>
      </c>
      <c r="L124" s="19" t="n">
        <v>-0.2714884398583192</v>
      </c>
      <c r="M124" s="19" t="n">
        <v>-0.5182961124567911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EIU @ MINN</t>
        </is>
      </c>
      <c r="C125" s="12" t="inlineStr">
        <is>
          <t>2026-09-04 00:00</t>
        </is>
      </c>
      <c r="D125" s="22" t="n">
        <v>1</v>
      </c>
      <c r="E125" s="12" t="inlineStr">
        <is>
          <t>ATS</t>
        </is>
      </c>
      <c r="F125" s="12" t="inlineStr">
        <is>
          <t>MINN -43.5</t>
        </is>
      </c>
      <c r="G125" s="23" t="n">
        <v>-43.5</v>
      </c>
      <c r="H125" s="13" t="n">
        <v>-110</v>
      </c>
      <c r="I125" s="15" t="n">
        <v>0.250341703258185</v>
      </c>
      <c r="J125" s="15" t="n">
        <v>0.5</v>
      </c>
      <c r="K125" s="15" t="n">
        <v>0.5238095238095238</v>
      </c>
      <c r="L125" s="14" t="n">
        <v>-0.2734678205513388</v>
      </c>
      <c r="M125" s="14" t="n">
        <v>-0.5220749301434651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EIU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INST @ PUR</t>
        </is>
      </c>
      <c r="C126" s="17" t="inlineStr">
        <is>
          <t>2026-09-04 23:00</t>
        </is>
      </c>
      <c r="D126" s="25" t="n">
        <v>1</v>
      </c>
      <c r="E126" s="17" t="inlineStr">
        <is>
          <t>ATS</t>
        </is>
      </c>
      <c r="F126" s="17" t="inlineStr">
        <is>
          <t>PUR -35.5</t>
        </is>
      </c>
      <c r="G126" s="26" t="n">
        <v>-35.5</v>
      </c>
      <c r="H126" s="18" t="n">
        <v>-112</v>
      </c>
      <c r="I126" s="20" t="n">
        <v>0.2539608529598711</v>
      </c>
      <c r="J126" s="20" t="n">
        <v>0.5043297540699688</v>
      </c>
      <c r="K126" s="20" t="n">
        <v>0.5283018867924528</v>
      </c>
      <c r="L126" s="19" t="n">
        <v>-0.2743410338325817</v>
      </c>
      <c r="M126" s="19" t="n">
        <v>-0.5192883854688154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INST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2026-09-04</t>
        </is>
      </c>
      <c r="B6" s="12" t="inlineStr">
        <is>
          <t>COLO @ GT</t>
        </is>
      </c>
      <c r="C6" s="12" t="inlineStr">
        <is>
          <t>TOTAL</t>
        </is>
      </c>
      <c r="D6" s="12" t="inlineStr">
        <is>
          <t>Over 50.5</t>
        </is>
      </c>
      <c r="E6" s="13" t="n">
        <v>-115</v>
      </c>
      <c r="F6" s="16" t="n">
        <v>21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0.0784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2026-08-29</t>
        </is>
      </c>
      <c r="B7" s="17" t="inlineStr">
        <is>
          <t>HAW @ STAN</t>
        </is>
      </c>
      <c r="C7" s="17" t="inlineStr">
        <is>
          <t>TOTAL</t>
        </is>
      </c>
      <c r="D7" s="17" t="inlineStr">
        <is>
          <t>Over 49.5</t>
        </is>
      </c>
      <c r="E7" s="18" t="n">
        <v>-105</v>
      </c>
      <c r="F7" s="21" t="n">
        <v>21.5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0.0834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SAC @ EMU</t>
        </is>
      </c>
      <c r="C8" s="12" t="inlineStr">
        <is>
          <t>ML</t>
        </is>
      </c>
      <c r="D8" s="12" t="inlineStr">
        <is>
          <t>SAC ML</t>
        </is>
      </c>
      <c r="E8" s="13" t="n">
        <v>280</v>
      </c>
      <c r="F8" s="16" t="n">
        <v>18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0.1055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2026-08-29</t>
        </is>
      </c>
      <c r="B9" s="17" t="inlineStr">
        <is>
          <t>UNC @ TCU</t>
        </is>
      </c>
      <c r="C9" s="17" t="inlineStr">
        <is>
          <t>ATS</t>
        </is>
      </c>
      <c r="D9" s="17" t="inlineStr">
        <is>
          <t>UNC +7.5</t>
        </is>
      </c>
      <c r="E9" s="18" t="n">
        <v>-108</v>
      </c>
      <c r="F9" s="21" t="n">
        <v>21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0.0801</v>
      </c>
      <c r="M9" s="19" t="n"/>
      <c r="N9" s="17" t="n"/>
      <c r="O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185</v>
      </c>
      <c r="L7" s="13" t="n">
        <v>-225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210</v>
      </c>
      <c r="L8" s="18" t="n">
        <v>-258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49.5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2200</v>
      </c>
      <c r="L11" s="13" t="n">
        <v>-8000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>
        <v>180</v>
      </c>
      <c r="L12" s="18" t="n">
        <v>-218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-5.5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1800</v>
      </c>
      <c r="L26" s="18" t="n">
        <v>-5000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61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2026-08-25T15:27:48Z</dcterms:created>
  <dcterms:modified xsi:type="dcterms:W3CDTF">2026-08-25T15:27:49Z</dcterms:modified>
</cp:coreProperties>
</file>
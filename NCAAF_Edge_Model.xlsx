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32" headerRowCount="1">
  <autoFilter ref="A4:Q43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3" headerRowCount="1">
  <autoFilter ref="A4:G19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2026-09-12T17:07:39+00:00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Ledger'!$G$6:$G$97,"&lt;&gt;Pending",'Bet Ledger'!$H$6:$H$97)</f>
        <v/>
      </c>
    </row>
    <row r="6">
      <c r="A6" s="3" t="inlineStr">
        <is>
          <t>Total Staked</t>
        </is>
      </c>
      <c r="B6" s="5">
        <f>SUMIF('Bet Ledger'!$G$6:$G$97,"&lt;&gt;Pending",'Bet Ledger'!$F$6:$F$97)</f>
        <v/>
      </c>
    </row>
    <row r="7">
      <c r="A7" s="3" t="inlineStr">
        <is>
          <t>Profit / Loss</t>
        </is>
      </c>
      <c r="B7" s="5">
        <f>SUMIF('Bet Ledger'!$G$6:$G$97,"&lt;&gt;Pending",'Bet Ledger'!$H$6:$H$97)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Ledger'!$G$6:$G$97,"&lt;&gt;Pending",'Bet Ledger'!$G$6:$G$97,"&lt;&gt;")</f>
        <v/>
      </c>
    </row>
    <row r="10">
      <c r="A10" s="3" t="inlineStr">
        <is>
          <t>Wins</t>
        </is>
      </c>
      <c r="B10" s="7">
        <f>COUNTIF('Bet Ledger'!$G$6:$G$97,"Win")</f>
        <v/>
      </c>
    </row>
    <row r="11">
      <c r="A11" s="3" t="inlineStr">
        <is>
          <t>Losses</t>
        </is>
      </c>
      <c r="B11" s="7">
        <f>COUNTIF('Bet Ledger'!$G$6:$G$97,"Loss")</f>
        <v/>
      </c>
    </row>
    <row r="12">
      <c r="A12" s="3" t="inlineStr">
        <is>
          <t>Pushes</t>
        </is>
      </c>
      <c r="B12" s="7">
        <f>COUNTIF('Bet Ledger'!$G$6:$G$97,"Push")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Ledger'!$G$6:$G$97,"Pending")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0.2407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SAC @ FRES</t>
        </is>
      </c>
      <c r="C21" s="12" t="inlineStr">
        <is>
          <t>ML</t>
        </is>
      </c>
      <c r="D21" s="12" t="inlineStr">
        <is>
          <t>SAC ML</t>
        </is>
      </c>
      <c r="E21" s="13" t="n">
        <v>600</v>
      </c>
      <c r="F21" s="14" t="n">
        <v>0.09499999841926621</v>
      </c>
      <c r="G21" s="15" t="n">
        <v>0.2580439258703301</v>
      </c>
      <c r="H21" s="16" t="n"/>
      <c r="I21" s="12" t="inlineStr">
        <is>
          <t>2026-09-13 02:30</t>
        </is>
      </c>
    </row>
    <row r="22">
      <c r="A22" s="17" t="inlineStr">
        <is>
          <t>BEST BET</t>
        </is>
      </c>
      <c r="B22" s="17" t="inlineStr">
        <is>
          <t>EMU @ MSU</t>
        </is>
      </c>
      <c r="C22" s="17" t="inlineStr">
        <is>
          <t>ML</t>
        </is>
      </c>
      <c r="D22" s="17" t="inlineStr">
        <is>
          <t>EMU ML</t>
        </is>
      </c>
      <c r="E22" s="18" t="n">
        <v>600</v>
      </c>
      <c r="F22" s="19" t="n">
        <v>0.09499997140116777</v>
      </c>
      <c r="G22" s="20" t="n">
        <v>0.2392034942718564</v>
      </c>
      <c r="H22" s="21" t="n"/>
      <c r="I22" s="17" t="inlineStr">
        <is>
          <t>2026-09-12 19:30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455</v>
      </c>
      <c r="F23" s="14" t="n">
        <v>0.09499728732587974</v>
      </c>
      <c r="G23" s="15" t="n">
        <v>0.2657480404448824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260</v>
      </c>
      <c r="F24" s="19" t="n">
        <v>0.09499175262366272</v>
      </c>
      <c r="G24" s="20" t="n">
        <v>0.3935926168719066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MTSU @ MRSH</t>
        </is>
      </c>
      <c r="C25" s="12" t="inlineStr">
        <is>
          <t>ML</t>
        </is>
      </c>
      <c r="D25" s="12" t="inlineStr">
        <is>
          <t>MTSU ML</t>
        </is>
      </c>
      <c r="E25" s="13" t="n">
        <v>400</v>
      </c>
      <c r="F25" s="14" t="n">
        <v>0.09499140210094857</v>
      </c>
      <c r="G25" s="15" t="n">
        <v>0.2829975858804825</v>
      </c>
      <c r="H25" s="16" t="n"/>
      <c r="I25" s="12" t="inlineStr">
        <is>
          <t>2026-09-12 23:00</t>
        </is>
      </c>
    </row>
    <row r="26">
      <c r="A26" s="17" t="inlineStr">
        <is>
          <t>GOOD</t>
        </is>
      </c>
      <c r="B26" s="17" t="inlineStr">
        <is>
          <t>UNC @ CLEM</t>
        </is>
      </c>
      <c r="C26" s="17" t="inlineStr">
        <is>
          <t>ML</t>
        </is>
      </c>
      <c r="D26" s="17" t="inlineStr">
        <is>
          <t>UNC ML</t>
        </is>
      </c>
      <c r="E26" s="18" t="n">
        <v>295</v>
      </c>
      <c r="F26" s="19" t="n">
        <v>0.09497839263728407</v>
      </c>
      <c r="G26" s="20" t="n">
        <v>0.347554919201418</v>
      </c>
      <c r="H26" s="21" t="n"/>
      <c r="I26" s="17" t="inlineStr">
        <is>
          <t>2026-09-19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164</v>
      </c>
      <c r="F27" s="14" t="n">
        <v>0.09488133626359814</v>
      </c>
      <c r="G27" s="15" t="n">
        <v>0.4903421635799445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ARK @ UTAH</t>
        </is>
      </c>
      <c r="C28" s="17" t="inlineStr">
        <is>
          <t>ML</t>
        </is>
      </c>
      <c r="D28" s="17" t="inlineStr">
        <is>
          <t>ARK ML</t>
        </is>
      </c>
      <c r="E28" s="18" t="n">
        <v>380</v>
      </c>
      <c r="F28" s="19" t="n">
        <v>0.09481386616124461</v>
      </c>
      <c r="G28" s="20" t="n">
        <v>0.2658096657898283</v>
      </c>
      <c r="H28" s="21" t="n"/>
      <c r="I28" s="17" t="inlineStr">
        <is>
          <t>2026-09-13 02:15</t>
        </is>
      </c>
    </row>
    <row r="29">
      <c r="A29" s="12" t="inlineStr">
        <is>
          <t>GOOD</t>
        </is>
      </c>
      <c r="B29" s="12" t="inlineStr">
        <is>
          <t>SDSU @ UCLA</t>
        </is>
      </c>
      <c r="C29" s="12" t="inlineStr">
        <is>
          <t>ML</t>
        </is>
      </c>
      <c r="D29" s="12" t="inlineStr">
        <is>
          <t>SDSU ML</t>
        </is>
      </c>
      <c r="E29" s="13" t="n">
        <v>380</v>
      </c>
      <c r="F29" s="14" t="n">
        <v>0.09472613168506271</v>
      </c>
      <c r="G29" s="15" t="n">
        <v>0.262136550351477</v>
      </c>
      <c r="H29" s="16" t="n"/>
      <c r="I29" s="12" t="inlineStr">
        <is>
          <t>2026-09-12 23:15</t>
        </is>
      </c>
    </row>
    <row r="30">
      <c r="A30" s="17" t="inlineStr">
        <is>
          <t>GOOD</t>
        </is>
      </c>
      <c r="B30" s="17" t="inlineStr">
        <is>
          <t>HOU @ TTU</t>
        </is>
      </c>
      <c r="C30" s="17" t="inlineStr">
        <is>
          <t>ATS</t>
        </is>
      </c>
      <c r="D30" s="17" t="inlineStr">
        <is>
          <t>HOU +14</t>
        </is>
      </c>
      <c r="E30" s="18" t="n">
        <v>-108</v>
      </c>
      <c r="F30" s="19" t="n">
        <v>0.09456752184258507</v>
      </c>
      <c r="G30" s="20" t="n">
        <v>0.6388897098232359</v>
      </c>
      <c r="H30" s="21" t="n"/>
      <c r="I30" s="17" t="inlineStr">
        <is>
          <t>2026-09-19 00:00</t>
        </is>
      </c>
    </row>
    <row r="31">
      <c r="A31" s="12" t="inlineStr">
        <is>
          <t>GOOD</t>
        </is>
      </c>
      <c r="B31" s="12" t="inlineStr">
        <is>
          <t>MEM @ BOIS</t>
        </is>
      </c>
      <c r="C31" s="12" t="inlineStr">
        <is>
          <t>ML</t>
        </is>
      </c>
      <c r="D31" s="12" t="inlineStr">
        <is>
          <t>MEM ML</t>
        </is>
      </c>
      <c r="E31" s="13" t="n">
        <v>300</v>
      </c>
      <c r="F31" s="14" t="n">
        <v>0.09443990627157429</v>
      </c>
      <c r="G31" s="15" t="n">
        <v>0.3063904421315897</v>
      </c>
      <c r="H31" s="16" t="n"/>
      <c r="I31" s="12" t="inlineStr">
        <is>
          <t>2026-09-12 22:00</t>
        </is>
      </c>
    </row>
    <row r="32">
      <c r="A32" s="17" t="inlineStr">
        <is>
          <t>GOOD</t>
        </is>
      </c>
      <c r="B32" s="17" t="inlineStr">
        <is>
          <t>UNLV @ UNT</t>
        </is>
      </c>
      <c r="C32" s="17" t="inlineStr">
        <is>
          <t>ML</t>
        </is>
      </c>
      <c r="D32" s="17" t="inlineStr">
        <is>
          <t>UNT ML</t>
        </is>
      </c>
      <c r="E32" s="18" t="n">
        <v>136</v>
      </c>
      <c r="F32" s="19" t="n">
        <v>0.09440314170550808</v>
      </c>
      <c r="G32" s="20" t="n">
        <v>0.5178833795723502</v>
      </c>
      <c r="H32" s="21" t="n"/>
      <c r="I32" s="17" t="inlineStr">
        <is>
          <t>2026-09-12 19:45</t>
        </is>
      </c>
    </row>
    <row r="33">
      <c r="A33" s="12" t="inlineStr">
        <is>
          <t>GOOD</t>
        </is>
      </c>
      <c r="B33" s="12" t="inlineStr">
        <is>
          <t>BUFF @ FIU</t>
        </is>
      </c>
      <c r="C33" s="12" t="inlineStr">
        <is>
          <t>ML</t>
        </is>
      </c>
      <c r="D33" s="12" t="inlineStr">
        <is>
          <t>BUFF ML</t>
        </is>
      </c>
      <c r="E33" s="13" t="n">
        <v>320</v>
      </c>
      <c r="F33" s="14" t="n">
        <v>0.09420560136005995</v>
      </c>
      <c r="G33" s="15" t="n">
        <v>0.2878958446645277</v>
      </c>
      <c r="H33" s="16" t="n"/>
      <c r="I33" s="12" t="inlineStr">
        <is>
          <t>2026-09-12 22:00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0.09356665488443418</v>
      </c>
      <c r="G34" s="20" t="n">
        <v>0.2990887557677553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LSU @ MISS</t>
        </is>
      </c>
      <c r="C35" s="12" t="inlineStr">
        <is>
          <t>ML</t>
        </is>
      </c>
      <c r="D35" s="12" t="inlineStr">
        <is>
          <t>MISS ML</t>
        </is>
      </c>
      <c r="E35" s="13" t="n">
        <v>114</v>
      </c>
      <c r="F35" s="14" t="n">
        <v>0.09274794282405482</v>
      </c>
      <c r="G35" s="15" t="n">
        <v>0.5428032023659197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SAC @ FRES</t>
        </is>
      </c>
      <c r="C5" s="12" t="inlineStr">
        <is>
          <t>2026-09-13 02:30</t>
        </is>
      </c>
      <c r="D5" s="22" t="n">
        <v>2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600</v>
      </c>
      <c r="I5" s="15" t="n">
        <v>0.2580439258703301</v>
      </c>
      <c r="J5" s="15" t="n">
        <v>0.136986301369863</v>
      </c>
      <c r="K5" s="15" t="n">
        <v>0.1428571428571428</v>
      </c>
      <c r="L5" s="14" t="n">
        <v>0.09499999841926621</v>
      </c>
      <c r="M5" s="14" t="n">
        <v>0.8063074810923108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EMU @ MSU</t>
        </is>
      </c>
      <c r="C6" s="17" t="inlineStr">
        <is>
          <t>2026-09-12 19:30</t>
        </is>
      </c>
      <c r="D6" s="25" t="n">
        <v>2</v>
      </c>
      <c r="E6" s="17" t="inlineStr">
        <is>
          <t>ML</t>
        </is>
      </c>
      <c r="F6" s="17" t="inlineStr">
        <is>
          <t>EMU ML</t>
        </is>
      </c>
      <c r="G6" s="26" t="n"/>
      <c r="H6" s="18" t="n">
        <v>600</v>
      </c>
      <c r="I6" s="20" t="n">
        <v>0.2392034942718564</v>
      </c>
      <c r="J6" s="20" t="n">
        <v>0.136986301369863</v>
      </c>
      <c r="K6" s="20" t="n">
        <v>0.1428571428571428</v>
      </c>
      <c r="L6" s="19" t="n">
        <v>0.09499997140116777</v>
      </c>
      <c r="M6" s="19" t="n">
        <v>0.6744244599029947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455</v>
      </c>
      <c r="I7" s="15" t="n">
        <v>0.2657480404448824</v>
      </c>
      <c r="J7" s="15" t="n">
        <v>0.173697270471464</v>
      </c>
      <c r="K7" s="15" t="n">
        <v>0.1801801801801802</v>
      </c>
      <c r="L7" s="14" t="n">
        <v>0.09499728732587974</v>
      </c>
      <c r="M7" s="14" t="n">
        <v>0.4749016244690973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260</v>
      </c>
      <c r="I8" s="20" t="n">
        <v>0.3935926168719066</v>
      </c>
      <c r="J8" s="20" t="n">
        <v>0.2664576802507838</v>
      </c>
      <c r="K8" s="20" t="n">
        <v>0.2777777777777778</v>
      </c>
      <c r="L8" s="19" t="n">
        <v>0.09499175262366272</v>
      </c>
      <c r="M8" s="19" t="n">
        <v>0.4169334207388637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MTSU @ MRSH</t>
        </is>
      </c>
      <c r="C9" s="12" t="inlineStr">
        <is>
          <t>2026-09-12 23:00</t>
        </is>
      </c>
      <c r="D9" s="22" t="n">
        <v>2</v>
      </c>
      <c r="E9" s="12" t="inlineStr">
        <is>
          <t>ML</t>
        </is>
      </c>
      <c r="F9" s="12" t="inlineStr">
        <is>
          <t>MTSU ML</t>
        </is>
      </c>
      <c r="G9" s="23" t="n"/>
      <c r="H9" s="13" t="n">
        <v>400</v>
      </c>
      <c r="I9" s="15" t="n">
        <v>0.2829975858804825</v>
      </c>
      <c r="J9" s="15" t="n">
        <v>0.1918429003021148</v>
      </c>
      <c r="K9" s="15" t="n">
        <v>0.2</v>
      </c>
      <c r="L9" s="14" t="n">
        <v>0.09499140210094857</v>
      </c>
      <c r="M9" s="14" t="n">
        <v>0.4149879294024126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UNC @ CLEM</t>
        </is>
      </c>
      <c r="C10" s="17" t="inlineStr">
        <is>
          <t>2026-09-19 16:00</t>
        </is>
      </c>
      <c r="D10" s="25" t="n">
        <v>3</v>
      </c>
      <c r="E10" s="17" t="inlineStr">
        <is>
          <t>ML</t>
        </is>
      </c>
      <c r="F10" s="17" t="inlineStr">
        <is>
          <t>UNC ML</t>
        </is>
      </c>
      <c r="G10" s="26" t="n"/>
      <c r="H10" s="18" t="n">
        <v>295</v>
      </c>
      <c r="I10" s="20" t="n">
        <v>0.347554919201418</v>
      </c>
      <c r="J10" s="20" t="n">
        <v>0.2428115015974441</v>
      </c>
      <c r="K10" s="20" t="n">
        <v>0.2531645569620253</v>
      </c>
      <c r="L10" s="19" t="n">
        <v>0.09497839263728407</v>
      </c>
      <c r="M10" s="19" t="n">
        <v>0.3728419308456012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164</v>
      </c>
      <c r="I11" s="15" t="n">
        <v>0.4903421635799445</v>
      </c>
      <c r="J11" s="15" t="n">
        <v>0.3630958183058778</v>
      </c>
      <c r="K11" s="15" t="n">
        <v>0.3787878787878788</v>
      </c>
      <c r="L11" s="14" t="n">
        <v>0.09488133626359814</v>
      </c>
      <c r="M11" s="14" t="n">
        <v>0.2945033118510534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ARK @ UTAH</t>
        </is>
      </c>
      <c r="C12" s="17" t="inlineStr">
        <is>
          <t>2026-09-13 02:15</t>
        </is>
      </c>
      <c r="D12" s="25" t="n">
        <v>2</v>
      </c>
      <c r="E12" s="17" t="inlineStr">
        <is>
          <t>ML</t>
        </is>
      </c>
      <c r="F12" s="17" t="inlineStr">
        <is>
          <t>ARK ML</t>
        </is>
      </c>
      <c r="G12" s="26" t="n"/>
      <c r="H12" s="18" t="n">
        <v>380</v>
      </c>
      <c r="I12" s="20" t="n">
        <v>0.2658096657898283</v>
      </c>
      <c r="J12" s="20" t="n">
        <v>0.2</v>
      </c>
      <c r="K12" s="20" t="n">
        <v>0.2083333333333333</v>
      </c>
      <c r="L12" s="19" t="n">
        <v>0.09481386616124461</v>
      </c>
      <c r="M12" s="19" t="n">
        <v>0.2758863957911759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SDSU @ UCLA</t>
        </is>
      </c>
      <c r="C13" s="12" t="inlineStr">
        <is>
          <t>2026-09-12 23:15</t>
        </is>
      </c>
      <c r="D13" s="22" t="n">
        <v>2</v>
      </c>
      <c r="E13" s="12" t="inlineStr">
        <is>
          <t>ML</t>
        </is>
      </c>
      <c r="F13" s="12" t="inlineStr">
        <is>
          <t>SDSU ML</t>
        </is>
      </c>
      <c r="G13" s="23" t="n"/>
      <c r="H13" s="13" t="n">
        <v>380</v>
      </c>
      <c r="I13" s="15" t="n">
        <v>0.262136550351477</v>
      </c>
      <c r="J13" s="15" t="n">
        <v>0.2</v>
      </c>
      <c r="K13" s="15" t="n">
        <v>0.2083333333333333</v>
      </c>
      <c r="L13" s="14" t="n">
        <v>0.09472613168506271</v>
      </c>
      <c r="M13" s="14" t="n">
        <v>0.2582554416870895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HOU @ TTU</t>
        </is>
      </c>
      <c r="C14" s="17" t="inlineStr">
        <is>
          <t>2026-09-19 00:00</t>
        </is>
      </c>
      <c r="D14" s="25" t="n">
        <v>3</v>
      </c>
      <c r="E14" s="17" t="inlineStr">
        <is>
          <t>ATS</t>
        </is>
      </c>
      <c r="F14" s="17" t="inlineStr">
        <is>
          <t>HOU +14</t>
        </is>
      </c>
      <c r="G14" s="26" t="n">
        <v>-14</v>
      </c>
      <c r="H14" s="18" t="n">
        <v>-108</v>
      </c>
      <c r="I14" s="20" t="n">
        <v>0.6388897098232359</v>
      </c>
      <c r="J14" s="20" t="n">
        <v>0.4956702459300312</v>
      </c>
      <c r="K14" s="20" t="n">
        <v>0.5192307692307693</v>
      </c>
      <c r="L14" s="19" t="n">
        <v>0.09456752184258507</v>
      </c>
      <c r="M14" s="19" t="n">
        <v>0.2226418566789581</v>
      </c>
      <c r="N14" s="20" t="n">
        <v>0.0339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MEM @ BOIS</t>
        </is>
      </c>
      <c r="C15" s="12" t="inlineStr">
        <is>
          <t>2026-09-12 22:00</t>
        </is>
      </c>
      <c r="D15" s="22" t="n">
        <v>2</v>
      </c>
      <c r="E15" s="12" t="inlineStr">
        <is>
          <t>ML</t>
        </is>
      </c>
      <c r="F15" s="12" t="inlineStr">
        <is>
          <t>MEM ML</t>
        </is>
      </c>
      <c r="G15" s="23" t="n"/>
      <c r="H15" s="13" t="n">
        <v>300</v>
      </c>
      <c r="I15" s="15" t="n">
        <v>0.3063904421315897</v>
      </c>
      <c r="J15" s="15" t="n">
        <v>0.24</v>
      </c>
      <c r="K15" s="15" t="n">
        <v>0.25</v>
      </c>
      <c r="L15" s="14" t="n">
        <v>0.09443990627157429</v>
      </c>
      <c r="M15" s="14" t="n">
        <v>0.2255617685263589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UNLV @ UNT</t>
        </is>
      </c>
      <c r="C16" s="17" t="inlineStr">
        <is>
          <t>2026-09-12 19:45</t>
        </is>
      </c>
      <c r="D16" s="25" t="n">
        <v>2</v>
      </c>
      <c r="E16" s="17" t="inlineStr">
        <is>
          <t>ML</t>
        </is>
      </c>
      <c r="F16" s="17" t="inlineStr">
        <is>
          <t>UNT ML</t>
        </is>
      </c>
      <c r="G16" s="26" t="n"/>
      <c r="H16" s="18" t="n">
        <v>136</v>
      </c>
      <c r="I16" s="20" t="n">
        <v>0.5178833795723502</v>
      </c>
      <c r="J16" s="20" t="n">
        <v>0.4066302458405761</v>
      </c>
      <c r="K16" s="20" t="n">
        <v>0.423728813559322</v>
      </c>
      <c r="L16" s="19" t="n">
        <v>0.09440314170550808</v>
      </c>
      <c r="M16" s="19" t="n">
        <v>0.2222047757907466</v>
      </c>
      <c r="N16" s="20" t="n">
        <v>0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BUFF @ FIU</t>
        </is>
      </c>
      <c r="C17" s="12" t="inlineStr">
        <is>
          <t>2026-09-12 22:00</t>
        </is>
      </c>
      <c r="D17" s="22" t="n">
        <v>2</v>
      </c>
      <c r="E17" s="12" t="inlineStr">
        <is>
          <t>ML</t>
        </is>
      </c>
      <c r="F17" s="12" t="inlineStr">
        <is>
          <t>BUFF ML</t>
        </is>
      </c>
      <c r="G17" s="23" t="n"/>
      <c r="H17" s="13" t="n">
        <v>320</v>
      </c>
      <c r="I17" s="15" t="n">
        <v>0.2878958446645277</v>
      </c>
      <c r="J17" s="15" t="n">
        <v>0.2284946236559139</v>
      </c>
      <c r="K17" s="15" t="n">
        <v>0.2380952380952381</v>
      </c>
      <c r="L17" s="14" t="n">
        <v>0.09420560136005995</v>
      </c>
      <c r="M17" s="14" t="n">
        <v>0.2091625475910162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0.2990887557677553</v>
      </c>
      <c r="J18" s="20" t="n">
        <v>0.2428115015974441</v>
      </c>
      <c r="K18" s="20" t="n">
        <v>0.2531645569620253</v>
      </c>
      <c r="L18" s="19" t="n">
        <v>0.09356665488443418</v>
      </c>
      <c r="M18" s="19" t="n">
        <v>0.1814005852826335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LSU @ MISS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MISS ML</t>
        </is>
      </c>
      <c r="G19" s="23" t="n"/>
      <c r="H19" s="13" t="n">
        <v>114</v>
      </c>
      <c r="I19" s="15" t="n">
        <v>0.5428032023659197</v>
      </c>
      <c r="J19" s="15" t="n">
        <v>0.448558885283451</v>
      </c>
      <c r="K19" s="15" t="n">
        <v>0.4672897196261682</v>
      </c>
      <c r="L19" s="14" t="n">
        <v>0.09274794282405482</v>
      </c>
      <c r="M19" s="14" t="n">
        <v>0.1615988530630681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FLA @ AUB</t>
        </is>
      </c>
      <c r="C20" s="17" t="inlineStr">
        <is>
          <t>2026-09-19 23:00</t>
        </is>
      </c>
      <c r="D20" s="25" t="n">
        <v>3</v>
      </c>
      <c r="E20" s="17" t="inlineStr">
        <is>
          <t>ML</t>
        </is>
      </c>
      <c r="F20" s="17" t="inlineStr">
        <is>
          <t>AUB ML</t>
        </is>
      </c>
      <c r="G20" s="26" t="n"/>
      <c r="H20" s="18" t="n">
        <v>114</v>
      </c>
      <c r="I20" s="20" t="n">
        <v>0.5406241354760064</v>
      </c>
      <c r="J20" s="20" t="n">
        <v>0.448558885283451</v>
      </c>
      <c r="K20" s="20" t="n">
        <v>0.4672897196261682</v>
      </c>
      <c r="L20" s="19" t="n">
        <v>0.09250861020615707</v>
      </c>
      <c r="M20" s="19" t="n">
        <v>0.1569356499186536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-112</v>
      </c>
      <c r="I21" s="15" t="n">
        <v>0.5979328055190777</v>
      </c>
      <c r="J21" s="15" t="n">
        <v>0.5043297540699688</v>
      </c>
      <c r="K21" s="15" t="n">
        <v>0.5283018867924528</v>
      </c>
      <c r="L21" s="14" t="n">
        <v>0.09125738676702272</v>
      </c>
      <c r="M21" s="14" t="n">
        <v>0.1318013818753969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-108</v>
      </c>
      <c r="I22" s="20" t="n">
        <v>0.5810424806948737</v>
      </c>
      <c r="J22" s="20" t="n">
        <v>0.4956702459300312</v>
      </c>
      <c r="K22" s="20" t="n">
        <v>0.5192307692307693</v>
      </c>
      <c r="L22" s="19" t="n">
        <v>0.09007299953080662</v>
      </c>
      <c r="M22" s="19" t="n">
        <v>0.1190447776345718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ORE @ OKST</t>
        </is>
      </c>
      <c r="C24" s="17" t="inlineStr">
        <is>
          <t>2026-09-12 17:30</t>
        </is>
      </c>
      <c r="D24" s="25" t="n">
        <v>2</v>
      </c>
      <c r="E24" s="17" t="inlineStr">
        <is>
          <t>ML</t>
        </is>
      </c>
      <c r="F24" s="17" t="inlineStr">
        <is>
          <t>OKST ML</t>
        </is>
      </c>
      <c r="G24" s="26" t="n"/>
      <c r="H24" s="18" t="n">
        <v>1200</v>
      </c>
      <c r="I24" s="20" t="n">
        <v>0.3651817951474358</v>
      </c>
      <c r="J24" s="20" t="n">
        <v>0.0741839762611276</v>
      </c>
      <c r="K24" s="20" t="n">
        <v>0.07692307692307693</v>
      </c>
      <c r="L24" s="19" t="n">
        <v>0.095</v>
      </c>
      <c r="M24" s="19" t="n">
        <v>3.747363336916665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WEB @ COLO</t>
        </is>
      </c>
      <c r="C25" s="12" t="inlineStr">
        <is>
          <t>2026-09-12 19:30</t>
        </is>
      </c>
      <c r="D25" s="22" t="n">
        <v>2</v>
      </c>
      <c r="E25" s="12" t="inlineStr">
        <is>
          <t>ML</t>
        </is>
      </c>
      <c r="F25" s="12" t="inlineStr">
        <is>
          <t>WEB ML</t>
        </is>
      </c>
      <c r="G25" s="23" t="n"/>
      <c r="H25" s="13" t="n">
        <v>2000</v>
      </c>
      <c r="I25" s="15" t="n">
        <v>0.1911156332017323</v>
      </c>
      <c r="J25" s="15" t="n">
        <v>0.0461215932914046</v>
      </c>
      <c r="K25" s="15" t="n">
        <v>0.04761904761904762</v>
      </c>
      <c r="L25" s="14" t="n">
        <v>0.095</v>
      </c>
      <c r="M25" s="14" t="n">
        <v>3.013428297236379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WEB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USU @ WASH</t>
        </is>
      </c>
      <c r="C26" s="17" t="inlineStr">
        <is>
          <t>2026-09-12 19:30</t>
        </is>
      </c>
      <c r="D26" s="25" t="n">
        <v>2</v>
      </c>
      <c r="E26" s="17" t="inlineStr">
        <is>
          <t>ML</t>
        </is>
      </c>
      <c r="F26" s="17" t="inlineStr">
        <is>
          <t>USU ML</t>
        </is>
      </c>
      <c r="G26" s="26" t="n"/>
      <c r="H26" s="18" t="n">
        <v>2000</v>
      </c>
      <c r="I26" s="20" t="n">
        <v>0.1901897969817578</v>
      </c>
      <c r="J26" s="20" t="n">
        <v>0.0461215932914046</v>
      </c>
      <c r="K26" s="20" t="n">
        <v>0.04761904761904762</v>
      </c>
      <c r="L26" s="19" t="n">
        <v>0.095</v>
      </c>
      <c r="M26" s="19" t="n">
        <v>2.993985736616913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RMU @ AKR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RMU ML</t>
        </is>
      </c>
      <c r="G27" s="23" t="n"/>
      <c r="H27" s="13" t="n">
        <v>1500</v>
      </c>
      <c r="I27" s="15" t="n">
        <v>0.2116556856265399</v>
      </c>
      <c r="J27" s="15" t="n">
        <v>0.06035889070146819</v>
      </c>
      <c r="K27" s="15" t="n">
        <v>0.0625</v>
      </c>
      <c r="L27" s="14" t="n">
        <v>0.095</v>
      </c>
      <c r="M27" s="14" t="n">
        <v>2.386490970024639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RMU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CCSU @ TOL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CCSU ML</t>
        </is>
      </c>
      <c r="G28" s="26" t="n"/>
      <c r="H28" s="18" t="n">
        <v>3500</v>
      </c>
      <c r="I28" s="20" t="n">
        <v>0.1861573059848334</v>
      </c>
      <c r="J28" s="20" t="n">
        <v>0.02715849209566274</v>
      </c>
      <c r="K28" s="20" t="n">
        <v>0.02777777777777778</v>
      </c>
      <c r="L28" s="19" t="n">
        <v>0.095</v>
      </c>
      <c r="M28" s="19" t="n">
        <v>5.701663015454002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CCSU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UCD @ SMU</t>
        </is>
      </c>
      <c r="C29" s="12" t="inlineStr">
        <is>
          <t>2026-09-12 20:00</t>
        </is>
      </c>
      <c r="D29" s="22" t="n">
        <v>2</v>
      </c>
      <c r="E29" s="12" t="inlineStr">
        <is>
          <t>ML</t>
        </is>
      </c>
      <c r="F29" s="12" t="inlineStr">
        <is>
          <t>UCD ML</t>
        </is>
      </c>
      <c r="G29" s="23" t="n"/>
      <c r="H29" s="13" t="n">
        <v>1500</v>
      </c>
      <c r="I29" s="15" t="n">
        <v>0.1948050588960303</v>
      </c>
      <c r="J29" s="15" t="n">
        <v>0.06035889070146819</v>
      </c>
      <c r="K29" s="15" t="n">
        <v>0.0625</v>
      </c>
      <c r="L29" s="14" t="n">
        <v>0.095</v>
      </c>
      <c r="M29" s="14" t="n">
        <v>2.116880942336484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UCD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ALST @ TROY</t>
        </is>
      </c>
      <c r="C30" s="17" t="inlineStr">
        <is>
          <t>2026-09-12 20:00</t>
        </is>
      </c>
      <c r="D30" s="25" t="n">
        <v>2</v>
      </c>
      <c r="E30" s="17" t="inlineStr">
        <is>
          <t>ML</t>
        </is>
      </c>
      <c r="F30" s="17" t="inlineStr">
        <is>
          <t>ALST ML</t>
        </is>
      </c>
      <c r="G30" s="26" t="n"/>
      <c r="H30" s="18" t="n">
        <v>1100</v>
      </c>
      <c r="I30" s="20" t="n">
        <v>0.2298345177416878</v>
      </c>
      <c r="J30" s="20" t="n">
        <v>0.08029197080291971</v>
      </c>
      <c r="K30" s="20" t="n">
        <v>0.08333333333333333</v>
      </c>
      <c r="L30" s="19" t="n">
        <v>0.095</v>
      </c>
      <c r="M30" s="19" t="n">
        <v>1.758014212900254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ALST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MONM @ WMU</t>
        </is>
      </c>
      <c r="C31" s="12" t="inlineStr">
        <is>
          <t>2026-09-12 22:30</t>
        </is>
      </c>
      <c r="D31" s="22" t="n">
        <v>2</v>
      </c>
      <c r="E31" s="12" t="inlineStr">
        <is>
          <t>ML</t>
        </is>
      </c>
      <c r="F31" s="12" t="inlineStr">
        <is>
          <t>MONM ML</t>
        </is>
      </c>
      <c r="G31" s="23" t="n"/>
      <c r="H31" s="13" t="n">
        <v>1800</v>
      </c>
      <c r="I31" s="15" t="n">
        <v>0.192867858104679</v>
      </c>
      <c r="J31" s="15" t="n">
        <v>0.05094905094905094</v>
      </c>
      <c r="K31" s="15" t="n">
        <v>0.05263157894736842</v>
      </c>
      <c r="L31" s="14" t="n">
        <v>0.095</v>
      </c>
      <c r="M31" s="14" t="n">
        <v>2.664489303988901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MONM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BGSU @ NEB</t>
        </is>
      </c>
      <c r="C32" s="17" t="inlineStr">
        <is>
          <t>2026-09-12 23:00</t>
        </is>
      </c>
      <c r="D32" s="25" t="n">
        <v>2</v>
      </c>
      <c r="E32" s="17" t="inlineStr">
        <is>
          <t>ML</t>
        </is>
      </c>
      <c r="F32" s="17" t="inlineStr">
        <is>
          <t>BGSU ML</t>
        </is>
      </c>
      <c r="G32" s="26" t="n"/>
      <c r="H32" s="18" t="n">
        <v>2000</v>
      </c>
      <c r="I32" s="20" t="n">
        <v>0.1812973081185671</v>
      </c>
      <c r="J32" s="20" t="n">
        <v>0.0461215932914046</v>
      </c>
      <c r="K32" s="20" t="n">
        <v>0.04761904761904762</v>
      </c>
      <c r="L32" s="19" t="n">
        <v>0.095</v>
      </c>
      <c r="M32" s="19" t="n">
        <v>2.80724347048991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WES @ ARST</t>
        </is>
      </c>
      <c r="C33" s="12" t="inlineStr">
        <is>
          <t>2026-09-12 23:00</t>
        </is>
      </c>
      <c r="D33" s="22" t="n">
        <v>2</v>
      </c>
      <c r="E33" s="12" t="inlineStr">
        <is>
          <t>ML</t>
        </is>
      </c>
      <c r="F33" s="12" t="inlineStr">
        <is>
          <t>WES ML</t>
        </is>
      </c>
      <c r="G33" s="23" t="n"/>
      <c r="H33" s="13" t="n">
        <v>3000</v>
      </c>
      <c r="I33" s="15" t="n">
        <v>0.1976605100361875</v>
      </c>
      <c r="J33" s="15" t="n">
        <v>0.03155263980006248</v>
      </c>
      <c r="K33" s="15" t="n">
        <v>0.03225806451612903</v>
      </c>
      <c r="L33" s="14" t="n">
        <v>0.095</v>
      </c>
      <c r="M33" s="14" t="n">
        <v>5.127475811121811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WES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TTU @ ORST</t>
        </is>
      </c>
      <c r="C34" s="17" t="inlineStr">
        <is>
          <t>2026-09-12 23:30</t>
        </is>
      </c>
      <c r="D34" s="25" t="n">
        <v>2</v>
      </c>
      <c r="E34" s="17" t="inlineStr">
        <is>
          <t>ML</t>
        </is>
      </c>
      <c r="F34" s="17" t="inlineStr">
        <is>
          <t>ORST ML</t>
        </is>
      </c>
      <c r="G34" s="26" t="n"/>
      <c r="H34" s="18" t="n">
        <v>1400</v>
      </c>
      <c r="I34" s="20" t="n">
        <v>0.3510951602902458</v>
      </c>
      <c r="J34" s="20" t="n">
        <v>0.06432748538011696</v>
      </c>
      <c r="K34" s="20" t="n">
        <v>0.06666666666666667</v>
      </c>
      <c r="L34" s="19" t="n">
        <v>0.095</v>
      </c>
      <c r="M34" s="19" t="n">
        <v>4.266427404353687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price outside allowed range</t>
        </is>
      </c>
    </row>
    <row r="35">
      <c r="A35" s="12" t="inlineStr">
        <is>
          <t>PASS</t>
        </is>
      </c>
      <c r="B35" s="12" t="inlineStr">
        <is>
          <t>LT @ LSU</t>
        </is>
      </c>
      <c r="C35" s="12" t="inlineStr">
        <is>
          <t>2026-09-12 23:30</t>
        </is>
      </c>
      <c r="D35" s="22" t="n">
        <v>2</v>
      </c>
      <c r="E35" s="12" t="inlineStr">
        <is>
          <t>ML</t>
        </is>
      </c>
      <c r="F35" s="12" t="inlineStr">
        <is>
          <t>LT ML</t>
        </is>
      </c>
      <c r="G35" s="23" t="n"/>
      <c r="H35" s="13" t="n">
        <v>3500</v>
      </c>
      <c r="I35" s="15" t="n">
        <v>0.1980537939720919</v>
      </c>
      <c r="J35" s="15" t="n">
        <v>0.02715849209566274</v>
      </c>
      <c r="K35" s="15" t="n">
        <v>0.02777777777777778</v>
      </c>
      <c r="L35" s="14" t="n">
        <v>0.095</v>
      </c>
      <c r="M35" s="14" t="n">
        <v>6.129936582995308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USM @ AUB</t>
        </is>
      </c>
      <c r="C36" s="17" t="inlineStr">
        <is>
          <t>2026-09-12 23:45</t>
        </is>
      </c>
      <c r="D36" s="25" t="n">
        <v>2</v>
      </c>
      <c r="E36" s="17" t="inlineStr">
        <is>
          <t>ML</t>
        </is>
      </c>
      <c r="F36" s="17" t="inlineStr">
        <is>
          <t>USM ML</t>
        </is>
      </c>
      <c r="G36" s="26" t="n"/>
      <c r="H36" s="18" t="n">
        <v>3000</v>
      </c>
      <c r="I36" s="20" t="n">
        <v>0.1997045820686201</v>
      </c>
      <c r="J36" s="20" t="n">
        <v>0.03155263980006248</v>
      </c>
      <c r="K36" s="20" t="n">
        <v>0.03225806451612903</v>
      </c>
      <c r="L36" s="19" t="n">
        <v>0.095</v>
      </c>
      <c r="M36" s="19" t="n">
        <v>5.190842044127223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price outside allowed range</t>
        </is>
      </c>
    </row>
    <row r="37">
      <c r="A37" s="12" t="inlineStr">
        <is>
          <t>PASS</t>
        </is>
      </c>
      <c r="B37" s="12" t="inlineStr">
        <is>
          <t>TXSO @ UTEP</t>
        </is>
      </c>
      <c r="C37" s="12" t="inlineStr">
        <is>
          <t>2026-09-13 01:00</t>
        </is>
      </c>
      <c r="D37" s="22" t="n">
        <v>2</v>
      </c>
      <c r="E37" s="12" t="inlineStr">
        <is>
          <t>ML</t>
        </is>
      </c>
      <c r="F37" s="12" t="inlineStr">
        <is>
          <t>TXSO ML</t>
        </is>
      </c>
      <c r="G37" s="23" t="n"/>
      <c r="H37" s="13" t="n">
        <v>1700</v>
      </c>
      <c r="I37" s="15" t="n">
        <v>0.2125746636805996</v>
      </c>
      <c r="J37" s="15" t="n">
        <v>0.05373831775700934</v>
      </c>
      <c r="K37" s="15" t="n">
        <v>0.05555555555555555</v>
      </c>
      <c r="L37" s="14" t="n">
        <v>0.095</v>
      </c>
      <c r="M37" s="14" t="n">
        <v>2.826343946250793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TXSO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UL @ USC</t>
        </is>
      </c>
      <c r="C38" s="17" t="inlineStr">
        <is>
          <t>2026-09-13 03:00</t>
        </is>
      </c>
      <c r="D38" s="25" t="n">
        <v>2</v>
      </c>
      <c r="E38" s="17" t="inlineStr">
        <is>
          <t>ML</t>
        </is>
      </c>
      <c r="F38" s="17" t="inlineStr">
        <is>
          <t>UL ML</t>
        </is>
      </c>
      <c r="G38" s="26" t="n"/>
      <c r="H38" s="18" t="n">
        <v>2000</v>
      </c>
      <c r="I38" s="20" t="n">
        <v>0.1981849712546307</v>
      </c>
      <c r="J38" s="20" t="n">
        <v>0.0461215932914046</v>
      </c>
      <c r="K38" s="20" t="n">
        <v>0.04761904761904762</v>
      </c>
      <c r="L38" s="19" t="n">
        <v>0.095</v>
      </c>
      <c r="M38" s="19" t="n">
        <v>3.161884396347245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MIA @ WAKE</t>
        </is>
      </c>
      <c r="C39" s="12" t="inlineStr">
        <is>
          <t>2026-09-18 23:30</t>
        </is>
      </c>
      <c r="D39" s="22" t="n">
        <v>3</v>
      </c>
      <c r="E39" s="12" t="inlineStr">
        <is>
          <t>ML</t>
        </is>
      </c>
      <c r="F39" s="12" t="inlineStr">
        <is>
          <t>WAKE ML</t>
        </is>
      </c>
      <c r="G39" s="23" t="n"/>
      <c r="H39" s="13" t="n">
        <v>800</v>
      </c>
      <c r="I39" s="15" t="n">
        <v>0.379124191707459</v>
      </c>
      <c r="J39" s="15" t="n">
        <v>0.1066176470588235</v>
      </c>
      <c r="K39" s="15" t="n">
        <v>0.1111111111111111</v>
      </c>
      <c r="L39" s="14" t="n">
        <v>0.095</v>
      </c>
      <c r="M39" s="14" t="n">
        <v>2.412117725367131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MSU @ ND</t>
        </is>
      </c>
      <c r="C40" s="17" t="inlineStr">
        <is>
          <t>2026-09-19 23:30</t>
        </is>
      </c>
      <c r="D40" s="25" t="n">
        <v>3</v>
      </c>
      <c r="E40" s="17" t="inlineStr">
        <is>
          <t>ML</t>
        </is>
      </c>
      <c r="F40" s="17" t="inlineStr">
        <is>
          <t>MSU ML</t>
        </is>
      </c>
      <c r="G40" s="26" t="n"/>
      <c r="H40" s="18" t="n">
        <v>2200</v>
      </c>
      <c r="I40" s="20" t="n">
        <v>0.1802259376762009</v>
      </c>
      <c r="J40" s="20" t="n">
        <v>0.04216553878188443</v>
      </c>
      <c r="K40" s="20" t="n">
        <v>0.04347826086956522</v>
      </c>
      <c r="L40" s="19" t="n">
        <v>0.095</v>
      </c>
      <c r="M40" s="19" t="n">
        <v>3.14519656655262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UGA @ ARK</t>
        </is>
      </c>
      <c r="C41" s="12" t="inlineStr">
        <is>
          <t>2026-09-19 16:00</t>
        </is>
      </c>
      <c r="D41" s="22" t="n">
        <v>3</v>
      </c>
      <c r="E41" s="12" t="inlineStr">
        <is>
          <t>ML</t>
        </is>
      </c>
      <c r="F41" s="12" t="inlineStr">
        <is>
          <t>ARK ML</t>
        </is>
      </c>
      <c r="G41" s="23" t="n"/>
      <c r="H41" s="13" t="n">
        <v>600</v>
      </c>
      <c r="I41" s="15" t="n">
        <v>0.3804557880717463</v>
      </c>
      <c r="J41" s="15" t="n">
        <v>0.136986301369863</v>
      </c>
      <c r="K41" s="15" t="n">
        <v>0.1428571428571428</v>
      </c>
      <c r="L41" s="14" t="n">
        <v>0.09499999999999999</v>
      </c>
      <c r="M41" s="14" t="n">
        <v>1.663190516502224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SHU @ MASS</t>
        </is>
      </c>
      <c r="C42" s="17" t="inlineStr">
        <is>
          <t>2026-09-12 19:30</t>
        </is>
      </c>
      <c r="D42" s="25" t="n">
        <v>2</v>
      </c>
      <c r="E42" s="17" t="inlineStr">
        <is>
          <t>ML</t>
        </is>
      </c>
      <c r="F42" s="17" t="inlineStr">
        <is>
          <t>SHU ML</t>
        </is>
      </c>
      <c r="G42" s="26" t="n"/>
      <c r="H42" s="18" t="n">
        <v>1200</v>
      </c>
      <c r="I42" s="20" t="n">
        <v>0.1974038740353011</v>
      </c>
      <c r="J42" s="20" t="n">
        <v>0.0741839762611276</v>
      </c>
      <c r="K42" s="20" t="n">
        <v>0.07692307692307693</v>
      </c>
      <c r="L42" s="19" t="n">
        <v>0.09499999999999988</v>
      </c>
      <c r="M42" s="19" t="n">
        <v>1.566250362458915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SHU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UNCO @ WYO</t>
        </is>
      </c>
      <c r="C43" s="12" t="inlineStr">
        <is>
          <t>2026-09-12 20:00</t>
        </is>
      </c>
      <c r="D43" s="22" t="n">
        <v>2</v>
      </c>
      <c r="E43" s="12" t="inlineStr">
        <is>
          <t>ML</t>
        </is>
      </c>
      <c r="F43" s="12" t="inlineStr">
        <is>
          <t>UNCO ML</t>
        </is>
      </c>
      <c r="G43" s="23" t="n"/>
      <c r="H43" s="13" t="n">
        <v>1000</v>
      </c>
      <c r="I43" s="15" t="n">
        <v>0.2256629919794741</v>
      </c>
      <c r="J43" s="15" t="n">
        <v>0.08755760368663595</v>
      </c>
      <c r="K43" s="15" t="n">
        <v>0.09090909090909091</v>
      </c>
      <c r="L43" s="14" t="n">
        <v>0.09499999999999928</v>
      </c>
      <c r="M43" s="14" t="n">
        <v>1.482292911774215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UNCO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CP @ SJSU</t>
        </is>
      </c>
      <c r="C44" s="17" t="inlineStr">
        <is>
          <t>2026-09-13 01:00</t>
        </is>
      </c>
      <c r="D44" s="25" t="n">
        <v>2</v>
      </c>
      <c r="E44" s="17" t="inlineStr">
        <is>
          <t>ML</t>
        </is>
      </c>
      <c r="F44" s="17" t="inlineStr">
        <is>
          <t>CP ML</t>
        </is>
      </c>
      <c r="G44" s="26" t="n"/>
      <c r="H44" s="18" t="n">
        <v>1000</v>
      </c>
      <c r="I44" s="20" t="n">
        <v>0.207747994799889</v>
      </c>
      <c r="J44" s="20" t="n">
        <v>0.08755760368663595</v>
      </c>
      <c r="K44" s="20" t="n">
        <v>0.09090909090909091</v>
      </c>
      <c r="L44" s="19" t="n">
        <v>0.09499999999994654</v>
      </c>
      <c r="M44" s="19" t="n">
        <v>1.285227942798779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CP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DEL @ VAN</t>
        </is>
      </c>
      <c r="C45" s="12" t="inlineStr">
        <is>
          <t>2026-09-12 20:15</t>
        </is>
      </c>
      <c r="D45" s="22" t="n">
        <v>2</v>
      </c>
      <c r="E45" s="12" t="inlineStr">
        <is>
          <t>ML</t>
        </is>
      </c>
      <c r="F45" s="12" t="inlineStr">
        <is>
          <t>DEL ML</t>
        </is>
      </c>
      <c r="G45" s="23" t="n"/>
      <c r="H45" s="13" t="n">
        <v>800</v>
      </c>
      <c r="I45" s="15" t="n">
        <v>0.2464504693999525</v>
      </c>
      <c r="J45" s="15" t="n">
        <v>0.1066176470588235</v>
      </c>
      <c r="K45" s="15" t="n">
        <v>0.1111111111111111</v>
      </c>
      <c r="L45" s="14" t="n">
        <v>0.09499999999980621</v>
      </c>
      <c r="M45" s="14" t="n">
        <v>1.218054224599573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GASO @ CLEM</t>
        </is>
      </c>
      <c r="C46" s="17" t="inlineStr">
        <is>
          <t>2026-09-12 23:30</t>
        </is>
      </c>
      <c r="D46" s="25" t="n">
        <v>2</v>
      </c>
      <c r="E46" s="17" t="inlineStr">
        <is>
          <t>ML</t>
        </is>
      </c>
      <c r="F46" s="17" t="inlineStr">
        <is>
          <t>GASO ML</t>
        </is>
      </c>
      <c r="G46" s="26" t="n"/>
      <c r="H46" s="18" t="n">
        <v>750</v>
      </c>
      <c r="I46" s="20" t="n">
        <v>0.2510494437136886</v>
      </c>
      <c r="J46" s="20" t="n">
        <v>0.1130434782608696</v>
      </c>
      <c r="K46" s="20" t="n">
        <v>0.1176470588235294</v>
      </c>
      <c r="L46" s="19" t="n">
        <v>0.09499999999869164</v>
      </c>
      <c r="M46" s="19" t="n">
        <v>1.133920271566354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price outside allowed range</t>
        </is>
      </c>
    </row>
    <row r="47">
      <c r="A47" s="12" t="inlineStr">
        <is>
          <t>PASS</t>
        </is>
      </c>
      <c r="B47" s="12" t="inlineStr">
        <is>
          <t>SUU @ CSU</t>
        </is>
      </c>
      <c r="C47" s="12" t="inlineStr">
        <is>
          <t>2026-09-12 23:00</t>
        </is>
      </c>
      <c r="D47" s="22" t="n">
        <v>2</v>
      </c>
      <c r="E47" s="12" t="inlineStr">
        <is>
          <t>ML</t>
        </is>
      </c>
      <c r="F47" s="12" t="inlineStr">
        <is>
          <t>SUU ML</t>
        </is>
      </c>
      <c r="G47" s="23" t="n"/>
      <c r="H47" s="13" t="n">
        <v>800</v>
      </c>
      <c r="I47" s="15" t="n">
        <v>0.2323435530044854</v>
      </c>
      <c r="J47" s="15" t="n">
        <v>0.1066176470588235</v>
      </c>
      <c r="K47" s="15" t="n">
        <v>0.1111111111111111</v>
      </c>
      <c r="L47" s="14" t="n">
        <v>0.09499999999685896</v>
      </c>
      <c r="M47" s="14" t="n">
        <v>1.091091977040369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SUU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TLSA @ SHSU</t>
        </is>
      </c>
      <c r="C48" s="17" t="inlineStr">
        <is>
          <t>2026-09-12 23:00</t>
        </is>
      </c>
      <c r="D48" s="25" t="n">
        <v>2</v>
      </c>
      <c r="E48" s="17" t="inlineStr">
        <is>
          <t>ML</t>
        </is>
      </c>
      <c r="F48" s="17" t="inlineStr">
        <is>
          <t>SHSU ML</t>
        </is>
      </c>
      <c r="G48" s="26" t="n"/>
      <c r="H48" s="18" t="n">
        <v>380</v>
      </c>
      <c r="I48" s="20" t="n">
        <v>0.4327388528064635</v>
      </c>
      <c r="J48" s="20" t="n">
        <v>0.2</v>
      </c>
      <c r="K48" s="20" t="n">
        <v>0.2083333333333333</v>
      </c>
      <c r="L48" s="19" t="n">
        <v>0.0949999999956444</v>
      </c>
      <c r="M48" s="19" t="n">
        <v>1.077146493471025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MD @ CONN</t>
        </is>
      </c>
      <c r="C49" s="12" t="inlineStr">
        <is>
          <t>2026-09-12 19:30</t>
        </is>
      </c>
      <c r="D49" s="22" t="n">
        <v>2</v>
      </c>
      <c r="E49" s="12" t="inlineStr">
        <is>
          <t>ML</t>
        </is>
      </c>
      <c r="F49" s="12" t="inlineStr">
        <is>
          <t>CONN ML</t>
        </is>
      </c>
      <c r="G49" s="23" t="n"/>
      <c r="H49" s="13" t="n">
        <v>360</v>
      </c>
      <c r="I49" s="15" t="n">
        <v>0.430536676153905</v>
      </c>
      <c r="J49" s="15" t="n">
        <v>0.2086383601756955</v>
      </c>
      <c r="K49" s="15" t="n">
        <v>0.2173913043478261</v>
      </c>
      <c r="L49" s="14" t="n">
        <v>0.09499999996413851</v>
      </c>
      <c r="M49" s="14" t="n">
        <v>0.9804687103079626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TENN @ GT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GT ML</t>
        </is>
      </c>
      <c r="G50" s="26" t="n"/>
      <c r="H50" s="18" t="n">
        <v>370</v>
      </c>
      <c r="I50" s="20" t="n">
        <v>0.409108872948609</v>
      </c>
      <c r="J50" s="20" t="n">
        <v>0.2042241228835748</v>
      </c>
      <c r="K50" s="20" t="n">
        <v>0.2127659574468085</v>
      </c>
      <c r="L50" s="19" t="n">
        <v>0.09499999987231619</v>
      </c>
      <c r="M50" s="19" t="n">
        <v>0.9228117028584626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LIN @ MOST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LIN ML</t>
        </is>
      </c>
      <c r="G51" s="23" t="n"/>
      <c r="H51" s="13" t="n">
        <v>575</v>
      </c>
      <c r="I51" s="15" t="n">
        <v>0.2560493688103</v>
      </c>
      <c r="J51" s="15" t="n">
        <v>0.1420560747663552</v>
      </c>
      <c r="K51" s="15" t="n">
        <v>0.1481481481481481</v>
      </c>
      <c r="L51" s="14" t="n">
        <v>0.09499999125229341</v>
      </c>
      <c r="M51" s="14" t="n">
        <v>0.7283332394695252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LIN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ALA @ UK</t>
        </is>
      </c>
      <c r="C52" s="17" t="inlineStr">
        <is>
          <t>2026-09-12 19:30</t>
        </is>
      </c>
      <c r="D52" s="25" t="n">
        <v>2</v>
      </c>
      <c r="E52" s="17" t="inlineStr">
        <is>
          <t>ML</t>
        </is>
      </c>
      <c r="F52" s="17" t="inlineStr">
        <is>
          <t>UK ML</t>
        </is>
      </c>
      <c r="G52" s="26" t="n"/>
      <c r="H52" s="18" t="n">
        <v>285</v>
      </c>
      <c r="I52" s="20" t="n">
        <v>0.4440682205752185</v>
      </c>
      <c r="J52" s="20" t="n">
        <v>0.2491874322860238</v>
      </c>
      <c r="K52" s="20" t="n">
        <v>0.2597402597402597</v>
      </c>
      <c r="L52" s="19" t="n">
        <v>0.0949999865630734</v>
      </c>
      <c r="M52" s="19" t="n">
        <v>0.7096626492145912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FSU @ ALA</t>
        </is>
      </c>
      <c r="C53" s="12" t="inlineStr">
        <is>
          <t>2026-09-19 19:30</t>
        </is>
      </c>
      <c r="D53" s="22" t="n">
        <v>3</v>
      </c>
      <c r="E53" s="12" t="inlineStr">
        <is>
          <t>ML</t>
        </is>
      </c>
      <c r="F53" s="12" t="inlineStr">
        <is>
          <t>FSU ML</t>
        </is>
      </c>
      <c r="G53" s="23" t="n"/>
      <c r="H53" s="13" t="n">
        <v>625</v>
      </c>
      <c r="I53" s="15" t="n">
        <v>0.2168204886748329</v>
      </c>
      <c r="J53" s="15" t="n">
        <v>0.1322834645669291</v>
      </c>
      <c r="K53" s="15" t="n">
        <v>0.1379310344827586</v>
      </c>
      <c r="L53" s="14" t="n">
        <v>0.09499972722537656</v>
      </c>
      <c r="M53" s="14" t="n">
        <v>0.5719485428925388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SOU @ HOU</t>
        </is>
      </c>
      <c r="C54" s="17" t="inlineStr">
        <is>
          <t>2026-09-12 23:00</t>
        </is>
      </c>
      <c r="D54" s="25" t="n">
        <v>2</v>
      </c>
      <c r="E54" s="17" t="inlineStr">
        <is>
          <t>ATS</t>
        </is>
      </c>
      <c r="F54" s="17" t="inlineStr">
        <is>
          <t>SOU +51.5</t>
        </is>
      </c>
      <c r="G54" s="26" t="n">
        <v>-51.5</v>
      </c>
      <c r="H54" s="18" t="n">
        <v>-102</v>
      </c>
      <c r="I54" s="20" t="n">
        <v>0.7412496008496863</v>
      </c>
      <c r="J54" s="20" t="n">
        <v>0.4826358742837298</v>
      </c>
      <c r="K54" s="20" t="n">
        <v>0.504950495049505</v>
      </c>
      <c r="L54" s="19" t="n">
        <v>0.09499760350644082</v>
      </c>
      <c r="M54" s="19" t="n">
        <v>0.467964895800359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SOU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RICE @ ND</t>
        </is>
      </c>
      <c r="C55" s="12" t="inlineStr">
        <is>
          <t>2026-09-12 19:30</t>
        </is>
      </c>
      <c r="D55" s="22" t="n">
        <v>2</v>
      </c>
      <c r="E55" s="12" t="inlineStr">
        <is>
          <t>ATS</t>
        </is>
      </c>
      <c r="F55" s="12" t="inlineStr">
        <is>
          <t>RICE +44.5</t>
        </is>
      </c>
      <c r="G55" s="23" t="n">
        <v>-44.5</v>
      </c>
      <c r="H55" s="13" t="n">
        <v>-102</v>
      </c>
      <c r="I55" s="15" t="n">
        <v>0.7407016366664341</v>
      </c>
      <c r="J55" s="15" t="n">
        <v>0.4826358742837298</v>
      </c>
      <c r="K55" s="15" t="n">
        <v>0.504950495049505</v>
      </c>
      <c r="L55" s="14" t="n">
        <v>0.09499754553551092</v>
      </c>
      <c r="M55" s="14" t="n">
        <v>0.4668797118296049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LT @ LSU</t>
        </is>
      </c>
      <c r="C56" s="17" t="inlineStr">
        <is>
          <t>2026-09-12 23:30</t>
        </is>
      </c>
      <c r="D56" s="25" t="n">
        <v>2</v>
      </c>
      <c r="E56" s="17" t="inlineStr">
        <is>
          <t>ATS</t>
        </is>
      </c>
      <c r="F56" s="17" t="inlineStr">
        <is>
          <t>LT +34.5</t>
        </is>
      </c>
      <c r="G56" s="26" t="n">
        <v>-34.5</v>
      </c>
      <c r="H56" s="18" t="n">
        <v>-102</v>
      </c>
      <c r="I56" s="20" t="n">
        <v>0.7367387757638865</v>
      </c>
      <c r="J56" s="20" t="n">
        <v>0.4826358742837298</v>
      </c>
      <c r="K56" s="20" t="n">
        <v>0.504950495049505</v>
      </c>
      <c r="L56" s="19" t="n">
        <v>0.0949970823846808</v>
      </c>
      <c r="M56" s="19" t="n">
        <v>0.4590316931794616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STBK @ BALL</t>
        </is>
      </c>
      <c r="C57" s="12" t="inlineStr">
        <is>
          <t>2026-09-12 18:00</t>
        </is>
      </c>
      <c r="D57" s="22" t="n">
        <v>2</v>
      </c>
      <c r="E57" s="12" t="inlineStr">
        <is>
          <t>ML</t>
        </is>
      </c>
      <c r="F57" s="12" t="inlineStr">
        <is>
          <t>STBK ML</t>
        </is>
      </c>
      <c r="G57" s="23" t="n"/>
      <c r="H57" s="13" t="n">
        <v>425</v>
      </c>
      <c r="I57" s="15" t="n">
        <v>0.277349946864878</v>
      </c>
      <c r="J57" s="15" t="n">
        <v>0.182741116751269</v>
      </c>
      <c r="K57" s="15" t="n">
        <v>0.1904761904761905</v>
      </c>
      <c r="L57" s="14" t="n">
        <v>0.0949964908247508</v>
      </c>
      <c r="M57" s="14" t="n">
        <v>0.4560872210406095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STBK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UL @ USC</t>
        </is>
      </c>
      <c r="C58" s="17" t="inlineStr">
        <is>
          <t>2026-09-13 03:00</t>
        </is>
      </c>
      <c r="D58" s="25" t="n">
        <v>2</v>
      </c>
      <c r="E58" s="17" t="inlineStr">
        <is>
          <t>ATS</t>
        </is>
      </c>
      <c r="F58" s="17" t="inlineStr">
        <is>
          <t>UL +30.5</t>
        </is>
      </c>
      <c r="G58" s="26" t="n">
        <v>-30.5</v>
      </c>
      <c r="H58" s="18" t="n">
        <v>-102</v>
      </c>
      <c r="I58" s="20" t="n">
        <v>0.7300025474662353</v>
      </c>
      <c r="J58" s="20" t="n">
        <v>0.4826358742837298</v>
      </c>
      <c r="K58" s="20" t="n">
        <v>0.504950495049505</v>
      </c>
      <c r="L58" s="19" t="n">
        <v>0.09499608585698154</v>
      </c>
      <c r="M58" s="19" t="n">
        <v>0.4456913194919563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CAM @ FLA</t>
        </is>
      </c>
      <c r="C59" s="12" t="inlineStr">
        <is>
          <t>2026-09-12 21:30</t>
        </is>
      </c>
      <c r="D59" s="22" t="n">
        <v>2</v>
      </c>
      <c r="E59" s="12" t="inlineStr">
        <is>
          <t>ATS</t>
        </is>
      </c>
      <c r="F59" s="12" t="inlineStr">
        <is>
          <t>CAM +50.5</t>
        </is>
      </c>
      <c r="G59" s="23" t="n">
        <v>-50.5</v>
      </c>
      <c r="H59" s="13" t="n">
        <v>-108</v>
      </c>
      <c r="I59" s="15" t="n">
        <v>0.7477253636096945</v>
      </c>
      <c r="J59" s="15" t="n">
        <v>0.4956702459300312</v>
      </c>
      <c r="K59" s="15" t="n">
        <v>0.5192307692307693</v>
      </c>
      <c r="L59" s="14" t="n">
        <v>0.09499574027306916</v>
      </c>
      <c r="M59" s="14" t="n">
        <v>0.4400636632483006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CAM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WCU @ CIN</t>
        </is>
      </c>
      <c r="C60" s="17" t="inlineStr">
        <is>
          <t>2026-09-12 23:00</t>
        </is>
      </c>
      <c r="D60" s="25" t="n">
        <v>2</v>
      </c>
      <c r="E60" s="17" t="inlineStr">
        <is>
          <t>ATS</t>
        </is>
      </c>
      <c r="F60" s="17" t="inlineStr">
        <is>
          <t>WCU +36.5</t>
        </is>
      </c>
      <c r="G60" s="26" t="n">
        <v>-36.5</v>
      </c>
      <c r="H60" s="18" t="n">
        <v>-108</v>
      </c>
      <c r="I60" s="20" t="n">
        <v>0.7446082874880541</v>
      </c>
      <c r="J60" s="20" t="n">
        <v>0.4956702459300312</v>
      </c>
      <c r="K60" s="20" t="n">
        <v>0.5192307692307693</v>
      </c>
      <c r="L60" s="19" t="n">
        <v>0.0949951373009601</v>
      </c>
      <c r="M60" s="19" t="n">
        <v>0.4340604055325488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WCU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FOR @ CCU</t>
        </is>
      </c>
      <c r="C61" s="12" t="inlineStr">
        <is>
          <t>2026-09-12 23:30</t>
        </is>
      </c>
      <c r="D61" s="22" t="n">
        <v>2</v>
      </c>
      <c r="E61" s="12" t="inlineStr">
        <is>
          <t>ATS</t>
        </is>
      </c>
      <c r="F61" s="12" t="inlineStr">
        <is>
          <t>FOR +35.5</t>
        </is>
      </c>
      <c r="G61" s="23" t="n">
        <v>-35.5</v>
      </c>
      <c r="H61" s="13" t="n">
        <v>-108</v>
      </c>
      <c r="I61" s="15" t="n">
        <v>0.7429791988370941</v>
      </c>
      <c r="J61" s="15" t="n">
        <v>0.4956702459300312</v>
      </c>
      <c r="K61" s="15" t="n">
        <v>0.5192307692307693</v>
      </c>
      <c r="L61" s="14" t="n">
        <v>0.09499478893532795</v>
      </c>
      <c r="M61" s="14" t="n">
        <v>0.430922901464033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FOR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USM @ AUB</t>
        </is>
      </c>
      <c r="C62" s="17" t="inlineStr">
        <is>
          <t>2026-09-12 23:45</t>
        </is>
      </c>
      <c r="D62" s="25" t="n">
        <v>2</v>
      </c>
      <c r="E62" s="17" t="inlineStr">
        <is>
          <t>ATS</t>
        </is>
      </c>
      <c r="F62" s="17" t="inlineStr">
        <is>
          <t>USM +32.5</t>
        </is>
      </c>
      <c r="G62" s="26" t="n">
        <v>-32.5</v>
      </c>
      <c r="H62" s="18" t="n">
        <v>-108</v>
      </c>
      <c r="I62" s="20" t="n">
        <v>0.7409805430078511</v>
      </c>
      <c r="J62" s="20" t="n">
        <v>0.4956702459300312</v>
      </c>
      <c r="K62" s="20" t="n">
        <v>0.5192307692307693</v>
      </c>
      <c r="L62" s="19" t="n">
        <v>0.09499432726829728</v>
      </c>
      <c r="M62" s="19" t="n">
        <v>0.4270736383854912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WES @ ARST</t>
        </is>
      </c>
      <c r="C63" s="12" t="inlineStr">
        <is>
          <t>2026-09-12 23:00</t>
        </is>
      </c>
      <c r="D63" s="22" t="n">
        <v>2</v>
      </c>
      <c r="E63" s="12" t="inlineStr">
        <is>
          <t>ATS</t>
        </is>
      </c>
      <c r="F63" s="12" t="inlineStr">
        <is>
          <t>WES +31.5</t>
        </is>
      </c>
      <c r="G63" s="23" t="n">
        <v>-31.5</v>
      </c>
      <c r="H63" s="13" t="n">
        <v>-108</v>
      </c>
      <c r="I63" s="15" t="n">
        <v>0.7393103527065208</v>
      </c>
      <c r="J63" s="15" t="n">
        <v>0.4956702459300312</v>
      </c>
      <c r="K63" s="15" t="n">
        <v>0.5192307692307693</v>
      </c>
      <c r="L63" s="14" t="n">
        <v>0.09499391025213276</v>
      </c>
      <c r="M63" s="14" t="n">
        <v>0.4238569755829291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WES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ORE @ OKST</t>
        </is>
      </c>
      <c r="C64" s="17" t="inlineStr">
        <is>
          <t>2026-09-12 17:30</t>
        </is>
      </c>
      <c r="D64" s="25" t="n">
        <v>2</v>
      </c>
      <c r="E64" s="17" t="inlineStr">
        <is>
          <t>ATS</t>
        </is>
      </c>
      <c r="F64" s="17" t="inlineStr">
        <is>
          <t>OKST +24.5</t>
        </is>
      </c>
      <c r="G64" s="26" t="n">
        <v>24.5</v>
      </c>
      <c r="H64" s="18" t="n">
        <v>-110</v>
      </c>
      <c r="I64" s="20" t="n">
        <v>0.7456514418149149</v>
      </c>
      <c r="J64" s="20" t="n">
        <v>0.5</v>
      </c>
      <c r="K64" s="20" t="n">
        <v>0.5238095238095238</v>
      </c>
      <c r="L64" s="19" t="n">
        <v>0.094993880205372</v>
      </c>
      <c r="M64" s="19" t="n">
        <v>0.4235163889193831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CCSU @ TOL</t>
        </is>
      </c>
      <c r="C65" s="12" t="inlineStr">
        <is>
          <t>2026-09-12 19:30</t>
        </is>
      </c>
      <c r="D65" s="22" t="n">
        <v>2</v>
      </c>
      <c r="E65" s="12" t="inlineStr">
        <is>
          <t>ATS</t>
        </is>
      </c>
      <c r="F65" s="12" t="inlineStr">
        <is>
          <t>CCSU +36.5</t>
        </is>
      </c>
      <c r="G65" s="23" t="n">
        <v>-36.5</v>
      </c>
      <c r="H65" s="13" t="n">
        <v>-112</v>
      </c>
      <c r="I65" s="15" t="n">
        <v>0.7485198354803748</v>
      </c>
      <c r="J65" s="15" t="n">
        <v>0.5043297540699688</v>
      </c>
      <c r="K65" s="15" t="n">
        <v>0.5283018867924528</v>
      </c>
      <c r="L65" s="14" t="n">
        <v>0.09499289126520392</v>
      </c>
      <c r="M65" s="14" t="n">
        <v>0.416841117159281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CCSU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TTU @ ORST</t>
        </is>
      </c>
      <c r="C66" s="17" t="inlineStr">
        <is>
          <t>2026-09-12 23:30</t>
        </is>
      </c>
      <c r="D66" s="25" t="n">
        <v>2</v>
      </c>
      <c r="E66" s="17" t="inlineStr">
        <is>
          <t>ATS</t>
        </is>
      </c>
      <c r="F66" s="17" t="inlineStr">
        <is>
          <t>ORST +25.5</t>
        </is>
      </c>
      <c r="G66" s="26" t="n">
        <v>25.5</v>
      </c>
      <c r="H66" s="18" t="n">
        <v>-112</v>
      </c>
      <c r="I66" s="20" t="n">
        <v>0.7479739872530045</v>
      </c>
      <c r="J66" s="20" t="n">
        <v>0.5043297540699688</v>
      </c>
      <c r="K66" s="20" t="n">
        <v>0.5283018867924528</v>
      </c>
      <c r="L66" s="19" t="n">
        <v>0.09499272743398805</v>
      </c>
      <c r="M66" s="19" t="n">
        <v>0.415807904443187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GRAM @ TCU</t>
        </is>
      </c>
      <c r="C67" s="12" t="inlineStr">
        <is>
          <t>2026-09-13 00:00</t>
        </is>
      </c>
      <c r="D67" s="22" t="n">
        <v>2</v>
      </c>
      <c r="E67" s="12" t="inlineStr">
        <is>
          <t>ATS</t>
        </is>
      </c>
      <c r="F67" s="12" t="inlineStr">
        <is>
          <t>GRAM +44.5</t>
        </is>
      </c>
      <c r="G67" s="23" t="n">
        <v>-44.5</v>
      </c>
      <c r="H67" s="13" t="n">
        <v>-115</v>
      </c>
      <c r="I67" s="15" t="n">
        <v>0.7549367851746713</v>
      </c>
      <c r="J67" s="15" t="n">
        <v>0.5108342361863488</v>
      </c>
      <c r="K67" s="15" t="n">
        <v>0.5348837209302325</v>
      </c>
      <c r="L67" s="14" t="n">
        <v>0.09499187683601519</v>
      </c>
      <c r="M67" s="14" t="n">
        <v>0.4114035548917767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GRAM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CLT @ MISS</t>
        </is>
      </c>
      <c r="C68" s="17" t="inlineStr">
        <is>
          <t>2026-09-12 23:45</t>
        </is>
      </c>
      <c r="D68" s="25" t="n">
        <v>2</v>
      </c>
      <c r="E68" s="17" t="inlineStr">
        <is>
          <t>ATS</t>
        </is>
      </c>
      <c r="F68" s="17" t="inlineStr">
        <is>
          <t>CLT +45.5</t>
        </is>
      </c>
      <c r="G68" s="26" t="n">
        <v>-45.5</v>
      </c>
      <c r="H68" s="18" t="n">
        <v>-115</v>
      </c>
      <c r="I68" s="20" t="n">
        <v>0.7549069930813984</v>
      </c>
      <c r="J68" s="20" t="n">
        <v>0.5108342361863488</v>
      </c>
      <c r="K68" s="20" t="n">
        <v>0.5348837209302325</v>
      </c>
      <c r="L68" s="19" t="n">
        <v>0.09499186685670129</v>
      </c>
      <c r="M68" s="19" t="n">
        <v>0.4113478566304405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WIU @ WIS</t>
        </is>
      </c>
      <c r="C69" s="12" t="inlineStr">
        <is>
          <t>2026-09-12 23:15</t>
        </is>
      </c>
      <c r="D69" s="22" t="n">
        <v>2</v>
      </c>
      <c r="E69" s="12" t="inlineStr">
        <is>
          <t>ATS</t>
        </is>
      </c>
      <c r="F69" s="12" t="inlineStr">
        <is>
          <t>WIU +42.5</t>
        </is>
      </c>
      <c r="G69" s="23" t="n">
        <v>-42.5</v>
      </c>
      <c r="H69" s="13" t="n">
        <v>-115</v>
      </c>
      <c r="I69" s="15" t="n">
        <v>0.7548211907617918</v>
      </c>
      <c r="J69" s="15" t="n">
        <v>0.5108342361863488</v>
      </c>
      <c r="K69" s="15" t="n">
        <v>0.5348837209302325</v>
      </c>
      <c r="L69" s="14" t="n">
        <v>0.09499183804736369</v>
      </c>
      <c r="M69" s="14" t="n">
        <v>0.4111874435981324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WIU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TOW @ SC</t>
        </is>
      </c>
      <c r="C70" s="17" t="inlineStr">
        <is>
          <t>2026-09-12 23:00</t>
        </is>
      </c>
      <c r="D70" s="25" t="n">
        <v>2</v>
      </c>
      <c r="E70" s="17" t="inlineStr">
        <is>
          <t>ATS</t>
        </is>
      </c>
      <c r="F70" s="17" t="inlineStr">
        <is>
          <t>TOW +44.5</t>
        </is>
      </c>
      <c r="G70" s="26" t="n">
        <v>-44.5</v>
      </c>
      <c r="H70" s="18" t="n">
        <v>-115</v>
      </c>
      <c r="I70" s="20" t="n">
        <v>0.7548039479122581</v>
      </c>
      <c r="J70" s="20" t="n">
        <v>0.5108342361863488</v>
      </c>
      <c r="K70" s="20" t="n">
        <v>0.5348837209302325</v>
      </c>
      <c r="L70" s="19" t="n">
        <v>0.09499183224553168</v>
      </c>
      <c r="M70" s="19" t="n">
        <v>0.4111552069663955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TOW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MERC @ UNM</t>
        </is>
      </c>
      <c r="C71" s="12" t="inlineStr">
        <is>
          <t>2026-09-12 20:00</t>
        </is>
      </c>
      <c r="D71" s="22" t="n">
        <v>2</v>
      </c>
      <c r="E71" s="12" t="inlineStr">
        <is>
          <t>ATS</t>
        </is>
      </c>
      <c r="F71" s="12" t="inlineStr">
        <is>
          <t>MERC +42.5</t>
        </is>
      </c>
      <c r="G71" s="23" t="n">
        <v>-42.5</v>
      </c>
      <c r="H71" s="13" t="n">
        <v>-115</v>
      </c>
      <c r="I71" s="15" t="n">
        <v>0.7543924489676419</v>
      </c>
      <c r="J71" s="15" t="n">
        <v>0.5108342361863488</v>
      </c>
      <c r="K71" s="15" t="n">
        <v>0.5348837209302325</v>
      </c>
      <c r="L71" s="14" t="n">
        <v>0.09499169255513017</v>
      </c>
      <c r="M71" s="14" t="n">
        <v>0.4103858828525477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MERC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PV @ BAY</t>
        </is>
      </c>
      <c r="C72" s="17" t="inlineStr">
        <is>
          <t>2026-09-13 00:08</t>
        </is>
      </c>
      <c r="D72" s="25" t="n">
        <v>2</v>
      </c>
      <c r="E72" s="17" t="inlineStr">
        <is>
          <t>ATS</t>
        </is>
      </c>
      <c r="F72" s="17" t="inlineStr">
        <is>
          <t>PV +37.5</t>
        </is>
      </c>
      <c r="G72" s="26" t="n">
        <v>-37.5</v>
      </c>
      <c r="H72" s="18" t="n">
        <v>-115</v>
      </c>
      <c r="I72" s="20" t="n">
        <v>0.752825656350671</v>
      </c>
      <c r="J72" s="20" t="n">
        <v>0.5108342361863488</v>
      </c>
      <c r="K72" s="20" t="n">
        <v>0.5348837209302325</v>
      </c>
      <c r="L72" s="19" t="n">
        <v>0.09499113846298232</v>
      </c>
      <c r="M72" s="19" t="n">
        <v>0.4074566618729936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PV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UCD @ SMU</t>
        </is>
      </c>
      <c r="C73" s="12" t="inlineStr">
        <is>
          <t>2026-09-12 20:00</t>
        </is>
      </c>
      <c r="D73" s="22" t="n">
        <v>2</v>
      </c>
      <c r="E73" s="12" t="inlineStr">
        <is>
          <t>ATS</t>
        </is>
      </c>
      <c r="F73" s="12" t="inlineStr">
        <is>
          <t>UCD +32.5</t>
        </is>
      </c>
      <c r="G73" s="23" t="n">
        <v>-32.5</v>
      </c>
      <c r="H73" s="13" t="n">
        <v>-112</v>
      </c>
      <c r="I73" s="15" t="n">
        <v>0.7431308362983746</v>
      </c>
      <c r="J73" s="15" t="n">
        <v>0.5043297540699688</v>
      </c>
      <c r="K73" s="15" t="n">
        <v>0.5283018867924528</v>
      </c>
      <c r="L73" s="14" t="n">
        <v>0.09499109803488015</v>
      </c>
      <c r="M73" s="14" t="n">
        <v>0.4066405115647804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UCD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BGSU @ NEB</t>
        </is>
      </c>
      <c r="C74" s="17" t="inlineStr">
        <is>
          <t>2026-09-12 23:00</t>
        </is>
      </c>
      <c r="D74" s="25" t="n">
        <v>2</v>
      </c>
      <c r="E74" s="17" t="inlineStr">
        <is>
          <t>ATS</t>
        </is>
      </c>
      <c r="F74" s="17" t="inlineStr">
        <is>
          <t>BGSU +30.5</t>
        </is>
      </c>
      <c r="G74" s="26" t="n">
        <v>-30.5</v>
      </c>
      <c r="H74" s="18" t="n">
        <v>-110</v>
      </c>
      <c r="I74" s="20" t="n">
        <v>0.7357828111434744</v>
      </c>
      <c r="J74" s="20" t="n">
        <v>0.5</v>
      </c>
      <c r="K74" s="20" t="n">
        <v>0.5238095238095238</v>
      </c>
      <c r="L74" s="19" t="n">
        <v>0.09499072768353249</v>
      </c>
      <c r="M74" s="19" t="n">
        <v>0.4046762758193603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MIA @ WAKE</t>
        </is>
      </c>
      <c r="C75" s="12" t="inlineStr">
        <is>
          <t>2026-09-18 23:30</t>
        </is>
      </c>
      <c r="D75" s="22" t="n">
        <v>3</v>
      </c>
      <c r="E75" s="12" t="inlineStr">
        <is>
          <t>ATS</t>
        </is>
      </c>
      <c r="F75" s="12" t="inlineStr">
        <is>
          <t>WAKE +20.5</t>
        </is>
      </c>
      <c r="G75" s="23" t="n">
        <v>20.5</v>
      </c>
      <c r="H75" s="13" t="n">
        <v>-112</v>
      </c>
      <c r="I75" s="15" t="n">
        <v>0.7420178120122329</v>
      </c>
      <c r="J75" s="15" t="n">
        <v>0.5043297540699688</v>
      </c>
      <c r="K75" s="15" t="n">
        <v>0.5283018867924528</v>
      </c>
      <c r="L75" s="14" t="n">
        <v>0.09499067469504549</v>
      </c>
      <c r="M75" s="14" t="n">
        <v>0.4045337155945836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MONM @ WMU</t>
        </is>
      </c>
      <c r="C76" s="17" t="inlineStr">
        <is>
          <t>2026-09-12 22:30</t>
        </is>
      </c>
      <c r="D76" s="25" t="n">
        <v>2</v>
      </c>
      <c r="E76" s="17" t="inlineStr">
        <is>
          <t>ATS</t>
        </is>
      </c>
      <c r="F76" s="17" t="inlineStr">
        <is>
          <t>MONM +29.5</t>
        </is>
      </c>
      <c r="G76" s="26" t="n">
        <v>-29.5</v>
      </c>
      <c r="H76" s="18" t="n">
        <v>-110</v>
      </c>
      <c r="I76" s="20" t="n">
        <v>0.7350905197467379</v>
      </c>
      <c r="J76" s="20" t="n">
        <v>0.5</v>
      </c>
      <c r="K76" s="20" t="n">
        <v>0.5238095238095238</v>
      </c>
      <c r="L76" s="19" t="n">
        <v>0.09499045343976338</v>
      </c>
      <c r="M76" s="19" t="n">
        <v>0.4033546286074088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MONM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RMU @ AKR</t>
        </is>
      </c>
      <c r="C77" s="12" t="inlineStr">
        <is>
          <t>2026-09-12 19:30</t>
        </is>
      </c>
      <c r="D77" s="22" t="n">
        <v>2</v>
      </c>
      <c r="E77" s="12" t="inlineStr">
        <is>
          <t>ATS</t>
        </is>
      </c>
      <c r="F77" s="12" t="inlineStr">
        <is>
          <t>RMU +27.5</t>
        </is>
      </c>
      <c r="G77" s="23" t="n">
        <v>-27.5</v>
      </c>
      <c r="H77" s="13" t="n">
        <v>-110</v>
      </c>
      <c r="I77" s="15" t="n">
        <v>0.7322067266823928</v>
      </c>
      <c r="J77" s="15" t="n">
        <v>0.5</v>
      </c>
      <c r="K77" s="15" t="n">
        <v>0.5238095238095238</v>
      </c>
      <c r="L77" s="14" t="n">
        <v>0.09498922102708433</v>
      </c>
      <c r="M77" s="14" t="n">
        <v>0.3978492054845681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RMU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UGA @ ARK</t>
        </is>
      </c>
      <c r="C78" s="17" t="inlineStr">
        <is>
          <t>2026-09-19 16:00</t>
        </is>
      </c>
      <c r="D78" s="25" t="n">
        <v>3</v>
      </c>
      <c r="E78" s="17" t="inlineStr">
        <is>
          <t>ATS</t>
        </is>
      </c>
      <c r="F78" s="17" t="inlineStr">
        <is>
          <t>ARK +17.5</t>
        </is>
      </c>
      <c r="G78" s="26" t="n">
        <v>17.5</v>
      </c>
      <c r="H78" s="18" t="n">
        <v>-110</v>
      </c>
      <c r="I78" s="20" t="n">
        <v>0.7308548336743435</v>
      </c>
      <c r="J78" s="20" t="n">
        <v>0.5</v>
      </c>
      <c r="K78" s="20" t="n">
        <v>0.5238095238095238</v>
      </c>
      <c r="L78" s="19" t="n">
        <v>0.09498858970780709</v>
      </c>
      <c r="M78" s="19" t="n">
        <v>0.3952683188328376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WEB @ COLO</t>
        </is>
      </c>
      <c r="C79" s="12" t="inlineStr">
        <is>
          <t>2026-09-12 19:30</t>
        </is>
      </c>
      <c r="D79" s="22" t="n">
        <v>2</v>
      </c>
      <c r="E79" s="12" t="inlineStr">
        <is>
          <t>ATS</t>
        </is>
      </c>
      <c r="F79" s="12" t="inlineStr">
        <is>
          <t>WEB +38.5</t>
        </is>
      </c>
      <c r="G79" s="23" t="n">
        <v>-38.5</v>
      </c>
      <c r="H79" s="13" t="n">
        <v>-118</v>
      </c>
      <c r="I79" s="15" t="n">
        <v>0.7561221309318238</v>
      </c>
      <c r="J79" s="15" t="n">
        <v>0.5173641257162701</v>
      </c>
      <c r="K79" s="15" t="n">
        <v>0.5412844036697247</v>
      </c>
      <c r="L79" s="14" t="n">
        <v>0.0949885366507104</v>
      </c>
      <c r="M79" s="14" t="n">
        <v>0.3969035978231998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WEB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ALST @ TROY</t>
        </is>
      </c>
      <c r="C80" s="17" t="inlineStr">
        <is>
          <t>2026-09-12 20:00</t>
        </is>
      </c>
      <c r="D80" s="25" t="n">
        <v>2</v>
      </c>
      <c r="E80" s="17" t="inlineStr">
        <is>
          <t>ATS</t>
        </is>
      </c>
      <c r="F80" s="17" t="inlineStr">
        <is>
          <t>ALST +23.5</t>
        </is>
      </c>
      <c r="G80" s="26" t="n">
        <v>-23.5</v>
      </c>
      <c r="H80" s="18" t="n">
        <v>-105</v>
      </c>
      <c r="I80" s="20" t="n">
        <v>0.714788455878528</v>
      </c>
      <c r="J80" s="20" t="n">
        <v>0.4891657638136511</v>
      </c>
      <c r="K80" s="20" t="n">
        <v>0.5121951219512195</v>
      </c>
      <c r="L80" s="19" t="n">
        <v>0.09498847627122456</v>
      </c>
      <c r="M80" s="19" t="n">
        <v>0.3955393662390307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ALST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TXSO @ UTEP</t>
        </is>
      </c>
      <c r="C81" s="12" t="inlineStr">
        <is>
          <t>2026-09-13 01:00</t>
        </is>
      </c>
      <c r="D81" s="22" t="n">
        <v>2</v>
      </c>
      <c r="E81" s="12" t="inlineStr">
        <is>
          <t>ATS</t>
        </is>
      </c>
      <c r="F81" s="12" t="inlineStr">
        <is>
          <t>TXSO +27.5</t>
        </is>
      </c>
      <c r="G81" s="23" t="n">
        <v>-27.5</v>
      </c>
      <c r="H81" s="13" t="n">
        <v>-112</v>
      </c>
      <c r="I81" s="15" t="n">
        <v>0.7352756544557687</v>
      </c>
      <c r="J81" s="15" t="n">
        <v>0.5043297540699688</v>
      </c>
      <c r="K81" s="15" t="n">
        <v>0.5283018867924528</v>
      </c>
      <c r="L81" s="14" t="n">
        <v>0.09498764378872754</v>
      </c>
      <c r="M81" s="14" t="n">
        <v>0.3917717745055622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TXSO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MSU @ ND</t>
        </is>
      </c>
      <c r="C82" s="17" t="inlineStr">
        <is>
          <t>2026-09-19 23:30</t>
        </is>
      </c>
      <c r="D82" s="25" t="n">
        <v>3</v>
      </c>
      <c r="E82" s="17" t="inlineStr">
        <is>
          <t>ATS</t>
        </is>
      </c>
      <c r="F82" s="17" t="inlineStr">
        <is>
          <t>MSU +29.5</t>
        </is>
      </c>
      <c r="G82" s="26" t="n">
        <v>-29.5</v>
      </c>
      <c r="H82" s="18" t="n">
        <v>-115</v>
      </c>
      <c r="I82" s="20" t="n">
        <v>0.7388007810315428</v>
      </c>
      <c r="J82" s="20" t="n">
        <v>0.5108342361863488</v>
      </c>
      <c r="K82" s="20" t="n">
        <v>0.5348837209302325</v>
      </c>
      <c r="L82" s="19" t="n">
        <v>0.09498420520439123</v>
      </c>
      <c r="M82" s="19" t="n">
        <v>0.3812362427981015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USU @ WASH</t>
        </is>
      </c>
      <c r="C83" s="12" t="inlineStr">
        <is>
          <t>2026-09-12 19:30</t>
        </is>
      </c>
      <c r="D83" s="22" t="n">
        <v>2</v>
      </c>
      <c r="E83" s="12" t="inlineStr">
        <is>
          <t>ATS</t>
        </is>
      </c>
      <c r="F83" s="12" t="inlineStr">
        <is>
          <t>USU +28.5</t>
        </is>
      </c>
      <c r="G83" s="23" t="n">
        <v>-28.5</v>
      </c>
      <c r="H83" s="13" t="n">
        <v>-118</v>
      </c>
      <c r="I83" s="15" t="n">
        <v>0.7410121652857076</v>
      </c>
      <c r="J83" s="15" t="n">
        <v>0.5173641257162701</v>
      </c>
      <c r="K83" s="15" t="n">
        <v>0.5412844036697247</v>
      </c>
      <c r="L83" s="14" t="n">
        <v>0.09497880087554475</v>
      </c>
      <c r="M83" s="14" t="n">
        <v>0.3689885765447818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SHU @ MASS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SHU +23.5</t>
        </is>
      </c>
      <c r="G84" s="26" t="n">
        <v>-23.5</v>
      </c>
      <c r="H84" s="18" t="n">
        <v>-108</v>
      </c>
      <c r="I84" s="20" t="n">
        <v>0.7068598653073574</v>
      </c>
      <c r="J84" s="20" t="n">
        <v>0.4956702459300312</v>
      </c>
      <c r="K84" s="20" t="n">
        <v>0.5192307692307693</v>
      </c>
      <c r="L84" s="19" t="n">
        <v>0.09497583795485956</v>
      </c>
      <c r="M84" s="19" t="n">
        <v>0.3613597405919478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SHU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MD @ CONN</t>
        </is>
      </c>
      <c r="C85" s="12" t="inlineStr">
        <is>
          <t>2026-09-12 19:30</t>
        </is>
      </c>
      <c r="D85" s="22" t="n">
        <v>2</v>
      </c>
      <c r="E85" s="12" t="inlineStr">
        <is>
          <t>ATS</t>
        </is>
      </c>
      <c r="F85" s="12" t="inlineStr">
        <is>
          <t>CONN +11.5</t>
        </is>
      </c>
      <c r="G85" s="23" t="n">
        <v>11.5</v>
      </c>
      <c r="H85" s="13" t="n">
        <v>-108</v>
      </c>
      <c r="I85" s="15" t="n">
        <v>0.7051723227525963</v>
      </c>
      <c r="J85" s="15" t="n">
        <v>0.4956702459300312</v>
      </c>
      <c r="K85" s="15" t="n">
        <v>0.5192307692307693</v>
      </c>
      <c r="L85" s="14" t="n">
        <v>0.09497404280943275</v>
      </c>
      <c r="M85" s="14" t="n">
        <v>0.35810965863463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GASO @ CLEM</t>
        </is>
      </c>
      <c r="C86" s="17" t="inlineStr">
        <is>
          <t>2026-09-12 23:30</t>
        </is>
      </c>
      <c r="D86" s="25" t="n">
        <v>2</v>
      </c>
      <c r="E86" s="17" t="inlineStr">
        <is>
          <t>ATS</t>
        </is>
      </c>
      <c r="F86" s="17" t="inlineStr">
        <is>
          <t>GASO +19.5</t>
        </is>
      </c>
      <c r="G86" s="26" t="n">
        <v>-19.5</v>
      </c>
      <c r="H86" s="18" t="n">
        <v>-105</v>
      </c>
      <c r="I86" s="20" t="n">
        <v>0.6952215494481543</v>
      </c>
      <c r="J86" s="20" t="n">
        <v>0.4891657638136511</v>
      </c>
      <c r="K86" s="20" t="n">
        <v>0.5121951219512195</v>
      </c>
      <c r="L86" s="19" t="n">
        <v>0.09497325238571186</v>
      </c>
      <c r="M86" s="19" t="n">
        <v>0.3573373108273488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TLSA @ SHSU</t>
        </is>
      </c>
      <c r="C87" s="12" t="inlineStr">
        <is>
          <t>2026-09-12 23:00</t>
        </is>
      </c>
      <c r="D87" s="22" t="n">
        <v>2</v>
      </c>
      <c r="E87" s="12" t="inlineStr">
        <is>
          <t>ATS</t>
        </is>
      </c>
      <c r="F87" s="12" t="inlineStr">
        <is>
          <t>SHSU +12.5</t>
        </is>
      </c>
      <c r="G87" s="23" t="n">
        <v>12.5</v>
      </c>
      <c r="H87" s="13" t="n">
        <v>-112</v>
      </c>
      <c r="I87" s="15" t="n">
        <v>0.7165182897293683</v>
      </c>
      <c r="J87" s="15" t="n">
        <v>0.5043297540699688</v>
      </c>
      <c r="K87" s="15" t="n">
        <v>0.5283018867924528</v>
      </c>
      <c r="L87" s="14" t="n">
        <v>0.09497296628016255</v>
      </c>
      <c r="M87" s="14" t="n">
        <v>0.3562667627020184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DEL @ VAN</t>
        </is>
      </c>
      <c r="C88" s="17" t="inlineStr">
        <is>
          <t>2026-09-12 20:15</t>
        </is>
      </c>
      <c r="D88" s="25" t="n">
        <v>2</v>
      </c>
      <c r="E88" s="17" t="inlineStr">
        <is>
          <t>ATS</t>
        </is>
      </c>
      <c r="F88" s="17" t="inlineStr">
        <is>
          <t>DEL +21</t>
        </is>
      </c>
      <c r="G88" s="26" t="n">
        <v>-21</v>
      </c>
      <c r="H88" s="18" t="n">
        <v>-112</v>
      </c>
      <c r="I88" s="20" t="n">
        <v>0.7148677859086252</v>
      </c>
      <c r="J88" s="20" t="n">
        <v>0.5043297540699688</v>
      </c>
      <c r="K88" s="20" t="n">
        <v>0.5283018867924528</v>
      </c>
      <c r="L88" s="19" t="n">
        <v>0.09497103833399528</v>
      </c>
      <c r="M88" s="19" t="n">
        <v>0.3478454558342777</v>
      </c>
      <c r="N88" s="20" t="n">
        <v>0.015</v>
      </c>
      <c r="O88" s="27" t="n">
        <v>0.725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UNCO @ WYO</t>
        </is>
      </c>
      <c r="C89" s="12" t="inlineStr">
        <is>
          <t>2026-09-12 20:00</t>
        </is>
      </c>
      <c r="D89" s="22" t="n">
        <v>2</v>
      </c>
      <c r="E89" s="12" t="inlineStr">
        <is>
          <t>ATS</t>
        </is>
      </c>
      <c r="F89" s="12" t="inlineStr">
        <is>
          <t>UNCO +23.5</t>
        </is>
      </c>
      <c r="G89" s="23" t="n">
        <v>-23.5</v>
      </c>
      <c r="H89" s="13" t="n">
        <v>-115</v>
      </c>
      <c r="I89" s="15" t="n">
        <v>0.7229798681942776</v>
      </c>
      <c r="J89" s="15" t="n">
        <v>0.5108342361863488</v>
      </c>
      <c r="K89" s="15" t="n">
        <v>0.5348837209302325</v>
      </c>
      <c r="L89" s="14" t="n">
        <v>0.09496968569890901</v>
      </c>
      <c r="M89" s="14" t="n">
        <v>0.3516580144501711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UNCO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TENN @ GT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GT +12.5</t>
        </is>
      </c>
      <c r="G90" s="26" t="n">
        <v>12.5</v>
      </c>
      <c r="H90" s="18" t="n">
        <v>-112</v>
      </c>
      <c r="I90" s="20" t="n">
        <v>0.7061346955141785</v>
      </c>
      <c r="J90" s="20" t="n">
        <v>0.5043297540699688</v>
      </c>
      <c r="K90" s="20" t="n">
        <v>0.5283018867924528</v>
      </c>
      <c r="L90" s="19" t="n">
        <v>0.09495830178704899</v>
      </c>
      <c r="M90" s="19" t="n">
        <v>0.3366121022232664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CAM @ FLA</t>
        </is>
      </c>
      <c r="C91" s="12" t="inlineStr">
        <is>
          <t>2026-09-12 21:30</t>
        </is>
      </c>
      <c r="D91" s="22" t="n">
        <v>2</v>
      </c>
      <c r="E91" s="12" t="inlineStr">
        <is>
          <t>TOTAL</t>
        </is>
      </c>
      <c r="F91" s="12" t="inlineStr">
        <is>
          <t>Under 65.5</t>
        </is>
      </c>
      <c r="G91" s="23" t="n">
        <v>65.5</v>
      </c>
      <c r="H91" s="13" t="n">
        <v>-102</v>
      </c>
      <c r="I91" s="15" t="n">
        <v>0.673534855936835</v>
      </c>
      <c r="J91" s="15" t="n">
        <v>0.4826358742837298</v>
      </c>
      <c r="K91" s="15" t="n">
        <v>0.504950495049505</v>
      </c>
      <c r="L91" s="14" t="n">
        <v>0.09495405237044639</v>
      </c>
      <c r="M91" s="14" t="n">
        <v>0.3338631460709871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CAM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CP @ SJSU</t>
        </is>
      </c>
      <c r="C92" s="17" t="inlineStr">
        <is>
          <t>2026-09-13 01:00</t>
        </is>
      </c>
      <c r="D92" s="25" t="n">
        <v>2</v>
      </c>
      <c r="E92" s="17" t="inlineStr">
        <is>
          <t>ATS</t>
        </is>
      </c>
      <c r="F92" s="17" t="inlineStr">
        <is>
          <t>CP +21.5</t>
        </is>
      </c>
      <c r="G92" s="26" t="n">
        <v>-21.5</v>
      </c>
      <c r="H92" s="18" t="n">
        <v>-115</v>
      </c>
      <c r="I92" s="20" t="n">
        <v>0.7059118742425996</v>
      </c>
      <c r="J92" s="20" t="n">
        <v>0.5108342361863488</v>
      </c>
      <c r="K92" s="20" t="n">
        <v>0.5348837209302325</v>
      </c>
      <c r="L92" s="19" t="n">
        <v>0.09493875591326013</v>
      </c>
      <c r="M92" s="19" t="n">
        <v>0.3197482866274688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CP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SAC @ FRES</t>
        </is>
      </c>
      <c r="C93" s="12" t="inlineStr">
        <is>
          <t>2026-09-13 02:30</t>
        </is>
      </c>
      <c r="D93" s="22" t="n">
        <v>2</v>
      </c>
      <c r="E93" s="12" t="inlineStr">
        <is>
          <t>ATS</t>
        </is>
      </c>
      <c r="F93" s="12" t="inlineStr">
        <is>
          <t>SAC +17.5</t>
        </is>
      </c>
      <c r="G93" s="23" t="n">
        <v>-17.5</v>
      </c>
      <c r="H93" s="13" t="n">
        <v>-110</v>
      </c>
      <c r="I93" s="15" t="n">
        <v>0.6857185154396762</v>
      </c>
      <c r="J93" s="15" t="n">
        <v>0.5</v>
      </c>
      <c r="K93" s="15" t="n">
        <v>0.5238095238095238</v>
      </c>
      <c r="L93" s="14" t="n">
        <v>0.09492370169412431</v>
      </c>
      <c r="M93" s="14" t="n">
        <v>0.3090989840212002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ALA @ UK</t>
        </is>
      </c>
      <c r="C94" s="17" t="inlineStr">
        <is>
          <t>2026-09-12 19:30</t>
        </is>
      </c>
      <c r="D94" s="25" t="n">
        <v>2</v>
      </c>
      <c r="E94" s="17" t="inlineStr">
        <is>
          <t>ATS</t>
        </is>
      </c>
      <c r="F94" s="17" t="inlineStr">
        <is>
          <t>UK +8.5</t>
        </is>
      </c>
      <c r="G94" s="26" t="n">
        <v>8.5</v>
      </c>
      <c r="H94" s="18" t="n">
        <v>-108</v>
      </c>
      <c r="I94" s="20" t="n">
        <v>0.6783909890382505</v>
      </c>
      <c r="J94" s="20" t="n">
        <v>0.4956702459300312</v>
      </c>
      <c r="K94" s="20" t="n">
        <v>0.5192307692307693</v>
      </c>
      <c r="L94" s="19" t="n">
        <v>0.09491906515949557</v>
      </c>
      <c r="M94" s="19" t="n">
        <v>0.3065307937032973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UTSA @ TXST</t>
        </is>
      </c>
      <c r="C95" s="12" t="inlineStr">
        <is>
          <t>2026-09-12 19:30</t>
        </is>
      </c>
      <c r="D95" s="22" t="n">
        <v>2</v>
      </c>
      <c r="E95" s="12" t="inlineStr">
        <is>
          <t>TOTAL</t>
        </is>
      </c>
      <c r="F95" s="12" t="inlineStr">
        <is>
          <t>Under 65.5</t>
        </is>
      </c>
      <c r="G95" s="23" t="n">
        <v>65.5</v>
      </c>
      <c r="H95" s="13" t="n">
        <v>-110</v>
      </c>
      <c r="I95" s="15" t="n">
        <v>0.680014577631996</v>
      </c>
      <c r="J95" s="15" t="n">
        <v>0.5</v>
      </c>
      <c r="K95" s="15" t="n">
        <v>0.5238095238095238</v>
      </c>
      <c r="L95" s="14" t="n">
        <v>0.09490300033423542</v>
      </c>
      <c r="M95" s="14" t="n">
        <v>0.2982096482065379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SUU @ CSU</t>
        </is>
      </c>
      <c r="C96" s="17" t="inlineStr">
        <is>
          <t>2026-09-12 23:00</t>
        </is>
      </c>
      <c r="D96" s="25" t="n">
        <v>2</v>
      </c>
      <c r="E96" s="17" t="inlineStr">
        <is>
          <t>ATS</t>
        </is>
      </c>
      <c r="F96" s="17" t="inlineStr">
        <is>
          <t>SUU +19.5</t>
        </is>
      </c>
      <c r="G96" s="26" t="n">
        <v>-19.5</v>
      </c>
      <c r="H96" s="18" t="n">
        <v>-118</v>
      </c>
      <c r="I96" s="20" t="n">
        <v>0.7015378650913044</v>
      </c>
      <c r="J96" s="20" t="n">
        <v>0.5173641257162701</v>
      </c>
      <c r="K96" s="20" t="n">
        <v>0.5412844036697247</v>
      </c>
      <c r="L96" s="19" t="n">
        <v>0.09489438424898063</v>
      </c>
      <c r="M96" s="19" t="n">
        <v>0.2960614795754608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SUU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LIN @ MOST</t>
        </is>
      </c>
      <c r="C97" s="12" t="inlineStr">
        <is>
          <t>2026-09-12 23:00</t>
        </is>
      </c>
      <c r="D97" s="22" t="n">
        <v>2</v>
      </c>
      <c r="E97" s="12" t="inlineStr">
        <is>
          <t>ATS</t>
        </is>
      </c>
      <c r="F97" s="12" t="inlineStr">
        <is>
          <t>LIN +16.5</t>
        </is>
      </c>
      <c r="G97" s="23" t="n">
        <v>-16.5</v>
      </c>
      <c r="H97" s="13" t="n">
        <v>-108</v>
      </c>
      <c r="I97" s="15" t="n">
        <v>0.6689395980679764</v>
      </c>
      <c r="J97" s="15" t="n">
        <v>0.4956702459300312</v>
      </c>
      <c r="K97" s="15" t="n">
        <v>0.5192307692307693</v>
      </c>
      <c r="L97" s="14" t="n">
        <v>0.09487911212201994</v>
      </c>
      <c r="M97" s="14" t="n">
        <v>0.2883281147975842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LIN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ISU @ IOWA</t>
        </is>
      </c>
      <c r="C98" s="17" t="inlineStr">
        <is>
          <t>2026-09-12 23:30</t>
        </is>
      </c>
      <c r="D98" s="25" t="n">
        <v>2</v>
      </c>
      <c r="E98" s="17" t="inlineStr">
        <is>
          <t>TOTAL</t>
        </is>
      </c>
      <c r="F98" s="17" t="inlineStr">
        <is>
          <t>Over 41.5</t>
        </is>
      </c>
      <c r="G98" s="26" t="n">
        <v>41.5</v>
      </c>
      <c r="H98" s="18" t="n">
        <v>-108</v>
      </c>
      <c r="I98" s="20" t="n">
        <v>0.6597926002186864</v>
      </c>
      <c r="J98" s="20" t="n">
        <v>0.4956702459300312</v>
      </c>
      <c r="K98" s="20" t="n">
        <v>0.5192307692307693</v>
      </c>
      <c r="L98" s="19" t="n">
        <v>0.0948217722120151</v>
      </c>
      <c r="M98" s="19" t="n">
        <v>0.2707116744952478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EMU @ MSU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EMU +17.5</t>
        </is>
      </c>
      <c r="G99" s="23" t="n">
        <v>-17.5</v>
      </c>
      <c r="H99" s="13" t="n">
        <v>-115</v>
      </c>
      <c r="I99" s="15" t="n">
        <v>0.6795715787085219</v>
      </c>
      <c r="J99" s="15" t="n">
        <v>0.5108342361863488</v>
      </c>
      <c r="K99" s="15" t="n">
        <v>0.5348837209302325</v>
      </c>
      <c r="L99" s="14" t="n">
        <v>0.09481876792378002</v>
      </c>
      <c r="M99" s="14" t="n">
        <v>0.2705033862811497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raw model/market disagreement exceeds the safety limit</t>
        </is>
      </c>
    </row>
    <row r="100">
      <c r="A100" s="17" t="inlineStr">
        <is>
          <t>PASS</t>
        </is>
      </c>
      <c r="B100" s="17" t="inlineStr">
        <is>
          <t>MTST @ NEV</t>
        </is>
      </c>
      <c r="C100" s="17" t="inlineStr">
        <is>
          <t>2026-09-13 02:30</t>
        </is>
      </c>
      <c r="D100" s="25" t="n">
        <v>2</v>
      </c>
      <c r="E100" s="17" t="inlineStr">
        <is>
          <t>ML</t>
        </is>
      </c>
      <c r="F100" s="17" t="inlineStr">
        <is>
          <t>NEV ML</t>
        </is>
      </c>
      <c r="G100" s="26" t="n"/>
      <c r="H100" s="18" t="n">
        <v>142</v>
      </c>
      <c r="I100" s="20" t="n">
        <v>0.5232659577120191</v>
      </c>
      <c r="J100" s="20" t="n">
        <v>0.3962430290578221</v>
      </c>
      <c r="K100" s="20" t="n">
        <v>0.4132231404958678</v>
      </c>
      <c r="L100" s="19" t="n">
        <v>0.09477752765536054</v>
      </c>
      <c r="M100" s="19" t="n">
        <v>0.2663036176630862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MTST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UNCO @ WYO</t>
        </is>
      </c>
      <c r="C101" s="12" t="inlineStr">
        <is>
          <t>2026-09-12 20:00</t>
        </is>
      </c>
      <c r="D101" s="22" t="n">
        <v>2</v>
      </c>
      <c r="E101" s="12" t="inlineStr">
        <is>
          <t>TOTAL</t>
        </is>
      </c>
      <c r="F101" s="12" t="inlineStr">
        <is>
          <t>Over 44.5</t>
        </is>
      </c>
      <c r="G101" s="23" t="n">
        <v>44.5</v>
      </c>
      <c r="H101" s="13" t="n">
        <v>-102</v>
      </c>
      <c r="I101" s="15" t="n">
        <v>0.6310406024186281</v>
      </c>
      <c r="J101" s="15" t="n">
        <v>0.4826358742837298</v>
      </c>
      <c r="K101" s="15" t="n">
        <v>0.504950495049505</v>
      </c>
      <c r="L101" s="14" t="n">
        <v>0.09470710752900607</v>
      </c>
      <c r="M101" s="14" t="n">
        <v>0.249707859691793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UNCO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FSU @ ALA</t>
        </is>
      </c>
      <c r="C102" s="17" t="inlineStr">
        <is>
          <t>2026-09-19 19:30</t>
        </is>
      </c>
      <c r="D102" s="25" t="n">
        <v>3</v>
      </c>
      <c r="E102" s="17" t="inlineStr">
        <is>
          <t>ATS</t>
        </is>
      </c>
      <c r="F102" s="17" t="inlineStr">
        <is>
          <t>FSU +17.5</t>
        </is>
      </c>
      <c r="G102" s="26" t="n">
        <v>-17.5</v>
      </c>
      <c r="H102" s="18" t="n">
        <v>-115</v>
      </c>
      <c r="I102" s="20" t="n">
        <v>0.6651630847315331</v>
      </c>
      <c r="J102" s="20" t="n">
        <v>0.5108342361863488</v>
      </c>
      <c r="K102" s="20" t="n">
        <v>0.5348837209302325</v>
      </c>
      <c r="L102" s="19" t="n">
        <v>0.09467206618698927</v>
      </c>
      <c r="M102" s="19" t="n">
        <v>0.2435657671067792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STBK @ BALL</t>
        </is>
      </c>
      <c r="C103" s="12" t="inlineStr">
        <is>
          <t>2026-09-12 18:00</t>
        </is>
      </c>
      <c r="D103" s="22" t="n">
        <v>2</v>
      </c>
      <c r="E103" s="12" t="inlineStr">
        <is>
          <t>ATS</t>
        </is>
      </c>
      <c r="F103" s="12" t="inlineStr">
        <is>
          <t>STBK +13.5</t>
        </is>
      </c>
      <c r="G103" s="23" t="n">
        <v>-13.5</v>
      </c>
      <c r="H103" s="13" t="n">
        <v>-105</v>
      </c>
      <c r="I103" s="15" t="n">
        <v>0.6343367742109713</v>
      </c>
      <c r="J103" s="15" t="n">
        <v>0.4891657638136511</v>
      </c>
      <c r="K103" s="15" t="n">
        <v>0.5121951219512195</v>
      </c>
      <c r="L103" s="14" t="n">
        <v>0.0946331321315026</v>
      </c>
      <c r="M103" s="14" t="n">
        <v>0.2384670353642773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STBK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ISU @ IOWA</t>
        </is>
      </c>
      <c r="C104" s="17" t="inlineStr">
        <is>
          <t>2026-09-12 23:30</t>
        </is>
      </c>
      <c r="D104" s="25" t="n">
        <v>2</v>
      </c>
      <c r="E104" s="17" t="inlineStr">
        <is>
          <t>ATS</t>
        </is>
      </c>
      <c r="F104" s="17" t="inlineStr">
        <is>
          <t>ISU +14</t>
        </is>
      </c>
      <c r="G104" s="26" t="n">
        <v>-14</v>
      </c>
      <c r="H104" s="18" t="n">
        <v>-110</v>
      </c>
      <c r="I104" s="20" t="n">
        <v>0.6470563347259415</v>
      </c>
      <c r="J104" s="20" t="n">
        <v>0.5</v>
      </c>
      <c r="K104" s="20" t="n">
        <v>0.5238095238095238</v>
      </c>
      <c r="L104" s="19" t="n">
        <v>0.09461204485710618</v>
      </c>
      <c r="M104" s="19" t="n">
        <v>0.227524817207245</v>
      </c>
      <c r="N104" s="20" t="n">
        <v>0.033</v>
      </c>
      <c r="O104" s="27" t="n">
        <v>0.725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ILST @ NIU</t>
        </is>
      </c>
      <c r="C105" s="12" t="inlineStr">
        <is>
          <t>2026-09-12 23:00</t>
        </is>
      </c>
      <c r="D105" s="22" t="n">
        <v>2</v>
      </c>
      <c r="E105" s="12" t="inlineStr">
        <is>
          <t>ML</t>
        </is>
      </c>
      <c r="F105" s="12" t="inlineStr">
        <is>
          <t>NIU ML</t>
        </is>
      </c>
      <c r="G105" s="23" t="n"/>
      <c r="H105" s="13" t="n">
        <v>142</v>
      </c>
      <c r="I105" s="15" t="n">
        <v>0.512416009726816</v>
      </c>
      <c r="J105" s="15" t="n">
        <v>0.3962430290578221</v>
      </c>
      <c r="K105" s="15" t="n">
        <v>0.4132231404958678</v>
      </c>
      <c r="L105" s="14" t="n">
        <v>0.09460441941833604</v>
      </c>
      <c r="M105" s="14" t="n">
        <v>0.2400467435388947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ILST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SOU @ HOU</t>
        </is>
      </c>
      <c r="C106" s="17" t="inlineStr">
        <is>
          <t>2026-09-12 23:00</t>
        </is>
      </c>
      <c r="D106" s="25" t="n">
        <v>2</v>
      </c>
      <c r="E106" s="17" t="inlineStr">
        <is>
          <t>TOTAL</t>
        </is>
      </c>
      <c r="F106" s="17" t="inlineStr">
        <is>
          <t>Under 61.5</t>
        </is>
      </c>
      <c r="G106" s="26" t="n">
        <v>61.5</v>
      </c>
      <c r="H106" s="18" t="n">
        <v>-112</v>
      </c>
      <c r="I106" s="20" t="n">
        <v>0.6477283561520983</v>
      </c>
      <c r="J106" s="20" t="n">
        <v>0.5043297540699688</v>
      </c>
      <c r="K106" s="20" t="n">
        <v>0.5283018867924528</v>
      </c>
      <c r="L106" s="19" t="n">
        <v>0.09452359480329631</v>
      </c>
      <c r="M106" s="19" t="n">
        <v>0.2260572455736147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SOU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WVU @ UVA</t>
        </is>
      </c>
      <c r="C107" s="12" t="inlineStr">
        <is>
          <t>2026-09-19 23:30</t>
        </is>
      </c>
      <c r="D107" s="22" t="n">
        <v>3</v>
      </c>
      <c r="E107" s="12" t="inlineStr">
        <is>
          <t>ATS</t>
        </is>
      </c>
      <c r="F107" s="12" t="inlineStr">
        <is>
          <t>WVU +8.5</t>
        </is>
      </c>
      <c r="G107" s="23" t="n">
        <v>-8.5</v>
      </c>
      <c r="H107" s="13" t="n">
        <v>-110</v>
      </c>
      <c r="I107" s="15" t="n">
        <v>0.6414964734014403</v>
      </c>
      <c r="J107" s="15" t="n">
        <v>0.5</v>
      </c>
      <c r="K107" s="15" t="n">
        <v>0.5238095238095238</v>
      </c>
      <c r="L107" s="14" t="n">
        <v>0.09450997779475362</v>
      </c>
      <c r="M107" s="14" t="n">
        <v>0.2246750855845681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MTSU @ MRSH</t>
        </is>
      </c>
      <c r="C108" s="17" t="inlineStr">
        <is>
          <t>2026-09-12 23:00</t>
        </is>
      </c>
      <c r="D108" s="25" t="n">
        <v>2</v>
      </c>
      <c r="E108" s="17" t="inlineStr">
        <is>
          <t>ATS</t>
        </is>
      </c>
      <c r="F108" s="17" t="inlineStr">
        <is>
          <t>MTSU +12.5</t>
        </is>
      </c>
      <c r="G108" s="26" t="n">
        <v>-12.5</v>
      </c>
      <c r="H108" s="18" t="n">
        <v>-108</v>
      </c>
      <c r="I108" s="20" t="n">
        <v>0.628491766125544</v>
      </c>
      <c r="J108" s="20" t="n">
        <v>0.4956702459300312</v>
      </c>
      <c r="K108" s="20" t="n">
        <v>0.5192307692307693</v>
      </c>
      <c r="L108" s="19" t="n">
        <v>0.09432823992283422</v>
      </c>
      <c r="M108" s="19" t="n">
        <v>0.2104285866121589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MTST @ NEV</t>
        </is>
      </c>
      <c r="C109" s="12" t="inlineStr">
        <is>
          <t>2026-09-13 02:30</t>
        </is>
      </c>
      <c r="D109" s="22" t="n">
        <v>2</v>
      </c>
      <c r="E109" s="12" t="inlineStr">
        <is>
          <t>ATS</t>
        </is>
      </c>
      <c r="F109" s="12" t="inlineStr">
        <is>
          <t>NEV +3.5</t>
        </is>
      </c>
      <c r="G109" s="23" t="n">
        <v>3.5</v>
      </c>
      <c r="H109" s="13" t="n">
        <v>-108</v>
      </c>
      <c r="I109" s="15" t="n">
        <v>0.6263392556238243</v>
      </c>
      <c r="J109" s="15" t="n">
        <v>0.4956702459300312</v>
      </c>
      <c r="K109" s="15" t="n">
        <v>0.5192307692307693</v>
      </c>
      <c r="L109" s="14" t="n">
        <v>0.0942641792526831</v>
      </c>
      <c r="M109" s="14" t="n">
        <v>0.2062830108310691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MTST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WCU @ CIN</t>
        </is>
      </c>
      <c r="C110" s="17" t="inlineStr">
        <is>
          <t>2026-09-12 23:00</t>
        </is>
      </c>
      <c r="D110" s="25" t="n">
        <v>2</v>
      </c>
      <c r="E110" s="17" t="inlineStr">
        <is>
          <t>TOTAL</t>
        </is>
      </c>
      <c r="F110" s="17" t="inlineStr">
        <is>
          <t>Under 60.5</t>
        </is>
      </c>
      <c r="G110" s="26" t="n">
        <v>60.5</v>
      </c>
      <c r="H110" s="18" t="n">
        <v>-112</v>
      </c>
      <c r="I110" s="20" t="n">
        <v>0.634329834959415</v>
      </c>
      <c r="J110" s="20" t="n">
        <v>0.5043297540699688</v>
      </c>
      <c r="K110" s="20" t="n">
        <v>0.5283018867924528</v>
      </c>
      <c r="L110" s="19" t="n">
        <v>0.09416811327728712</v>
      </c>
      <c r="M110" s="19" t="n">
        <v>0.2006957590303211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WCU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UL @ USC</t>
        </is>
      </c>
      <c r="C111" s="12" t="inlineStr">
        <is>
          <t>2026-09-13 03:00</t>
        </is>
      </c>
      <c r="D111" s="22" t="n">
        <v>2</v>
      </c>
      <c r="E111" s="12" t="inlineStr">
        <is>
          <t>TOTAL</t>
        </is>
      </c>
      <c r="F111" s="12" t="inlineStr">
        <is>
          <t>Under 59.5</t>
        </is>
      </c>
      <c r="G111" s="23" t="n">
        <v>59.5</v>
      </c>
      <c r="H111" s="13" t="n">
        <v>-115</v>
      </c>
      <c r="I111" s="15" t="n">
        <v>0.6421505196028532</v>
      </c>
      <c r="J111" s="15" t="n">
        <v>0.5108342361863488</v>
      </c>
      <c r="K111" s="15" t="n">
        <v>0.5348837209302325</v>
      </c>
      <c r="L111" s="14" t="n">
        <v>0.09415571889040777</v>
      </c>
      <c r="M111" s="14" t="n">
        <v>0.2005422757792472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NAVY @ FAU</t>
        </is>
      </c>
      <c r="C112" s="17" t="inlineStr">
        <is>
          <t>2026-09-12 23:30</t>
        </is>
      </c>
      <c r="D112" s="25" t="n">
        <v>2</v>
      </c>
      <c r="E112" s="17" t="inlineStr">
        <is>
          <t>ATS</t>
        </is>
      </c>
      <c r="F112" s="17" t="inlineStr">
        <is>
          <t>FAU +4</t>
        </is>
      </c>
      <c r="G112" s="26" t="n">
        <v>4</v>
      </c>
      <c r="H112" s="18" t="n">
        <v>-108</v>
      </c>
      <c r="I112" s="20" t="n">
        <v>0.6220666782629487</v>
      </c>
      <c r="J112" s="20" t="n">
        <v>0.4956702459300312</v>
      </c>
      <c r="K112" s="20" t="n">
        <v>0.5192307692307693</v>
      </c>
      <c r="L112" s="19" t="n">
        <v>0.09411844651378351</v>
      </c>
      <c r="M112" s="19" t="n">
        <v>0.1929643466978788</v>
      </c>
      <c r="N112" s="20" t="n">
        <v>0.0257</v>
      </c>
      <c r="O112" s="27" t="n">
        <v>0.725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RMU @ AKR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0.6259187824944719</v>
      </c>
      <c r="J113" s="15" t="n">
        <v>0.5</v>
      </c>
      <c r="K113" s="15" t="n">
        <v>0.5238095238095238</v>
      </c>
      <c r="L113" s="14" t="n">
        <v>0.09405803713885667</v>
      </c>
      <c r="M113" s="14" t="n">
        <v>0.1949358574894464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RMU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UNLV @ UNT</t>
        </is>
      </c>
      <c r="C114" s="17" t="inlineStr">
        <is>
          <t>2026-09-12 19:45</t>
        </is>
      </c>
      <c r="D114" s="25" t="n">
        <v>2</v>
      </c>
      <c r="E114" s="17" t="inlineStr">
        <is>
          <t>ATS</t>
        </is>
      </c>
      <c r="F114" s="17" t="inlineStr">
        <is>
          <t>UNT +3</t>
        </is>
      </c>
      <c r="G114" s="26" t="n">
        <v>3</v>
      </c>
      <c r="H114" s="18" t="n">
        <v>-105</v>
      </c>
      <c r="I114" s="20" t="n">
        <v>0.6070256855189183</v>
      </c>
      <c r="J114" s="20" t="n">
        <v>0.4891657638136511</v>
      </c>
      <c r="K114" s="20" t="n">
        <v>0.5121951219512195</v>
      </c>
      <c r="L114" s="19" t="n">
        <v>0.09381665928582401</v>
      </c>
      <c r="M114" s="19" t="n">
        <v>0.1755548550176463</v>
      </c>
      <c r="N114" s="20" t="n">
        <v>0.0518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ILST @ NIU</t>
        </is>
      </c>
      <c r="C115" s="12" t="inlineStr">
        <is>
          <t>2026-09-12 23:00</t>
        </is>
      </c>
      <c r="D115" s="22" t="n">
        <v>2</v>
      </c>
      <c r="E115" s="12" t="inlineStr">
        <is>
          <t>ATS</t>
        </is>
      </c>
      <c r="F115" s="12" t="inlineStr">
        <is>
          <t>NIU +3</t>
        </is>
      </c>
      <c r="G115" s="23" t="n">
        <v>3</v>
      </c>
      <c r="H115" s="13" t="n">
        <v>-105</v>
      </c>
      <c r="I115" s="15" t="n">
        <v>0.6067730935327488</v>
      </c>
      <c r="J115" s="15" t="n">
        <v>0.4891657638136511</v>
      </c>
      <c r="K115" s="15" t="n">
        <v>0.5121951219512195</v>
      </c>
      <c r="L115" s="14" t="n">
        <v>0.09380380643091552</v>
      </c>
      <c r="M115" s="14" t="n">
        <v>0.1750872447046593</v>
      </c>
      <c r="N115" s="15" t="n">
        <v>0.0518</v>
      </c>
      <c r="O115" s="24" t="n">
        <v>0.4</v>
      </c>
      <c r="P115" s="12" t="inlineStr">
        <is>
          <t>DraftKings</t>
        </is>
      </c>
      <c r="Q115" s="12" t="inlineStr">
        <is>
          <t>ILST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UNC @ CLEM</t>
        </is>
      </c>
      <c r="C116" s="17" t="inlineStr">
        <is>
          <t>2026-09-19 16:00</t>
        </is>
      </c>
      <c r="D116" s="25" t="n">
        <v>3</v>
      </c>
      <c r="E116" s="17" t="inlineStr">
        <is>
          <t>TOTAL</t>
        </is>
      </c>
      <c r="F116" s="17" t="inlineStr">
        <is>
          <t>Over 44.5</t>
        </is>
      </c>
      <c r="G116" s="26" t="n">
        <v>44.5</v>
      </c>
      <c r="H116" s="18" t="n">
        <v>-108</v>
      </c>
      <c r="I116" s="20" t="n">
        <v>0.6140632836192008</v>
      </c>
      <c r="J116" s="20" t="n">
        <v>0.4956702459300312</v>
      </c>
      <c r="K116" s="20" t="n">
        <v>0.5192307692307693</v>
      </c>
      <c r="L116" s="19" t="n">
        <v>0.09376387384707059</v>
      </c>
      <c r="M116" s="19" t="n">
        <v>0.182640398081424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USA @ TULN</t>
        </is>
      </c>
      <c r="C117" s="12" t="inlineStr">
        <is>
          <t>2026-09-12 23:00</t>
        </is>
      </c>
      <c r="D117" s="22" t="n">
        <v>2</v>
      </c>
      <c r="E117" s="12" t="inlineStr">
        <is>
          <t>ML</t>
        </is>
      </c>
      <c r="F117" s="12" t="inlineStr">
        <is>
          <t>USA ML</t>
        </is>
      </c>
      <c r="G117" s="23" t="n"/>
      <c r="H117" s="13" t="n">
        <v>295</v>
      </c>
      <c r="I117" s="15" t="n">
        <v>0.3003051560078724</v>
      </c>
      <c r="J117" s="15" t="n">
        <v>0.2428115015974441</v>
      </c>
      <c r="K117" s="15" t="n">
        <v>0.2531645569620253</v>
      </c>
      <c r="L117" s="14" t="n">
        <v>0.09370915109424602</v>
      </c>
      <c r="M117" s="14" t="n">
        <v>0.1862053662310963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SDSU @ UCLA</t>
        </is>
      </c>
      <c r="C118" s="17" t="inlineStr">
        <is>
          <t>2026-09-12 23:15</t>
        </is>
      </c>
      <c r="D118" s="25" t="n">
        <v>2</v>
      </c>
      <c r="E118" s="17" t="inlineStr">
        <is>
          <t>ATS</t>
        </is>
      </c>
      <c r="F118" s="17" t="inlineStr">
        <is>
          <t>SDSU +13.5</t>
        </is>
      </c>
      <c r="G118" s="26" t="n">
        <v>-13.5</v>
      </c>
      <c r="H118" s="18" t="n">
        <v>-112</v>
      </c>
      <c r="I118" s="20" t="n">
        <v>0.6214066763262522</v>
      </c>
      <c r="J118" s="20" t="n">
        <v>0.5043297540699688</v>
      </c>
      <c r="K118" s="20" t="n">
        <v>0.5283018867924528</v>
      </c>
      <c r="L118" s="19" t="n">
        <v>0.09357769821902286</v>
      </c>
      <c r="M118" s="19" t="n">
        <v>0.1762340659032631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UNC @ CLEM</t>
        </is>
      </c>
      <c r="C119" s="12" t="inlineStr">
        <is>
          <t>2026-09-19 16:00</t>
        </is>
      </c>
      <c r="D119" s="22" t="n">
        <v>3</v>
      </c>
      <c r="E119" s="12" t="inlineStr">
        <is>
          <t>ATS</t>
        </is>
      </c>
      <c r="F119" s="12" t="inlineStr">
        <is>
          <t>UNC +8.5</t>
        </is>
      </c>
      <c r="G119" s="23" t="n">
        <v>-8.5</v>
      </c>
      <c r="H119" s="13" t="n">
        <v>-110</v>
      </c>
      <c r="I119" s="15" t="n">
        <v>0.6145617797582641</v>
      </c>
      <c r="J119" s="15" t="n">
        <v>0.5</v>
      </c>
      <c r="K119" s="15" t="n">
        <v>0.5238095238095238</v>
      </c>
      <c r="L119" s="14" t="n">
        <v>0.09348507648978471</v>
      </c>
      <c r="M119" s="14" t="n">
        <v>0.1732543068112316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SAC @ FRES</t>
        </is>
      </c>
      <c r="C120" s="17" t="inlineStr">
        <is>
          <t>2026-09-13 02:30</t>
        </is>
      </c>
      <c r="D120" s="25" t="n">
        <v>2</v>
      </c>
      <c r="E120" s="17" t="inlineStr">
        <is>
          <t>TOTAL</t>
        </is>
      </c>
      <c r="F120" s="17" t="inlineStr">
        <is>
          <t>Over 44.5</t>
        </is>
      </c>
      <c r="G120" s="26" t="n">
        <v>44.5</v>
      </c>
      <c r="H120" s="18" t="n">
        <v>-112</v>
      </c>
      <c r="I120" s="20" t="n">
        <v>0.6183930376891695</v>
      </c>
      <c r="J120" s="20" t="n">
        <v>0.5043297540699688</v>
      </c>
      <c r="K120" s="20" t="n">
        <v>0.5283018867924528</v>
      </c>
      <c r="L120" s="19" t="n">
        <v>0.09338864700789129</v>
      </c>
      <c r="M120" s="19" t="n">
        <v>0.1705296784830708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ARK @ UTAH</t>
        </is>
      </c>
      <c r="C121" s="12" t="inlineStr">
        <is>
          <t>2026-09-13 02:15</t>
        </is>
      </c>
      <c r="D121" s="22" t="n">
        <v>2</v>
      </c>
      <c r="E121" s="12" t="inlineStr">
        <is>
          <t>ATS</t>
        </is>
      </c>
      <c r="F121" s="12" t="inlineStr">
        <is>
          <t>ARK +12.5</t>
        </is>
      </c>
      <c r="G121" s="23" t="n">
        <v>-12.5</v>
      </c>
      <c r="H121" s="13" t="n">
        <v>-110</v>
      </c>
      <c r="I121" s="15" t="n">
        <v>0.611824846527207</v>
      </c>
      <c r="J121" s="15" t="n">
        <v>0.5</v>
      </c>
      <c r="K121" s="15" t="n">
        <v>0.5238095238095238</v>
      </c>
      <c r="L121" s="14" t="n">
        <v>0.09330169474458291</v>
      </c>
      <c r="M121" s="14" t="n">
        <v>0.1680292524610316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UCD @ SMU</t>
        </is>
      </c>
      <c r="C122" s="17" t="inlineStr">
        <is>
          <t>2026-09-12 20:00</t>
        </is>
      </c>
      <c r="D122" s="25" t="n">
        <v>2</v>
      </c>
      <c r="E122" s="17" t="inlineStr">
        <is>
          <t>TOTAL</t>
        </is>
      </c>
      <c r="F122" s="17" t="inlineStr">
        <is>
          <t>Under 58.5</t>
        </is>
      </c>
      <c r="G122" s="26" t="n">
        <v>58.5</v>
      </c>
      <c r="H122" s="18" t="n">
        <v>-105</v>
      </c>
      <c r="I122" s="20" t="n">
        <v>0.5955932017036272</v>
      </c>
      <c r="J122" s="20" t="n">
        <v>0.4891657638136511</v>
      </c>
      <c r="K122" s="20" t="n">
        <v>0.5121951219512195</v>
      </c>
      <c r="L122" s="19" t="n">
        <v>0.09307212213858521</v>
      </c>
      <c r="M122" s="19" t="n">
        <v>0.1628248223737483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UCD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USM @ AUB</t>
        </is>
      </c>
      <c r="C123" s="12" t="inlineStr">
        <is>
          <t>2026-09-12 23:45</t>
        </is>
      </c>
      <c r="D123" s="22" t="n">
        <v>2</v>
      </c>
      <c r="E123" s="12" t="inlineStr">
        <is>
          <t>TOTAL</t>
        </is>
      </c>
      <c r="F123" s="12" t="inlineStr">
        <is>
          <t>Under 57.5</t>
        </is>
      </c>
      <c r="G123" s="23" t="n">
        <v>57.5</v>
      </c>
      <c r="H123" s="13" t="n">
        <v>-115</v>
      </c>
      <c r="I123" s="15" t="n">
        <v>0.6216452087575959</v>
      </c>
      <c r="J123" s="15" t="n">
        <v>0.5108342361863488</v>
      </c>
      <c r="K123" s="15" t="n">
        <v>0.5348837209302325</v>
      </c>
      <c r="L123" s="14" t="n">
        <v>0.09304592683183766</v>
      </c>
      <c r="M123" s="14" t="n">
        <v>0.1622062598511573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outside the top 10 plays for this week</t>
        </is>
      </c>
    </row>
    <row r="124">
      <c r="A124" s="17" t="inlineStr">
        <is>
          <t>PASS</t>
        </is>
      </c>
      <c r="B124" s="17" t="inlineStr">
        <is>
          <t>NMSU @ HAW</t>
        </is>
      </c>
      <c r="C124" s="17" t="inlineStr">
        <is>
          <t>2026-09-13 03:59</t>
        </is>
      </c>
      <c r="D124" s="25" t="n">
        <v>2</v>
      </c>
      <c r="E124" s="17" t="inlineStr">
        <is>
          <t>ML</t>
        </is>
      </c>
      <c r="F124" s="17" t="inlineStr">
        <is>
          <t>NMSU ML</t>
        </is>
      </c>
      <c r="G124" s="26" t="n"/>
      <c r="H124" s="18" t="n">
        <v>240</v>
      </c>
      <c r="I124" s="20" t="n">
        <v>0.3429313521973534</v>
      </c>
      <c r="J124" s="20" t="n">
        <v>0.2820294784580499</v>
      </c>
      <c r="K124" s="20" t="n">
        <v>0.2941176470588235</v>
      </c>
      <c r="L124" s="19" t="n">
        <v>0.09300561722367763</v>
      </c>
      <c r="M124" s="19" t="n">
        <v>0.1659665974710014</v>
      </c>
      <c r="N124" s="20" t="n">
        <v>0</v>
      </c>
      <c r="O124" s="27" t="n">
        <v>0.839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LSU @ MISS</t>
        </is>
      </c>
      <c r="C125" s="12" t="inlineStr">
        <is>
          <t>2026-09-19 23:30</t>
        </is>
      </c>
      <c r="D125" s="22" t="n">
        <v>3</v>
      </c>
      <c r="E125" s="12" t="inlineStr">
        <is>
          <t>ATS</t>
        </is>
      </c>
      <c r="F125" s="12" t="inlineStr">
        <is>
          <t>MISS +2.5</t>
        </is>
      </c>
      <c r="G125" s="23" t="n">
        <v>2.5</v>
      </c>
      <c r="H125" s="13" t="n">
        <v>-108</v>
      </c>
      <c r="I125" s="15" t="n">
        <v>0.5951997422400876</v>
      </c>
      <c r="J125" s="15" t="n">
        <v>0.4956702459300312</v>
      </c>
      <c r="K125" s="15" t="n">
        <v>0.5192307692307693</v>
      </c>
      <c r="L125" s="14" t="n">
        <v>0.09226750277372264</v>
      </c>
      <c r="M125" s="14" t="n">
        <v>0.1463106146846134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LSU @ MISS</t>
        </is>
      </c>
      <c r="C126" s="17" t="inlineStr">
        <is>
          <t>2026-09-19 23:30</t>
        </is>
      </c>
      <c r="D126" s="25" t="n">
        <v>3</v>
      </c>
      <c r="E126" s="17" t="inlineStr">
        <is>
          <t>TOTAL</t>
        </is>
      </c>
      <c r="F126" s="17" t="inlineStr">
        <is>
          <t>Under 58.5</t>
        </is>
      </c>
      <c r="G126" s="26" t="n">
        <v>58.5</v>
      </c>
      <c r="H126" s="18" t="n">
        <v>-108</v>
      </c>
      <c r="I126" s="20" t="n">
        <v>0.5936030514491089</v>
      </c>
      <c r="J126" s="20" t="n">
        <v>0.4956702459300312</v>
      </c>
      <c r="K126" s="20" t="n">
        <v>0.5192307692307693</v>
      </c>
      <c r="L126" s="19" t="n">
        <v>0.0920787148462818</v>
      </c>
      <c r="M126" s="19" t="n">
        <v>0.1432355064945801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WEB @ COLO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Under 57.5</t>
        </is>
      </c>
      <c r="G127" s="23" t="n">
        <v>57.5</v>
      </c>
      <c r="H127" s="13" t="n">
        <v>-112</v>
      </c>
      <c r="I127" s="15" t="n">
        <v>0.6031751925828672</v>
      </c>
      <c r="J127" s="15" t="n">
        <v>0.5043297540699688</v>
      </c>
      <c r="K127" s="15" t="n">
        <v>0.5283018867924528</v>
      </c>
      <c r="L127" s="14" t="n">
        <v>0.09198130045442533</v>
      </c>
      <c r="M127" s="14" t="n">
        <v>0.141724471674713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WEB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SYR @ PITT</t>
        </is>
      </c>
      <c r="C128" s="17" t="inlineStr">
        <is>
          <t>2026-09-17 23:30</t>
        </is>
      </c>
      <c r="D128" s="25" t="n">
        <v>3</v>
      </c>
      <c r="E128" s="17" t="inlineStr">
        <is>
          <t>ATS</t>
        </is>
      </c>
      <c r="F128" s="17" t="inlineStr">
        <is>
          <t>SYR +10.5</t>
        </is>
      </c>
      <c r="G128" s="26" t="n">
        <v>-10.5</v>
      </c>
      <c r="H128" s="18" t="n">
        <v>-112</v>
      </c>
      <c r="I128" s="20" t="n">
        <v>0.6021519084214012</v>
      </c>
      <c r="J128" s="20" t="n">
        <v>0.5043297540699688</v>
      </c>
      <c r="K128" s="20" t="n">
        <v>0.5283018867924528</v>
      </c>
      <c r="L128" s="19" t="n">
        <v>0.09185174368211034</v>
      </c>
      <c r="M128" s="19" t="n">
        <v>0.1397875409405094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ALA @ UK</t>
        </is>
      </c>
      <c r="C129" s="12" t="inlineStr">
        <is>
          <t>2026-09-12 19:30</t>
        </is>
      </c>
      <c r="D129" s="22" t="n">
        <v>2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-115</v>
      </c>
      <c r="I129" s="15" t="n">
        <v>0.6098766279409137</v>
      </c>
      <c r="J129" s="15" t="n">
        <v>0.5108342361863488</v>
      </c>
      <c r="K129" s="15" t="n">
        <v>0.5348837209302325</v>
      </c>
      <c r="L129" s="14" t="n">
        <v>0.09184645651502399</v>
      </c>
      <c r="M129" s="14" t="n">
        <v>0.1402041304982298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FLA @ AUB</t>
        </is>
      </c>
      <c r="C130" s="17" t="inlineStr">
        <is>
          <t>2026-09-19 23:00</t>
        </is>
      </c>
      <c r="D130" s="25" t="n">
        <v>3</v>
      </c>
      <c r="E130" s="17" t="inlineStr">
        <is>
          <t>ATS</t>
        </is>
      </c>
      <c r="F130" s="17" t="inlineStr">
        <is>
          <t>AUB +2.5</t>
        </is>
      </c>
      <c r="G130" s="26" t="n">
        <v>2.5</v>
      </c>
      <c r="H130" s="18" t="n">
        <v>-110</v>
      </c>
      <c r="I130" s="20" t="n">
        <v>0.595338188280937</v>
      </c>
      <c r="J130" s="20" t="n">
        <v>0.5</v>
      </c>
      <c r="K130" s="20" t="n">
        <v>0.5238095238095238</v>
      </c>
      <c r="L130" s="19" t="n">
        <v>0.09163008011891809</v>
      </c>
      <c r="M130" s="19" t="n">
        <v>0.1365547230817887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BUFF @ FIU</t>
        </is>
      </c>
      <c r="C131" s="12" t="inlineStr">
        <is>
          <t>2026-09-12 22:00</t>
        </is>
      </c>
      <c r="D131" s="22" t="n">
        <v>2</v>
      </c>
      <c r="E131" s="12" t="inlineStr">
        <is>
          <t>ATS</t>
        </is>
      </c>
      <c r="F131" s="12" t="inlineStr">
        <is>
          <t>BUFF +10</t>
        </is>
      </c>
      <c r="G131" s="23" t="n">
        <v>-10</v>
      </c>
      <c r="H131" s="13" t="n">
        <v>-108</v>
      </c>
      <c r="I131" s="15" t="n">
        <v>0.5878705797265007</v>
      </c>
      <c r="J131" s="15" t="n">
        <v>0.4956702459300312</v>
      </c>
      <c r="K131" s="15" t="n">
        <v>0.5192307692307693</v>
      </c>
      <c r="L131" s="14" t="n">
        <v>0.09128911775524796</v>
      </c>
      <c r="M131" s="14" t="n">
        <v>0.1271585538231071</v>
      </c>
      <c r="N131" s="15" t="n">
        <v>0.0381</v>
      </c>
      <c r="O131" s="24" t="n">
        <v>0.725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MEM @ BOIS</t>
        </is>
      </c>
      <c r="C132" s="17" t="inlineStr">
        <is>
          <t>2026-09-12 22:00</t>
        </is>
      </c>
      <c r="D132" s="25" t="n">
        <v>2</v>
      </c>
      <c r="E132" s="17" t="inlineStr">
        <is>
          <t>ATS</t>
        </is>
      </c>
      <c r="F132" s="17" t="inlineStr">
        <is>
          <t>MEM +9.5</t>
        </is>
      </c>
      <c r="G132" s="26" t="n">
        <v>-9.5</v>
      </c>
      <c r="H132" s="18" t="n">
        <v>-108</v>
      </c>
      <c r="I132" s="20" t="n">
        <v>0.5874137513917407</v>
      </c>
      <c r="J132" s="20" t="n">
        <v>0.4956702459300312</v>
      </c>
      <c r="K132" s="20" t="n">
        <v>0.5192307692307693</v>
      </c>
      <c r="L132" s="19" t="n">
        <v>0.09121786009211523</v>
      </c>
      <c r="M132" s="19" t="n">
        <v>0.1313153730507599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CP @ SJSU</t>
        </is>
      </c>
      <c r="C133" s="12" t="inlineStr">
        <is>
          <t>2026-09-13 01:00</t>
        </is>
      </c>
      <c r="D133" s="22" t="n">
        <v>2</v>
      </c>
      <c r="E133" s="12" t="inlineStr">
        <is>
          <t>TOTAL</t>
        </is>
      </c>
      <c r="F133" s="12" t="inlineStr">
        <is>
          <t>Under 58.5</t>
        </is>
      </c>
      <c r="G133" s="23" t="n">
        <v>58.5</v>
      </c>
      <c r="H133" s="13" t="n">
        <v>-112</v>
      </c>
      <c r="I133" s="15" t="n">
        <v>0.5961675449274282</v>
      </c>
      <c r="J133" s="15" t="n">
        <v>0.5043297540699688</v>
      </c>
      <c r="K133" s="15" t="n">
        <v>0.5283018867924528</v>
      </c>
      <c r="L133" s="14" t="n">
        <v>0.0909772427699729</v>
      </c>
      <c r="M133" s="14" t="n">
        <v>0.1284599957554891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CP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CLT @ MISS</t>
        </is>
      </c>
      <c r="C134" s="17" t="inlineStr">
        <is>
          <t>2026-09-12 23:45</t>
        </is>
      </c>
      <c r="D134" s="25" t="n">
        <v>2</v>
      </c>
      <c r="E134" s="17" t="inlineStr">
        <is>
          <t>TOTAL</t>
        </is>
      </c>
      <c r="F134" s="17" t="inlineStr">
        <is>
          <t>Under 59.5</t>
        </is>
      </c>
      <c r="G134" s="26" t="n">
        <v>59.5</v>
      </c>
      <c r="H134" s="18" t="n">
        <v>-108</v>
      </c>
      <c r="I134" s="20" t="n">
        <v>0.5846913375361967</v>
      </c>
      <c r="J134" s="20" t="n">
        <v>0.4956702459300312</v>
      </c>
      <c r="K134" s="20" t="n">
        <v>0.5192307692307693</v>
      </c>
      <c r="L134" s="19" t="n">
        <v>0.09076458163938156</v>
      </c>
      <c r="M134" s="19" t="n">
        <v>0.1260722056252679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USA @ TULN</t>
        </is>
      </c>
      <c r="C135" s="12" t="inlineStr">
        <is>
          <t>2026-09-12 23:00</t>
        </is>
      </c>
      <c r="D135" s="22" t="n">
        <v>2</v>
      </c>
      <c r="E135" s="12" t="inlineStr">
        <is>
          <t>ATS</t>
        </is>
      </c>
      <c r="F135" s="12" t="inlineStr">
        <is>
          <t>USA +9.5</t>
        </is>
      </c>
      <c r="G135" s="23" t="n">
        <v>-9.5</v>
      </c>
      <c r="H135" s="13" t="n">
        <v>-105</v>
      </c>
      <c r="I135" s="15" t="n">
        <v>0.5768961757541198</v>
      </c>
      <c r="J135" s="15" t="n">
        <v>0.4891657638136511</v>
      </c>
      <c r="K135" s="15" t="n">
        <v>0.5121951219512195</v>
      </c>
      <c r="L135" s="14" t="n">
        <v>0.09074269615696844</v>
      </c>
      <c r="M135" s="14" t="n">
        <v>0.1263211050437576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ULM @ UAB</t>
        </is>
      </c>
      <c r="C136" s="17" t="inlineStr">
        <is>
          <t>2026-09-12 19:30</t>
        </is>
      </c>
      <c r="D136" s="25" t="n">
        <v>2</v>
      </c>
      <c r="E136" s="17" t="inlineStr">
        <is>
          <t>ML</t>
        </is>
      </c>
      <c r="F136" s="17" t="inlineStr">
        <is>
          <t>ULM ML</t>
        </is>
      </c>
      <c r="G136" s="26" t="n"/>
      <c r="H136" s="18" t="n">
        <v>285</v>
      </c>
      <c r="I136" s="20" t="n">
        <v>0.2938416645271279</v>
      </c>
      <c r="J136" s="20" t="n">
        <v>0.2491874322860238</v>
      </c>
      <c r="K136" s="20" t="n">
        <v>0.2597402597402597</v>
      </c>
      <c r="L136" s="19" t="n">
        <v>0.09072974225406107</v>
      </c>
      <c r="M136" s="19" t="n">
        <v>0.1312904084294424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NDSU @ AFA</t>
        </is>
      </c>
      <c r="C137" s="12" t="inlineStr">
        <is>
          <t>2026-09-13 02:00</t>
        </is>
      </c>
      <c r="D137" s="22" t="n">
        <v>2</v>
      </c>
      <c r="E137" s="12" t="inlineStr">
        <is>
          <t>ATS</t>
        </is>
      </c>
      <c r="F137" s="12" t="inlineStr">
        <is>
          <t>AFA +1.5</t>
        </is>
      </c>
      <c r="G137" s="23" t="n">
        <v>1.5</v>
      </c>
      <c r="H137" s="13" t="n">
        <v>-105</v>
      </c>
      <c r="I137" s="15" t="n">
        <v>0.576210048354582</v>
      </c>
      <c r="J137" s="15" t="n">
        <v>0.4891657638136511</v>
      </c>
      <c r="K137" s="15" t="n">
        <v>0.5121951219512195</v>
      </c>
      <c r="L137" s="14" t="n">
        <v>0.09061804843058124</v>
      </c>
      <c r="M137" s="14" t="n">
        <v>0.1249815229779934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outside the top 10 plays for this week</t>
        </is>
      </c>
    </row>
    <row r="138">
      <c r="A138" s="17" t="inlineStr">
        <is>
          <t>PASS</t>
        </is>
      </c>
      <c r="B138" s="17" t="inlineStr">
        <is>
          <t>NAVY @ FAU</t>
        </is>
      </c>
      <c r="C138" s="17" t="inlineStr">
        <is>
          <t>2026-09-12 23:30</t>
        </is>
      </c>
      <c r="D138" s="25" t="n">
        <v>2</v>
      </c>
      <c r="E138" s="17" t="inlineStr">
        <is>
          <t>TOTAL</t>
        </is>
      </c>
      <c r="F138" s="17" t="inlineStr">
        <is>
          <t>Under 59.5</t>
        </is>
      </c>
      <c r="G138" s="26" t="n">
        <v>59.5</v>
      </c>
      <c r="H138" s="18" t="n">
        <v>-110</v>
      </c>
      <c r="I138" s="20" t="n">
        <v>0.5886553641255576</v>
      </c>
      <c r="J138" s="20" t="n">
        <v>0.5</v>
      </c>
      <c r="K138" s="20" t="n">
        <v>0.5238095238095238</v>
      </c>
      <c r="L138" s="19" t="n">
        <v>0.09056057899669434</v>
      </c>
      <c r="M138" s="19" t="n">
        <v>0.123796604239701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TOW @ SC</t>
        </is>
      </c>
      <c r="C139" s="12" t="inlineStr">
        <is>
          <t>2026-09-12 23:00</t>
        </is>
      </c>
      <c r="D139" s="22" t="n">
        <v>2</v>
      </c>
      <c r="E139" s="12" t="inlineStr">
        <is>
          <t>TOTAL</t>
        </is>
      </c>
      <c r="F139" s="12" t="inlineStr">
        <is>
          <t>Under 57.5</t>
        </is>
      </c>
      <c r="G139" s="23" t="n">
        <v>57.5</v>
      </c>
      <c r="H139" s="13" t="n">
        <v>-112</v>
      </c>
      <c r="I139" s="15" t="n">
        <v>0.5926111216037899</v>
      </c>
      <c r="J139" s="15" t="n">
        <v>0.5043297540699688</v>
      </c>
      <c r="K139" s="15" t="n">
        <v>0.5283018867924528</v>
      </c>
      <c r="L139" s="14" t="n">
        <v>0.09034918113734937</v>
      </c>
      <c r="M139" s="14" t="n">
        <v>0.1217281944643167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TOW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NDSU @ AFA</t>
        </is>
      </c>
      <c r="C140" s="17" t="inlineStr">
        <is>
          <t>2026-09-13 02:00</t>
        </is>
      </c>
      <c r="D140" s="25" t="n">
        <v>2</v>
      </c>
      <c r="E140" s="17" t="inlineStr">
        <is>
          <t>ML</t>
        </is>
      </c>
      <c r="F140" s="17" t="inlineStr">
        <is>
          <t>AFA ML</t>
        </is>
      </c>
      <c r="G140" s="26" t="n"/>
      <c r="H140" s="18" t="n">
        <v>105</v>
      </c>
      <c r="I140" s="20" t="n">
        <v>0.548334490418296</v>
      </c>
      <c r="J140" s="20" t="n">
        <v>0.4675324675324675</v>
      </c>
      <c r="K140" s="20" t="n">
        <v>0.4878048780487805</v>
      </c>
      <c r="L140" s="19" t="n">
        <v>0.09013232136124752</v>
      </c>
      <c r="M140" s="19" t="n">
        <v>0.1240857053575066</v>
      </c>
      <c r="N140" s="20" t="n">
        <v>0</v>
      </c>
      <c r="O140" s="27" t="n">
        <v>0.725</v>
      </c>
      <c r="P140" s="17" t="inlineStr">
        <is>
          <t>DraftKings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UNLV @ UNT</t>
        </is>
      </c>
      <c r="C141" s="12" t="inlineStr">
        <is>
          <t>2026-09-12 19:45</t>
        </is>
      </c>
      <c r="D141" s="22" t="n">
        <v>2</v>
      </c>
      <c r="E141" s="12" t="inlineStr">
        <is>
          <t>TOTAL</t>
        </is>
      </c>
      <c r="F141" s="12" t="inlineStr">
        <is>
          <t>Under 57.5</t>
        </is>
      </c>
      <c r="G141" s="23" t="n">
        <v>57.5</v>
      </c>
      <c r="H141" s="13" t="n">
        <v>-118</v>
      </c>
      <c r="I141" s="15" t="n">
        <v>0.5850489392929854</v>
      </c>
      <c r="J141" s="15" t="n">
        <v>0.5</v>
      </c>
      <c r="K141" s="15" t="n">
        <v>0.5412844036697247</v>
      </c>
      <c r="L141" s="14" t="n">
        <v>0.08985230428395183</v>
      </c>
      <c r="M141" s="14" t="n">
        <v>0.08085312513449838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MSST @ MINN</t>
        </is>
      </c>
      <c r="C142" s="17" t="inlineStr">
        <is>
          <t>2026-09-12 19:30</t>
        </is>
      </c>
      <c r="D142" s="25" t="n">
        <v>2</v>
      </c>
      <c r="E142" s="17" t="inlineStr">
        <is>
          <t>ATS</t>
        </is>
      </c>
      <c r="F142" s="17" t="inlineStr">
        <is>
          <t>MINN +1.5</t>
        </is>
      </c>
      <c r="G142" s="26" t="n">
        <v>1.5</v>
      </c>
      <c r="H142" s="18" t="n">
        <v>-115</v>
      </c>
      <c r="I142" s="20" t="n">
        <v>0.5975987469592847</v>
      </c>
      <c r="J142" s="20" t="n">
        <v>0.5108342361863488</v>
      </c>
      <c r="K142" s="20" t="n">
        <v>0.5348837209302325</v>
      </c>
      <c r="L142" s="19" t="n">
        <v>0.08982596233355235</v>
      </c>
      <c r="M142" s="19" t="n">
        <v>0.1172498312717061</v>
      </c>
      <c r="N142" s="20" t="n">
        <v>0</v>
      </c>
      <c r="O142" s="27" t="n">
        <v>0.725</v>
      </c>
      <c r="P142" s="17" t="inlineStr">
        <is>
          <t>DraftKings</t>
        </is>
      </c>
      <c r="Q142" s="17" t="inlineStr">
        <is>
          <t>outside the top 10 plays for this week</t>
        </is>
      </c>
    </row>
    <row r="143">
      <c r="A143" s="12" t="inlineStr">
        <is>
          <t>PASS</t>
        </is>
      </c>
      <c r="B143" s="12" t="inlineStr">
        <is>
          <t>UCF @ PITT</t>
        </is>
      </c>
      <c r="C143" s="12" t="inlineStr">
        <is>
          <t>2026-09-12 19:30</t>
        </is>
      </c>
      <c r="D143" s="22" t="n">
        <v>2</v>
      </c>
      <c r="E143" s="12" t="inlineStr">
        <is>
          <t>ML</t>
        </is>
      </c>
      <c r="F143" s="12" t="inlineStr">
        <is>
          <t>UCF ML</t>
        </is>
      </c>
      <c r="G143" s="23" t="n"/>
      <c r="H143" s="13" t="n">
        <v>240</v>
      </c>
      <c r="I143" s="15" t="n">
        <v>0.3290521018422101</v>
      </c>
      <c r="J143" s="15" t="n">
        <v>0.2820294784580499</v>
      </c>
      <c r="K143" s="15" t="n">
        <v>0.2941176470588235</v>
      </c>
      <c r="L143" s="14" t="n">
        <v>0.08948498630786723</v>
      </c>
      <c r="M143" s="14" t="n">
        <v>0.1187771462635143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MSST @ MINN</t>
        </is>
      </c>
      <c r="C144" s="17" t="inlineStr">
        <is>
          <t>2026-09-12 19:30</t>
        </is>
      </c>
      <c r="D144" s="25" t="n">
        <v>2</v>
      </c>
      <c r="E144" s="17" t="inlineStr">
        <is>
          <t>ML</t>
        </is>
      </c>
      <c r="F144" s="17" t="inlineStr">
        <is>
          <t>MINN ML</t>
        </is>
      </c>
      <c r="G144" s="26" t="n"/>
      <c r="H144" s="18" t="n">
        <v>-105</v>
      </c>
      <c r="I144" s="20" t="n">
        <v>0.5701299865745202</v>
      </c>
      <c r="J144" s="20" t="n">
        <v>0.4891657638136511</v>
      </c>
      <c r="K144" s="20" t="n">
        <v>0.5121951219512195</v>
      </c>
      <c r="L144" s="19" t="n">
        <v>0.08934640074900664</v>
      </c>
      <c r="M144" s="19" t="n">
        <v>0.1131109261693013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ILST @ NIU</t>
        </is>
      </c>
      <c r="C145" s="12" t="inlineStr">
        <is>
          <t>2026-09-12 23:00</t>
        </is>
      </c>
      <c r="D145" s="22" t="n">
        <v>2</v>
      </c>
      <c r="E145" s="12" t="inlineStr">
        <is>
          <t>TOTAL</t>
        </is>
      </c>
      <c r="F145" s="12" t="inlineStr">
        <is>
          <t>Over 47.5</t>
        </is>
      </c>
      <c r="G145" s="23" t="n">
        <v>47.5</v>
      </c>
      <c r="H145" s="13" t="n">
        <v>-115</v>
      </c>
      <c r="I145" s="15" t="n">
        <v>0.5940725087308334</v>
      </c>
      <c r="J145" s="15" t="n">
        <v>0.5108342361863488</v>
      </c>
      <c r="K145" s="15" t="n">
        <v>0.5348837209302325</v>
      </c>
      <c r="L145" s="14" t="n">
        <v>0.08904204560318238</v>
      </c>
      <c r="M145" s="14" t="n">
        <v>0.110657298931558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ILST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ORE @ OKST</t>
        </is>
      </c>
      <c r="C146" s="17" t="inlineStr">
        <is>
          <t>2026-09-12 17:30</t>
        </is>
      </c>
      <c r="D146" s="25" t="n">
        <v>2</v>
      </c>
      <c r="E146" s="17" t="inlineStr">
        <is>
          <t>TOTAL</t>
        </is>
      </c>
      <c r="F146" s="17" t="inlineStr">
        <is>
          <t>Under 55.5</t>
        </is>
      </c>
      <c r="G146" s="26" t="n">
        <v>55.5</v>
      </c>
      <c r="H146" s="18" t="n">
        <v>-108</v>
      </c>
      <c r="I146" s="20" t="n">
        <v>0.5755766914352665</v>
      </c>
      <c r="J146" s="20" t="n">
        <v>0.4956702459300312</v>
      </c>
      <c r="K146" s="20" t="n">
        <v>0.5192307692307693</v>
      </c>
      <c r="L146" s="19" t="n">
        <v>0.08882736440724373</v>
      </c>
      <c r="M146" s="19" t="n">
        <v>0.1085180723938466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VT @ MD</t>
        </is>
      </c>
      <c r="C147" s="12" t="inlineStr">
        <is>
          <t>2026-09-19 23:30</t>
        </is>
      </c>
      <c r="D147" s="22" t="n">
        <v>3</v>
      </c>
      <c r="E147" s="12" t="inlineStr">
        <is>
          <t>ML</t>
        </is>
      </c>
      <c r="F147" s="12" t="inlineStr">
        <is>
          <t>MD ML</t>
        </is>
      </c>
      <c r="G147" s="23" t="n"/>
      <c r="H147" s="13" t="n">
        <v>100</v>
      </c>
      <c r="I147" s="15" t="n">
        <v>0.5553386658224524</v>
      </c>
      <c r="J147" s="15" t="n">
        <v>0.4782608695652174</v>
      </c>
      <c r="K147" s="15" t="n">
        <v>0.5</v>
      </c>
      <c r="L147" s="14" t="n">
        <v>0.0888215511318252</v>
      </c>
      <c r="M147" s="14" t="n">
        <v>0.1106773316449048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SUU @ CSU</t>
        </is>
      </c>
      <c r="C148" s="17" t="inlineStr">
        <is>
          <t>2026-09-12 23:00</t>
        </is>
      </c>
      <c r="D148" s="25" t="n">
        <v>2</v>
      </c>
      <c r="E148" s="17" t="inlineStr">
        <is>
          <t>TOTAL</t>
        </is>
      </c>
      <c r="F148" s="17" t="inlineStr">
        <is>
          <t>Under 57.5</t>
        </is>
      </c>
      <c r="G148" s="26" t="n">
        <v>57.5</v>
      </c>
      <c r="H148" s="18" t="n">
        <v>-115</v>
      </c>
      <c r="I148" s="20" t="n">
        <v>0.5904660573861598</v>
      </c>
      <c r="J148" s="20" t="n">
        <v>0.5108342361863488</v>
      </c>
      <c r="K148" s="20" t="n">
        <v>0.5348837209302325</v>
      </c>
      <c r="L148" s="19" t="n">
        <v>0.08812188304172171</v>
      </c>
      <c r="M148" s="19" t="n">
        <v>0.1039148029393422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SUU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ULM @ UAB</t>
        </is>
      </c>
      <c r="C149" s="12" t="inlineStr">
        <is>
          <t>2026-09-12 19:30</t>
        </is>
      </c>
      <c r="D149" s="22" t="n">
        <v>2</v>
      </c>
      <c r="E149" s="12" t="inlineStr">
        <is>
          <t>ATS</t>
        </is>
      </c>
      <c r="F149" s="12" t="inlineStr">
        <is>
          <t>ULM +9.5</t>
        </is>
      </c>
      <c r="G149" s="23" t="n">
        <v>-9.5</v>
      </c>
      <c r="H149" s="13" t="n">
        <v>-108</v>
      </c>
      <c r="I149" s="15" t="n">
        <v>0.5704320336675586</v>
      </c>
      <c r="J149" s="15" t="n">
        <v>0.4956702459300312</v>
      </c>
      <c r="K149" s="15" t="n">
        <v>0.5192307692307693</v>
      </c>
      <c r="L149" s="14" t="n">
        <v>0.08738033474039418</v>
      </c>
      <c r="M149" s="14" t="n">
        <v>0.09860984261900185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NMSU @ HAW</t>
        </is>
      </c>
      <c r="C150" s="17" t="inlineStr">
        <is>
          <t>2026-09-13 03:59</t>
        </is>
      </c>
      <c r="D150" s="25" t="n">
        <v>2</v>
      </c>
      <c r="E150" s="17" t="inlineStr">
        <is>
          <t>ATS</t>
        </is>
      </c>
      <c r="F150" s="17" t="inlineStr">
        <is>
          <t>NMSU +7.5</t>
        </is>
      </c>
      <c r="G150" s="26" t="n">
        <v>-7.5</v>
      </c>
      <c r="H150" s="18" t="n">
        <v>-115</v>
      </c>
      <c r="I150" s="20" t="n">
        <v>0.5858642756577104</v>
      </c>
      <c r="J150" s="20" t="n">
        <v>0.5108342361863488</v>
      </c>
      <c r="K150" s="20" t="n">
        <v>0.5348837209302325</v>
      </c>
      <c r="L150" s="19" t="n">
        <v>0.08674793460988806</v>
      </c>
      <c r="M150" s="19" t="n">
        <v>0.09531147188180622</v>
      </c>
      <c r="N150" s="20" t="n">
        <v>0</v>
      </c>
      <c r="O150" s="27" t="n">
        <v>0.839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USU @ WASH</t>
        </is>
      </c>
      <c r="C151" s="12" t="inlineStr">
        <is>
          <t>2026-09-12 19:30</t>
        </is>
      </c>
      <c r="D151" s="22" t="n">
        <v>2</v>
      </c>
      <c r="E151" s="12" t="inlineStr">
        <is>
          <t>TOTAL</t>
        </is>
      </c>
      <c r="F151" s="12" t="inlineStr">
        <is>
          <t>Under 55.5</t>
        </is>
      </c>
      <c r="G151" s="23" t="n">
        <v>55.5</v>
      </c>
      <c r="H151" s="13" t="n">
        <v>-115</v>
      </c>
      <c r="I151" s="15" t="n">
        <v>0.5849969686707669</v>
      </c>
      <c r="J151" s="15" t="n">
        <v>0.5108342361863488</v>
      </c>
      <c r="K151" s="15" t="n">
        <v>0.5348837209302325</v>
      </c>
      <c r="L151" s="14" t="n">
        <v>0.08646113623574314</v>
      </c>
      <c r="M151" s="14" t="n">
        <v>0.09368998490621627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BUFF @ FIU</t>
        </is>
      </c>
      <c r="C152" s="17" t="inlineStr">
        <is>
          <t>2026-09-12 22:00</t>
        </is>
      </c>
      <c r="D152" s="25" t="n">
        <v>2</v>
      </c>
      <c r="E152" s="17" t="inlineStr">
        <is>
          <t>TOTAL</t>
        </is>
      </c>
      <c r="F152" s="17" t="inlineStr">
        <is>
          <t>Over 47.5</t>
        </is>
      </c>
      <c r="G152" s="26" t="n">
        <v>47.5</v>
      </c>
      <c r="H152" s="18" t="n">
        <v>-105</v>
      </c>
      <c r="I152" s="20" t="n">
        <v>0.5573661365991913</v>
      </c>
      <c r="J152" s="20" t="n">
        <v>0.4891657638136511</v>
      </c>
      <c r="K152" s="20" t="n">
        <v>0.5121951219512195</v>
      </c>
      <c r="L152" s="19" t="n">
        <v>0.08541623296946366</v>
      </c>
      <c r="M152" s="19" t="n">
        <v>0.0881910285984211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GRAM @ TCU</t>
        </is>
      </c>
      <c r="C153" s="12" t="inlineStr">
        <is>
          <t>2026-09-13 00:00</t>
        </is>
      </c>
      <c r="D153" s="22" t="n">
        <v>2</v>
      </c>
      <c r="E153" s="12" t="inlineStr">
        <is>
          <t>TOTAL</t>
        </is>
      </c>
      <c r="F153" s="12" t="inlineStr">
        <is>
          <t>Under 55.5</t>
        </is>
      </c>
      <c r="G153" s="23" t="n">
        <v>55.5</v>
      </c>
      <c r="H153" s="13" t="n">
        <v>-105</v>
      </c>
      <c r="I153" s="15" t="n">
        <v>0.5573660774043255</v>
      </c>
      <c r="J153" s="15" t="n">
        <v>0.4891657638136511</v>
      </c>
      <c r="K153" s="15" t="n">
        <v>0.5121951219512195</v>
      </c>
      <c r="L153" s="14" t="n">
        <v>0.08541620978520938</v>
      </c>
      <c r="M153" s="14" t="n">
        <v>0.08819091302749271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GRAM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MTSU @ MRSH</t>
        </is>
      </c>
      <c r="C154" s="17" t="inlineStr">
        <is>
          <t>2026-09-12 23:00</t>
        </is>
      </c>
      <c r="D154" s="25" t="n">
        <v>2</v>
      </c>
      <c r="E154" s="17" t="inlineStr">
        <is>
          <t>TOTAL</t>
        </is>
      </c>
      <c r="F154" s="17" t="inlineStr">
        <is>
          <t>Under 55.5</t>
        </is>
      </c>
      <c r="G154" s="26" t="n">
        <v>55.5</v>
      </c>
      <c r="H154" s="18" t="n">
        <v>-105</v>
      </c>
      <c r="I154" s="20" t="n">
        <v>0.5535624390695686</v>
      </c>
      <c r="J154" s="20" t="n">
        <v>0.4891657638136511</v>
      </c>
      <c r="K154" s="20" t="n">
        <v>0.5121951219512195</v>
      </c>
      <c r="L154" s="19" t="n">
        <v>0.08381199766155627</v>
      </c>
      <c r="M154" s="19" t="n">
        <v>0.08076476199296723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GAST @ KENN</t>
        </is>
      </c>
      <c r="C155" s="12" t="inlineStr">
        <is>
          <t>2026-09-12 23:00</t>
        </is>
      </c>
      <c r="D155" s="22" t="n">
        <v>2</v>
      </c>
      <c r="E155" s="12" t="inlineStr">
        <is>
          <t>ML</t>
        </is>
      </c>
      <c r="F155" s="12" t="inlineStr">
        <is>
          <t>GAST ML</t>
        </is>
      </c>
      <c r="G155" s="23" t="n"/>
      <c r="H155" s="13" t="n">
        <v>250</v>
      </c>
      <c r="I155" s="15" t="n">
        <v>0.3102367534652831</v>
      </c>
      <c r="J155" s="15" t="n">
        <v>0.274247491638796</v>
      </c>
      <c r="K155" s="15" t="n">
        <v>0.2857142857142857</v>
      </c>
      <c r="L155" s="14" t="n">
        <v>0.08371925298681258</v>
      </c>
      <c r="M155" s="14" t="n">
        <v>0.08582863712849087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UCF @ PITT</t>
        </is>
      </c>
      <c r="C156" s="17" t="inlineStr">
        <is>
          <t>2026-09-12 19:30</t>
        </is>
      </c>
      <c r="D156" s="25" t="n">
        <v>2</v>
      </c>
      <c r="E156" s="17" t="inlineStr">
        <is>
          <t>ATS</t>
        </is>
      </c>
      <c r="F156" s="17" t="inlineStr">
        <is>
          <t>UCF +7</t>
        </is>
      </c>
      <c r="G156" s="26" t="n">
        <v>-7</v>
      </c>
      <c r="H156" s="18" t="n">
        <v>-105</v>
      </c>
      <c r="I156" s="20" t="n">
        <v>0.5519613653522306</v>
      </c>
      <c r="J156" s="20" t="n">
        <v>0.4891657638136511</v>
      </c>
      <c r="K156" s="20" t="n">
        <v>0.5121951219512195</v>
      </c>
      <c r="L156" s="19" t="n">
        <v>0.08306402517464788</v>
      </c>
      <c r="M156" s="19" t="n">
        <v>0.07377244112691762</v>
      </c>
      <c r="N156" s="20" t="n">
        <v>0.0498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ARIZ @ BYU</t>
        </is>
      </c>
      <c r="C157" s="12" t="inlineStr">
        <is>
          <t>2026-09-12 19:30</t>
        </is>
      </c>
      <c r="D157" s="22" t="n">
        <v>2</v>
      </c>
      <c r="E157" s="12" t="inlineStr">
        <is>
          <t>TOTAL</t>
        </is>
      </c>
      <c r="F157" s="12" t="inlineStr">
        <is>
          <t>Over 48.5</t>
        </is>
      </c>
      <c r="G157" s="23" t="n">
        <v>48.5</v>
      </c>
      <c r="H157" s="13" t="n">
        <v>-115</v>
      </c>
      <c r="I157" s="15" t="n">
        <v>0.575733424303676</v>
      </c>
      <c r="J157" s="15" t="n">
        <v>0.5108342361863488</v>
      </c>
      <c r="K157" s="15" t="n">
        <v>0.5348837209302325</v>
      </c>
      <c r="L157" s="14" t="n">
        <v>0.0827475914957564</v>
      </c>
      <c r="M157" s="14" t="n">
        <v>0.07637118456774195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GASO @ CLEM</t>
        </is>
      </c>
      <c r="C158" s="17" t="inlineStr">
        <is>
          <t>2026-09-12 23:30</t>
        </is>
      </c>
      <c r="D158" s="25" t="n">
        <v>2</v>
      </c>
      <c r="E158" s="17" t="inlineStr">
        <is>
          <t>TOTAL</t>
        </is>
      </c>
      <c r="F158" s="17" t="inlineStr">
        <is>
          <t>Under 55.5</t>
        </is>
      </c>
      <c r="G158" s="26" t="n">
        <v>55.5</v>
      </c>
      <c r="H158" s="18" t="n">
        <v>-118</v>
      </c>
      <c r="I158" s="20" t="n">
        <v>0.5827251010311966</v>
      </c>
      <c r="J158" s="20" t="n">
        <v>0.5173641257162701</v>
      </c>
      <c r="K158" s="20" t="n">
        <v>0.5412844036697247</v>
      </c>
      <c r="L158" s="19" t="n">
        <v>0.0825749153915375</v>
      </c>
      <c r="M158" s="19" t="n">
        <v>0.07655993241356662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WES @ ARST</t>
        </is>
      </c>
      <c r="C159" s="12" t="inlineStr">
        <is>
          <t>2026-09-12 23:00</t>
        </is>
      </c>
      <c r="D159" s="22" t="n">
        <v>2</v>
      </c>
      <c r="E159" s="12" t="inlineStr">
        <is>
          <t>TOTAL</t>
        </is>
      </c>
      <c r="F159" s="12" t="inlineStr">
        <is>
          <t>Under 56.5</t>
        </is>
      </c>
      <c r="G159" s="23" t="n">
        <v>56.5</v>
      </c>
      <c r="H159" s="13" t="n">
        <v>-112</v>
      </c>
      <c r="I159" s="15" t="n">
        <v>0.5668408750257057</v>
      </c>
      <c r="J159" s="15" t="n">
        <v>0.5043297540699688</v>
      </c>
      <c r="K159" s="15" t="n">
        <v>0.5283018867924528</v>
      </c>
      <c r="L159" s="14" t="n">
        <v>0.08197879376735226</v>
      </c>
      <c r="M159" s="14" t="n">
        <v>0.07294879915579999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WES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GAST @ KENN</t>
        </is>
      </c>
      <c r="C160" s="17" t="inlineStr">
        <is>
          <t>2026-09-12 23:00</t>
        </is>
      </c>
      <c r="D160" s="25" t="n">
        <v>2</v>
      </c>
      <c r="E160" s="17" t="inlineStr">
        <is>
          <t>ATS</t>
        </is>
      </c>
      <c r="F160" s="17" t="inlineStr">
        <is>
          <t>GAST +8.5</t>
        </is>
      </c>
      <c r="G160" s="26" t="n">
        <v>-8.5</v>
      </c>
      <c r="H160" s="18" t="n">
        <v>-115</v>
      </c>
      <c r="I160" s="20" t="n">
        <v>0.5706108236427494</v>
      </c>
      <c r="J160" s="20" t="n">
        <v>0.5108342361863488</v>
      </c>
      <c r="K160" s="20" t="n">
        <v>0.5348837209302325</v>
      </c>
      <c r="L160" s="19" t="n">
        <v>0.08009357278388564</v>
      </c>
      <c r="M160" s="19" t="n">
        <v>0.06679414854948784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VT @ MD</t>
        </is>
      </c>
      <c r="C161" s="12" t="inlineStr">
        <is>
          <t>2026-09-19 23:30</t>
        </is>
      </c>
      <c r="D161" s="22" t="n">
        <v>3</v>
      </c>
      <c r="E161" s="12" t="inlineStr">
        <is>
          <t>TOTAL</t>
        </is>
      </c>
      <c r="F161" s="12" t="inlineStr">
        <is>
          <t>Over 50.5</t>
        </is>
      </c>
      <c r="G161" s="23" t="n">
        <v>50.5</v>
      </c>
      <c r="H161" s="13" t="n">
        <v>-112</v>
      </c>
      <c r="I161" s="15" t="n">
        <v>0.5630492247307595</v>
      </c>
      <c r="J161" s="15" t="n">
        <v>0.5043297540699688</v>
      </c>
      <c r="K161" s="15" t="n">
        <v>0.5283018867924528</v>
      </c>
      <c r="L161" s="14" t="n">
        <v>0.07992296308358081</v>
      </c>
      <c r="M161" s="14" t="n">
        <v>0.06577174681179465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CAL @ SYR</t>
        </is>
      </c>
      <c r="C162" s="17" t="inlineStr">
        <is>
          <t>2026-09-12 19:30</t>
        </is>
      </c>
      <c r="D162" s="25" t="n">
        <v>2</v>
      </c>
      <c r="E162" s="17" t="inlineStr">
        <is>
          <t>TOTAL</t>
        </is>
      </c>
      <c r="F162" s="17" t="inlineStr">
        <is>
          <t>Under 56.5</t>
        </is>
      </c>
      <c r="G162" s="26" t="n">
        <v>56.5</v>
      </c>
      <c r="H162" s="18" t="n">
        <v>-105</v>
      </c>
      <c r="I162" s="20" t="n">
        <v>0.5439561960007426</v>
      </c>
      <c r="J162" s="20" t="n">
        <v>0.4891657638136511</v>
      </c>
      <c r="K162" s="20" t="n">
        <v>0.5121951219512195</v>
      </c>
      <c r="L162" s="19" t="n">
        <v>0.07857883985465186</v>
      </c>
      <c r="M162" s="19" t="n">
        <v>0.06200971600144989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MSST @ SC</t>
        </is>
      </c>
      <c r="C163" s="12" t="inlineStr">
        <is>
          <t>2026-09-19 20:15</t>
        </is>
      </c>
      <c r="D163" s="22" t="n">
        <v>3</v>
      </c>
      <c r="E163" s="12" t="inlineStr">
        <is>
          <t>ATS</t>
        </is>
      </c>
      <c r="F163" s="12" t="inlineStr">
        <is>
          <t>MSST +7.5</t>
        </is>
      </c>
      <c r="G163" s="23" t="n">
        <v>-7.5</v>
      </c>
      <c r="H163" s="13" t="n">
        <v>-112</v>
      </c>
      <c r="I163" s="15" t="n">
        <v>0.5600348688307211</v>
      </c>
      <c r="J163" s="15" t="n">
        <v>0.5043297540699688</v>
      </c>
      <c r="K163" s="15" t="n">
        <v>0.5283018867924528</v>
      </c>
      <c r="L163" s="14" t="n">
        <v>0.07808130445922927</v>
      </c>
      <c r="M163" s="14" t="n">
        <v>0.06006600171529342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TENN @ GT</t>
        </is>
      </c>
      <c r="C164" s="17" t="inlineStr">
        <is>
          <t>2026-09-12 23:00</t>
        </is>
      </c>
      <c r="D164" s="25" t="n">
        <v>2</v>
      </c>
      <c r="E164" s="17" t="inlineStr">
        <is>
          <t>TOTAL</t>
        </is>
      </c>
      <c r="F164" s="17" t="inlineStr">
        <is>
          <t>Under 55.5</t>
        </is>
      </c>
      <c r="G164" s="26" t="n">
        <v>55.5</v>
      </c>
      <c r="H164" s="18" t="n">
        <v>-110</v>
      </c>
      <c r="I164" s="20" t="n">
        <v>0.5551530099172384</v>
      </c>
      <c r="J164" s="20" t="n">
        <v>0.5</v>
      </c>
      <c r="K164" s="20" t="n">
        <v>0.5238095238095238</v>
      </c>
      <c r="L164" s="19" t="n">
        <v>0.07803330825910013</v>
      </c>
      <c r="M164" s="19" t="n">
        <v>0.05983756438745513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OSU @ TEX</t>
        </is>
      </c>
      <c r="C165" s="12" t="inlineStr">
        <is>
          <t>2026-09-12 23:30</t>
        </is>
      </c>
      <c r="D165" s="22" t="n">
        <v>2</v>
      </c>
      <c r="E165" s="12" t="inlineStr">
        <is>
          <t>ML</t>
        </is>
      </c>
      <c r="F165" s="12" t="inlineStr">
        <is>
          <t>TEX ML</t>
        </is>
      </c>
      <c r="G165" s="23" t="n"/>
      <c r="H165" s="13" t="n">
        <v>-122</v>
      </c>
      <c r="I165" s="15" t="n">
        <v>0.5823820744996605</v>
      </c>
      <c r="J165" s="15" t="n">
        <v>0.5260865852617197</v>
      </c>
      <c r="K165" s="15" t="n">
        <v>0.5495495495495496</v>
      </c>
      <c r="L165" s="14" t="n">
        <v>0.07692944934996318</v>
      </c>
      <c r="M165" s="14" t="n">
        <v>0.05974443064692325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NDSU @ AFA</t>
        </is>
      </c>
      <c r="C166" s="17" t="inlineStr">
        <is>
          <t>2026-09-13 02:00</t>
        </is>
      </c>
      <c r="D166" s="25" t="n">
        <v>2</v>
      </c>
      <c r="E166" s="17" t="inlineStr">
        <is>
          <t>TOTAL</t>
        </is>
      </c>
      <c r="F166" s="17" t="inlineStr">
        <is>
          <t>Over 47.5</t>
        </is>
      </c>
      <c r="G166" s="26" t="n">
        <v>47.5</v>
      </c>
      <c r="H166" s="18" t="n">
        <v>-112</v>
      </c>
      <c r="I166" s="20" t="n">
        <v>0.5573179538896319</v>
      </c>
      <c r="J166" s="20" t="n">
        <v>0.5043297540699688</v>
      </c>
      <c r="K166" s="20" t="n">
        <v>0.5283018867924528</v>
      </c>
      <c r="L166" s="19" t="n">
        <v>0.07624995209571252</v>
      </c>
      <c r="M166" s="19" t="n">
        <v>0.0549232698625175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OSU @ TEX</t>
        </is>
      </c>
      <c r="C167" s="12" t="inlineStr">
        <is>
          <t>2026-09-12 23:30</t>
        </is>
      </c>
      <c r="D167" s="22" t="n">
        <v>2</v>
      </c>
      <c r="E167" s="12" t="inlineStr">
        <is>
          <t>TOTAL</t>
        </is>
      </c>
      <c r="F167" s="12" t="inlineStr">
        <is>
          <t>Over 49.5</t>
        </is>
      </c>
      <c r="G167" s="23" t="n">
        <v>49.5</v>
      </c>
      <c r="H167" s="13" t="n">
        <v>-112</v>
      </c>
      <c r="I167" s="15" t="n">
        <v>0.5573179164147899</v>
      </c>
      <c r="J167" s="15" t="n">
        <v>0.5043297540699688</v>
      </c>
      <c r="K167" s="15" t="n">
        <v>0.5283018867924528</v>
      </c>
      <c r="L167" s="14" t="n">
        <v>0.07624992565877642</v>
      </c>
      <c r="M167" s="14" t="n">
        <v>0.05492319892799502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JVST @ OHIO</t>
        </is>
      </c>
      <c r="C168" s="17" t="inlineStr">
        <is>
          <t>2026-09-12 22:00</t>
        </is>
      </c>
      <c r="D168" s="25" t="n">
        <v>2</v>
      </c>
      <c r="E168" s="17" t="inlineStr">
        <is>
          <t>ML</t>
        </is>
      </c>
      <c r="F168" s="17" t="inlineStr">
        <is>
          <t>OHIO ML</t>
        </is>
      </c>
      <c r="G168" s="26" t="n"/>
      <c r="H168" s="18" t="n">
        <v>-120</v>
      </c>
      <c r="I168" s="20" t="n">
        <v>0.5747531892007591</v>
      </c>
      <c r="J168" s="20" t="n">
        <v>0.5217391304347826</v>
      </c>
      <c r="K168" s="20" t="n">
        <v>0.5454545454545454</v>
      </c>
      <c r="L168" s="19" t="n">
        <v>0.07498384623819697</v>
      </c>
      <c r="M168" s="19" t="n">
        <v>0.05371418020139185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PV @ BAY</t>
        </is>
      </c>
      <c r="C169" s="12" t="inlineStr">
        <is>
          <t>2026-09-13 00:08</t>
        </is>
      </c>
      <c r="D169" s="22" t="n">
        <v>2</v>
      </c>
      <c r="E169" s="12" t="inlineStr">
        <is>
          <t>TOTAL</t>
        </is>
      </c>
      <c r="F169" s="12" t="inlineStr">
        <is>
          <t>Under 55.5</t>
        </is>
      </c>
      <c r="G169" s="23" t="n">
        <v>55.5</v>
      </c>
      <c r="H169" s="13" t="n">
        <v>-110</v>
      </c>
      <c r="I169" s="15" t="n">
        <v>0.54937331036755</v>
      </c>
      <c r="J169" s="15" t="n">
        <v>0.5</v>
      </c>
      <c r="K169" s="15" t="n">
        <v>0.5238095238095238</v>
      </c>
      <c r="L169" s="14" t="n">
        <v>0.07387827816349188</v>
      </c>
      <c r="M169" s="14" t="n">
        <v>0.04880359251986821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PV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ARIZ @ BYU</t>
        </is>
      </c>
      <c r="C170" s="17" t="inlineStr">
        <is>
          <t>2026-09-12 19:30</t>
        </is>
      </c>
      <c r="D170" s="25" t="n">
        <v>2</v>
      </c>
      <c r="E170" s="17" t="inlineStr">
        <is>
          <t>ML</t>
        </is>
      </c>
      <c r="F170" s="17" t="inlineStr">
        <is>
          <t>ARIZ ML</t>
        </is>
      </c>
      <c r="G170" s="26" t="n"/>
      <c r="H170" s="18" t="n">
        <v>220</v>
      </c>
      <c r="I170" s="20" t="n">
        <v>0.3293598658730896</v>
      </c>
      <c r="J170" s="20" t="n">
        <v>0.299837925445705</v>
      </c>
      <c r="K170" s="20" t="n">
        <v>0.3125</v>
      </c>
      <c r="L170" s="19" t="n">
        <v>0.07376459471120127</v>
      </c>
      <c r="M170" s="19" t="n">
        <v>0.0539515707938869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OSU @ TEX</t>
        </is>
      </c>
      <c r="C171" s="12" t="inlineStr">
        <is>
          <t>2026-09-12 23:30</t>
        </is>
      </c>
      <c r="D171" s="22" t="n">
        <v>2</v>
      </c>
      <c r="E171" s="12" t="inlineStr">
        <is>
          <t>ATS</t>
        </is>
      </c>
      <c r="F171" s="12" t="inlineStr">
        <is>
          <t>TEX -1.5</t>
        </is>
      </c>
      <c r="G171" s="23" t="n">
        <v>-1.5</v>
      </c>
      <c r="H171" s="13" t="n">
        <v>-112</v>
      </c>
      <c r="I171" s="15" t="n">
        <v>0.553812174886555</v>
      </c>
      <c r="J171" s="15" t="n">
        <v>0.5043297540699688</v>
      </c>
      <c r="K171" s="15" t="n">
        <v>0.5283018867924528</v>
      </c>
      <c r="L171" s="14" t="n">
        <v>0.0736274302435118</v>
      </c>
      <c r="M171" s="14" t="n">
        <v>0.04828733103526472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RICE @ ND</t>
        </is>
      </c>
      <c r="C172" s="17" t="inlineStr">
        <is>
          <t>2026-09-12 19:30</t>
        </is>
      </c>
      <c r="D172" s="25" t="n">
        <v>2</v>
      </c>
      <c r="E172" s="17" t="inlineStr">
        <is>
          <t>TOTAL</t>
        </is>
      </c>
      <c r="F172" s="17" t="inlineStr">
        <is>
          <t>Under 54.5</t>
        </is>
      </c>
      <c r="G172" s="26" t="n">
        <v>54.5</v>
      </c>
      <c r="H172" s="18" t="n">
        <v>-112</v>
      </c>
      <c r="I172" s="20" t="n">
        <v>0.5534698269438173</v>
      </c>
      <c r="J172" s="20" t="n">
        <v>0.5043297540699688</v>
      </c>
      <c r="K172" s="20" t="n">
        <v>0.5283018867924528</v>
      </c>
      <c r="L172" s="19" t="n">
        <v>0.07335484947008057</v>
      </c>
      <c r="M172" s="19" t="n">
        <v>0.04763931528651133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DEL @ VAN</t>
        </is>
      </c>
      <c r="C173" s="12" t="inlineStr">
        <is>
          <t>2026-09-12 20:15</t>
        </is>
      </c>
      <c r="D173" s="22" t="n">
        <v>2</v>
      </c>
      <c r="E173" s="12" t="inlineStr">
        <is>
          <t>TOTAL</t>
        </is>
      </c>
      <c r="F173" s="12" t="inlineStr">
        <is>
          <t>Under 54.5</t>
        </is>
      </c>
      <c r="G173" s="23" t="n">
        <v>54.5</v>
      </c>
      <c r="H173" s="13" t="n">
        <v>-105</v>
      </c>
      <c r="I173" s="15" t="n">
        <v>0.5361830388758124</v>
      </c>
      <c r="J173" s="15" t="n">
        <v>0.4891657638136511</v>
      </c>
      <c r="K173" s="15" t="n">
        <v>0.5121951219512195</v>
      </c>
      <c r="L173" s="14" t="n">
        <v>0.07281648050069525</v>
      </c>
      <c r="M173" s="14" t="n">
        <v>0.04683355209087181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CAL @ SYR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SYR -3.5</t>
        </is>
      </c>
      <c r="G174" s="26" t="n">
        <v>-3.5</v>
      </c>
      <c r="H174" s="18" t="n">
        <v>-108</v>
      </c>
      <c r="I174" s="20" t="n">
        <v>0.543078977996895</v>
      </c>
      <c r="J174" s="20" t="n">
        <v>0.4956702459300312</v>
      </c>
      <c r="K174" s="20" t="n">
        <v>0.5192307692307693</v>
      </c>
      <c r="L174" s="19" t="n">
        <v>0.07262122532293303</v>
      </c>
      <c r="M174" s="19" t="n">
        <v>0.04592988354957561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JVST @ OHIO</t>
        </is>
      </c>
      <c r="C175" s="12" t="inlineStr">
        <is>
          <t>2026-09-12 22:00</t>
        </is>
      </c>
      <c r="D175" s="22" t="n">
        <v>2</v>
      </c>
      <c r="E175" s="12" t="inlineStr">
        <is>
          <t>ATS</t>
        </is>
      </c>
      <c r="F175" s="12" t="inlineStr">
        <is>
          <t>OHIO -1.5</t>
        </is>
      </c>
      <c r="G175" s="23" t="n">
        <v>-1.5</v>
      </c>
      <c r="H175" s="13" t="n">
        <v>-110</v>
      </c>
      <c r="I175" s="15" t="n">
        <v>0.5460486696882147</v>
      </c>
      <c r="J175" s="15" t="n">
        <v>0.5</v>
      </c>
      <c r="K175" s="15" t="n">
        <v>0.5238095238095238</v>
      </c>
      <c r="L175" s="14" t="n">
        <v>0.07110375637230584</v>
      </c>
      <c r="M175" s="14" t="n">
        <v>0.04245655122295555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ARIZ @ BYU</t>
        </is>
      </c>
      <c r="C176" s="17" t="inlineStr">
        <is>
          <t>2026-09-12 19:30</t>
        </is>
      </c>
      <c r="D176" s="25" t="n">
        <v>2</v>
      </c>
      <c r="E176" s="17" t="inlineStr">
        <is>
          <t>ATS</t>
        </is>
      </c>
      <c r="F176" s="17" t="inlineStr">
        <is>
          <t>ARIZ +7</t>
        </is>
      </c>
      <c r="G176" s="26" t="n">
        <v>-7</v>
      </c>
      <c r="H176" s="18" t="n">
        <v>-112</v>
      </c>
      <c r="I176" s="20" t="n">
        <v>0.5502922659315891</v>
      </c>
      <c r="J176" s="20" t="n">
        <v>0.5043297540699688</v>
      </c>
      <c r="K176" s="20" t="n">
        <v>0.5283018867924528</v>
      </c>
      <c r="L176" s="19" t="n">
        <v>0.07067766585431304</v>
      </c>
      <c r="M176" s="19" t="n">
        <v>0.03953092652239999</v>
      </c>
      <c r="N176" s="20" t="n">
        <v>0.0503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USA @ TULN</t>
        </is>
      </c>
      <c r="C177" s="12" t="inlineStr">
        <is>
          <t>2026-09-12 23:00</t>
        </is>
      </c>
      <c r="D177" s="22" t="n">
        <v>2</v>
      </c>
      <c r="E177" s="12" t="inlineStr">
        <is>
          <t>TOTAL</t>
        </is>
      </c>
      <c r="F177" s="12" t="inlineStr">
        <is>
          <t>Over 48.5</t>
        </is>
      </c>
      <c r="G177" s="23" t="n">
        <v>48.5</v>
      </c>
      <c r="H177" s="13" t="n">
        <v>-112</v>
      </c>
      <c r="I177" s="15" t="n">
        <v>0.549601750764936</v>
      </c>
      <c r="J177" s="15" t="n">
        <v>0.5043297540699688</v>
      </c>
      <c r="K177" s="15" t="n">
        <v>0.5283018867924528</v>
      </c>
      <c r="L177" s="14" t="n">
        <v>0.0700597460908845</v>
      </c>
      <c r="M177" s="14" t="n">
        <v>0.04031759966220028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MONM @ WMU</t>
        </is>
      </c>
      <c r="C178" s="17" t="inlineStr">
        <is>
          <t>2026-09-12 22:30</t>
        </is>
      </c>
      <c r="D178" s="25" t="n">
        <v>2</v>
      </c>
      <c r="E178" s="17" t="inlineStr">
        <is>
          <t>TOTAL</t>
        </is>
      </c>
      <c r="F178" s="17" t="inlineStr">
        <is>
          <t>Under 53.5</t>
        </is>
      </c>
      <c r="G178" s="26" t="n">
        <v>53.5</v>
      </c>
      <c r="H178" s="18" t="n">
        <v>-108</v>
      </c>
      <c r="I178" s="20" t="n">
        <v>0.5394352708669639</v>
      </c>
      <c r="J178" s="20" t="n">
        <v>0.4956702459300312</v>
      </c>
      <c r="K178" s="20" t="n">
        <v>0.5192307692307693</v>
      </c>
      <c r="L178" s="19" t="n">
        <v>0.069380597575778</v>
      </c>
      <c r="M178" s="19" t="n">
        <v>0.03891237352156018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MONM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GAST @ KENN</t>
        </is>
      </c>
      <c r="C179" s="12" t="inlineStr">
        <is>
          <t>2026-09-12 23:00</t>
        </is>
      </c>
      <c r="D179" s="22" t="n">
        <v>2</v>
      </c>
      <c r="E179" s="12" t="inlineStr">
        <is>
          <t>TOTAL</t>
        </is>
      </c>
      <c r="F179" s="12" t="inlineStr">
        <is>
          <t>Under 55.5</t>
        </is>
      </c>
      <c r="G179" s="23" t="n">
        <v>55.5</v>
      </c>
      <c r="H179" s="13" t="n">
        <v>-115</v>
      </c>
      <c r="I179" s="15" t="n">
        <v>0.5547904284607245</v>
      </c>
      <c r="J179" s="15" t="n">
        <v>0.5108342361863488</v>
      </c>
      <c r="K179" s="15" t="n">
        <v>0.5348837209302325</v>
      </c>
      <c r="L179" s="14" t="n">
        <v>0.06831395932472718</v>
      </c>
      <c r="M179" s="14" t="n">
        <v>0.03721688799178913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BGSU @ NEB</t>
        </is>
      </c>
      <c r="C180" s="17" t="inlineStr">
        <is>
          <t>2026-09-12 23:00</t>
        </is>
      </c>
      <c r="D180" s="25" t="n">
        <v>2</v>
      </c>
      <c r="E180" s="17" t="inlineStr">
        <is>
          <t>TOTAL</t>
        </is>
      </c>
      <c r="F180" s="17" t="inlineStr">
        <is>
          <t>Over 49.5</t>
        </is>
      </c>
      <c r="G180" s="26" t="n">
        <v>49.5</v>
      </c>
      <c r="H180" s="18" t="n">
        <v>-112</v>
      </c>
      <c r="I180" s="20" t="n">
        <v>0.5476605923756908</v>
      </c>
      <c r="J180" s="20" t="n">
        <v>0.5043297540699688</v>
      </c>
      <c r="K180" s="20" t="n">
        <v>0.5283018867924528</v>
      </c>
      <c r="L180" s="19" t="n">
        <v>0.06825102957865932</v>
      </c>
      <c r="M180" s="19" t="n">
        <v>0.03664326413970032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LT @ LSU</t>
        </is>
      </c>
      <c r="C181" s="12" t="inlineStr">
        <is>
          <t>2026-09-12 23:30</t>
        </is>
      </c>
      <c r="D181" s="22" t="n">
        <v>2</v>
      </c>
      <c r="E181" s="12" t="inlineStr">
        <is>
          <t>TOTAL</t>
        </is>
      </c>
      <c r="F181" s="12" t="inlineStr">
        <is>
          <t>Under 55.5</t>
        </is>
      </c>
      <c r="G181" s="23" t="n">
        <v>55.5</v>
      </c>
      <c r="H181" s="13" t="n">
        <v>-112</v>
      </c>
      <c r="I181" s="15" t="n">
        <v>0.545714943822319</v>
      </c>
      <c r="J181" s="15" t="n">
        <v>0.5043297540699688</v>
      </c>
      <c r="K181" s="15" t="n">
        <v>0.5283018867924528</v>
      </c>
      <c r="L181" s="14" t="n">
        <v>0.0663293593696143</v>
      </c>
      <c r="M181" s="14" t="n">
        <v>0.03296042937796084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MEM @ BOIS</t>
        </is>
      </c>
      <c r="C182" s="17" t="inlineStr">
        <is>
          <t>2026-09-12 22:00</t>
        </is>
      </c>
      <c r="D182" s="25" t="n">
        <v>2</v>
      </c>
      <c r="E182" s="17" t="inlineStr">
        <is>
          <t>TOTAL</t>
        </is>
      </c>
      <c r="F182" s="17" t="inlineStr">
        <is>
          <t>Under 54.5</t>
        </is>
      </c>
      <c r="G182" s="26" t="n">
        <v>54.5</v>
      </c>
      <c r="H182" s="18" t="n">
        <v>-105</v>
      </c>
      <c r="I182" s="20" t="n">
        <v>0.5283442758453987</v>
      </c>
      <c r="J182" s="20" t="n">
        <v>0.4891657638136511</v>
      </c>
      <c r="K182" s="20" t="n">
        <v>0.5121951219512195</v>
      </c>
      <c r="L182" s="19" t="n">
        <v>0.06530646459384387</v>
      </c>
      <c r="M182" s="19" t="n">
        <v>0.03152930046006408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EMU @ MSU</t>
        </is>
      </c>
      <c r="C183" s="12" t="inlineStr">
        <is>
          <t>2026-09-12 19:30</t>
        </is>
      </c>
      <c r="D183" s="22" t="n">
        <v>2</v>
      </c>
      <c r="E183" s="12" t="inlineStr">
        <is>
          <t>TOTAL</t>
        </is>
      </c>
      <c r="F183" s="12" t="inlineStr">
        <is>
          <t>Over 49.5</t>
        </is>
      </c>
      <c r="G183" s="23" t="n">
        <v>49.5</v>
      </c>
      <c r="H183" s="13" t="n">
        <v>-110</v>
      </c>
      <c r="I183" s="15" t="n">
        <v>0.5396461907776193</v>
      </c>
      <c r="J183" s="15" t="n">
        <v>0.5</v>
      </c>
      <c r="K183" s="15" t="n">
        <v>0.5238095238095238</v>
      </c>
      <c r="L183" s="14" t="n">
        <v>0.06488200639722276</v>
      </c>
      <c r="M183" s="14" t="n">
        <v>0.03023363693909142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WVU @ UVA</t>
        </is>
      </c>
      <c r="C184" s="17" t="inlineStr">
        <is>
          <t>2026-09-19 23:30</t>
        </is>
      </c>
      <c r="D184" s="25" t="n">
        <v>3</v>
      </c>
      <c r="E184" s="17" t="inlineStr">
        <is>
          <t>TOTAL</t>
        </is>
      </c>
      <c r="F184" s="17" t="inlineStr">
        <is>
          <t>Under 52.5</t>
        </is>
      </c>
      <c r="G184" s="26" t="n">
        <v>52.5</v>
      </c>
      <c r="H184" s="18" t="n">
        <v>-112</v>
      </c>
      <c r="I184" s="20" t="n">
        <v>0.5437650097011659</v>
      </c>
      <c r="J184" s="20" t="n">
        <v>0.5043297540699688</v>
      </c>
      <c r="K184" s="20" t="n">
        <v>0.5283018867924528</v>
      </c>
      <c r="L184" s="19" t="n">
        <v>0.06429099454982265</v>
      </c>
      <c r="M184" s="19" t="n">
        <v>0.02926948264863549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SMU @ LOU</t>
        </is>
      </c>
      <c r="C185" s="12" t="inlineStr">
        <is>
          <t>2026-09-19 19:30</t>
        </is>
      </c>
      <c r="D185" s="22" t="n">
        <v>3</v>
      </c>
      <c r="E185" s="12" t="inlineStr">
        <is>
          <t>ML</t>
        </is>
      </c>
      <c r="F185" s="12" t="inlineStr">
        <is>
          <t>LOU ML</t>
        </is>
      </c>
      <c r="G185" s="23" t="n"/>
      <c r="H185" s="13" t="n">
        <v>-115</v>
      </c>
      <c r="I185" s="15" t="n">
        <v>0.5454817148059408</v>
      </c>
      <c r="J185" s="15" t="n">
        <v>0.5108342361863488</v>
      </c>
      <c r="K185" s="15" t="n">
        <v>0.5348837209302325</v>
      </c>
      <c r="L185" s="14" t="n">
        <v>0.05824906412154902</v>
      </c>
      <c r="M185" s="14" t="n">
        <v>0.01981364072415004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MTST @ NEV</t>
        </is>
      </c>
      <c r="C186" s="17" t="inlineStr">
        <is>
          <t>2026-09-13 02:30</t>
        </is>
      </c>
      <c r="D186" s="25" t="n">
        <v>2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-115</v>
      </c>
      <c r="I186" s="20" t="n">
        <v>0.5450632898743175</v>
      </c>
      <c r="J186" s="20" t="n">
        <v>0.5108342361863488</v>
      </c>
      <c r="K186" s="20" t="n">
        <v>0.5348837209302325</v>
      </c>
      <c r="L186" s="19" t="n">
        <v>0.0577352005761445</v>
      </c>
      <c r="M186" s="19" t="n">
        <v>0.01903136802589778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MTST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JVST @ OHIO</t>
        </is>
      </c>
      <c r="C187" s="12" t="inlineStr">
        <is>
          <t>2026-09-12 22:00</t>
        </is>
      </c>
      <c r="D187" s="22" t="n">
        <v>2</v>
      </c>
      <c r="E187" s="12" t="inlineStr">
        <is>
          <t>TOTAL</t>
        </is>
      </c>
      <c r="F187" s="12" t="inlineStr">
        <is>
          <t>Over 50.5</t>
        </is>
      </c>
      <c r="G187" s="23" t="n">
        <v>50.5</v>
      </c>
      <c r="H187" s="13" t="n">
        <v>-108</v>
      </c>
      <c r="I187" s="15" t="n">
        <v>0.5276563283782866</v>
      </c>
      <c r="J187" s="15" t="n">
        <v>0.4956702459300312</v>
      </c>
      <c r="K187" s="15" t="n">
        <v>0.5192307692307693</v>
      </c>
      <c r="L187" s="14" t="n">
        <v>0.05614944743252495</v>
      </c>
      <c r="M187" s="14" t="n">
        <v>0.01622700280262612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MERC @ UNM</t>
        </is>
      </c>
      <c r="C188" s="17" t="inlineStr">
        <is>
          <t>2026-09-12 20:00</t>
        </is>
      </c>
      <c r="D188" s="25" t="n">
        <v>2</v>
      </c>
      <c r="E188" s="17" t="inlineStr">
        <is>
          <t>TOTAL</t>
        </is>
      </c>
      <c r="F188" s="17" t="inlineStr">
        <is>
          <t>Under 54.5</t>
        </is>
      </c>
      <c r="G188" s="26" t="n">
        <v>54.5</v>
      </c>
      <c r="H188" s="18" t="n">
        <v>-112</v>
      </c>
      <c r="I188" s="20" t="n">
        <v>0.5359262709735575</v>
      </c>
      <c r="J188" s="20" t="n">
        <v>0.5043297540699688</v>
      </c>
      <c r="K188" s="20" t="n">
        <v>0.5283018867924528</v>
      </c>
      <c r="L188" s="19" t="n">
        <v>0.05491157972669057</v>
      </c>
      <c r="M188" s="19" t="n">
        <v>0.0144318700570909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MERC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UTSA @ TXST</t>
        </is>
      </c>
      <c r="C189" s="12" t="inlineStr">
        <is>
          <t>2026-09-12 19:30</t>
        </is>
      </c>
      <c r="D189" s="22" t="n">
        <v>2</v>
      </c>
      <c r="E189" s="12" t="inlineStr">
        <is>
          <t>ML</t>
        </is>
      </c>
      <c r="F189" s="12" t="inlineStr">
        <is>
          <t>TXST ML</t>
        </is>
      </c>
      <c r="G189" s="23" t="n"/>
      <c r="H189" s="13" t="n">
        <v>-135</v>
      </c>
      <c r="I189" s="15" t="n">
        <v>0.5854807094033342</v>
      </c>
      <c r="J189" s="15" t="n">
        <v>0.551441114716549</v>
      </c>
      <c r="K189" s="15" t="n">
        <v>0.574468085106383</v>
      </c>
      <c r="L189" s="14" t="n">
        <v>0.05429412464529299</v>
      </c>
      <c r="M189" s="14" t="n">
        <v>0.01917012377617433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CAL @ SYR</t>
        </is>
      </c>
      <c r="C190" s="17" t="inlineStr">
        <is>
          <t>2026-09-12 19:30</t>
        </is>
      </c>
      <c r="D190" s="25" t="n">
        <v>2</v>
      </c>
      <c r="E190" s="17" t="inlineStr">
        <is>
          <t>ML</t>
        </is>
      </c>
      <c r="F190" s="17" t="inlineStr">
        <is>
          <t>SYR ML</t>
        </is>
      </c>
      <c r="G190" s="26" t="n"/>
      <c r="H190" s="18" t="n">
        <v>-192</v>
      </c>
      <c r="I190" s="20" t="n">
        <v>0.668950581653422</v>
      </c>
      <c r="J190" s="20" t="n">
        <v>0.6309403437815976</v>
      </c>
      <c r="K190" s="20" t="n">
        <v>0.6575342465753424</v>
      </c>
      <c r="L190" s="19" t="n">
        <v>0.05328548848665306</v>
      </c>
      <c r="M190" s="19" t="n">
        <v>0.01736234293124617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UTSA @ TXST</t>
        </is>
      </c>
      <c r="C191" s="12" t="inlineStr">
        <is>
          <t>2026-09-12 19:30</t>
        </is>
      </c>
      <c r="D191" s="22" t="n">
        <v>2</v>
      </c>
      <c r="E191" s="12" t="inlineStr">
        <is>
          <t>ATS</t>
        </is>
      </c>
      <c r="F191" s="12" t="inlineStr">
        <is>
          <t>TXST -2.5</t>
        </is>
      </c>
      <c r="G191" s="23" t="n">
        <v>-2.5</v>
      </c>
      <c r="H191" s="13" t="n">
        <v>-110</v>
      </c>
      <c r="I191" s="15" t="n">
        <v>0.5283428098928762</v>
      </c>
      <c r="J191" s="15" t="n">
        <v>0.5</v>
      </c>
      <c r="K191" s="15" t="n">
        <v>0.5238095238095238</v>
      </c>
      <c r="L191" s="14" t="n">
        <v>0.0507956054279338</v>
      </c>
      <c r="M191" s="14" t="n">
        <v>0.008654455250036497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TTU @ ORST</t>
        </is>
      </c>
      <c r="C192" s="17" t="inlineStr">
        <is>
          <t>2026-09-12 23:30</t>
        </is>
      </c>
      <c r="D192" s="25" t="n">
        <v>2</v>
      </c>
      <c r="E192" s="17" t="inlineStr">
        <is>
          <t>TOTAL</t>
        </is>
      </c>
      <c r="F192" s="17" t="inlineStr">
        <is>
          <t>Under 52.5</t>
        </is>
      </c>
      <c r="G192" s="26" t="n">
        <v>52.5</v>
      </c>
      <c r="H192" s="18" t="n">
        <v>-108</v>
      </c>
      <c r="I192" s="20" t="n">
        <v>0.5237042134645598</v>
      </c>
      <c r="J192" s="20" t="n">
        <v>0.4956702459300312</v>
      </c>
      <c r="K192" s="20" t="n">
        <v>0.5192307692307693</v>
      </c>
      <c r="L192" s="19" t="n">
        <v>0.05070418917073349</v>
      </c>
      <c r="M192" s="19" t="n">
        <v>0.008615522228041073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SMU @ LOU</t>
        </is>
      </c>
      <c r="C193" s="12" t="inlineStr">
        <is>
          <t>2026-09-19 19:30</t>
        </is>
      </c>
      <c r="D193" s="22" t="n">
        <v>3</v>
      </c>
      <c r="E193" s="12" t="inlineStr">
        <is>
          <t>ATS</t>
        </is>
      </c>
      <c r="F193" s="12" t="inlineStr">
        <is>
          <t>LOU -1.5</t>
        </is>
      </c>
      <c r="G193" s="23" t="n">
        <v>-1.5</v>
      </c>
      <c r="H193" s="13" t="n">
        <v>-105</v>
      </c>
      <c r="I193" s="15" t="n">
        <v>0.5163626159504482</v>
      </c>
      <c r="J193" s="15" t="n">
        <v>0.4891657638136511</v>
      </c>
      <c r="K193" s="15" t="n">
        <v>0.5121951219512195</v>
      </c>
      <c r="L193" s="14" t="n">
        <v>0.05001449652658983</v>
      </c>
      <c r="M193" s="14" t="n">
        <v>0.008136535903255915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ARK @ UTAH</t>
        </is>
      </c>
      <c r="C194" s="17" t="inlineStr">
        <is>
          <t>2026-09-13 02:15</t>
        </is>
      </c>
      <c r="D194" s="25" t="n">
        <v>2</v>
      </c>
      <c r="E194" s="17" t="inlineStr">
        <is>
          <t>TOTAL</t>
        </is>
      </c>
      <c r="F194" s="17" t="inlineStr">
        <is>
          <t>Under 55.5</t>
        </is>
      </c>
      <c r="G194" s="26" t="n">
        <v>55.5</v>
      </c>
      <c r="H194" s="18" t="n">
        <v>-108</v>
      </c>
      <c r="I194" s="20" t="n">
        <v>0.5177573143570215</v>
      </c>
      <c r="J194" s="20" t="n">
        <v>0.4956702459300312</v>
      </c>
      <c r="K194" s="20" t="n">
        <v>0.5192307692307693</v>
      </c>
      <c r="L194" s="19" t="n">
        <v>0.04155619010855181</v>
      </c>
      <c r="M194" s="19" t="n">
        <v>-0.002837764942032472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MSST @ SC</t>
        </is>
      </c>
      <c r="C195" s="12" t="inlineStr">
        <is>
          <t>2026-09-19 20:15</t>
        </is>
      </c>
      <c r="D195" s="22" t="n">
        <v>3</v>
      </c>
      <c r="E195" s="12" t="inlineStr">
        <is>
          <t>TOTAL</t>
        </is>
      </c>
      <c r="F195" s="12" t="inlineStr">
        <is>
          <t>Under 54.5</t>
        </is>
      </c>
      <c r="G195" s="23" t="n">
        <v>54.5</v>
      </c>
      <c r="H195" s="13" t="n">
        <v>-105</v>
      </c>
      <c r="I195" s="15" t="n">
        <v>0.5105301946162645</v>
      </c>
      <c r="J195" s="15" t="n">
        <v>0.4891657638136511</v>
      </c>
      <c r="K195" s="15" t="n">
        <v>0.5121951219512195</v>
      </c>
      <c r="L195" s="14" t="n">
        <v>0.04083781551930204</v>
      </c>
      <c r="M195" s="14" t="n">
        <v>-0.003250572415864572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MD @ CONN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0.5260540087440144</v>
      </c>
      <c r="J196" s="20" t="n">
        <v>0.5043297540699688</v>
      </c>
      <c r="K196" s="20" t="n">
        <v>0.5283018867924528</v>
      </c>
      <c r="L196" s="19" t="n">
        <v>0.04034757696006835</v>
      </c>
      <c r="M196" s="19" t="n">
        <v>-0.004254912020258406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SDSU @ UCLA</t>
        </is>
      </c>
      <c r="C197" s="12" t="inlineStr">
        <is>
          <t>2026-09-12 23:15</t>
        </is>
      </c>
      <c r="D197" s="22" t="n">
        <v>2</v>
      </c>
      <c r="E197" s="12" t="inlineStr">
        <is>
          <t>TOTAL</t>
        </is>
      </c>
      <c r="F197" s="12" t="inlineStr">
        <is>
          <t>Under 54.5</t>
        </is>
      </c>
      <c r="G197" s="23" t="n">
        <v>54.5</v>
      </c>
      <c r="H197" s="13" t="n">
        <v>-112</v>
      </c>
      <c r="I197" s="15" t="n">
        <v>0.526053992367612</v>
      </c>
      <c r="J197" s="15" t="n">
        <v>0.5043297540699688</v>
      </c>
      <c r="K197" s="15" t="n">
        <v>0.5283018867924528</v>
      </c>
      <c r="L197" s="14" t="n">
        <v>0.04034755034566886</v>
      </c>
      <c r="M197" s="14" t="n">
        <v>-0.004254943018448865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MIA @ WAKE</t>
        </is>
      </c>
      <c r="C198" s="17" t="inlineStr">
        <is>
          <t>2026-09-18 23:30</t>
        </is>
      </c>
      <c r="D198" s="25" t="n">
        <v>3</v>
      </c>
      <c r="E198" s="17" t="inlineStr">
        <is>
          <t>TOTAL</t>
        </is>
      </c>
      <c r="F198" s="17" t="inlineStr">
        <is>
          <t>Under 53.5</t>
        </is>
      </c>
      <c r="G198" s="26" t="n">
        <v>53.5</v>
      </c>
      <c r="H198" s="18" t="n">
        <v>-112</v>
      </c>
      <c r="I198" s="20" t="n">
        <v>0.5260539862537245</v>
      </c>
      <c r="J198" s="20" t="n">
        <v>0.5043297540699688</v>
      </c>
      <c r="K198" s="20" t="n">
        <v>0.5283018867924528</v>
      </c>
      <c r="L198" s="19" t="n">
        <v>0.04034754040957481</v>
      </c>
      <c r="M198" s="19" t="n">
        <v>-0.004254954591164428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MSU @ ND</t>
        </is>
      </c>
      <c r="C199" s="12" t="inlineStr">
        <is>
          <t>2026-09-19 23:30</t>
        </is>
      </c>
      <c r="D199" s="22" t="n">
        <v>3</v>
      </c>
      <c r="E199" s="12" t="inlineStr">
        <is>
          <t>TOTAL</t>
        </is>
      </c>
      <c r="F199" s="12" t="inlineStr">
        <is>
          <t>Under 53.5</t>
        </is>
      </c>
      <c r="G199" s="23" t="n">
        <v>53.5</v>
      </c>
      <c r="H199" s="13" t="n">
        <v>-105</v>
      </c>
      <c r="I199" s="15" t="n">
        <v>0.508540264295017</v>
      </c>
      <c r="J199" s="15" t="n">
        <v>0.4891657638136511</v>
      </c>
      <c r="K199" s="15" t="n">
        <v>0.5121951219512195</v>
      </c>
      <c r="L199" s="14" t="n">
        <v>0.03746144601331465</v>
      </c>
      <c r="M199" s="14" t="n">
        <v>-0.007135674471633546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UCF @ PITT</t>
        </is>
      </c>
      <c r="C200" s="17" t="inlineStr">
        <is>
          <t>2026-09-12 19:30</t>
        </is>
      </c>
      <c r="D200" s="25" t="n">
        <v>2</v>
      </c>
      <c r="E200" s="17" t="inlineStr">
        <is>
          <t>TOTAL</t>
        </is>
      </c>
      <c r="F200" s="17" t="inlineStr">
        <is>
          <t>Under 55.5</t>
        </is>
      </c>
      <c r="G200" s="26" t="n">
        <v>55.5</v>
      </c>
      <c r="H200" s="18" t="n">
        <v>-112</v>
      </c>
      <c r="I200" s="20" t="n">
        <v>0.5240716239934029</v>
      </c>
      <c r="J200" s="20" t="n">
        <v>0.5043297540699688</v>
      </c>
      <c r="K200" s="20" t="n">
        <v>0.5283018867924528</v>
      </c>
      <c r="L200" s="19" t="n">
        <v>0.03707014596683779</v>
      </c>
      <c r="M200" s="19" t="n">
        <v>-0.008007283155344491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FLA @ AUB</t>
        </is>
      </c>
      <c r="C201" s="12" t="inlineStr">
        <is>
          <t>2026-09-19 23:00</t>
        </is>
      </c>
      <c r="D201" s="22" t="n">
        <v>3</v>
      </c>
      <c r="E201" s="12" t="inlineStr">
        <is>
          <t>TOTAL</t>
        </is>
      </c>
      <c r="F201" s="12" t="inlineStr">
        <is>
          <t>Over 51.5</t>
        </is>
      </c>
      <c r="G201" s="23" t="n">
        <v>51.5</v>
      </c>
      <c r="H201" s="13" t="n">
        <v>-108</v>
      </c>
      <c r="I201" s="15" t="n">
        <v>0.5137824595349592</v>
      </c>
      <c r="J201" s="15" t="n">
        <v>0.4956702459300312</v>
      </c>
      <c r="K201" s="15" t="n">
        <v>0.5192307692307693</v>
      </c>
      <c r="L201" s="14" t="n">
        <v>0.03483941920607268</v>
      </c>
      <c r="M201" s="14" t="n">
        <v>-0.01049304089563419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NMSU @ HAW</t>
        </is>
      </c>
      <c r="C202" s="17" t="inlineStr">
        <is>
          <t>2026-09-13 03:59</t>
        </is>
      </c>
      <c r="D202" s="25" t="n">
        <v>2</v>
      </c>
      <c r="E202" s="17" t="inlineStr">
        <is>
          <t>TOTAL</t>
        </is>
      </c>
      <c r="F202" s="17" t="inlineStr">
        <is>
          <t>Over 50.5</t>
        </is>
      </c>
      <c r="G202" s="26" t="n">
        <v>50.5</v>
      </c>
      <c r="H202" s="18" t="n">
        <v>-110</v>
      </c>
      <c r="I202" s="20" t="n">
        <v>0.5179356805843088</v>
      </c>
      <c r="J202" s="20" t="n">
        <v>0.5</v>
      </c>
      <c r="K202" s="20" t="n">
        <v>0.5238095238095238</v>
      </c>
      <c r="L202" s="19" t="n">
        <v>0.03425847646265406</v>
      </c>
      <c r="M202" s="19" t="n">
        <v>-0.01121370070268313</v>
      </c>
      <c r="N202" s="20" t="n">
        <v>0</v>
      </c>
      <c r="O202" s="27" t="n">
        <v>0.839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FOR @ CCU</t>
        </is>
      </c>
      <c r="C203" s="12" t="inlineStr">
        <is>
          <t>2026-09-12 23:30</t>
        </is>
      </c>
      <c r="D203" s="22" t="n">
        <v>2</v>
      </c>
      <c r="E203" s="12" t="inlineStr">
        <is>
          <t>TOTAL</t>
        </is>
      </c>
      <c r="F203" s="12" t="inlineStr">
        <is>
          <t>Under 53.5</t>
        </is>
      </c>
      <c r="G203" s="23" t="n">
        <v>53.5</v>
      </c>
      <c r="H203" s="13" t="n">
        <v>-110</v>
      </c>
      <c r="I203" s="15" t="n">
        <v>0.5179356401698167</v>
      </c>
      <c r="J203" s="15" t="n">
        <v>0.5</v>
      </c>
      <c r="K203" s="15" t="n">
        <v>0.5238095238095238</v>
      </c>
      <c r="L203" s="14" t="n">
        <v>0.03425840614493789</v>
      </c>
      <c r="M203" s="14" t="n">
        <v>-0.01121377785762256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FOR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FSU @ ALA</t>
        </is>
      </c>
      <c r="C204" s="17" t="inlineStr">
        <is>
          <t>2026-09-19 19:30</t>
        </is>
      </c>
      <c r="D204" s="25" t="n">
        <v>3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-112</v>
      </c>
      <c r="I204" s="20" t="n">
        <v>0.5220870993245796</v>
      </c>
      <c r="J204" s="20" t="n">
        <v>0.5043297540699688</v>
      </c>
      <c r="K204" s="20" t="n">
        <v>0.5283018867924528</v>
      </c>
      <c r="L204" s="19" t="n">
        <v>0.03368149964348378</v>
      </c>
      <c r="M204" s="19" t="n">
        <v>-0.01176370484990286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ILL</t>
        </is>
      </c>
      <c r="C205" s="12" t="inlineStr">
        <is>
          <t>2026-09-12 19:30</t>
        </is>
      </c>
      <c r="D205" s="22" t="n">
        <v>2</v>
      </c>
      <c r="E205" s="12" t="inlineStr">
        <is>
          <t>ATS</t>
        </is>
      </c>
      <c r="F205" s="12" t="inlineStr">
        <is>
          <t>DUKE +6</t>
        </is>
      </c>
      <c r="G205" s="23" t="n">
        <v>-6</v>
      </c>
      <c r="H205" s="13" t="n">
        <v>-112</v>
      </c>
      <c r="I205" s="15" t="n">
        <v>0.5206065977717762</v>
      </c>
      <c r="J205" s="15" t="n">
        <v>0.5043297540699688</v>
      </c>
      <c r="K205" s="15" t="n">
        <v>0.5283018867924528</v>
      </c>
      <c r="L205" s="14" t="n">
        <v>0.0310873249949951</v>
      </c>
      <c r="M205" s="14" t="n">
        <v>-0.01414657960481078</v>
      </c>
      <c r="N205" s="15" t="n">
        <v>0.0288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TXSO @ UTEP</t>
        </is>
      </c>
      <c r="C206" s="17" t="inlineStr">
        <is>
          <t>2026-09-13 01:00</t>
        </is>
      </c>
      <c r="D206" s="25" t="n">
        <v>2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-112</v>
      </c>
      <c r="I206" s="20" t="n">
        <v>0.5201005390935566</v>
      </c>
      <c r="J206" s="20" t="n">
        <v>0.5043297540699688</v>
      </c>
      <c r="K206" s="20" t="n">
        <v>0.5283018867924528</v>
      </c>
      <c r="L206" s="19" t="n">
        <v>0.03018827263554544</v>
      </c>
      <c r="M206" s="19" t="n">
        <v>-0.01552397957291074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TXSO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MSST @ MINN</t>
        </is>
      </c>
      <c r="C207" s="12" t="inlineStr">
        <is>
          <t>2026-09-12 19:30</t>
        </is>
      </c>
      <c r="D207" s="22" t="n">
        <v>2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-108</v>
      </c>
      <c r="I207" s="15" t="n">
        <v>0.5098011901973126</v>
      </c>
      <c r="J207" s="15" t="n">
        <v>0.4956702459300312</v>
      </c>
      <c r="K207" s="15" t="n">
        <v>0.5192307692307693</v>
      </c>
      <c r="L207" s="14" t="n">
        <v>0.02768271491241404</v>
      </c>
      <c r="M207" s="14" t="n">
        <v>-0.0181606707311015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ALST @ TROY</t>
        </is>
      </c>
      <c r="C208" s="17" t="inlineStr">
        <is>
          <t>2026-09-12 20:00</t>
        </is>
      </c>
      <c r="D208" s="25" t="n">
        <v>2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-115</v>
      </c>
      <c r="I208" s="20" t="n">
        <v>0.5253393292391075</v>
      </c>
      <c r="J208" s="20" t="n">
        <v>0.5108342361863488</v>
      </c>
      <c r="K208" s="20" t="n">
        <v>0.5348837209302325</v>
      </c>
      <c r="L208" s="19" t="n">
        <v>0.02757849707500932</v>
      </c>
      <c r="M208" s="19" t="n">
        <v>-0.01784386272688598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ALST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WIU @ WIS</t>
        </is>
      </c>
      <c r="C209" s="12" t="inlineStr">
        <is>
          <t>2026-09-12 23:15</t>
        </is>
      </c>
      <c r="D209" s="22" t="n">
        <v>2</v>
      </c>
      <c r="E209" s="12" t="inlineStr">
        <is>
          <t>TOTAL</t>
        </is>
      </c>
      <c r="F209" s="12" t="inlineStr">
        <is>
          <t>Over 51.5</t>
        </is>
      </c>
      <c r="G209" s="23" t="n">
        <v>51.5</v>
      </c>
      <c r="H209" s="13" t="n">
        <v>-110</v>
      </c>
      <c r="I209" s="15" t="n">
        <v>0.5139574116298731</v>
      </c>
      <c r="J209" s="15" t="n">
        <v>0.5</v>
      </c>
      <c r="K209" s="15" t="n">
        <v>0.5238095238095238</v>
      </c>
      <c r="L209" s="14" t="n">
        <v>0.02713822544934924</v>
      </c>
      <c r="M209" s="14" t="n">
        <v>-0.01880857779751499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WIU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DUKE @ ILL</t>
        </is>
      </c>
      <c r="C210" s="17" t="inlineStr">
        <is>
          <t>2026-09-12 19:30</t>
        </is>
      </c>
      <c r="D210" s="25" t="n">
        <v>2</v>
      </c>
      <c r="E210" s="17" t="inlineStr">
        <is>
          <t>TOTAL</t>
        </is>
      </c>
      <c r="F210" s="17" t="inlineStr">
        <is>
          <t>Over 51.5</t>
        </is>
      </c>
      <c r="G210" s="26" t="n">
        <v>51.5</v>
      </c>
      <c r="H210" s="18" t="n">
        <v>-105</v>
      </c>
      <c r="I210" s="20" t="n">
        <v>0.5102607715387777</v>
      </c>
      <c r="J210" s="20" t="n">
        <v>0.4965893587994543</v>
      </c>
      <c r="K210" s="20" t="n">
        <v>0.5121951219512195</v>
      </c>
      <c r="L210" s="19" t="n">
        <v>0.02678496846689321</v>
      </c>
      <c r="M210" s="19" t="n">
        <v>-0.003776588900481714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STBK @ BALL</t>
        </is>
      </c>
      <c r="C211" s="12" t="inlineStr">
        <is>
          <t>2026-09-12 18:00</t>
        </is>
      </c>
      <c r="D211" s="22" t="n">
        <v>2</v>
      </c>
      <c r="E211" s="12" t="inlineStr">
        <is>
          <t>TOTAL</t>
        </is>
      </c>
      <c r="F211" s="12" t="inlineStr">
        <is>
          <t>Over 52.5</t>
        </is>
      </c>
      <c r="G211" s="23" t="n">
        <v>52.5</v>
      </c>
      <c r="H211" s="13" t="n">
        <v>-112</v>
      </c>
      <c r="I211" s="15" t="n">
        <v>0.5161222811372674</v>
      </c>
      <c r="J211" s="15" t="n">
        <v>0.5043297540699688</v>
      </c>
      <c r="K211" s="15" t="n">
        <v>0.5283018867924528</v>
      </c>
      <c r="L211" s="14" t="n">
        <v>0.02292155991947261</v>
      </c>
      <c r="M211" s="14" t="n">
        <v>-0.02305425356160096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STBK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TLSA @ SHSU</t>
        </is>
      </c>
      <c r="C212" s="17" t="inlineStr">
        <is>
          <t>2026-09-12 23:00</t>
        </is>
      </c>
      <c r="D212" s="25" t="n">
        <v>2</v>
      </c>
      <c r="E212" s="17" t="inlineStr">
        <is>
          <t>TOTAL</t>
        </is>
      </c>
      <c r="F212" s="17" t="inlineStr">
        <is>
          <t>Under 51.5</t>
        </is>
      </c>
      <c r="G212" s="26" t="n">
        <v>51.5</v>
      </c>
      <c r="H212" s="18" t="n">
        <v>-102</v>
      </c>
      <c r="I212" s="20" t="n">
        <v>0.4933134213393195</v>
      </c>
      <c r="J212" s="20" t="n">
        <v>0.4826358742837298</v>
      </c>
      <c r="K212" s="20" t="n">
        <v>0.504950495049505</v>
      </c>
      <c r="L212" s="19" t="n">
        <v>0.0217319575102368</v>
      </c>
      <c r="M212" s="19" t="n">
        <v>-0.02304596950448479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UGA @ ARK</t>
        </is>
      </c>
      <c r="C213" s="12" t="inlineStr">
        <is>
          <t>2026-09-19 16:00</t>
        </is>
      </c>
      <c r="D213" s="22" t="n">
        <v>3</v>
      </c>
      <c r="E213" s="12" t="inlineStr">
        <is>
          <t>TOTAL</t>
        </is>
      </c>
      <c r="F213" s="12" t="inlineStr">
        <is>
          <t>Over 52.5</t>
        </is>
      </c>
      <c r="G213" s="23" t="n">
        <v>52.5</v>
      </c>
      <c r="H213" s="13" t="n">
        <v>-108</v>
      </c>
      <c r="I213" s="15" t="n">
        <v>0.5058151780039191</v>
      </c>
      <c r="J213" s="15" t="n">
        <v>0.4956702459300312</v>
      </c>
      <c r="K213" s="15" t="n">
        <v>0.5192307692307693</v>
      </c>
      <c r="L213" s="14" t="n">
        <v>0.02015620478876197</v>
      </c>
      <c r="M213" s="14" t="n">
        <v>-0.02583743495541513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DUKE @ ILL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DUKE ML</t>
        </is>
      </c>
      <c r="G214" s="26" t="n"/>
      <c r="H214" s="18" t="n">
        <v>190</v>
      </c>
      <c r="I214" s="20" t="n">
        <v>0.3374066824515332</v>
      </c>
      <c r="J214" s="20" t="n">
        <v>0.3309929789368105</v>
      </c>
      <c r="K214" s="20" t="n">
        <v>0.3448275862068966</v>
      </c>
      <c r="L214" s="19" t="n">
        <v>0.01911283553351913</v>
      </c>
      <c r="M214" s="19" t="n">
        <v>-0.02152062089055384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LIN @ MOST</t>
        </is>
      </c>
      <c r="C215" s="12" t="inlineStr">
        <is>
          <t>2026-09-12 23:00</t>
        </is>
      </c>
      <c r="D215" s="22" t="n">
        <v>2</v>
      </c>
      <c r="E215" s="12" t="inlineStr">
        <is>
          <t>TOTAL</t>
        </is>
      </c>
      <c r="F215" s="12" t="inlineStr">
        <is>
          <t>Over 52.5</t>
        </is>
      </c>
      <c r="G215" s="23" t="n">
        <v>52.5</v>
      </c>
      <c r="H215" s="13" t="n">
        <v>-115</v>
      </c>
      <c r="I215" s="15" t="n">
        <v>0.5173832023536092</v>
      </c>
      <c r="J215" s="15" t="n">
        <v>0.5108342361863488</v>
      </c>
      <c r="K215" s="15" t="n">
        <v>0.5348837209302325</v>
      </c>
      <c r="L215" s="14" t="n">
        <v>0.01274287892412448</v>
      </c>
      <c r="M215" s="14" t="n">
        <v>-0.03271836081716539</v>
      </c>
      <c r="N215" s="15" t="n">
        <v>0</v>
      </c>
      <c r="O215" s="24" t="n">
        <v>0.4</v>
      </c>
      <c r="P215" s="12" t="inlineStr">
        <is>
          <t>DraftKings</t>
        </is>
      </c>
      <c r="Q215" s="12" t="inlineStr">
        <is>
          <t>LIN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CCSU @ TOL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-108</v>
      </c>
      <c r="I216" s="20" t="n">
        <v>0.4998306465847429</v>
      </c>
      <c r="J216" s="20" t="n">
        <v>0.4956702459300312</v>
      </c>
      <c r="K216" s="20" t="n">
        <v>0.5192307692307693</v>
      </c>
      <c r="L216" s="19" t="n">
        <v>0.008371712447103812</v>
      </c>
      <c r="M216" s="19" t="n">
        <v>-0.03736319917012476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CCSU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ULM @ UAB</t>
        </is>
      </c>
      <c r="C217" s="12" t="inlineStr">
        <is>
          <t>2026-09-12 19:30</t>
        </is>
      </c>
      <c r="D217" s="22" t="n">
        <v>2</v>
      </c>
      <c r="E217" s="12" t="inlineStr">
        <is>
          <t>TOTAL</t>
        </is>
      </c>
      <c r="F217" s="12" t="inlineStr">
        <is>
          <t>Under 54.5</t>
        </is>
      </c>
      <c r="G217" s="23" t="n">
        <v>54.5</v>
      </c>
      <c r="H217" s="13" t="n">
        <v>-110</v>
      </c>
      <c r="I217" s="15" t="n">
        <v>0.5039908150767374</v>
      </c>
      <c r="J217" s="15" t="n">
        <v>0.5</v>
      </c>
      <c r="K217" s="15" t="n">
        <v>0.5238095238095238</v>
      </c>
      <c r="L217" s="14" t="n">
        <v>0.007962902565327222</v>
      </c>
      <c r="M217" s="14" t="n">
        <v>-0.03783571667168317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SHU @ MASS</t>
        </is>
      </c>
      <c r="C218" s="17" t="inlineStr">
        <is>
          <t>2026-09-12 19:30</t>
        </is>
      </c>
      <c r="D218" s="25" t="n">
        <v>2</v>
      </c>
      <c r="E218" s="17" t="inlineStr">
        <is>
          <t>TOTAL</t>
        </is>
      </c>
      <c r="F218" s="17" t="inlineStr">
        <is>
          <t>Under 53.5</t>
        </is>
      </c>
      <c r="G218" s="26" t="n">
        <v>53.5</v>
      </c>
      <c r="H218" s="18" t="n">
        <v>-108</v>
      </c>
      <c r="I218" s="20" t="n">
        <v>0.4978351147385909</v>
      </c>
      <c r="J218" s="20" t="n">
        <v>0.4956702459300312</v>
      </c>
      <c r="K218" s="20" t="n">
        <v>0.5192307692307693</v>
      </c>
      <c r="L218" s="19" t="n">
        <v>0.004364483981692696</v>
      </c>
      <c r="M218" s="19" t="n">
        <v>-0.04120644568863974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SHU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SHU @ MASS</t>
        </is>
      </c>
      <c r="C219" s="12" t="inlineStr">
        <is>
          <t>2026-09-12 19:30</t>
        </is>
      </c>
      <c r="D219" s="22" t="n">
        <v>2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0.5021648852614091</v>
      </c>
      <c r="J219" s="15" t="n">
        <v>0.5043297540699688</v>
      </c>
      <c r="K219" s="15" t="n">
        <v>0.5283018867924528</v>
      </c>
      <c r="L219" s="14" t="n">
        <v>-0.00428964714705865</v>
      </c>
      <c r="M219" s="14" t="n">
        <v>-0.04947361004090423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SHU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ULM @ UAB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0.4960091849232626</v>
      </c>
      <c r="J220" s="20" t="n">
        <v>0.5</v>
      </c>
      <c r="K220" s="20" t="n">
        <v>0.5238095238095238</v>
      </c>
      <c r="L220" s="19" t="n">
        <v>-0.007962902565327222</v>
      </c>
      <c r="M220" s="19" t="n">
        <v>-0.05307337423740766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CCSU @ TOL</t>
        </is>
      </c>
      <c r="C221" s="12" t="inlineStr">
        <is>
          <t>2026-09-12 19:30</t>
        </is>
      </c>
      <c r="D221" s="22" t="n">
        <v>2</v>
      </c>
      <c r="E221" s="12" t="inlineStr">
        <is>
          <t>TOTAL</t>
        </is>
      </c>
      <c r="F221" s="12" t="inlineStr">
        <is>
          <t>Under 52.5</t>
        </is>
      </c>
      <c r="G221" s="23" t="n">
        <v>52.5</v>
      </c>
      <c r="H221" s="13" t="n">
        <v>-112</v>
      </c>
      <c r="I221" s="15" t="n">
        <v>0.5001693534152571</v>
      </c>
      <c r="J221" s="15" t="n">
        <v>0.5043297540699688</v>
      </c>
      <c r="K221" s="15" t="n">
        <v>0.5283018867924528</v>
      </c>
      <c r="L221" s="14" t="n">
        <v>-0.008228693722899498</v>
      </c>
      <c r="M221" s="14" t="n">
        <v>-0.05325086674969182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CCSU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DUKE @ ILL</t>
        </is>
      </c>
      <c r="C222" s="17" t="inlineStr">
        <is>
          <t>2026-09-12 19:30</t>
        </is>
      </c>
      <c r="D222" s="25" t="n">
        <v>2</v>
      </c>
      <c r="E222" s="17" t="inlineStr">
        <is>
          <t>ML</t>
        </is>
      </c>
      <c r="F222" s="17" t="inlineStr">
        <is>
          <t>ILL ML</t>
        </is>
      </c>
      <c r="G222" s="26" t="n"/>
      <c r="H222" s="18" t="n">
        <v>-230</v>
      </c>
      <c r="I222" s="20" t="n">
        <v>0.6625933175484668</v>
      </c>
      <c r="J222" s="20" t="n">
        <v>0.6690070210631895</v>
      </c>
      <c r="K222" s="20" t="n">
        <v>0.696969696969697</v>
      </c>
      <c r="L222" s="19" t="n">
        <v>-0.00955448853740749</v>
      </c>
      <c r="M222" s="19" t="n">
        <v>-0.04932263134350412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LIN @ MOST</t>
        </is>
      </c>
      <c r="C223" s="12" t="inlineStr">
        <is>
          <t>2026-09-12 23:00</t>
        </is>
      </c>
      <c r="D223" s="22" t="n">
        <v>2</v>
      </c>
      <c r="E223" s="12" t="inlineStr">
        <is>
          <t>TOTAL</t>
        </is>
      </c>
      <c r="F223" s="12" t="inlineStr">
        <is>
          <t>Under 52.5</t>
        </is>
      </c>
      <c r="G223" s="23" t="n">
        <v>52.5</v>
      </c>
      <c r="H223" s="13" t="n">
        <v>-105</v>
      </c>
      <c r="I223" s="15" t="n">
        <v>0.4826167976463908</v>
      </c>
      <c r="J223" s="15" t="n">
        <v>0.4891657638136511</v>
      </c>
      <c r="K223" s="15" t="n">
        <v>0.5121951219512195</v>
      </c>
      <c r="L223" s="14" t="n">
        <v>-0.013300098801674</v>
      </c>
      <c r="M223" s="14" t="n">
        <v>-0.05774815697609426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LIN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UGA @ ARK</t>
        </is>
      </c>
      <c r="C224" s="17" t="inlineStr">
        <is>
          <t>2026-09-19 16:00</t>
        </is>
      </c>
      <c r="D224" s="25" t="n">
        <v>3</v>
      </c>
      <c r="E224" s="17" t="inlineStr">
        <is>
          <t>TOTAL</t>
        </is>
      </c>
      <c r="F224" s="17" t="inlineStr">
        <is>
          <t>Under 52.5</t>
        </is>
      </c>
      <c r="G224" s="26" t="n">
        <v>52.5</v>
      </c>
      <c r="H224" s="18" t="n">
        <v>-112</v>
      </c>
      <c r="I224" s="20" t="n">
        <v>0.4941848219960809</v>
      </c>
      <c r="J224" s="20" t="n">
        <v>0.5043297540699688</v>
      </c>
      <c r="K224" s="20" t="n">
        <v>0.5283018867924528</v>
      </c>
      <c r="L224" s="19" t="n">
        <v>-0.01982033582302574</v>
      </c>
      <c r="M224" s="19" t="n">
        <v>-0.06457872979313251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TLSA @ SHSU</t>
        </is>
      </c>
      <c r="C225" s="12" t="inlineStr">
        <is>
          <t>2026-09-12 23:00</t>
        </is>
      </c>
      <c r="D225" s="22" t="n">
        <v>2</v>
      </c>
      <c r="E225" s="12" t="inlineStr">
        <is>
          <t>TOTAL</t>
        </is>
      </c>
      <c r="F225" s="12" t="inlineStr">
        <is>
          <t>Over 51.5</t>
        </is>
      </c>
      <c r="G225" s="23" t="n">
        <v>51.5</v>
      </c>
      <c r="H225" s="13" t="n">
        <v>-118</v>
      </c>
      <c r="I225" s="15" t="n">
        <v>0.5066865786606805</v>
      </c>
      <c r="J225" s="15" t="n">
        <v>0.5173641257162701</v>
      </c>
      <c r="K225" s="15" t="n">
        <v>0.5412844036697247</v>
      </c>
      <c r="L225" s="14" t="n">
        <v>-0.0203196933402358</v>
      </c>
      <c r="M225" s="14" t="n">
        <v>-0.06391801569467515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STBK @ BALL</t>
        </is>
      </c>
      <c r="C226" s="17" t="inlineStr">
        <is>
          <t>2026-09-12 18:00</t>
        </is>
      </c>
      <c r="D226" s="25" t="n">
        <v>2</v>
      </c>
      <c r="E226" s="17" t="inlineStr">
        <is>
          <t>TOTAL</t>
        </is>
      </c>
      <c r="F226" s="17" t="inlineStr">
        <is>
          <t>Under 52.5</t>
        </is>
      </c>
      <c r="G226" s="26" t="n">
        <v>52.5</v>
      </c>
      <c r="H226" s="18" t="n">
        <v>-108</v>
      </c>
      <c r="I226" s="20" t="n">
        <v>0.4838777188627326</v>
      </c>
      <c r="J226" s="20" t="n">
        <v>0.4956702459300312</v>
      </c>
      <c r="K226" s="20" t="n">
        <v>0.5192307692307693</v>
      </c>
      <c r="L226" s="19" t="n">
        <v>-0.0233058781863431</v>
      </c>
      <c r="M226" s="19" t="n">
        <v>-0.06808735626436691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STBK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DUKE @ ILL</t>
        </is>
      </c>
      <c r="C227" s="12" t="inlineStr">
        <is>
          <t>2026-09-12 19:30</t>
        </is>
      </c>
      <c r="D227" s="22" t="n">
        <v>2</v>
      </c>
      <c r="E227" s="12" t="inlineStr">
        <is>
          <t>TOTAL</t>
        </is>
      </c>
      <c r="F227" s="12" t="inlineStr">
        <is>
          <t>Under 51.5</t>
        </is>
      </c>
      <c r="G227" s="23" t="n">
        <v>51.5</v>
      </c>
      <c r="H227" s="13" t="n">
        <v>-108</v>
      </c>
      <c r="I227" s="15" t="n">
        <v>0.4897392284612223</v>
      </c>
      <c r="J227" s="15" t="n">
        <v>0.5034106412005458</v>
      </c>
      <c r="K227" s="15" t="n">
        <v>0.5192307692307693</v>
      </c>
      <c r="L227" s="14" t="n">
        <v>-0.02644120078685471</v>
      </c>
      <c r="M227" s="14" t="n">
        <v>-0.0567985229635718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WIU @ WIS</t>
        </is>
      </c>
      <c r="C228" s="17" t="inlineStr">
        <is>
          <t>2026-09-12 23:15</t>
        </is>
      </c>
      <c r="D228" s="25" t="n">
        <v>2</v>
      </c>
      <c r="E228" s="17" t="inlineStr">
        <is>
          <t>TOTAL</t>
        </is>
      </c>
      <c r="F228" s="17" t="inlineStr">
        <is>
          <t>Under 51.5</t>
        </is>
      </c>
      <c r="G228" s="26" t="n">
        <v>51.5</v>
      </c>
      <c r="H228" s="18" t="n">
        <v>-110</v>
      </c>
      <c r="I228" s="20" t="n">
        <v>0.4860425883701269</v>
      </c>
      <c r="J228" s="20" t="n">
        <v>0.5</v>
      </c>
      <c r="K228" s="20" t="n">
        <v>0.5238095238095238</v>
      </c>
      <c r="L228" s="19" t="n">
        <v>-0.02713822544934924</v>
      </c>
      <c r="M228" s="19" t="n">
        <v>-0.07210051311157584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WIU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MSST @ MINN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-112</v>
      </c>
      <c r="I229" s="15" t="n">
        <v>0.4901988098026874</v>
      </c>
      <c r="J229" s="15" t="n">
        <v>0.5043297540699688</v>
      </c>
      <c r="K229" s="15" t="n">
        <v>0.5283018867924528</v>
      </c>
      <c r="L229" s="14" t="n">
        <v>-0.02723410542811531</v>
      </c>
      <c r="M229" s="14" t="n">
        <v>-0.07212368144491321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ALST @ TROY</t>
        </is>
      </c>
      <c r="C230" s="17" t="inlineStr">
        <is>
          <t>2026-09-12 20:00</t>
        </is>
      </c>
      <c r="D230" s="25" t="n">
        <v>2</v>
      </c>
      <c r="E230" s="17" t="inlineStr">
        <is>
          <t>TOTAL</t>
        </is>
      </c>
      <c r="F230" s="17" t="inlineStr">
        <is>
          <t>Under 51.5</t>
        </is>
      </c>
      <c r="G230" s="26" t="n">
        <v>51.5</v>
      </c>
      <c r="H230" s="18" t="n">
        <v>-105</v>
      </c>
      <c r="I230" s="20" t="n">
        <v>0.4746606707608925</v>
      </c>
      <c r="J230" s="20" t="n">
        <v>0.4891657638136511</v>
      </c>
      <c r="K230" s="20" t="n">
        <v>0.5121951219512195</v>
      </c>
      <c r="L230" s="19" t="n">
        <v>-0.02872582337668802</v>
      </c>
      <c r="M230" s="19" t="n">
        <v>-0.07328154756206706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ALST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TXSO @ UTEP</t>
        </is>
      </c>
      <c r="C231" s="12" t="inlineStr">
        <is>
          <t>2026-09-13 01:00</t>
        </is>
      </c>
      <c r="D231" s="22" t="n">
        <v>2</v>
      </c>
      <c r="E231" s="12" t="inlineStr">
        <is>
          <t>TOTAL</t>
        </is>
      </c>
      <c r="F231" s="12" t="inlineStr">
        <is>
          <t>Under 52.5</t>
        </is>
      </c>
      <c r="G231" s="23" t="n">
        <v>52.5</v>
      </c>
      <c r="H231" s="13" t="n">
        <v>-108</v>
      </c>
      <c r="I231" s="15" t="n">
        <v>0.4798994609064434</v>
      </c>
      <c r="J231" s="15" t="n">
        <v>0.4956702459300312</v>
      </c>
      <c r="K231" s="15" t="n">
        <v>0.5192307692307693</v>
      </c>
      <c r="L231" s="14" t="n">
        <v>-0.03067851569143118</v>
      </c>
      <c r="M231" s="14" t="n">
        <v>-0.07574918640240524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TXSO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DUKE @ ILL</t>
        </is>
      </c>
      <c r="C232" s="17" t="inlineStr">
        <is>
          <t>2026-09-12 19:30</t>
        </is>
      </c>
      <c r="D232" s="25" t="n">
        <v>2</v>
      </c>
      <c r="E232" s="17" t="inlineStr">
        <is>
          <t>ATS</t>
        </is>
      </c>
      <c r="F232" s="17" t="inlineStr">
        <is>
          <t>ILL -6</t>
        </is>
      </c>
      <c r="G232" s="26" t="n">
        <v>-6</v>
      </c>
      <c r="H232" s="18" t="n">
        <v>-108</v>
      </c>
      <c r="I232" s="20" t="n">
        <v>0.4793934022282237</v>
      </c>
      <c r="J232" s="20" t="n">
        <v>0.4956702459300312</v>
      </c>
      <c r="K232" s="20" t="n">
        <v>0.5192307692307693</v>
      </c>
      <c r="L232" s="19" t="n">
        <v>-0.03158980575547611</v>
      </c>
      <c r="M232" s="19" t="n">
        <v>-0.07451417197442042</v>
      </c>
      <c r="N232" s="20" t="n">
        <v>0.0288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FSU @ ALA</t>
        </is>
      </c>
      <c r="C233" s="12" t="inlineStr">
        <is>
          <t>2026-09-19 19:30</t>
        </is>
      </c>
      <c r="D233" s="22" t="n">
        <v>3</v>
      </c>
      <c r="E233" s="12" t="inlineStr">
        <is>
          <t>TOTAL</t>
        </is>
      </c>
      <c r="F233" s="12" t="inlineStr">
        <is>
          <t>Under 50.5</t>
        </is>
      </c>
      <c r="G233" s="23" t="n">
        <v>50.5</v>
      </c>
      <c r="H233" s="13" t="n">
        <v>-108</v>
      </c>
      <c r="I233" s="15" t="n">
        <v>0.4779129006754204</v>
      </c>
      <c r="J233" s="15" t="n">
        <v>0.4956702459300312</v>
      </c>
      <c r="K233" s="15" t="n">
        <v>0.5192307692307693</v>
      </c>
      <c r="L233" s="14" t="n">
        <v>-0.03421806464810133</v>
      </c>
      <c r="M233" s="14" t="n">
        <v>-0.07957515425474593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FOR @ CCU</t>
        </is>
      </c>
      <c r="C234" s="17" t="inlineStr">
        <is>
          <t>2026-09-12 23:30</t>
        </is>
      </c>
      <c r="D234" s="25" t="n">
        <v>2</v>
      </c>
      <c r="E234" s="17" t="inlineStr">
        <is>
          <t>TOTAL</t>
        </is>
      </c>
      <c r="F234" s="17" t="inlineStr">
        <is>
          <t>Over 53.5</t>
        </is>
      </c>
      <c r="G234" s="26" t="n">
        <v>53.5</v>
      </c>
      <c r="H234" s="18" t="n">
        <v>-110</v>
      </c>
      <c r="I234" s="20" t="n">
        <v>0.4820643598301832</v>
      </c>
      <c r="J234" s="20" t="n">
        <v>0.5</v>
      </c>
      <c r="K234" s="20" t="n">
        <v>0.5238095238095238</v>
      </c>
      <c r="L234" s="19" t="n">
        <v>-0.03425840614493798</v>
      </c>
      <c r="M234" s="19" t="n">
        <v>-0.07969531305146837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FOR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NMSU @ HAW</t>
        </is>
      </c>
      <c r="C235" s="12" t="inlineStr">
        <is>
          <t>2026-09-13 03:59</t>
        </is>
      </c>
      <c r="D235" s="22" t="n">
        <v>2</v>
      </c>
      <c r="E235" s="12" t="inlineStr">
        <is>
          <t>TOTAL</t>
        </is>
      </c>
      <c r="F235" s="12" t="inlineStr">
        <is>
          <t>Under 50.5</t>
        </is>
      </c>
      <c r="G235" s="23" t="n">
        <v>50.5</v>
      </c>
      <c r="H235" s="13" t="n">
        <v>-110</v>
      </c>
      <c r="I235" s="15" t="n">
        <v>0.4820643194156912</v>
      </c>
      <c r="J235" s="15" t="n">
        <v>0.5</v>
      </c>
      <c r="K235" s="15" t="n">
        <v>0.5238095238095238</v>
      </c>
      <c r="L235" s="14" t="n">
        <v>-0.03425847646265406</v>
      </c>
      <c r="M235" s="14" t="n">
        <v>-0.0796953902064077</v>
      </c>
      <c r="N235" s="15" t="n">
        <v>0</v>
      </c>
      <c r="O235" s="24" t="n">
        <v>0.839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FLA @ AUB</t>
        </is>
      </c>
      <c r="C236" s="17" t="inlineStr">
        <is>
          <t>2026-09-19 23:00</t>
        </is>
      </c>
      <c r="D236" s="25" t="n">
        <v>3</v>
      </c>
      <c r="E236" s="17" t="inlineStr">
        <is>
          <t>TOTAL</t>
        </is>
      </c>
      <c r="F236" s="17" t="inlineStr">
        <is>
          <t>Under 51.5</t>
        </is>
      </c>
      <c r="G236" s="26" t="n">
        <v>51.5</v>
      </c>
      <c r="H236" s="18" t="n">
        <v>-112</v>
      </c>
      <c r="I236" s="20" t="n">
        <v>0.4862175404650408</v>
      </c>
      <c r="J236" s="20" t="n">
        <v>0.5043297540699688</v>
      </c>
      <c r="K236" s="20" t="n">
        <v>0.5283018867924528</v>
      </c>
      <c r="L236" s="19" t="n">
        <v>-0.03429507260790095</v>
      </c>
      <c r="M236" s="19" t="n">
        <v>-0.07965965554831556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MSU @ ND</t>
        </is>
      </c>
      <c r="C237" s="12" t="inlineStr">
        <is>
          <t>2026-09-19 23:30</t>
        </is>
      </c>
      <c r="D237" s="22" t="n">
        <v>3</v>
      </c>
      <c r="E237" s="12" t="inlineStr">
        <is>
          <t>TOTAL</t>
        </is>
      </c>
      <c r="F237" s="12" t="inlineStr">
        <is>
          <t>Over 53.5</t>
        </is>
      </c>
      <c r="G237" s="23" t="n">
        <v>53.5</v>
      </c>
      <c r="H237" s="13" t="n">
        <v>-115</v>
      </c>
      <c r="I237" s="15" t="n">
        <v>0.491459735704983</v>
      </c>
      <c r="J237" s="15" t="n">
        <v>0.5108342361863488</v>
      </c>
      <c r="K237" s="15" t="n">
        <v>0.5348837209302325</v>
      </c>
      <c r="L237" s="14" t="n">
        <v>-0.03603282306949655</v>
      </c>
      <c r="M237" s="14" t="n">
        <v>-0.08118397237764052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UCF @ PITT</t>
        </is>
      </c>
      <c r="C238" s="17" t="inlineStr">
        <is>
          <t>2026-09-12 19:30</t>
        </is>
      </c>
      <c r="D238" s="25" t="n">
        <v>2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-108</v>
      </c>
      <c r="I238" s="20" t="n">
        <v>0.4759283760065971</v>
      </c>
      <c r="J238" s="20" t="n">
        <v>0.4956702459300312</v>
      </c>
      <c r="K238" s="20" t="n">
        <v>0.5192307692307693</v>
      </c>
      <c r="L238" s="19" t="n">
        <v>-0.03764825299512339</v>
      </c>
      <c r="M238" s="19" t="n">
        <v>-0.08339720176507215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MSST @ SC</t>
        </is>
      </c>
      <c r="C239" s="12" t="inlineStr">
        <is>
          <t>2026-09-19 20:15</t>
        </is>
      </c>
      <c r="D239" s="22" t="n">
        <v>3</v>
      </c>
      <c r="E239" s="12" t="inlineStr">
        <is>
          <t>TOTAL</t>
        </is>
      </c>
      <c r="F239" s="12" t="inlineStr">
        <is>
          <t>Over 54.5</t>
        </is>
      </c>
      <c r="G239" s="23" t="n">
        <v>54.5</v>
      </c>
      <c r="H239" s="13" t="n">
        <v>-115</v>
      </c>
      <c r="I239" s="15" t="n">
        <v>0.4894698053837355</v>
      </c>
      <c r="J239" s="15" t="n">
        <v>0.5108342361863488</v>
      </c>
      <c r="K239" s="15" t="n">
        <v>0.5348837209302325</v>
      </c>
      <c r="L239" s="14" t="n">
        <v>-0.03931497739927237</v>
      </c>
      <c r="M239" s="14" t="n">
        <v>-0.08490427689127711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ARIZ @ BYU</t>
        </is>
      </c>
      <c r="C240" s="17" t="inlineStr">
        <is>
          <t>2026-09-12 19:30</t>
        </is>
      </c>
      <c r="D240" s="25" t="n">
        <v>2</v>
      </c>
      <c r="E240" s="17" t="inlineStr">
        <is>
          <t>ML</t>
        </is>
      </c>
      <c r="F240" s="17" t="inlineStr">
        <is>
          <t>BYU ML</t>
        </is>
      </c>
      <c r="G240" s="26" t="n"/>
      <c r="H240" s="18" t="n">
        <v>-270</v>
      </c>
      <c r="I240" s="20" t="n">
        <v>0.6706401341269104</v>
      </c>
      <c r="J240" s="20" t="n">
        <v>0.7001620745542949</v>
      </c>
      <c r="K240" s="20" t="n">
        <v>0.7297297297297297</v>
      </c>
      <c r="L240" s="19" t="n">
        <v>-0.03959782402340627</v>
      </c>
      <c r="M240" s="19" t="n">
        <v>-0.08097463101127111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ARK @ UTAH</t>
        </is>
      </c>
      <c r="C241" s="12" t="inlineStr">
        <is>
          <t>2026-09-13 02:15</t>
        </is>
      </c>
      <c r="D241" s="22" t="n">
        <v>2</v>
      </c>
      <c r="E241" s="12" t="inlineStr">
        <is>
          <t>TOTAL</t>
        </is>
      </c>
      <c r="F241" s="12" t="inlineStr">
        <is>
          <t>Over 55.5</t>
        </is>
      </c>
      <c r="G241" s="23" t="n">
        <v>55.5</v>
      </c>
      <c r="H241" s="13" t="n">
        <v>-112</v>
      </c>
      <c r="I241" s="15" t="n">
        <v>0.4822426856429785</v>
      </c>
      <c r="J241" s="15" t="n">
        <v>0.5043297540699688</v>
      </c>
      <c r="K241" s="15" t="n">
        <v>0.5283018867924528</v>
      </c>
      <c r="L241" s="14" t="n">
        <v>-0.040935308566778</v>
      </c>
      <c r="M241" s="14" t="n">
        <v>-0.08718348789007657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MIA @ WAKE</t>
        </is>
      </c>
      <c r="C242" s="17" t="inlineStr">
        <is>
          <t>2026-09-18 23:30</t>
        </is>
      </c>
      <c r="D242" s="25" t="n">
        <v>3</v>
      </c>
      <c r="E242" s="17" t="inlineStr">
        <is>
          <t>TOTAL</t>
        </is>
      </c>
      <c r="F242" s="17" t="inlineStr">
        <is>
          <t>Over 53.5</t>
        </is>
      </c>
      <c r="G242" s="26" t="n">
        <v>53.5</v>
      </c>
      <c r="H242" s="18" t="n">
        <v>-108</v>
      </c>
      <c r="I242" s="20" t="n">
        <v>0.4739460137462755</v>
      </c>
      <c r="J242" s="20" t="n">
        <v>0.4956702459300312</v>
      </c>
      <c r="K242" s="20" t="n">
        <v>0.5192307692307693</v>
      </c>
      <c r="L242" s="19" t="n">
        <v>-0.04096225762066107</v>
      </c>
      <c r="M242" s="19" t="n">
        <v>-0.08721508463680261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SDSU @ UCLA</t>
        </is>
      </c>
      <c r="C243" s="12" t="inlineStr">
        <is>
          <t>2026-09-12 23:15</t>
        </is>
      </c>
      <c r="D243" s="22" t="n">
        <v>2</v>
      </c>
      <c r="E243" s="12" t="inlineStr">
        <is>
          <t>TOTAL</t>
        </is>
      </c>
      <c r="F243" s="12" t="inlineStr">
        <is>
          <t>Over 54.5</t>
        </is>
      </c>
      <c r="G243" s="23" t="n">
        <v>54.5</v>
      </c>
      <c r="H243" s="13" t="n">
        <v>-108</v>
      </c>
      <c r="I243" s="15" t="n">
        <v>0.4739460076323881</v>
      </c>
      <c r="J243" s="15" t="n">
        <v>0.4956702459300312</v>
      </c>
      <c r="K243" s="15" t="n">
        <v>0.5192307692307693</v>
      </c>
      <c r="L243" s="14" t="n">
        <v>-0.04096226766202987</v>
      </c>
      <c r="M243" s="14" t="n">
        <v>-0.087215096411697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MD @ CONN</t>
        </is>
      </c>
      <c r="C244" s="17" t="inlineStr">
        <is>
          <t>2026-09-12 19:30</t>
        </is>
      </c>
      <c r="D244" s="25" t="n">
        <v>2</v>
      </c>
      <c r="E244" s="17" t="inlineStr">
        <is>
          <t>TOTAL</t>
        </is>
      </c>
      <c r="F244" s="17" t="inlineStr">
        <is>
          <t>Under 52.5</t>
        </is>
      </c>
      <c r="G244" s="26" t="n">
        <v>52.5</v>
      </c>
      <c r="H244" s="18" t="n">
        <v>-108</v>
      </c>
      <c r="I244" s="20" t="n">
        <v>0.4739459912559856</v>
      </c>
      <c r="J244" s="20" t="n">
        <v>0.4956702459300312</v>
      </c>
      <c r="K244" s="20" t="n">
        <v>0.5192307692307693</v>
      </c>
      <c r="L244" s="19" t="n">
        <v>-0.04096229455841363</v>
      </c>
      <c r="M244" s="19" t="n">
        <v>-0.08721512795143516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GAST @ KENN</t>
        </is>
      </c>
      <c r="C245" s="12" t="inlineStr">
        <is>
          <t>2026-09-12 23:00</t>
        </is>
      </c>
      <c r="D245" s="22" t="n">
        <v>2</v>
      </c>
      <c r="E245" s="12" t="inlineStr">
        <is>
          <t>ML</t>
        </is>
      </c>
      <c r="F245" s="12" t="inlineStr">
        <is>
          <t>KENN ML</t>
        </is>
      </c>
      <c r="G245" s="23" t="n"/>
      <c r="H245" s="13" t="n">
        <v>-310</v>
      </c>
      <c r="I245" s="15" t="n">
        <v>0.6897632465347169</v>
      </c>
      <c r="J245" s="15" t="n">
        <v>0.725752508361204</v>
      </c>
      <c r="K245" s="15" t="n">
        <v>0.7560975609756098</v>
      </c>
      <c r="L245" s="14" t="n">
        <v>-0.04552714899150483</v>
      </c>
      <c r="M245" s="14" t="n">
        <v>-0.08773248038956805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MSST @ SC</t>
        </is>
      </c>
      <c r="C246" s="17" t="inlineStr">
        <is>
          <t>2026-09-19 20:15</t>
        </is>
      </c>
      <c r="D246" s="25" t="n">
        <v>3</v>
      </c>
      <c r="E246" s="17" t="inlineStr">
        <is>
          <t>ML</t>
        </is>
      </c>
      <c r="F246" s="17" t="inlineStr">
        <is>
          <t>SC ML</t>
        </is>
      </c>
      <c r="G246" s="26" t="n"/>
      <c r="H246" s="18" t="n">
        <v>-298</v>
      </c>
      <c r="I246" s="20" t="n">
        <v>0.6799505312959013</v>
      </c>
      <c r="J246" s="20" t="n">
        <v>0.7179705215419501</v>
      </c>
      <c r="K246" s="20" t="n">
        <v>0.7487437185929648</v>
      </c>
      <c r="L246" s="19" t="n">
        <v>-0.04807569440677664</v>
      </c>
      <c r="M246" s="19" t="n">
        <v>-0.09187814947728612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ATS</t>
        </is>
      </c>
      <c r="F247" s="12" t="inlineStr">
        <is>
          <t>SMU +1.5</t>
        </is>
      </c>
      <c r="G247" s="23" t="n">
        <v>-1.5</v>
      </c>
      <c r="H247" s="13" t="n">
        <v>-115</v>
      </c>
      <c r="I247" s="15" t="n">
        <v>0.4836373840495518</v>
      </c>
      <c r="J247" s="15" t="n">
        <v>0.5108342361863488</v>
      </c>
      <c r="K247" s="15" t="n">
        <v>0.5348837209302325</v>
      </c>
      <c r="L247" s="14" t="n">
        <v>-0.04828758243569876</v>
      </c>
      <c r="M247" s="14" t="n">
        <v>-0.095808368950838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TTU @ ORST</t>
        </is>
      </c>
      <c r="C248" s="17" t="inlineStr">
        <is>
          <t>2026-09-12 23:30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-112</v>
      </c>
      <c r="I248" s="20" t="n">
        <v>0.4762957865354402</v>
      </c>
      <c r="J248" s="20" t="n">
        <v>0.5043297540699688</v>
      </c>
      <c r="K248" s="20" t="n">
        <v>0.5283018867924528</v>
      </c>
      <c r="L248" s="19" t="n">
        <v>-0.05000592689159239</v>
      </c>
      <c r="M248" s="19" t="n">
        <v>-0.09844011834363098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UTSA @ TXST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UTSA +2.5</t>
        </is>
      </c>
      <c r="G249" s="23" t="n">
        <v>-2.5</v>
      </c>
      <c r="H249" s="13" t="n">
        <v>-110</v>
      </c>
      <c r="I249" s="15" t="n">
        <v>0.4716571901071238</v>
      </c>
      <c r="J249" s="15" t="n">
        <v>0.5</v>
      </c>
      <c r="K249" s="15" t="n">
        <v>0.5238095238095238</v>
      </c>
      <c r="L249" s="14" t="n">
        <v>-0.0507956054279338</v>
      </c>
      <c r="M249" s="14" t="n">
        <v>-0.09956354615912721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ULM @ UAB</t>
        </is>
      </c>
      <c r="C250" s="17" t="inlineStr">
        <is>
          <t>2026-09-12 19:30</t>
        </is>
      </c>
      <c r="D250" s="25" t="n">
        <v>2</v>
      </c>
      <c r="E250" s="17" t="inlineStr">
        <is>
          <t>ML</t>
        </is>
      </c>
      <c r="F250" s="17" t="inlineStr">
        <is>
          <t>UAB ML</t>
        </is>
      </c>
      <c r="G250" s="26" t="n"/>
      <c r="H250" s="18" t="n">
        <v>-360</v>
      </c>
      <c r="I250" s="20" t="n">
        <v>0.7061583354728721</v>
      </c>
      <c r="J250" s="20" t="n">
        <v>0.7508125677139762</v>
      </c>
      <c r="K250" s="20" t="n">
        <v>0.7826086956521739</v>
      </c>
      <c r="L250" s="19" t="n">
        <v>-0.05275585710986198</v>
      </c>
      <c r="M250" s="19" t="n">
        <v>-0.09768657134021907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JVST @ OHIO</t>
        </is>
      </c>
      <c r="C251" s="12" t="inlineStr">
        <is>
          <t>2026-09-12 22:00</t>
        </is>
      </c>
      <c r="D251" s="22" t="n">
        <v>2</v>
      </c>
      <c r="E251" s="12" t="inlineStr">
        <is>
          <t>TOTAL</t>
        </is>
      </c>
      <c r="F251" s="12" t="inlineStr">
        <is>
          <t>Under 50.5</t>
        </is>
      </c>
      <c r="G251" s="23" t="n">
        <v>50.5</v>
      </c>
      <c r="H251" s="13" t="n">
        <v>-112</v>
      </c>
      <c r="I251" s="15" t="n">
        <v>0.4723436716217134</v>
      </c>
      <c r="J251" s="15" t="n">
        <v>0.5043297540699688</v>
      </c>
      <c r="K251" s="15" t="n">
        <v>0.5283018867924528</v>
      </c>
      <c r="L251" s="14" t="n">
        <v>-0.05542352908518113</v>
      </c>
      <c r="M251" s="14" t="n">
        <v>-0.1059209072874711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MERC @ UNM</t>
        </is>
      </c>
      <c r="C252" s="17" t="inlineStr">
        <is>
          <t>2026-09-12 20:00</t>
        </is>
      </c>
      <c r="D252" s="25" t="n">
        <v>2</v>
      </c>
      <c r="E252" s="17" t="inlineStr">
        <is>
          <t>TOTAL</t>
        </is>
      </c>
      <c r="F252" s="17" t="inlineStr">
        <is>
          <t>Over 54.5</t>
        </is>
      </c>
      <c r="G252" s="26" t="n">
        <v>54.5</v>
      </c>
      <c r="H252" s="18" t="n">
        <v>-108</v>
      </c>
      <c r="I252" s="20" t="n">
        <v>0.4640737290264425</v>
      </c>
      <c r="J252" s="20" t="n">
        <v>0.4956702459300312</v>
      </c>
      <c r="K252" s="20" t="n">
        <v>0.5192307692307693</v>
      </c>
      <c r="L252" s="19" t="n">
        <v>-0.05563556581520536</v>
      </c>
      <c r="M252" s="19" t="n">
        <v>-0.1062283737268515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MERC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UCF @ PITT</t>
        </is>
      </c>
      <c r="C253" s="12" t="inlineStr">
        <is>
          <t>2026-09-12 19:30</t>
        </is>
      </c>
      <c r="D253" s="22" t="n">
        <v>2</v>
      </c>
      <c r="E253" s="12" t="inlineStr">
        <is>
          <t>ML</t>
        </is>
      </c>
      <c r="F253" s="12" t="inlineStr">
        <is>
          <t>PITT ML</t>
        </is>
      </c>
      <c r="G253" s="23" t="n"/>
      <c r="H253" s="13" t="n">
        <v>-298</v>
      </c>
      <c r="I253" s="15" t="n">
        <v>0.6709478981577899</v>
      </c>
      <c r="J253" s="15" t="n">
        <v>0.7179705215419501</v>
      </c>
      <c r="K253" s="15" t="n">
        <v>0.7487437185929648</v>
      </c>
      <c r="L253" s="14" t="n">
        <v>-0.05677217846062189</v>
      </c>
      <c r="M253" s="14" t="n">
        <v>-0.1039018004469786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MTST @ NEV</t>
        </is>
      </c>
      <c r="C254" s="17" t="inlineStr">
        <is>
          <t>2026-09-13 02:30</t>
        </is>
      </c>
      <c r="D254" s="25" t="n">
        <v>2</v>
      </c>
      <c r="E254" s="17" t="inlineStr">
        <is>
          <t>TOTAL</t>
        </is>
      </c>
      <c r="F254" s="17" t="inlineStr">
        <is>
          <t>Under 51.5</t>
        </is>
      </c>
      <c r="G254" s="26" t="n">
        <v>51.5</v>
      </c>
      <c r="H254" s="18" t="n">
        <v>-105</v>
      </c>
      <c r="I254" s="20" t="n">
        <v>0.4549367101256825</v>
      </c>
      <c r="J254" s="20" t="n">
        <v>0.4891657638136511</v>
      </c>
      <c r="K254" s="20" t="n">
        <v>0.5121951219512195</v>
      </c>
      <c r="L254" s="19" t="n">
        <v>-0.05957161251715708</v>
      </c>
      <c r="M254" s="19" t="n">
        <v>-0.1117902326117628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MTST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SMU @ LOU</t>
        </is>
      </c>
      <c r="C255" s="12" t="inlineStr">
        <is>
          <t>2026-09-19 19:30</t>
        </is>
      </c>
      <c r="D255" s="22" t="n">
        <v>3</v>
      </c>
      <c r="E255" s="12" t="inlineStr">
        <is>
          <t>ML</t>
        </is>
      </c>
      <c r="F255" s="12" t="inlineStr">
        <is>
          <t>SMU ML</t>
        </is>
      </c>
      <c r="G255" s="23" t="n"/>
      <c r="H255" s="13" t="n">
        <v>-105</v>
      </c>
      <c r="I255" s="15" t="n">
        <v>0.4545182851940592</v>
      </c>
      <c r="J255" s="15" t="n">
        <v>0.4891657638136511</v>
      </c>
      <c r="K255" s="15" t="n">
        <v>0.5121951219512195</v>
      </c>
      <c r="L255" s="14" t="n">
        <v>-0.06008771808047651</v>
      </c>
      <c r="M255" s="14" t="n">
        <v>-0.1126071574782653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SYR @ PITT</t>
        </is>
      </c>
      <c r="C256" s="17" t="inlineStr">
        <is>
          <t>2026-09-17 23:30</t>
        </is>
      </c>
      <c r="D256" s="25" t="n">
        <v>3</v>
      </c>
      <c r="E256" s="17" t="inlineStr">
        <is>
          <t>ML</t>
        </is>
      </c>
      <c r="F256" s="17" t="inlineStr">
        <is>
          <t>PITT ML</t>
        </is>
      </c>
      <c r="G256" s="26" t="n"/>
      <c r="H256" s="18" t="n">
        <v>-375</v>
      </c>
      <c r="I256" s="20" t="n">
        <v>0.7009112442322447</v>
      </c>
      <c r="J256" s="20" t="n">
        <v>0.7571884984025559</v>
      </c>
      <c r="K256" s="20" t="n">
        <v>0.7894736842105263</v>
      </c>
      <c r="L256" s="19" t="n">
        <v>-0.0621354914534817</v>
      </c>
      <c r="M256" s="19" t="n">
        <v>-0.1121790906391568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UTSA @ TXST</t>
        </is>
      </c>
      <c r="C257" s="12" t="inlineStr">
        <is>
          <t>2026-09-12 19:30</t>
        </is>
      </c>
      <c r="D257" s="22" t="n">
        <v>2</v>
      </c>
      <c r="E257" s="12" t="inlineStr">
        <is>
          <t>ML</t>
        </is>
      </c>
      <c r="F257" s="12" t="inlineStr">
        <is>
          <t>UTSA ML</t>
        </is>
      </c>
      <c r="G257" s="23" t="n"/>
      <c r="H257" s="13" t="n">
        <v>114</v>
      </c>
      <c r="I257" s="15" t="n">
        <v>0.4145192905966658</v>
      </c>
      <c r="J257" s="15" t="n">
        <v>0.448558885283451</v>
      </c>
      <c r="K257" s="15" t="n">
        <v>0.4672897196261682</v>
      </c>
      <c r="L257" s="14" t="n">
        <v>-0.06302002856038078</v>
      </c>
      <c r="M257" s="14" t="n">
        <v>-0.1129287181231353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USA @ TULN</t>
        </is>
      </c>
      <c r="C258" s="17" t="inlineStr">
        <is>
          <t>2026-09-12 23:00</t>
        </is>
      </c>
      <c r="D258" s="25" t="n">
        <v>2</v>
      </c>
      <c r="E258" s="17" t="inlineStr">
        <is>
          <t>ML</t>
        </is>
      </c>
      <c r="F258" s="17" t="inlineStr">
        <is>
          <t>TULN ML</t>
        </is>
      </c>
      <c r="G258" s="26" t="n"/>
      <c r="H258" s="18" t="n">
        <v>-375</v>
      </c>
      <c r="I258" s="20" t="n">
        <v>0.6996948439921276</v>
      </c>
      <c r="J258" s="20" t="n">
        <v>0.7571884984025559</v>
      </c>
      <c r="K258" s="20" t="n">
        <v>0.7894736842105263</v>
      </c>
      <c r="L258" s="19" t="n">
        <v>-0.06304458532644486</v>
      </c>
      <c r="M258" s="19" t="n">
        <v>-0.1137198642766385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MEM @ BOIS</t>
        </is>
      </c>
      <c r="C259" s="12" t="inlineStr">
        <is>
          <t>2026-09-12 22:00</t>
        </is>
      </c>
      <c r="D259" s="22" t="n">
        <v>2</v>
      </c>
      <c r="E259" s="12" t="inlineStr">
        <is>
          <t>TOTAL</t>
        </is>
      </c>
      <c r="F259" s="12" t="inlineStr">
        <is>
          <t>Over 54.5</t>
        </is>
      </c>
      <c r="G259" s="23" t="n">
        <v>54.5</v>
      </c>
      <c r="H259" s="13" t="n">
        <v>-115</v>
      </c>
      <c r="I259" s="15" t="n">
        <v>0.4716557241546013</v>
      </c>
      <c r="J259" s="15" t="n">
        <v>0.5108342361863488</v>
      </c>
      <c r="K259" s="15" t="n">
        <v>0.5348837209302325</v>
      </c>
      <c r="L259" s="14" t="n">
        <v>-0.06347023826614301</v>
      </c>
      <c r="M259" s="14" t="n">
        <v>-0.1182088635370497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BUFF @ FIU</t>
        </is>
      </c>
      <c r="C260" s="17" t="inlineStr">
        <is>
          <t>2026-09-12 22:00</t>
        </is>
      </c>
      <c r="D260" s="25" t="n">
        <v>2</v>
      </c>
      <c r="E260" s="17" t="inlineStr">
        <is>
          <t>ML</t>
        </is>
      </c>
      <c r="F260" s="17" t="inlineStr">
        <is>
          <t>FIU ML</t>
        </is>
      </c>
      <c r="G260" s="26" t="n"/>
      <c r="H260" s="18" t="n">
        <v>-410</v>
      </c>
      <c r="I260" s="20" t="n">
        <v>0.7121041553354723</v>
      </c>
      <c r="J260" s="20" t="n">
        <v>0.771505376344086</v>
      </c>
      <c r="K260" s="20" t="n">
        <v>0.803921568627451</v>
      </c>
      <c r="L260" s="19" t="n">
        <v>-0.06363529399879661</v>
      </c>
      <c r="M260" s="19" t="n">
        <v>-0.1142119043388027</v>
      </c>
      <c r="N260" s="20" t="n">
        <v>0</v>
      </c>
      <c r="O260" s="27" t="n">
        <v>0.725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SDSU @ UCLA</t>
        </is>
      </c>
      <c r="C261" s="12" t="inlineStr">
        <is>
          <t>2026-09-12 23:15</t>
        </is>
      </c>
      <c r="D261" s="22" t="n">
        <v>2</v>
      </c>
      <c r="E261" s="12" t="inlineStr">
        <is>
          <t>ML</t>
        </is>
      </c>
      <c r="F261" s="12" t="inlineStr">
        <is>
          <t>UCLA ML</t>
        </is>
      </c>
      <c r="G261" s="23" t="n"/>
      <c r="H261" s="13" t="n">
        <v>-500</v>
      </c>
      <c r="I261" s="15" t="n">
        <v>0.737863449648523</v>
      </c>
      <c r="J261" s="15" t="n">
        <v>0.7999999999999999</v>
      </c>
      <c r="K261" s="15" t="n">
        <v>0.8333333333333334</v>
      </c>
      <c r="L261" s="14" t="n">
        <v>-0.06400662452326973</v>
      </c>
      <c r="M261" s="14" t="n">
        <v>-0.1145638604217724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EMU @ MSU</t>
        </is>
      </c>
      <c r="C262" s="17" t="inlineStr">
        <is>
          <t>2026-09-12 19:30</t>
        </is>
      </c>
      <c r="D262" s="25" t="n">
        <v>2</v>
      </c>
      <c r="E262" s="17" t="inlineStr">
        <is>
          <t>TOTAL</t>
        </is>
      </c>
      <c r="F262" s="17" t="inlineStr">
        <is>
          <t>Under 49.5</t>
        </is>
      </c>
      <c r="G262" s="26" t="n">
        <v>49.5</v>
      </c>
      <c r="H262" s="18" t="n">
        <v>-110</v>
      </c>
      <c r="I262" s="20" t="n">
        <v>0.4603538092223807</v>
      </c>
      <c r="J262" s="20" t="n">
        <v>0.5</v>
      </c>
      <c r="K262" s="20" t="n">
        <v>0.5238095238095238</v>
      </c>
      <c r="L262" s="19" t="n">
        <v>-0.06488200639722276</v>
      </c>
      <c r="M262" s="19" t="n">
        <v>-0.1211427278481824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WVU @ UVA</t>
        </is>
      </c>
      <c r="C263" s="12" t="inlineStr">
        <is>
          <t>2026-09-19 23:30</t>
        </is>
      </c>
      <c r="D263" s="22" t="n">
        <v>3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-108</v>
      </c>
      <c r="I263" s="15" t="n">
        <v>0.456234990298834</v>
      </c>
      <c r="J263" s="15" t="n">
        <v>0.4956702459300312</v>
      </c>
      <c r="K263" s="15" t="n">
        <v>0.5192307692307693</v>
      </c>
      <c r="L263" s="14" t="n">
        <v>-0.06502423214149552</v>
      </c>
      <c r="M263" s="14" t="n">
        <v>-0.1213252038689122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ARK @ UTAH</t>
        </is>
      </c>
      <c r="C264" s="17" t="inlineStr">
        <is>
          <t>2026-09-13 02:15</t>
        </is>
      </c>
      <c r="D264" s="25" t="n">
        <v>2</v>
      </c>
      <c r="E264" s="17" t="inlineStr">
        <is>
          <t>ML</t>
        </is>
      </c>
      <c r="F264" s="17" t="inlineStr">
        <is>
          <t>UTAH ML</t>
        </is>
      </c>
      <c r="G264" s="26" t="n"/>
      <c r="H264" s="18" t="n">
        <v>-500</v>
      </c>
      <c r="I264" s="20" t="n">
        <v>0.7341903342101717</v>
      </c>
      <c r="J264" s="20" t="n">
        <v>0.7999999999999999</v>
      </c>
      <c r="K264" s="20" t="n">
        <v>0.8333333333333334</v>
      </c>
      <c r="L264" s="19" t="n">
        <v>-0.0664328864034163</v>
      </c>
      <c r="M264" s="19" t="n">
        <v>-0.1189715989477941</v>
      </c>
      <c r="N264" s="20" t="n">
        <v>0</v>
      </c>
      <c r="O264" s="27" t="n">
        <v>0.725</v>
      </c>
      <c r="P264" s="17" t="inlineStr">
        <is>
          <t>DraftKings</t>
        </is>
      </c>
      <c r="Q264" s="17" t="inlineStr">
        <is>
          <t>price outside allowed range</t>
        </is>
      </c>
    </row>
    <row r="265">
      <c r="A265" s="12" t="inlineStr">
        <is>
          <t>PASS</t>
        </is>
      </c>
      <c r="B265" s="12" t="inlineStr">
        <is>
          <t>LT @ LSU</t>
        </is>
      </c>
      <c r="C265" s="12" t="inlineStr">
        <is>
          <t>2026-09-12 23:30</t>
        </is>
      </c>
      <c r="D265" s="22" t="n">
        <v>2</v>
      </c>
      <c r="E265" s="12" t="inlineStr">
        <is>
          <t>TOTAL</t>
        </is>
      </c>
      <c r="F265" s="12" t="inlineStr">
        <is>
          <t>Over 55.5</t>
        </is>
      </c>
      <c r="G265" s="23" t="n">
        <v>55.5</v>
      </c>
      <c r="H265" s="13" t="n">
        <v>-108</v>
      </c>
      <c r="I265" s="15" t="n">
        <v>0.4542850561776809</v>
      </c>
      <c r="J265" s="15" t="n">
        <v>0.4956702459300312</v>
      </c>
      <c r="K265" s="15" t="n">
        <v>0.5192307692307693</v>
      </c>
      <c r="L265" s="14" t="n">
        <v>-0.06705638509413553</v>
      </c>
      <c r="M265" s="14" t="n">
        <v>-0.1250806325466884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NMSU @ HAW</t>
        </is>
      </c>
      <c r="C266" s="17" t="inlineStr">
        <is>
          <t>2026-09-13 03:59</t>
        </is>
      </c>
      <c r="D266" s="25" t="n">
        <v>2</v>
      </c>
      <c r="E266" s="17" t="inlineStr">
        <is>
          <t>ML</t>
        </is>
      </c>
      <c r="F266" s="17" t="inlineStr">
        <is>
          <t>HAW ML</t>
        </is>
      </c>
      <c r="G266" s="26" t="n"/>
      <c r="H266" s="18" t="n">
        <v>-298</v>
      </c>
      <c r="I266" s="20" t="n">
        <v>0.6570686478026466</v>
      </c>
      <c r="J266" s="20" t="n">
        <v>0.7179705215419501</v>
      </c>
      <c r="K266" s="20" t="n">
        <v>0.7487437185929648</v>
      </c>
      <c r="L266" s="19" t="n">
        <v>-0.06771796933715328</v>
      </c>
      <c r="M266" s="19" t="n">
        <v>-0.1224385173642505</v>
      </c>
      <c r="N266" s="20" t="n">
        <v>0</v>
      </c>
      <c r="O266" s="27" t="n">
        <v>0.839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MONM @ WMU</t>
        </is>
      </c>
      <c r="C267" s="12" t="inlineStr">
        <is>
          <t>2026-09-12 22:30</t>
        </is>
      </c>
      <c r="D267" s="22" t="n">
        <v>2</v>
      </c>
      <c r="E267" s="12" t="inlineStr">
        <is>
          <t>TOTAL</t>
        </is>
      </c>
      <c r="F267" s="12" t="inlineStr">
        <is>
          <t>Over 53.5</t>
        </is>
      </c>
      <c r="G267" s="23" t="n">
        <v>53.5</v>
      </c>
      <c r="H267" s="13" t="n">
        <v>-112</v>
      </c>
      <c r="I267" s="15" t="n">
        <v>0.4605647291330361</v>
      </c>
      <c r="J267" s="15" t="n">
        <v>0.5043297540699688</v>
      </c>
      <c r="K267" s="15" t="n">
        <v>0.5283018867924528</v>
      </c>
      <c r="L267" s="14" t="n">
        <v>-0.06866488386910685</v>
      </c>
      <c r="M267" s="14" t="n">
        <v>-0.1282167627124673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MONM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MEM @ BOIS</t>
        </is>
      </c>
      <c r="C268" s="17" t="inlineStr">
        <is>
          <t>2026-09-12 22:00</t>
        </is>
      </c>
      <c r="D268" s="25" t="n">
        <v>2</v>
      </c>
      <c r="E268" s="17" t="inlineStr">
        <is>
          <t>ML</t>
        </is>
      </c>
      <c r="F268" s="17" t="inlineStr">
        <is>
          <t>BOIS ML</t>
        </is>
      </c>
      <c r="G268" s="26" t="n"/>
      <c r="H268" s="18" t="n">
        <v>-380</v>
      </c>
      <c r="I268" s="20" t="n">
        <v>0.6936095578684103</v>
      </c>
      <c r="J268" s="20" t="n">
        <v>0.7600000000000001</v>
      </c>
      <c r="K268" s="20" t="n">
        <v>0.7916666666666666</v>
      </c>
      <c r="L268" s="19" t="n">
        <v>-0.06893935878380221</v>
      </c>
      <c r="M268" s="19" t="n">
        <v>-0.1238616111135871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BGSU @ NEB</t>
        </is>
      </c>
      <c r="C269" s="12" t="inlineStr">
        <is>
          <t>2026-09-12 23:00</t>
        </is>
      </c>
      <c r="D269" s="22" t="n">
        <v>2</v>
      </c>
      <c r="E269" s="12" t="inlineStr">
        <is>
          <t>TOTAL</t>
        </is>
      </c>
      <c r="F269" s="12" t="inlineStr">
        <is>
          <t>Under 49.5</t>
        </is>
      </c>
      <c r="G269" s="23" t="n">
        <v>49.5</v>
      </c>
      <c r="H269" s="13" t="n">
        <v>-108</v>
      </c>
      <c r="I269" s="15" t="n">
        <v>0.4523394076243092</v>
      </c>
      <c r="J269" s="15" t="n">
        <v>0.4956702459300312</v>
      </c>
      <c r="K269" s="15" t="n">
        <v>0.5192307692307693</v>
      </c>
      <c r="L269" s="14" t="n">
        <v>-0.0689690898573657</v>
      </c>
      <c r="M269" s="14" t="n">
        <v>-0.1288278075383673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GAST @ KENN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Over 55.5</t>
        </is>
      </c>
      <c r="G270" s="26" t="n">
        <v>55.5</v>
      </c>
      <c r="H270" s="18" t="n">
        <v>-105</v>
      </c>
      <c r="I270" s="20" t="n">
        <v>0.4452095715392755</v>
      </c>
      <c r="J270" s="20" t="n">
        <v>0.4891657638136511</v>
      </c>
      <c r="K270" s="20" t="n">
        <v>0.5121951219512195</v>
      </c>
      <c r="L270" s="19" t="n">
        <v>-0.07010206530517592</v>
      </c>
      <c r="M270" s="19" t="n">
        <v>-0.1307813127090335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USA @ TULN</t>
        </is>
      </c>
      <c r="C271" s="12" t="inlineStr">
        <is>
          <t>2026-09-12 23:00</t>
        </is>
      </c>
      <c r="D271" s="22" t="n">
        <v>2</v>
      </c>
      <c r="E271" s="12" t="inlineStr">
        <is>
          <t>TOTAL</t>
        </is>
      </c>
      <c r="F271" s="12" t="inlineStr">
        <is>
          <t>Under 48.5</t>
        </is>
      </c>
      <c r="G271" s="23" t="n">
        <v>48.5</v>
      </c>
      <c r="H271" s="13" t="n">
        <v>-108</v>
      </c>
      <c r="I271" s="15" t="n">
        <v>0.450398249235064</v>
      </c>
      <c r="J271" s="15" t="n">
        <v>0.4956702459300312</v>
      </c>
      <c r="K271" s="15" t="n">
        <v>0.5192307692307693</v>
      </c>
      <c r="L271" s="14" t="n">
        <v>-0.0707664151451519</v>
      </c>
      <c r="M271" s="14" t="n">
        <v>-0.1325663348065433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DEL @ VAN</t>
        </is>
      </c>
      <c r="C272" s="17" t="inlineStr">
        <is>
          <t>2026-09-12 20:15</t>
        </is>
      </c>
      <c r="D272" s="25" t="n">
        <v>2</v>
      </c>
      <c r="E272" s="17" t="inlineStr">
        <is>
          <t>TOTAL</t>
        </is>
      </c>
      <c r="F272" s="17" t="inlineStr">
        <is>
          <t>Over 54.5</t>
        </is>
      </c>
      <c r="G272" s="26" t="n">
        <v>54.5</v>
      </c>
      <c r="H272" s="18" t="n">
        <v>-115</v>
      </c>
      <c r="I272" s="20" t="n">
        <v>0.4638169611241876</v>
      </c>
      <c r="J272" s="20" t="n">
        <v>0.5108342361863488</v>
      </c>
      <c r="K272" s="20" t="n">
        <v>0.5348837209302325</v>
      </c>
      <c r="L272" s="19" t="n">
        <v>-0.07107860598184737</v>
      </c>
      <c r="M272" s="19" t="n">
        <v>-0.1328639422460841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JVST @ OHIO</t>
        </is>
      </c>
      <c r="C273" s="12" t="inlineStr">
        <is>
          <t>2026-09-12 22:00</t>
        </is>
      </c>
      <c r="D273" s="22" t="n">
        <v>2</v>
      </c>
      <c r="E273" s="12" t="inlineStr">
        <is>
          <t>ATS</t>
        </is>
      </c>
      <c r="F273" s="12" t="inlineStr">
        <is>
          <t>JVST +1.5</t>
        </is>
      </c>
      <c r="G273" s="23" t="n">
        <v>-1.5</v>
      </c>
      <c r="H273" s="13" t="n">
        <v>-110</v>
      </c>
      <c r="I273" s="15" t="n">
        <v>0.4539513303117853</v>
      </c>
      <c r="J273" s="15" t="n">
        <v>0.5</v>
      </c>
      <c r="K273" s="15" t="n">
        <v>0.5238095238095238</v>
      </c>
      <c r="L273" s="14" t="n">
        <v>-0.07110375637230584</v>
      </c>
      <c r="M273" s="14" t="n">
        <v>-0.1333656421320463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ARIZ @ BYU</t>
        </is>
      </c>
      <c r="C274" s="17" t="inlineStr">
        <is>
          <t>2026-09-12 19:30</t>
        </is>
      </c>
      <c r="D274" s="25" t="n">
        <v>2</v>
      </c>
      <c r="E274" s="17" t="inlineStr">
        <is>
          <t>ATS</t>
        </is>
      </c>
      <c r="F274" s="17" t="inlineStr">
        <is>
          <t>BYU -7</t>
        </is>
      </c>
      <c r="G274" s="26" t="n">
        <v>-7</v>
      </c>
      <c r="H274" s="18" t="n">
        <v>-108</v>
      </c>
      <c r="I274" s="20" t="n">
        <v>0.4497077340684109</v>
      </c>
      <c r="J274" s="20" t="n">
        <v>0.4956702459300312</v>
      </c>
      <c r="K274" s="20" t="n">
        <v>0.5192307692307693</v>
      </c>
      <c r="L274" s="19" t="n">
        <v>-0.07137975092735464</v>
      </c>
      <c r="M274" s="19" t="n">
        <v>-0.1271612362100729</v>
      </c>
      <c r="N274" s="20" t="n">
        <v>0.0503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CAL @ SYR</t>
        </is>
      </c>
      <c r="C275" s="12" t="inlineStr">
        <is>
          <t>2026-09-12 19:30</t>
        </is>
      </c>
      <c r="D275" s="22" t="n">
        <v>2</v>
      </c>
      <c r="E275" s="12" t="inlineStr">
        <is>
          <t>ATS</t>
        </is>
      </c>
      <c r="F275" s="12" t="inlineStr">
        <is>
          <t>CAL +3.5</t>
        </is>
      </c>
      <c r="G275" s="23" t="n">
        <v>-3.5</v>
      </c>
      <c r="H275" s="13" t="n">
        <v>-112</v>
      </c>
      <c r="I275" s="15" t="n">
        <v>0.456921022003105</v>
      </c>
      <c r="J275" s="15" t="n">
        <v>0.5043297540699688</v>
      </c>
      <c r="K275" s="15" t="n">
        <v>0.5283018867924528</v>
      </c>
      <c r="L275" s="14" t="n">
        <v>-0.07192956038390376</v>
      </c>
      <c r="M275" s="14" t="n">
        <v>-0.135113779779837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FSU @ ALA</t>
        </is>
      </c>
      <c r="C276" s="17" t="inlineStr">
        <is>
          <t>2026-09-19 19:30</t>
        </is>
      </c>
      <c r="D276" s="25" t="n">
        <v>3</v>
      </c>
      <c r="E276" s="17" t="inlineStr">
        <is>
          <t>ML</t>
        </is>
      </c>
      <c r="F276" s="17" t="inlineStr">
        <is>
          <t>ALA ML</t>
        </is>
      </c>
      <c r="G276" s="26" t="n"/>
      <c r="H276" s="18" t="n">
        <v>-950</v>
      </c>
      <c r="I276" s="20" t="n">
        <v>0.7831795113251671</v>
      </c>
      <c r="J276" s="20" t="n">
        <v>0.8677165354330709</v>
      </c>
      <c r="K276" s="20" t="n">
        <v>0.9047619047619048</v>
      </c>
      <c r="L276" s="19" t="n">
        <v>-0.07335012752624036</v>
      </c>
      <c r="M276" s="19" t="n">
        <v>-0.1343805401142891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PV @ BAY</t>
        </is>
      </c>
      <c r="C277" s="12" t="inlineStr">
        <is>
          <t>2026-09-13 00:08</t>
        </is>
      </c>
      <c r="D277" s="22" t="n">
        <v>2</v>
      </c>
      <c r="E277" s="12" t="inlineStr">
        <is>
          <t>TOTAL</t>
        </is>
      </c>
      <c r="F277" s="12" t="inlineStr">
        <is>
          <t>Over 55.5</t>
        </is>
      </c>
      <c r="G277" s="23" t="n">
        <v>55.5</v>
      </c>
      <c r="H277" s="13" t="n">
        <v>-110</v>
      </c>
      <c r="I277" s="15" t="n">
        <v>0.45062668963245</v>
      </c>
      <c r="J277" s="15" t="n">
        <v>0.5</v>
      </c>
      <c r="K277" s="15" t="n">
        <v>0.5238095238095238</v>
      </c>
      <c r="L277" s="14" t="n">
        <v>-0.07387827816349188</v>
      </c>
      <c r="M277" s="14" t="n">
        <v>-0.139712683428959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PV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RICE @ ND</t>
        </is>
      </c>
      <c r="C278" s="17" t="inlineStr">
        <is>
          <t>2026-09-12 19:30</t>
        </is>
      </c>
      <c r="D278" s="25" t="n">
        <v>2</v>
      </c>
      <c r="E278" s="17" t="inlineStr">
        <is>
          <t>TOTAL</t>
        </is>
      </c>
      <c r="F278" s="17" t="inlineStr">
        <is>
          <t>Over 54.5</t>
        </is>
      </c>
      <c r="G278" s="26" t="n">
        <v>54.5</v>
      </c>
      <c r="H278" s="18" t="n">
        <v>-108</v>
      </c>
      <c r="I278" s="20" t="n">
        <v>0.4465301730561827</v>
      </c>
      <c r="J278" s="20" t="n">
        <v>0.4956702459300312</v>
      </c>
      <c r="K278" s="20" t="n">
        <v>0.5192307692307693</v>
      </c>
      <c r="L278" s="19" t="n">
        <v>-0.07403272063602673</v>
      </c>
      <c r="M278" s="19" t="n">
        <v>-0.1400159630029073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OSU @ TEX</t>
        </is>
      </c>
      <c r="C279" s="12" t="inlineStr">
        <is>
          <t>2026-09-12 23:30</t>
        </is>
      </c>
      <c r="D279" s="22" t="n">
        <v>2</v>
      </c>
      <c r="E279" s="12" t="inlineStr">
        <is>
          <t>ATS</t>
        </is>
      </c>
      <c r="F279" s="12" t="inlineStr">
        <is>
          <t>OSU +1.5</t>
        </is>
      </c>
      <c r="G279" s="23" t="n">
        <v>-1.5</v>
      </c>
      <c r="H279" s="13" t="n">
        <v>-108</v>
      </c>
      <c r="I279" s="15" t="n">
        <v>0.446187825113445</v>
      </c>
      <c r="J279" s="15" t="n">
        <v>0.4956702459300312</v>
      </c>
      <c r="K279" s="15" t="n">
        <v>0.5192307692307693</v>
      </c>
      <c r="L279" s="14" t="n">
        <v>-0.07430241960801616</v>
      </c>
      <c r="M279" s="14" t="n">
        <v>-0.1406752997815133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CAL @ SYR</t>
        </is>
      </c>
      <c r="C280" s="17" t="inlineStr">
        <is>
          <t>2026-09-12 19:30</t>
        </is>
      </c>
      <c r="D280" s="25" t="n">
        <v>2</v>
      </c>
      <c r="E280" s="17" t="inlineStr">
        <is>
          <t>ML</t>
        </is>
      </c>
      <c r="F280" s="17" t="inlineStr">
        <is>
          <t>CAL ML</t>
        </is>
      </c>
      <c r="G280" s="26" t="n"/>
      <c r="H280" s="18" t="n">
        <v>160</v>
      </c>
      <c r="I280" s="20" t="n">
        <v>0.331049418346578</v>
      </c>
      <c r="J280" s="20" t="n">
        <v>0.3690596562184025</v>
      </c>
      <c r="K280" s="20" t="n">
        <v>0.3846153846153846</v>
      </c>
      <c r="L280" s="19" t="n">
        <v>-0.07549885224322718</v>
      </c>
      <c r="M280" s="19" t="n">
        <v>-0.1392715122988972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OSU @ TEX</t>
        </is>
      </c>
      <c r="C281" s="12" t="inlineStr">
        <is>
          <t>2026-09-12 23:30</t>
        </is>
      </c>
      <c r="D281" s="22" t="n">
        <v>2</v>
      </c>
      <c r="E281" s="12" t="inlineStr">
        <is>
          <t>TOTAL</t>
        </is>
      </c>
      <c r="F281" s="12" t="inlineStr">
        <is>
          <t>Under 49.5</t>
        </is>
      </c>
      <c r="G281" s="23" t="n">
        <v>49.5</v>
      </c>
      <c r="H281" s="13" t="n">
        <v>-108</v>
      </c>
      <c r="I281" s="15" t="n">
        <v>0.4426820835852101</v>
      </c>
      <c r="J281" s="15" t="n">
        <v>0.4956702459300312</v>
      </c>
      <c r="K281" s="15" t="n">
        <v>0.5192307692307693</v>
      </c>
      <c r="L281" s="14" t="n">
        <v>-0.07689293049290767</v>
      </c>
      <c r="M281" s="14" t="n">
        <v>-0.1474270982803361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NDSU @ AFA</t>
        </is>
      </c>
      <c r="C282" s="17" t="inlineStr">
        <is>
          <t>2026-09-13 02:00</t>
        </is>
      </c>
      <c r="D282" s="25" t="n">
        <v>2</v>
      </c>
      <c r="E282" s="17" t="inlineStr">
        <is>
          <t>TOTAL</t>
        </is>
      </c>
      <c r="F282" s="17" t="inlineStr">
        <is>
          <t>Under 47.5</t>
        </is>
      </c>
      <c r="G282" s="26" t="n">
        <v>47.5</v>
      </c>
      <c r="H282" s="18" t="n">
        <v>-108</v>
      </c>
      <c r="I282" s="20" t="n">
        <v>0.4426820461103681</v>
      </c>
      <c r="J282" s="20" t="n">
        <v>0.4956702459300312</v>
      </c>
      <c r="K282" s="20" t="n">
        <v>0.5192307692307693</v>
      </c>
      <c r="L282" s="19" t="n">
        <v>-0.07689295656678721</v>
      </c>
      <c r="M282" s="19" t="n">
        <v>-0.1474271704541058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CAL @ SYR</t>
        </is>
      </c>
      <c r="C283" s="12" t="inlineStr">
        <is>
          <t>2026-09-12 19:30</t>
        </is>
      </c>
      <c r="D283" s="22" t="n">
        <v>2</v>
      </c>
      <c r="E283" s="12" t="inlineStr">
        <is>
          <t>TOTAL</t>
        </is>
      </c>
      <c r="F283" s="12" t="inlineStr">
        <is>
          <t>Over 56.5</t>
        </is>
      </c>
      <c r="G283" s="23" t="n">
        <v>56.5</v>
      </c>
      <c r="H283" s="13" t="n">
        <v>-115</v>
      </c>
      <c r="I283" s="15" t="n">
        <v>0.4560438039992573</v>
      </c>
      <c r="J283" s="15" t="n">
        <v>0.5108342361863488</v>
      </c>
      <c r="K283" s="15" t="n">
        <v>0.5348837209302325</v>
      </c>
      <c r="L283" s="14" t="n">
        <v>-0.0770148980831775</v>
      </c>
      <c r="M283" s="14" t="n">
        <v>-0.1473963664361712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TENN @ GT</t>
        </is>
      </c>
      <c r="C284" s="17" t="inlineStr">
        <is>
          <t>2026-09-12 23:00</t>
        </is>
      </c>
      <c r="D284" s="25" t="n">
        <v>2</v>
      </c>
      <c r="E284" s="17" t="inlineStr">
        <is>
          <t>TOTAL</t>
        </is>
      </c>
      <c r="F284" s="17" t="inlineStr">
        <is>
          <t>Over 55.5</t>
        </is>
      </c>
      <c r="G284" s="26" t="n">
        <v>55.5</v>
      </c>
      <c r="H284" s="18" t="n">
        <v>-110</v>
      </c>
      <c r="I284" s="20" t="n">
        <v>0.4448469900827616</v>
      </c>
      <c r="J284" s="20" t="n">
        <v>0.5</v>
      </c>
      <c r="K284" s="20" t="n">
        <v>0.5238095238095238</v>
      </c>
      <c r="L284" s="19" t="n">
        <v>-0.07803330825910013</v>
      </c>
      <c r="M284" s="19" t="n">
        <v>-0.150746655296546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JVST @ OHIO</t>
        </is>
      </c>
      <c r="C285" s="12" t="inlineStr">
        <is>
          <t>2026-09-12 22:00</t>
        </is>
      </c>
      <c r="D285" s="22" t="n">
        <v>2</v>
      </c>
      <c r="E285" s="12" t="inlineStr">
        <is>
          <t>ML</t>
        </is>
      </c>
      <c r="F285" s="12" t="inlineStr">
        <is>
          <t>JVST ML</t>
        </is>
      </c>
      <c r="G285" s="23" t="n"/>
      <c r="H285" s="13" t="n">
        <v>100</v>
      </c>
      <c r="I285" s="15" t="n">
        <v>0.4252468107992409</v>
      </c>
      <c r="J285" s="15" t="n">
        <v>0.4782608695652174</v>
      </c>
      <c r="K285" s="15" t="n">
        <v>0.5</v>
      </c>
      <c r="L285" s="14" t="n">
        <v>-0.07820865221272856</v>
      </c>
      <c r="M285" s="14" t="n">
        <v>-0.1495063784015183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ISU @ IOWA</t>
        </is>
      </c>
      <c r="C286" s="17" t="inlineStr">
        <is>
          <t>2026-09-12 23:30</t>
        </is>
      </c>
      <c r="D286" s="25" t="n">
        <v>2</v>
      </c>
      <c r="E286" s="17" t="inlineStr">
        <is>
          <t>ML</t>
        </is>
      </c>
      <c r="F286" s="17" t="inlineStr">
        <is>
          <t>IOWA ML</t>
        </is>
      </c>
      <c r="G286" s="26" t="n"/>
      <c r="H286" s="18" t="n">
        <v>-600</v>
      </c>
      <c r="I286" s="20" t="n">
        <v>0.7342519595551176</v>
      </c>
      <c r="J286" s="20" t="n">
        <v>0.8263027295285359</v>
      </c>
      <c r="K286" s="20" t="n">
        <v>0.8571428571428571</v>
      </c>
      <c r="L286" s="19" t="n">
        <v>-0.07838607587900955</v>
      </c>
      <c r="M286" s="19" t="n">
        <v>-0.1433727138523628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price outside allowed range</t>
        </is>
      </c>
    </row>
    <row r="287">
      <c r="A287" s="12" t="inlineStr">
        <is>
          <t>PASS</t>
        </is>
      </c>
      <c r="B287" s="12" t="inlineStr">
        <is>
          <t>MSST @ SC</t>
        </is>
      </c>
      <c r="C287" s="12" t="inlineStr">
        <is>
          <t>2026-09-19 20:15</t>
        </is>
      </c>
      <c r="D287" s="22" t="n">
        <v>3</v>
      </c>
      <c r="E287" s="12" t="inlineStr">
        <is>
          <t>ATS</t>
        </is>
      </c>
      <c r="F287" s="12" t="inlineStr">
        <is>
          <t>SC -7.5</t>
        </is>
      </c>
      <c r="G287" s="23" t="n">
        <v>-7.5</v>
      </c>
      <c r="H287" s="13" t="n">
        <v>-108</v>
      </c>
      <c r="I287" s="15" t="n">
        <v>0.439965131169279</v>
      </c>
      <c r="J287" s="15" t="n">
        <v>0.4956702459300312</v>
      </c>
      <c r="K287" s="15" t="n">
        <v>0.5192307692307693</v>
      </c>
      <c r="L287" s="14" t="n">
        <v>-0.07869705010002631</v>
      </c>
      <c r="M287" s="14" t="n">
        <v>-0.1526597473776848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MTSU @ MRSH</t>
        </is>
      </c>
      <c r="C288" s="17" t="inlineStr">
        <is>
          <t>2026-09-12 23:00</t>
        </is>
      </c>
      <c r="D288" s="25" t="n">
        <v>2</v>
      </c>
      <c r="E288" s="17" t="inlineStr">
        <is>
          <t>ML</t>
        </is>
      </c>
      <c r="F288" s="17" t="inlineStr">
        <is>
          <t>MRSH ML</t>
        </is>
      </c>
      <c r="G288" s="26" t="n"/>
      <c r="H288" s="18" t="n">
        <v>-535</v>
      </c>
      <c r="I288" s="20" t="n">
        <v>0.7170024141195175</v>
      </c>
      <c r="J288" s="20" t="n">
        <v>0.8081570996978852</v>
      </c>
      <c r="K288" s="20" t="n">
        <v>0.84251968503937</v>
      </c>
      <c r="L288" s="19" t="n">
        <v>-0.07882519306622263</v>
      </c>
      <c r="M288" s="19" t="n">
        <v>-0.1489784430544044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price outside allowed range</t>
        </is>
      </c>
    </row>
    <row r="289">
      <c r="A289" s="12" t="inlineStr">
        <is>
          <t>PASS</t>
        </is>
      </c>
      <c r="B289" s="12" t="inlineStr">
        <is>
          <t>STBK @ BALL</t>
        </is>
      </c>
      <c r="C289" s="12" t="inlineStr">
        <is>
          <t>2026-09-12 18:00</t>
        </is>
      </c>
      <c r="D289" s="22" t="n">
        <v>2</v>
      </c>
      <c r="E289" s="12" t="inlineStr">
        <is>
          <t>ML</t>
        </is>
      </c>
      <c r="F289" s="12" t="inlineStr">
        <is>
          <t>BALL ML</t>
        </is>
      </c>
      <c r="G289" s="23" t="n"/>
      <c r="H289" s="13" t="n">
        <v>-575</v>
      </c>
      <c r="I289" s="15" t="n">
        <v>0.722650053135122</v>
      </c>
      <c r="J289" s="15" t="n">
        <v>0.817258883248731</v>
      </c>
      <c r="K289" s="15" t="n">
        <v>0.8518518518518519</v>
      </c>
      <c r="L289" s="14" t="n">
        <v>-0.07972686263567201</v>
      </c>
      <c r="M289" s="14" t="n">
        <v>-0.1516716767544221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STBK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EMU @ MSU</t>
        </is>
      </c>
      <c r="C290" s="17" t="inlineStr">
        <is>
          <t>2026-09-12 19:30</t>
        </is>
      </c>
      <c r="D290" s="25" t="n">
        <v>2</v>
      </c>
      <c r="E290" s="17" t="inlineStr">
        <is>
          <t>ML</t>
        </is>
      </c>
      <c r="F290" s="17" t="inlineStr">
        <is>
          <t>MSU ML</t>
        </is>
      </c>
      <c r="G290" s="26" t="n"/>
      <c r="H290" s="18" t="n">
        <v>-900</v>
      </c>
      <c r="I290" s="20" t="n">
        <v>0.7607965057281436</v>
      </c>
      <c r="J290" s="20" t="n">
        <v>0.863013698630137</v>
      </c>
      <c r="K290" s="20" t="n">
        <v>0.9</v>
      </c>
      <c r="L290" s="19" t="n">
        <v>-0.08050038078193632</v>
      </c>
      <c r="M290" s="19" t="n">
        <v>-0.1546705491909515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VT @ MD</t>
        </is>
      </c>
      <c r="C291" s="12" t="inlineStr">
        <is>
          <t>2026-09-19 23:30</t>
        </is>
      </c>
      <c r="D291" s="22" t="n">
        <v>3</v>
      </c>
      <c r="E291" s="12" t="inlineStr">
        <is>
          <t>TOTAL</t>
        </is>
      </c>
      <c r="F291" s="12" t="inlineStr">
        <is>
          <t>Under 50.5</t>
        </is>
      </c>
      <c r="G291" s="23" t="n">
        <v>50.5</v>
      </c>
      <c r="H291" s="13" t="n">
        <v>-108</v>
      </c>
      <c r="I291" s="15" t="n">
        <v>0.4369507752692405</v>
      </c>
      <c r="J291" s="15" t="n">
        <v>0.4956702459300312</v>
      </c>
      <c r="K291" s="15" t="n">
        <v>0.5192307692307693</v>
      </c>
      <c r="L291" s="14" t="n">
        <v>-0.08050676418335717</v>
      </c>
      <c r="M291" s="14" t="n">
        <v>-0.1584651735555367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OSU @ TEX</t>
        </is>
      </c>
      <c r="C292" s="17" t="inlineStr">
        <is>
          <t>2026-09-12 23:30</t>
        </is>
      </c>
      <c r="D292" s="25" t="n">
        <v>2</v>
      </c>
      <c r="E292" s="17" t="inlineStr">
        <is>
          <t>ML</t>
        </is>
      </c>
      <c r="F292" s="17" t="inlineStr">
        <is>
          <t>OSU ML</t>
        </is>
      </c>
      <c r="G292" s="26" t="n"/>
      <c r="H292" s="18" t="n">
        <v>102</v>
      </c>
      <c r="I292" s="20" t="n">
        <v>0.4176179255003395</v>
      </c>
      <c r="J292" s="20" t="n">
        <v>0.4739134147382802</v>
      </c>
      <c r="K292" s="20" t="n">
        <v>0.495049504950495</v>
      </c>
      <c r="L292" s="19" t="n">
        <v>-0.08059775317772587</v>
      </c>
      <c r="M292" s="19" t="n">
        <v>-0.1564117904893142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GAST @ KENN</t>
        </is>
      </c>
      <c r="C293" s="12" t="inlineStr">
        <is>
          <t>2026-09-12 23:00</t>
        </is>
      </c>
      <c r="D293" s="22" t="n">
        <v>2</v>
      </c>
      <c r="E293" s="12" t="inlineStr">
        <is>
          <t>ATS</t>
        </is>
      </c>
      <c r="F293" s="12" t="inlineStr">
        <is>
          <t>KENN -8.5</t>
        </is>
      </c>
      <c r="G293" s="23" t="n">
        <v>-8.5</v>
      </c>
      <c r="H293" s="13" t="n">
        <v>-105</v>
      </c>
      <c r="I293" s="15" t="n">
        <v>0.4293891763572507</v>
      </c>
      <c r="J293" s="15" t="n">
        <v>0.4891657638136511</v>
      </c>
      <c r="K293" s="15" t="n">
        <v>0.5121951219512195</v>
      </c>
      <c r="L293" s="14" t="n">
        <v>-0.08152535109463183</v>
      </c>
      <c r="M293" s="14" t="n">
        <v>-0.1616687509215583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UCF @ PITT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PITT -7</t>
        </is>
      </c>
      <c r="G294" s="26" t="n">
        <v>-7</v>
      </c>
      <c r="H294" s="18" t="n">
        <v>-115</v>
      </c>
      <c r="I294" s="20" t="n">
        <v>0.4480386346477694</v>
      </c>
      <c r="J294" s="20" t="n">
        <v>0.5108342361863488</v>
      </c>
      <c r="K294" s="20" t="n">
        <v>0.5348837209302325</v>
      </c>
      <c r="L294" s="19" t="n">
        <v>-0.0817155653117809</v>
      </c>
      <c r="M294" s="19" t="n">
        <v>-0.1542768974948109</v>
      </c>
      <c r="N294" s="20" t="n">
        <v>0.0498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MTSU @ MRSH</t>
        </is>
      </c>
      <c r="C295" s="12" t="inlineStr">
        <is>
          <t>2026-09-12 23:00</t>
        </is>
      </c>
      <c r="D295" s="22" t="n">
        <v>2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-115</v>
      </c>
      <c r="I295" s="15" t="n">
        <v>0.4464375609304314</v>
      </c>
      <c r="J295" s="15" t="n">
        <v>0.5108342361863488</v>
      </c>
      <c r="K295" s="15" t="n">
        <v>0.5348837209302325</v>
      </c>
      <c r="L295" s="14" t="n">
        <v>-0.08250805905975168</v>
      </c>
      <c r="M295" s="14" t="n">
        <v>-0.1653558643474544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WES @ ARST</t>
        </is>
      </c>
      <c r="C296" s="17" t="inlineStr">
        <is>
          <t>2026-09-12 23:00</t>
        </is>
      </c>
      <c r="D296" s="25" t="n">
        <v>2</v>
      </c>
      <c r="E296" s="17" t="inlineStr">
        <is>
          <t>TOTAL</t>
        </is>
      </c>
      <c r="F296" s="17" t="inlineStr">
        <is>
          <t>Over 56.5</t>
        </is>
      </c>
      <c r="G296" s="26" t="n">
        <v>56.5</v>
      </c>
      <c r="H296" s="18" t="n">
        <v>-108</v>
      </c>
      <c r="I296" s="20" t="n">
        <v>0.4331591249742943</v>
      </c>
      <c r="J296" s="20" t="n">
        <v>0.4956702459300312</v>
      </c>
      <c r="K296" s="20" t="n">
        <v>0.5192307692307693</v>
      </c>
      <c r="L296" s="19" t="n">
        <v>-0.08252096322170205</v>
      </c>
      <c r="M296" s="19" t="n">
        <v>-0.1657676111606183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WES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CP @ SJSU</t>
        </is>
      </c>
      <c r="C297" s="12" t="inlineStr">
        <is>
          <t>2026-09-13 01:00</t>
        </is>
      </c>
      <c r="D297" s="22" t="n">
        <v>2</v>
      </c>
      <c r="E297" s="12" t="inlineStr">
        <is>
          <t>ML</t>
        </is>
      </c>
      <c r="F297" s="12" t="inlineStr">
        <is>
          <t>SJSU ML</t>
        </is>
      </c>
      <c r="G297" s="23" t="n"/>
      <c r="H297" s="13" t="n">
        <v>-1800</v>
      </c>
      <c r="I297" s="15" t="n">
        <v>0.792252005200111</v>
      </c>
      <c r="J297" s="15" t="n">
        <v>0.912442396313364</v>
      </c>
      <c r="K297" s="15" t="n">
        <v>0.9473684210526315</v>
      </c>
      <c r="L297" s="14" t="n">
        <v>-0.08382925220133285</v>
      </c>
      <c r="M297" s="14" t="n">
        <v>-0.1637339945109939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CP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ARIZ @ BYU</t>
        </is>
      </c>
      <c r="C298" s="17" t="inlineStr">
        <is>
          <t>2026-09-12 19:30</t>
        </is>
      </c>
      <c r="D298" s="25" t="n">
        <v>2</v>
      </c>
      <c r="E298" s="17" t="inlineStr">
        <is>
          <t>TOTAL</t>
        </is>
      </c>
      <c r="F298" s="17" t="inlineStr">
        <is>
          <t>Under 48.5</t>
        </is>
      </c>
      <c r="G298" s="26" t="n">
        <v>48.5</v>
      </c>
      <c r="H298" s="18" t="n">
        <v>-105</v>
      </c>
      <c r="I298" s="20" t="n">
        <v>0.424266575696324</v>
      </c>
      <c r="J298" s="20" t="n">
        <v>0.4891657638136511</v>
      </c>
      <c r="K298" s="20" t="n">
        <v>0.5121951219512195</v>
      </c>
      <c r="L298" s="19" t="n">
        <v>-0.08403755284193118</v>
      </c>
      <c r="M298" s="19" t="n">
        <v>-0.1716700188786056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LIN @ MOST</t>
        </is>
      </c>
      <c r="C299" s="12" t="inlineStr">
        <is>
          <t>2026-09-12 23:00</t>
        </is>
      </c>
      <c r="D299" s="22" t="n">
        <v>2</v>
      </c>
      <c r="E299" s="12" t="inlineStr">
        <is>
          <t>ML</t>
        </is>
      </c>
      <c r="F299" s="12" t="inlineStr">
        <is>
          <t>MOST ML</t>
        </is>
      </c>
      <c r="G299" s="23" t="n"/>
      <c r="H299" s="13" t="n">
        <v>-850</v>
      </c>
      <c r="I299" s="15" t="n">
        <v>0.7439506311897</v>
      </c>
      <c r="J299" s="15" t="n">
        <v>0.8579439252336449</v>
      </c>
      <c r="K299" s="15" t="n">
        <v>0.8947368421052632</v>
      </c>
      <c r="L299" s="14" t="n">
        <v>-0.08407983947835705</v>
      </c>
      <c r="M299" s="14" t="n">
        <v>-0.1685257651409235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LIN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SHU @ MASS</t>
        </is>
      </c>
      <c r="C300" s="17" t="inlineStr">
        <is>
          <t>2026-09-12 19:30</t>
        </is>
      </c>
      <c r="D300" s="25" t="n">
        <v>2</v>
      </c>
      <c r="E300" s="17" t="inlineStr">
        <is>
          <t>ML</t>
        </is>
      </c>
      <c r="F300" s="17" t="inlineStr">
        <is>
          <t>MASS ML</t>
        </is>
      </c>
      <c r="G300" s="26" t="n"/>
      <c r="H300" s="18" t="n">
        <v>-2400</v>
      </c>
      <c r="I300" s="20" t="n">
        <v>0.8025961259646989</v>
      </c>
      <c r="J300" s="20" t="n">
        <v>0.9258160237388724</v>
      </c>
      <c r="K300" s="20" t="n">
        <v>0.96</v>
      </c>
      <c r="L300" s="19" t="n">
        <v>-0.08412855327598248</v>
      </c>
      <c r="M300" s="19" t="n">
        <v>-0.163962368786772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SHU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GRAM @ TCU</t>
        </is>
      </c>
      <c r="C301" s="12" t="inlineStr">
        <is>
          <t>2026-09-13 00:00</t>
        </is>
      </c>
      <c r="D301" s="22" t="n">
        <v>2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-115</v>
      </c>
      <c r="I301" s="15" t="n">
        <v>0.4426339225956745</v>
      </c>
      <c r="J301" s="15" t="n">
        <v>0.5108342361863488</v>
      </c>
      <c r="K301" s="15" t="n">
        <v>0.5348837209302325</v>
      </c>
      <c r="L301" s="14" t="n">
        <v>-0.08421763339365618</v>
      </c>
      <c r="M301" s="14" t="n">
        <v>-0.1724670142776521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GRAM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BUFF @ FIU</t>
        </is>
      </c>
      <c r="C302" s="17" t="inlineStr">
        <is>
          <t>2026-09-12 22:00</t>
        </is>
      </c>
      <c r="D302" s="25" t="n">
        <v>2</v>
      </c>
      <c r="E302" s="17" t="inlineStr">
        <is>
          <t>TOTAL</t>
        </is>
      </c>
      <c r="F302" s="17" t="inlineStr">
        <is>
          <t>Under 47.5</t>
        </is>
      </c>
      <c r="G302" s="26" t="n">
        <v>47.5</v>
      </c>
      <c r="H302" s="18" t="n">
        <v>-115</v>
      </c>
      <c r="I302" s="20" t="n">
        <v>0.4426338634008087</v>
      </c>
      <c r="J302" s="20" t="n">
        <v>0.5108342361863488</v>
      </c>
      <c r="K302" s="20" t="n">
        <v>0.5348837209302325</v>
      </c>
      <c r="L302" s="19" t="n">
        <v>-0.08421765820505193</v>
      </c>
      <c r="M302" s="19" t="n">
        <v>-0.1724671249463142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GASO @ CLEM</t>
        </is>
      </c>
      <c r="C303" s="12" t="inlineStr">
        <is>
          <t>2026-09-12 23:30</t>
        </is>
      </c>
      <c r="D303" s="22" t="n">
        <v>2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-102</v>
      </c>
      <c r="I303" s="15" t="n">
        <v>0.4172748989688034</v>
      </c>
      <c r="J303" s="15" t="n">
        <v>0.4826358742837298</v>
      </c>
      <c r="K303" s="15" t="n">
        <v>0.504950495049505</v>
      </c>
      <c r="L303" s="14" t="n">
        <v>-0.08462088829153699</v>
      </c>
      <c r="M303" s="14" t="n">
        <v>-0.1736320628264872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UNC @ CLEM</t>
        </is>
      </c>
      <c r="C304" s="17" t="inlineStr">
        <is>
          <t>2026-09-19 16:00</t>
        </is>
      </c>
      <c r="D304" s="25" t="n">
        <v>3</v>
      </c>
      <c r="E304" s="17" t="inlineStr">
        <is>
          <t>ML</t>
        </is>
      </c>
      <c r="F304" s="17" t="inlineStr">
        <is>
          <t>CLEM ML</t>
        </is>
      </c>
      <c r="G304" s="26" t="n"/>
      <c r="H304" s="18" t="n">
        <v>-375</v>
      </c>
      <c r="I304" s="20" t="n">
        <v>0.652445080798582</v>
      </c>
      <c r="J304" s="20" t="n">
        <v>0.7571884984025559</v>
      </c>
      <c r="K304" s="20" t="n">
        <v>0.7894736842105263</v>
      </c>
      <c r="L304" s="19" t="n">
        <v>-0.08520527961217912</v>
      </c>
      <c r="M304" s="19" t="n">
        <v>-0.1735695643217962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SAC @ FRES</t>
        </is>
      </c>
      <c r="C305" s="12" t="inlineStr">
        <is>
          <t>2026-09-13 02:30</t>
        </is>
      </c>
      <c r="D305" s="22" t="n">
        <v>2</v>
      </c>
      <c r="E305" s="12" t="inlineStr">
        <is>
          <t>ML</t>
        </is>
      </c>
      <c r="F305" s="12" t="inlineStr">
        <is>
          <t>FRES ML</t>
        </is>
      </c>
      <c r="G305" s="23" t="n"/>
      <c r="H305" s="13" t="n">
        <v>-900</v>
      </c>
      <c r="I305" s="15" t="n">
        <v>0.7419560741296699</v>
      </c>
      <c r="J305" s="15" t="n">
        <v>0.863013698630137</v>
      </c>
      <c r="K305" s="15" t="n">
        <v>0.9</v>
      </c>
      <c r="L305" s="14" t="n">
        <v>-0.08557802586320032</v>
      </c>
      <c r="M305" s="14" t="n">
        <v>-0.1756043620781446</v>
      </c>
      <c r="N305" s="15" t="n">
        <v>0</v>
      </c>
      <c r="O305" s="24" t="n">
        <v>0.725</v>
      </c>
      <c r="P305" s="12" t="inlineStr">
        <is>
          <t>DraftKings</t>
        </is>
      </c>
      <c r="Q305" s="12" t="inlineStr">
        <is>
          <t>price outside allowed range</t>
        </is>
      </c>
    </row>
    <row r="306">
      <c r="A306" s="17" t="inlineStr">
        <is>
          <t>PASS</t>
        </is>
      </c>
      <c r="B306" s="17" t="inlineStr">
        <is>
          <t>SUU @ CSU</t>
        </is>
      </c>
      <c r="C306" s="17" t="inlineStr">
        <is>
          <t>2026-09-12 23:00</t>
        </is>
      </c>
      <c r="D306" s="25" t="n">
        <v>2</v>
      </c>
      <c r="E306" s="17" t="inlineStr">
        <is>
          <t>ML</t>
        </is>
      </c>
      <c r="F306" s="17" t="inlineStr">
        <is>
          <t>CSU ML</t>
        </is>
      </c>
      <c r="G306" s="26" t="n"/>
      <c r="H306" s="18" t="n">
        <v>-1350</v>
      </c>
      <c r="I306" s="20" t="n">
        <v>0.7676564469955146</v>
      </c>
      <c r="J306" s="20" t="n">
        <v>0.8933823529411765</v>
      </c>
      <c r="K306" s="20" t="n">
        <v>0.9310344827586207</v>
      </c>
      <c r="L306" s="19" t="n">
        <v>-0.08566382842201571</v>
      </c>
      <c r="M306" s="19" t="n">
        <v>-0.1754801124862992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SUU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BGSU @ NEB</t>
        </is>
      </c>
      <c r="C307" s="12" t="inlineStr">
        <is>
          <t>2026-09-12 23:00</t>
        </is>
      </c>
      <c r="D307" s="22" t="n">
        <v>2</v>
      </c>
      <c r="E307" s="12" t="inlineStr">
        <is>
          <t>ML</t>
        </is>
      </c>
      <c r="F307" s="12" t="inlineStr">
        <is>
          <t>NEB ML</t>
        </is>
      </c>
      <c r="G307" s="23" t="n"/>
      <c r="H307" s="13" t="n">
        <v>-6500</v>
      </c>
      <c r="I307" s="15" t="n">
        <v>0.8187026918814329</v>
      </c>
      <c r="J307" s="15" t="n">
        <v>0.9538784067085954</v>
      </c>
      <c r="K307" s="15" t="n">
        <v>0.9848484848484849</v>
      </c>
      <c r="L307" s="14" t="n">
        <v>-0.0858455553153996</v>
      </c>
      <c r="M307" s="14" t="n">
        <v>-0.1687018820896221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price outside allowed range</t>
        </is>
      </c>
    </row>
    <row r="308">
      <c r="A308" s="17" t="inlineStr">
        <is>
          <t>PASS</t>
        </is>
      </c>
      <c r="B308" s="17" t="inlineStr">
        <is>
          <t>UCD @ SMU</t>
        </is>
      </c>
      <c r="C308" s="17" t="inlineStr">
        <is>
          <t>2026-09-12 20:00</t>
        </is>
      </c>
      <c r="D308" s="25" t="n">
        <v>2</v>
      </c>
      <c r="E308" s="17" t="inlineStr">
        <is>
          <t>ML</t>
        </is>
      </c>
      <c r="F308" s="17" t="inlineStr">
        <is>
          <t>SMU ML</t>
        </is>
      </c>
      <c r="G308" s="26" t="n"/>
      <c r="H308" s="18" t="n">
        <v>-3600</v>
      </c>
      <c r="I308" s="20" t="n">
        <v>0.8051949411039697</v>
      </c>
      <c r="J308" s="20" t="n">
        <v>0.9396411092985318</v>
      </c>
      <c r="K308" s="20" t="n">
        <v>0.972972972972973</v>
      </c>
      <c r="L308" s="19" t="n">
        <v>-0.08609375756959789</v>
      </c>
      <c r="M308" s="19" t="n">
        <v>-0.1724385327542535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UCD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MSU @ ND</t>
        </is>
      </c>
      <c r="C309" s="12" t="inlineStr">
        <is>
          <t>2026-09-19 23:30</t>
        </is>
      </c>
      <c r="D309" s="22" t="n">
        <v>3</v>
      </c>
      <c r="E309" s="12" t="inlineStr">
        <is>
          <t>ML</t>
        </is>
      </c>
      <c r="F309" s="12" t="inlineStr">
        <is>
          <t>ND ML</t>
        </is>
      </c>
      <c r="G309" s="23" t="n"/>
      <c r="H309" s="13" t="n">
        <v>-8000</v>
      </c>
      <c r="I309" s="15" t="n">
        <v>0.8197740623237991</v>
      </c>
      <c r="J309" s="15" t="n">
        <v>0.9578344612181156</v>
      </c>
      <c r="K309" s="15" t="n">
        <v>0.9876543209876543</v>
      </c>
      <c r="L309" s="14" t="n">
        <v>-0.08628051470763934</v>
      </c>
      <c r="M309" s="14" t="n">
        <v>-0.1699787618971534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price outside allowed range</t>
        </is>
      </c>
    </row>
    <row r="310">
      <c r="A310" s="17" t="inlineStr">
        <is>
          <t>PASS</t>
        </is>
      </c>
      <c r="B310" s="17" t="inlineStr">
        <is>
          <t>VT @ MD</t>
        </is>
      </c>
      <c r="C310" s="17" t="inlineStr">
        <is>
          <t>2026-09-19 23:30</t>
        </is>
      </c>
      <c r="D310" s="25" t="n">
        <v>3</v>
      </c>
      <c r="E310" s="17" t="inlineStr">
        <is>
          <t>ML</t>
        </is>
      </c>
      <c r="F310" s="17" t="inlineStr">
        <is>
          <t>VT ML</t>
        </is>
      </c>
      <c r="G310" s="26" t="n"/>
      <c r="H310" s="18" t="n">
        <v>-120</v>
      </c>
      <c r="I310" s="20" t="n">
        <v>0.4446613341775476</v>
      </c>
      <c r="J310" s="20" t="n">
        <v>0.5217391304347826</v>
      </c>
      <c r="K310" s="20" t="n">
        <v>0.5454545454545454</v>
      </c>
      <c r="L310" s="19" t="n">
        <v>-0.08688885437297504</v>
      </c>
      <c r="M310" s="19" t="n">
        <v>-0.1847875540078293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ULM @ UAB</t>
        </is>
      </c>
      <c r="C311" s="12" t="inlineStr">
        <is>
          <t>2026-09-12 19:30</t>
        </is>
      </c>
      <c r="D311" s="22" t="n">
        <v>2</v>
      </c>
      <c r="E311" s="12" t="inlineStr">
        <is>
          <t>ATS</t>
        </is>
      </c>
      <c r="F311" s="12" t="inlineStr">
        <is>
          <t>UAB -9.5</t>
        </is>
      </c>
      <c r="G311" s="23" t="n">
        <v>-9.5</v>
      </c>
      <c r="H311" s="13" t="n">
        <v>-112</v>
      </c>
      <c r="I311" s="15" t="n">
        <v>0.4295679663324414</v>
      </c>
      <c r="J311" s="15" t="n">
        <v>0.5043297540699688</v>
      </c>
      <c r="K311" s="15" t="n">
        <v>0.5283018867924528</v>
      </c>
      <c r="L311" s="14" t="n">
        <v>-0.08697140341251722</v>
      </c>
      <c r="M311" s="14" t="n">
        <v>-0.1868892065850216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MONM @ WMU</t>
        </is>
      </c>
      <c r="C312" s="17" t="inlineStr">
        <is>
          <t>2026-09-12 22:30</t>
        </is>
      </c>
      <c r="D312" s="25" t="n">
        <v>2</v>
      </c>
      <c r="E312" s="17" t="inlineStr">
        <is>
          <t>ML</t>
        </is>
      </c>
      <c r="F312" s="17" t="inlineStr">
        <is>
          <t>WMU ML</t>
        </is>
      </c>
      <c r="G312" s="26" t="n"/>
      <c r="H312" s="18" t="n">
        <v>-5000</v>
      </c>
      <c r="I312" s="20" t="n">
        <v>0.807132141895321</v>
      </c>
      <c r="J312" s="20" t="n">
        <v>0.949050949050949</v>
      </c>
      <c r="K312" s="20" t="n">
        <v>0.9803921568627451</v>
      </c>
      <c r="L312" s="19" t="n">
        <v>-0.08717887128157432</v>
      </c>
      <c r="M312" s="19" t="n">
        <v>-0.1767252152667725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MONM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USU @ WASH</t>
        </is>
      </c>
      <c r="C313" s="12" t="inlineStr">
        <is>
          <t>2026-09-12 19:30</t>
        </is>
      </c>
      <c r="D313" s="22" t="n">
        <v>2</v>
      </c>
      <c r="E313" s="12" t="inlineStr">
        <is>
          <t>ML</t>
        </is>
      </c>
      <c r="F313" s="12" t="inlineStr">
        <is>
          <t>WASH ML</t>
        </is>
      </c>
      <c r="G313" s="23" t="n"/>
      <c r="H313" s="13" t="n">
        <v>-6500</v>
      </c>
      <c r="I313" s="15" t="n">
        <v>0.8098102030182422</v>
      </c>
      <c r="J313" s="15" t="n">
        <v>0.9538784067085954</v>
      </c>
      <c r="K313" s="15" t="n">
        <v>0.9848484848484849</v>
      </c>
      <c r="L313" s="14" t="n">
        <v>-0.08741175425567442</v>
      </c>
      <c r="M313" s="14" t="n">
        <v>-0.1777311784737848</v>
      </c>
      <c r="N313" s="15" t="n">
        <v>0</v>
      </c>
      <c r="O313" s="24" t="n">
        <v>0.725</v>
      </c>
      <c r="P313" s="12" t="inlineStr">
        <is>
          <t>DraftKings</t>
        </is>
      </c>
      <c r="Q313" s="12" t="inlineStr">
        <is>
          <t>price outside allowed range</t>
        </is>
      </c>
    </row>
    <row r="314">
      <c r="A314" s="17" t="inlineStr">
        <is>
          <t>PASS</t>
        </is>
      </c>
      <c r="B314" s="17" t="inlineStr">
        <is>
          <t>UNCO @ WYO</t>
        </is>
      </c>
      <c r="C314" s="17" t="inlineStr">
        <is>
          <t>2026-09-12 20:00</t>
        </is>
      </c>
      <c r="D314" s="25" t="n">
        <v>2</v>
      </c>
      <c r="E314" s="17" t="inlineStr">
        <is>
          <t>ML</t>
        </is>
      </c>
      <c r="F314" s="17" t="inlineStr">
        <is>
          <t>WYO ML</t>
        </is>
      </c>
      <c r="G314" s="26" t="n"/>
      <c r="H314" s="18" t="n">
        <v>-1800</v>
      </c>
      <c r="I314" s="20" t="n">
        <v>0.7743370080205259</v>
      </c>
      <c r="J314" s="20" t="n">
        <v>0.912442396313364</v>
      </c>
      <c r="K314" s="20" t="n">
        <v>0.9473684210526315</v>
      </c>
      <c r="L314" s="19" t="n">
        <v>-0.08746125874039458</v>
      </c>
      <c r="M314" s="19" t="n">
        <v>-0.1826442693116671</v>
      </c>
      <c r="N314" s="20" t="n">
        <v>0</v>
      </c>
      <c r="O314" s="27" t="n">
        <v>0.4</v>
      </c>
      <c r="P314" s="17" t="inlineStr">
        <is>
          <t>DraftKings</t>
        </is>
      </c>
      <c r="Q314" s="17" t="inlineStr">
        <is>
          <t>UNCO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USU @ WASH</t>
        </is>
      </c>
      <c r="C315" s="12" t="inlineStr">
        <is>
          <t>2026-09-12 19:30</t>
        </is>
      </c>
      <c r="D315" s="22" t="n">
        <v>2</v>
      </c>
      <c r="E315" s="12" t="inlineStr">
        <is>
          <t>TOTAL</t>
        </is>
      </c>
      <c r="F315" s="12" t="inlineStr">
        <is>
          <t>Over 55.5</t>
        </is>
      </c>
      <c r="G315" s="23" t="n">
        <v>55.5</v>
      </c>
      <c r="H315" s="13" t="n">
        <v>-105</v>
      </c>
      <c r="I315" s="15" t="n">
        <v>0.4150030313292331</v>
      </c>
      <c r="J315" s="15" t="n">
        <v>0.4891657638136511</v>
      </c>
      <c r="K315" s="15" t="n">
        <v>0.5121951219512195</v>
      </c>
      <c r="L315" s="14" t="n">
        <v>-0.08749968091173403</v>
      </c>
      <c r="M315" s="14" t="n">
        <v>-0.1897559864524496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NDSU @ AFA</t>
        </is>
      </c>
      <c r="C316" s="17" t="inlineStr">
        <is>
          <t>2026-09-13 02:00</t>
        </is>
      </c>
      <c r="D316" s="25" t="n">
        <v>2</v>
      </c>
      <c r="E316" s="17" t="inlineStr">
        <is>
          <t>ML</t>
        </is>
      </c>
      <c r="F316" s="17" t="inlineStr">
        <is>
          <t>NDSU ML</t>
        </is>
      </c>
      <c r="G316" s="26" t="n"/>
      <c r="H316" s="18" t="n">
        <v>-125</v>
      </c>
      <c r="I316" s="20" t="n">
        <v>0.451665509581704</v>
      </c>
      <c r="J316" s="20" t="n">
        <v>0.5324675324675325</v>
      </c>
      <c r="K316" s="20" t="n">
        <v>0.5555555555555556</v>
      </c>
      <c r="L316" s="19" t="n">
        <v>-0.08752081074945085</v>
      </c>
      <c r="M316" s="19" t="n">
        <v>-0.1870020827529327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WEB @ COLO</t>
        </is>
      </c>
      <c r="C317" s="12" t="inlineStr">
        <is>
          <t>2026-09-12 19:30</t>
        </is>
      </c>
      <c r="D317" s="22" t="n">
        <v>2</v>
      </c>
      <c r="E317" s="12" t="inlineStr">
        <is>
          <t>ML</t>
        </is>
      </c>
      <c r="F317" s="12" t="inlineStr">
        <is>
          <t>COLO ML</t>
        </is>
      </c>
      <c r="G317" s="23" t="n"/>
      <c r="H317" s="13" t="n">
        <v>-6500</v>
      </c>
      <c r="I317" s="15" t="n">
        <v>0.8088843667982677</v>
      </c>
      <c r="J317" s="15" t="n">
        <v>0.9538784067085954</v>
      </c>
      <c r="K317" s="15" t="n">
        <v>0.9848484848484849</v>
      </c>
      <c r="L317" s="14" t="n">
        <v>-0.08755922624569773</v>
      </c>
      <c r="M317" s="14" t="n">
        <v>-0.1786712583279129</v>
      </c>
      <c r="N317" s="15" t="n">
        <v>0</v>
      </c>
      <c r="O317" s="24" t="n">
        <v>0.4</v>
      </c>
      <c r="P317" s="12" t="inlineStr">
        <is>
          <t>DraftKings</t>
        </is>
      </c>
      <c r="Q317" s="12" t="inlineStr">
        <is>
          <t>WEB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NMSU @ HAW</t>
        </is>
      </c>
      <c r="C318" s="17" t="inlineStr">
        <is>
          <t>2026-09-13 03:59</t>
        </is>
      </c>
      <c r="D318" s="25" t="n">
        <v>2</v>
      </c>
      <c r="E318" s="17" t="inlineStr">
        <is>
          <t>ATS</t>
        </is>
      </c>
      <c r="F318" s="17" t="inlineStr">
        <is>
          <t>HAW -7.5</t>
        </is>
      </c>
      <c r="G318" s="26" t="n">
        <v>-7.5</v>
      </c>
      <c r="H318" s="18" t="n">
        <v>-105</v>
      </c>
      <c r="I318" s="20" t="n">
        <v>0.4141357243422896</v>
      </c>
      <c r="J318" s="20" t="n">
        <v>0.4891657638136511</v>
      </c>
      <c r="K318" s="20" t="n">
        <v>0.5121951219512195</v>
      </c>
      <c r="L318" s="19" t="n">
        <v>-0.08776401901913745</v>
      </c>
      <c r="M318" s="19" t="n">
        <v>-0.191449300093625</v>
      </c>
      <c r="N318" s="20" t="n">
        <v>0</v>
      </c>
      <c r="O318" s="27" t="n">
        <v>0.839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GASO @ CLEM</t>
        </is>
      </c>
      <c r="C319" s="12" t="inlineStr">
        <is>
          <t>2026-09-12 23:30</t>
        </is>
      </c>
      <c r="D319" s="22" t="n">
        <v>2</v>
      </c>
      <c r="E319" s="12" t="inlineStr">
        <is>
          <t>ML</t>
        </is>
      </c>
      <c r="F319" s="12" t="inlineStr">
        <is>
          <t>CLEM ML</t>
        </is>
      </c>
      <c r="G319" s="23" t="n"/>
      <c r="H319" s="13" t="n">
        <v>-1200</v>
      </c>
      <c r="I319" s="15" t="n">
        <v>0.7489505562863114</v>
      </c>
      <c r="J319" s="15" t="n">
        <v>0.8869565217391304</v>
      </c>
      <c r="K319" s="15" t="n">
        <v>0.9230769230769231</v>
      </c>
      <c r="L319" s="14" t="n">
        <v>-0.08808117309541461</v>
      </c>
      <c r="M319" s="14" t="n">
        <v>-0.1886368973564961</v>
      </c>
      <c r="N319" s="15" t="n">
        <v>0</v>
      </c>
      <c r="O319" s="24" t="n">
        <v>0.725</v>
      </c>
      <c r="P319" s="12" t="inlineStr">
        <is>
          <t>DraftKings</t>
        </is>
      </c>
      <c r="Q319" s="12" t="inlineStr">
        <is>
          <t>price outside allowed range</t>
        </is>
      </c>
    </row>
    <row r="320">
      <c r="A320" s="17" t="inlineStr">
        <is>
          <t>PASS</t>
        </is>
      </c>
      <c r="B320" s="17" t="inlineStr">
        <is>
          <t>DEL @ VAN</t>
        </is>
      </c>
      <c r="C320" s="17" t="inlineStr">
        <is>
          <t>2026-09-12 20:15</t>
        </is>
      </c>
      <c r="D320" s="25" t="n">
        <v>2</v>
      </c>
      <c r="E320" s="17" t="inlineStr">
        <is>
          <t>ML</t>
        </is>
      </c>
      <c r="F320" s="17" t="inlineStr">
        <is>
          <t>VAN ML</t>
        </is>
      </c>
      <c r="G320" s="26" t="n"/>
      <c r="H320" s="18" t="n">
        <v>-1350</v>
      </c>
      <c r="I320" s="20" t="n">
        <v>0.7535495306000475</v>
      </c>
      <c r="J320" s="20" t="n">
        <v>0.8933823529411765</v>
      </c>
      <c r="K320" s="20" t="n">
        <v>0.9310344827586207</v>
      </c>
      <c r="L320" s="19" t="n">
        <v>-0.08820993666924679</v>
      </c>
      <c r="M320" s="19" t="n">
        <v>-0.190631985651801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ORE @ OKST</t>
        </is>
      </c>
      <c r="C321" s="12" t="inlineStr">
        <is>
          <t>2026-09-12 17:30</t>
        </is>
      </c>
      <c r="D321" s="22" t="n">
        <v>2</v>
      </c>
      <c r="E321" s="12" t="inlineStr">
        <is>
          <t>TOTAL</t>
        </is>
      </c>
      <c r="F321" s="12" t="inlineStr">
        <is>
          <t>Over 55.5</t>
        </is>
      </c>
      <c r="G321" s="23" t="n">
        <v>55.5</v>
      </c>
      <c r="H321" s="13" t="n">
        <v>-112</v>
      </c>
      <c r="I321" s="15" t="n">
        <v>0.4244233085647335</v>
      </c>
      <c r="J321" s="15" t="n">
        <v>0.5043297540699688</v>
      </c>
      <c r="K321" s="15" t="n">
        <v>0.5283018867924528</v>
      </c>
      <c r="L321" s="14" t="n">
        <v>-0.0884697040166481</v>
      </c>
      <c r="M321" s="14" t="n">
        <v>-0.1966273087881831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MSST @ MINN</t>
        </is>
      </c>
      <c r="C322" s="17" t="inlineStr">
        <is>
          <t>2026-09-12 19:30</t>
        </is>
      </c>
      <c r="D322" s="25" t="n">
        <v>2</v>
      </c>
      <c r="E322" s="17" t="inlineStr">
        <is>
          <t>ML</t>
        </is>
      </c>
      <c r="F322" s="17" t="inlineStr">
        <is>
          <t>MSST ML</t>
        </is>
      </c>
      <c r="G322" s="26" t="n"/>
      <c r="H322" s="18" t="n">
        <v>-115</v>
      </c>
      <c r="I322" s="20" t="n">
        <v>0.4298700134254798</v>
      </c>
      <c r="J322" s="20" t="n">
        <v>0.5108342361863488</v>
      </c>
      <c r="K322" s="20" t="n">
        <v>0.5348837209302325</v>
      </c>
      <c r="L322" s="19" t="n">
        <v>-0.08847676939286951</v>
      </c>
      <c r="M322" s="19" t="n">
        <v>-0.19632997490019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UL @ USC</t>
        </is>
      </c>
      <c r="C323" s="12" t="inlineStr">
        <is>
          <t>2026-09-13 03:00</t>
        </is>
      </c>
      <c r="D323" s="22" t="n">
        <v>2</v>
      </c>
      <c r="E323" s="12" t="inlineStr">
        <is>
          <t>ML</t>
        </is>
      </c>
      <c r="F323" s="12" t="inlineStr">
        <is>
          <t>USC ML</t>
        </is>
      </c>
      <c r="G323" s="23" t="n"/>
      <c r="H323" s="13" t="n">
        <v>-6500</v>
      </c>
      <c r="I323" s="15" t="n">
        <v>0.8018150287453693</v>
      </c>
      <c r="J323" s="15" t="n">
        <v>0.9538784067085954</v>
      </c>
      <c r="K323" s="15" t="n">
        <v>0.9848484848484849</v>
      </c>
      <c r="L323" s="14" t="n">
        <v>-0.08859791288783544</v>
      </c>
      <c r="M323" s="14" t="n">
        <v>-0.1858493554277789</v>
      </c>
      <c r="N323" s="15" t="n">
        <v>0</v>
      </c>
      <c r="O323" s="24" t="n">
        <v>0.725</v>
      </c>
      <c r="P323" s="12" t="inlineStr">
        <is>
          <t>DraftKings</t>
        </is>
      </c>
      <c r="Q323" s="12" t="inlineStr">
        <is>
          <t>price outside allowed range</t>
        </is>
      </c>
    </row>
    <row r="324">
      <c r="A324" s="17" t="inlineStr">
        <is>
          <t>PASS</t>
        </is>
      </c>
      <c r="B324" s="17" t="inlineStr">
        <is>
          <t>RMU @ AKR</t>
        </is>
      </c>
      <c r="C324" s="17" t="inlineStr">
        <is>
          <t>2026-09-12 19:30</t>
        </is>
      </c>
      <c r="D324" s="25" t="n">
        <v>2</v>
      </c>
      <c r="E324" s="17" t="inlineStr">
        <is>
          <t>ML</t>
        </is>
      </c>
      <c r="F324" s="17" t="inlineStr">
        <is>
          <t>AKR ML</t>
        </is>
      </c>
      <c r="G324" s="26" t="n"/>
      <c r="H324" s="18" t="n">
        <v>-3600</v>
      </c>
      <c r="I324" s="20" t="n">
        <v>0.7883443143734601</v>
      </c>
      <c r="J324" s="20" t="n">
        <v>0.9396411092985318</v>
      </c>
      <c r="K324" s="20" t="n">
        <v>0.972972972972973</v>
      </c>
      <c r="L324" s="19" t="n">
        <v>-0.08880300622577393</v>
      </c>
      <c r="M324" s="19" t="n">
        <v>-0.1897572324494994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RMU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ALST @ TROY</t>
        </is>
      </c>
      <c r="C325" s="12" t="inlineStr">
        <is>
          <t>2026-09-12 20:00</t>
        </is>
      </c>
      <c r="D325" s="22" t="n">
        <v>2</v>
      </c>
      <c r="E325" s="12" t="inlineStr">
        <is>
          <t>ML</t>
        </is>
      </c>
      <c r="F325" s="12" t="inlineStr">
        <is>
          <t>TROY ML</t>
        </is>
      </c>
      <c r="G325" s="23" t="n"/>
      <c r="H325" s="13" t="n">
        <v>-2100</v>
      </c>
      <c r="I325" s="15" t="n">
        <v>0.7701654822583122</v>
      </c>
      <c r="J325" s="15" t="n">
        <v>0.9197080291970804</v>
      </c>
      <c r="K325" s="15" t="n">
        <v>0.9545454545454546</v>
      </c>
      <c r="L325" s="14" t="n">
        <v>-0.08899962994498697</v>
      </c>
      <c r="M325" s="14" t="n">
        <v>-0.1931599709674825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ALST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SUU @ CSU</t>
        </is>
      </c>
      <c r="C326" s="17" t="inlineStr">
        <is>
          <t>2026-09-12 23:00</t>
        </is>
      </c>
      <c r="D326" s="25" t="n">
        <v>2</v>
      </c>
      <c r="E326" s="17" t="inlineStr">
        <is>
          <t>TOTAL</t>
        </is>
      </c>
      <c r="F326" s="17" t="inlineStr">
        <is>
          <t>Over 57.5</t>
        </is>
      </c>
      <c r="G326" s="26" t="n">
        <v>57.5</v>
      </c>
      <c r="H326" s="18" t="n">
        <v>-105</v>
      </c>
      <c r="I326" s="20" t="n">
        <v>0.4095339426138402</v>
      </c>
      <c r="J326" s="20" t="n">
        <v>0.4891657638136511</v>
      </c>
      <c r="K326" s="20" t="n">
        <v>0.5121951219512195</v>
      </c>
      <c r="L326" s="19" t="n">
        <v>-0.08902322330321495</v>
      </c>
      <c r="M326" s="19" t="n">
        <v>-0.2004337310872644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SUU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CCSU @ TOL</t>
        </is>
      </c>
      <c r="C327" s="12" t="inlineStr">
        <is>
          <t>2026-09-12 19:30</t>
        </is>
      </c>
      <c r="D327" s="22" t="n">
        <v>2</v>
      </c>
      <c r="E327" s="12" t="inlineStr">
        <is>
          <t>ML</t>
        </is>
      </c>
      <c r="F327" s="12" t="inlineStr">
        <is>
          <t>TOL ML</t>
        </is>
      </c>
      <c r="G327" s="23" t="n"/>
      <c r="H327" s="13" t="n">
        <v>-20000</v>
      </c>
      <c r="I327" s="15" t="n">
        <v>0.8138426940151666</v>
      </c>
      <c r="J327" s="15" t="n">
        <v>0.9728415079043372</v>
      </c>
      <c r="K327" s="15" t="n">
        <v>0.9950248756218906</v>
      </c>
      <c r="L327" s="14" t="n">
        <v>-0.08910150552658552</v>
      </c>
      <c r="M327" s="14" t="n">
        <v>-0.1820880925147577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CCSU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FLA @ AUB</t>
        </is>
      </c>
      <c r="C328" s="17" t="inlineStr">
        <is>
          <t>2026-09-19 23:00</t>
        </is>
      </c>
      <c r="D328" s="25" t="n">
        <v>3</v>
      </c>
      <c r="E328" s="17" t="inlineStr">
        <is>
          <t>ML</t>
        </is>
      </c>
      <c r="F328" s="17" t="inlineStr">
        <is>
          <t>FLA ML</t>
        </is>
      </c>
      <c r="G328" s="26" t="n"/>
      <c r="H328" s="18" t="n">
        <v>-135</v>
      </c>
      <c r="I328" s="20" t="n">
        <v>0.4593758645239936</v>
      </c>
      <c r="J328" s="20" t="n">
        <v>0.551441114716549</v>
      </c>
      <c r="K328" s="20" t="n">
        <v>0.574468085106383</v>
      </c>
      <c r="L328" s="19" t="n">
        <v>-0.08951023323815356</v>
      </c>
      <c r="M328" s="19" t="n">
        <v>-0.2003457173100852</v>
      </c>
      <c r="N328" s="20" t="n">
        <v>0</v>
      </c>
      <c r="O328" s="27" t="n">
        <v>0.725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TXSO @ UTEP</t>
        </is>
      </c>
      <c r="C329" s="12" t="inlineStr">
        <is>
          <t>2026-09-13 01:00</t>
        </is>
      </c>
      <c r="D329" s="22" t="n">
        <v>2</v>
      </c>
      <c r="E329" s="12" t="inlineStr">
        <is>
          <t>ML</t>
        </is>
      </c>
      <c r="F329" s="12" t="inlineStr">
        <is>
          <t>UTEP ML</t>
        </is>
      </c>
      <c r="G329" s="23" t="n"/>
      <c r="H329" s="13" t="n">
        <v>-4500</v>
      </c>
      <c r="I329" s="15" t="n">
        <v>0.7874253363194004</v>
      </c>
      <c r="J329" s="15" t="n">
        <v>0.9462616822429908</v>
      </c>
      <c r="K329" s="15" t="n">
        <v>0.9782608695652174</v>
      </c>
      <c r="L329" s="14" t="n">
        <v>-0.08961065339016668</v>
      </c>
      <c r="M329" s="14" t="n">
        <v>-0.1950763228735019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TXSO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VT @ MD</t>
        </is>
      </c>
      <c r="C330" s="17" t="inlineStr">
        <is>
          <t>2026-09-19 23:30</t>
        </is>
      </c>
      <c r="D330" s="25" t="n">
        <v>3</v>
      </c>
      <c r="E330" s="17" t="inlineStr">
        <is>
          <t>ATS</t>
        </is>
      </c>
      <c r="F330" s="17" t="inlineStr">
        <is>
          <t>VT -1.5</t>
        </is>
      </c>
      <c r="G330" s="26" t="n">
        <v>1.5</v>
      </c>
      <c r="H330" s="18" t="n">
        <v>-112</v>
      </c>
      <c r="I330" s="20" t="n">
        <v>0.4189575193051263</v>
      </c>
      <c r="J330" s="20" t="n">
        <v>0.5043297540699688</v>
      </c>
      <c r="K330" s="20" t="n">
        <v>0.5283018867924528</v>
      </c>
      <c r="L330" s="19" t="n">
        <v>-0.0897652143137278</v>
      </c>
      <c r="M330" s="19" t="n">
        <v>-0.2069732670295825</v>
      </c>
      <c r="N330" s="20" t="n">
        <v>0</v>
      </c>
      <c r="O330" s="27" t="n">
        <v>0.725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UNLV @ UNT</t>
        </is>
      </c>
      <c r="C331" s="12" t="inlineStr">
        <is>
          <t>2026-09-12 19:45</t>
        </is>
      </c>
      <c r="D331" s="22" t="n">
        <v>2</v>
      </c>
      <c r="E331" s="12" t="inlineStr">
        <is>
          <t>TOTAL</t>
        </is>
      </c>
      <c r="F331" s="12" t="inlineStr">
        <is>
          <t>Over 57.5</t>
        </is>
      </c>
      <c r="G331" s="23" t="n">
        <v>57.5</v>
      </c>
      <c r="H331" s="13" t="n">
        <v>-118</v>
      </c>
      <c r="I331" s="15" t="n">
        <v>0.4149510607070147</v>
      </c>
      <c r="J331" s="15" t="n">
        <v>0.5</v>
      </c>
      <c r="K331" s="15" t="n">
        <v>0.5412844036697247</v>
      </c>
      <c r="L331" s="14" t="n">
        <v>-0.08985230428395181</v>
      </c>
      <c r="M331" s="14" t="n">
        <v>-0.2333954980158544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ILST @ NIU</t>
        </is>
      </c>
      <c r="C332" s="17" t="inlineStr">
        <is>
          <t>2026-09-12 23:00</t>
        </is>
      </c>
      <c r="D332" s="25" t="n">
        <v>2</v>
      </c>
      <c r="E332" s="17" t="inlineStr">
        <is>
          <t>TOTAL</t>
        </is>
      </c>
      <c r="F332" s="17" t="inlineStr">
        <is>
          <t>Under 47.5</t>
        </is>
      </c>
      <c r="G332" s="26" t="n">
        <v>47.5</v>
      </c>
      <c r="H332" s="18" t="n">
        <v>-105</v>
      </c>
      <c r="I332" s="20" t="n">
        <v>0.4059274912691666</v>
      </c>
      <c r="J332" s="20" t="n">
        <v>0.4891657638136511</v>
      </c>
      <c r="K332" s="20" t="n">
        <v>0.5121951219512195</v>
      </c>
      <c r="L332" s="19" t="n">
        <v>-0.08985924321048379</v>
      </c>
      <c r="M332" s="19" t="n">
        <v>-0.2074748979982938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ILST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NDSU @ AFA</t>
        </is>
      </c>
      <c r="C333" s="12" t="inlineStr">
        <is>
          <t>2026-09-13 02:00</t>
        </is>
      </c>
      <c r="D333" s="22" t="n">
        <v>2</v>
      </c>
      <c r="E333" s="12" t="inlineStr">
        <is>
          <t>ATS</t>
        </is>
      </c>
      <c r="F333" s="12" t="inlineStr">
        <is>
          <t>NDSU -1.5</t>
        </is>
      </c>
      <c r="G333" s="23" t="n">
        <v>1.5</v>
      </c>
      <c r="H333" s="13" t="n">
        <v>-115</v>
      </c>
      <c r="I333" s="15" t="n">
        <v>0.423789951645418</v>
      </c>
      <c r="J333" s="15" t="n">
        <v>0.5108342361863488</v>
      </c>
      <c r="K333" s="15" t="n">
        <v>0.5348837209302325</v>
      </c>
      <c r="L333" s="14" t="n">
        <v>-0.08988367971533624</v>
      </c>
      <c r="M333" s="14" t="n">
        <v>-0.2076970469237838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LSU @ MISS</t>
        </is>
      </c>
      <c r="C334" s="17" t="inlineStr">
        <is>
          <t>2026-09-19 23:30</t>
        </is>
      </c>
      <c r="D334" s="25" t="n">
        <v>3</v>
      </c>
      <c r="E334" s="17" t="inlineStr">
        <is>
          <t>ML</t>
        </is>
      </c>
      <c r="F334" s="17" t="inlineStr">
        <is>
          <t>LSU ML</t>
        </is>
      </c>
      <c r="G334" s="26" t="n"/>
      <c r="H334" s="18" t="n">
        <v>-135</v>
      </c>
      <c r="I334" s="20" t="n">
        <v>0.4571967976340803</v>
      </c>
      <c r="J334" s="20" t="n">
        <v>0.551441114716549</v>
      </c>
      <c r="K334" s="20" t="n">
        <v>0.574468085106383</v>
      </c>
      <c r="L334" s="19" t="n">
        <v>-0.08993677528975327</v>
      </c>
      <c r="M334" s="19" t="n">
        <v>-0.2041389078221566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WES @ ARST</t>
        </is>
      </c>
      <c r="C335" s="12" t="inlineStr">
        <is>
          <t>2026-09-12 23:00</t>
        </is>
      </c>
      <c r="D335" s="22" t="n">
        <v>2</v>
      </c>
      <c r="E335" s="12" t="inlineStr">
        <is>
          <t>ML</t>
        </is>
      </c>
      <c r="F335" s="12" t="inlineStr">
        <is>
          <t>ARST ML</t>
        </is>
      </c>
      <c r="G335" s="23" t="n"/>
      <c r="H335" s="13" t="n">
        <v>-10000</v>
      </c>
      <c r="I335" s="15" t="n">
        <v>0.8023394899638125</v>
      </c>
      <c r="J335" s="15" t="n">
        <v>0.9684473601999376</v>
      </c>
      <c r="K335" s="15" t="n">
        <v>0.9900990099009901</v>
      </c>
      <c r="L335" s="14" t="n">
        <v>-0.09000012001431837</v>
      </c>
      <c r="M335" s="14" t="n">
        <v>-0.1896371151365494</v>
      </c>
      <c r="N335" s="15" t="n">
        <v>0</v>
      </c>
      <c r="O335" s="24" t="n">
        <v>0.725</v>
      </c>
      <c r="P335" s="12" t="inlineStr">
        <is>
          <t>DraftKings</t>
        </is>
      </c>
      <c r="Q335" s="12" t="inlineStr">
        <is>
          <t>WES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USA @ TULN</t>
        </is>
      </c>
      <c r="C336" s="17" t="inlineStr">
        <is>
          <t>2026-09-12 23:00</t>
        </is>
      </c>
      <c r="D336" s="25" t="n">
        <v>2</v>
      </c>
      <c r="E336" s="17" t="inlineStr">
        <is>
          <t>ATS</t>
        </is>
      </c>
      <c r="F336" s="17" t="inlineStr">
        <is>
          <t>TULN -9.5</t>
        </is>
      </c>
      <c r="G336" s="26" t="n">
        <v>-9.5</v>
      </c>
      <c r="H336" s="18" t="n">
        <v>-115</v>
      </c>
      <c r="I336" s="20" t="n">
        <v>0.4231038242458802</v>
      </c>
      <c r="J336" s="20" t="n">
        <v>0.5108342361863488</v>
      </c>
      <c r="K336" s="20" t="n">
        <v>0.5348837209302325</v>
      </c>
      <c r="L336" s="19" t="n">
        <v>-0.09002258995566695</v>
      </c>
      <c r="M336" s="19" t="n">
        <v>-0.2089798068446588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WVU @ UVA</t>
        </is>
      </c>
      <c r="C337" s="12" t="inlineStr">
        <is>
          <t>2026-09-19 23:30</t>
        </is>
      </c>
      <c r="D337" s="22" t="n">
        <v>3</v>
      </c>
      <c r="E337" s="12" t="inlineStr">
        <is>
          <t>ML</t>
        </is>
      </c>
      <c r="F337" s="12" t="inlineStr">
        <is>
          <t>UVA ML</t>
        </is>
      </c>
      <c r="G337" s="23" t="n"/>
      <c r="H337" s="13" t="n">
        <v>-325</v>
      </c>
      <c r="I337" s="15" t="n">
        <v>0.6064073831280934</v>
      </c>
      <c r="J337" s="15" t="n">
        <v>0.7335423197492164</v>
      </c>
      <c r="K337" s="15" t="n">
        <v>0.7647058823529411</v>
      </c>
      <c r="L337" s="14" t="n">
        <v>-0.09018099847099956</v>
      </c>
      <c r="M337" s="14" t="n">
        <v>-0.2070057297555702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USM @ AUB</t>
        </is>
      </c>
      <c r="C338" s="17" t="inlineStr">
        <is>
          <t>2026-09-12 23:45</t>
        </is>
      </c>
      <c r="D338" s="25" t="n">
        <v>2</v>
      </c>
      <c r="E338" s="17" t="inlineStr">
        <is>
          <t>ML</t>
        </is>
      </c>
      <c r="F338" s="17" t="inlineStr">
        <is>
          <t>AUB ML</t>
        </is>
      </c>
      <c r="G338" s="26" t="n"/>
      <c r="H338" s="18" t="n">
        <v>-10000</v>
      </c>
      <c r="I338" s="20" t="n">
        <v>0.8002954179313799</v>
      </c>
      <c r="J338" s="20" t="n">
        <v>0.9684473601999376</v>
      </c>
      <c r="K338" s="20" t="n">
        <v>0.9900990099009901</v>
      </c>
      <c r="L338" s="19" t="n">
        <v>-0.09021195042659871</v>
      </c>
      <c r="M338" s="19" t="n">
        <v>-0.1917016278893062</v>
      </c>
      <c r="N338" s="20" t="n">
        <v>0</v>
      </c>
      <c r="O338" s="27" t="n">
        <v>0.725</v>
      </c>
      <c r="P338" s="17" t="inlineStr">
        <is>
          <t>DraftKings</t>
        </is>
      </c>
      <c r="Q338" s="17" t="inlineStr">
        <is>
          <t>price outside allowed range</t>
        </is>
      </c>
    </row>
    <row r="339">
      <c r="A339" s="12" t="inlineStr">
        <is>
          <t>PASS</t>
        </is>
      </c>
      <c r="B339" s="12" t="inlineStr">
        <is>
          <t>LT @ LSU</t>
        </is>
      </c>
      <c r="C339" s="12" t="inlineStr">
        <is>
          <t>2026-09-12 23:30</t>
        </is>
      </c>
      <c r="D339" s="22" t="n">
        <v>2</v>
      </c>
      <c r="E339" s="12" t="inlineStr">
        <is>
          <t>ML</t>
        </is>
      </c>
      <c r="F339" s="12" t="inlineStr">
        <is>
          <t>LSU ML</t>
        </is>
      </c>
      <c r="G339" s="23" t="n"/>
      <c r="H339" s="13" t="n">
        <v>-20000</v>
      </c>
      <c r="I339" s="15" t="n">
        <v>0.8019462060279081</v>
      </c>
      <c r="J339" s="15" t="n">
        <v>0.9728415079043372</v>
      </c>
      <c r="K339" s="15" t="n">
        <v>0.9950248756218906</v>
      </c>
      <c r="L339" s="14" t="n">
        <v>-0.09040796035509695</v>
      </c>
      <c r="M339" s="14" t="n">
        <v>-0.1940440629419524</v>
      </c>
      <c r="N339" s="15" t="n">
        <v>0</v>
      </c>
      <c r="O339" s="24" t="n">
        <v>0.725</v>
      </c>
      <c r="P339" s="12" t="inlineStr">
        <is>
          <t>DraftKings</t>
        </is>
      </c>
      <c r="Q339" s="12" t="inlineStr">
        <is>
          <t>price outside allowed range</t>
        </is>
      </c>
    </row>
    <row r="340">
      <c r="A340" s="17" t="inlineStr">
        <is>
          <t>PASS</t>
        </is>
      </c>
      <c r="B340" s="17" t="inlineStr">
        <is>
          <t>CLT @ MISS</t>
        </is>
      </c>
      <c r="C340" s="17" t="inlineStr">
        <is>
          <t>2026-09-12 23:45</t>
        </is>
      </c>
      <c r="D340" s="25" t="n">
        <v>2</v>
      </c>
      <c r="E340" s="17" t="inlineStr">
        <is>
          <t>TOTAL</t>
        </is>
      </c>
      <c r="F340" s="17" t="inlineStr">
        <is>
          <t>Over 59.5</t>
        </is>
      </c>
      <c r="G340" s="26" t="n">
        <v>59.5</v>
      </c>
      <c r="H340" s="18" t="n">
        <v>-112</v>
      </c>
      <c r="I340" s="20" t="n">
        <v>0.4153086624638033</v>
      </c>
      <c r="J340" s="20" t="n">
        <v>0.5043297540699688</v>
      </c>
      <c r="K340" s="20" t="n">
        <v>0.5283018867924528</v>
      </c>
      <c r="L340" s="19" t="n">
        <v>-0.09048723971799465</v>
      </c>
      <c r="M340" s="19" t="n">
        <v>-0.2138800317649439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NAVY @ FAU</t>
        </is>
      </c>
      <c r="C341" s="12" t="inlineStr">
        <is>
          <t>2026-09-12 23:30</t>
        </is>
      </c>
      <c r="D341" s="22" t="n">
        <v>2</v>
      </c>
      <c r="E341" s="12" t="inlineStr">
        <is>
          <t>TOTAL</t>
        </is>
      </c>
      <c r="F341" s="12" t="inlineStr">
        <is>
          <t>Over 59.5</t>
        </is>
      </c>
      <c r="G341" s="23" t="n">
        <v>59.5</v>
      </c>
      <c r="H341" s="13" t="n">
        <v>-110</v>
      </c>
      <c r="I341" s="15" t="n">
        <v>0.4113446358744424</v>
      </c>
      <c r="J341" s="15" t="n">
        <v>0.5</v>
      </c>
      <c r="K341" s="15" t="n">
        <v>0.5238095238095238</v>
      </c>
      <c r="L341" s="14" t="n">
        <v>-0.09056057899669434</v>
      </c>
      <c r="M341" s="14" t="n">
        <v>-0.2147056951487918</v>
      </c>
      <c r="N341" s="15" t="n">
        <v>0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MSST @ MINN</t>
        </is>
      </c>
      <c r="C342" s="17" t="inlineStr">
        <is>
          <t>2026-09-12 19:30</t>
        </is>
      </c>
      <c r="D342" s="25" t="n">
        <v>2</v>
      </c>
      <c r="E342" s="17" t="inlineStr">
        <is>
          <t>ATS</t>
        </is>
      </c>
      <c r="F342" s="17" t="inlineStr">
        <is>
          <t>MSST -1.5</t>
        </is>
      </c>
      <c r="G342" s="26" t="n">
        <v>1.5</v>
      </c>
      <c r="H342" s="18" t="n">
        <v>-105</v>
      </c>
      <c r="I342" s="20" t="n">
        <v>0.4024012530407153</v>
      </c>
      <c r="J342" s="20" t="n">
        <v>0.4891657638136511</v>
      </c>
      <c r="K342" s="20" t="n">
        <v>0.5121951219512195</v>
      </c>
      <c r="L342" s="19" t="n">
        <v>-0.09056620574978159</v>
      </c>
      <c r="M342" s="19" t="n">
        <v>-0.2143594583490798</v>
      </c>
      <c r="N342" s="20" t="n">
        <v>0</v>
      </c>
      <c r="O342" s="27" t="n">
        <v>0.725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TOW @ SC</t>
        </is>
      </c>
      <c r="C343" s="12" t="inlineStr">
        <is>
          <t>2026-09-12 23:00</t>
        </is>
      </c>
      <c r="D343" s="22" t="n">
        <v>2</v>
      </c>
      <c r="E343" s="12" t="inlineStr">
        <is>
          <t>TOTAL</t>
        </is>
      </c>
      <c r="F343" s="12" t="inlineStr">
        <is>
          <t>Over 57.5</t>
        </is>
      </c>
      <c r="G343" s="23" t="n">
        <v>57.5</v>
      </c>
      <c r="H343" s="13" t="n">
        <v>-108</v>
      </c>
      <c r="I343" s="15" t="n">
        <v>0.4073888783962101</v>
      </c>
      <c r="J343" s="15" t="n">
        <v>0.4956702459300312</v>
      </c>
      <c r="K343" s="15" t="n">
        <v>0.5192307692307693</v>
      </c>
      <c r="L343" s="14" t="n">
        <v>-0.09063250673507543</v>
      </c>
      <c r="M343" s="14" t="n">
        <v>-0.2153991971628546</v>
      </c>
      <c r="N343" s="15" t="n">
        <v>0</v>
      </c>
      <c r="O343" s="24" t="n">
        <v>0.725</v>
      </c>
      <c r="P343" s="12" t="inlineStr">
        <is>
          <t>DraftKings</t>
        </is>
      </c>
      <c r="Q343" s="12" t="inlineStr">
        <is>
          <t>TOW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MEM @ BOIS</t>
        </is>
      </c>
      <c r="C344" s="17" t="inlineStr">
        <is>
          <t>2026-09-12 22:00</t>
        </is>
      </c>
      <c r="D344" s="25" t="n">
        <v>2</v>
      </c>
      <c r="E344" s="17" t="inlineStr">
        <is>
          <t>ATS</t>
        </is>
      </c>
      <c r="F344" s="17" t="inlineStr">
        <is>
          <t>BOIS -9.5</t>
        </is>
      </c>
      <c r="G344" s="26" t="n">
        <v>-9.5</v>
      </c>
      <c r="H344" s="18" t="n">
        <v>-112</v>
      </c>
      <c r="I344" s="20" t="n">
        <v>0.4125862486082593</v>
      </c>
      <c r="J344" s="20" t="n">
        <v>0.5043297540699688</v>
      </c>
      <c r="K344" s="20" t="n">
        <v>0.5283018867924528</v>
      </c>
      <c r="L344" s="19" t="n">
        <v>-0.0909617158637447</v>
      </c>
      <c r="M344" s="19" t="n">
        <v>-0.2190331722772234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BUFF @ FIU</t>
        </is>
      </c>
      <c r="C345" s="12" t="inlineStr">
        <is>
          <t>2026-09-12 22:00</t>
        </is>
      </c>
      <c r="D345" s="22" t="n">
        <v>2</v>
      </c>
      <c r="E345" s="12" t="inlineStr">
        <is>
          <t>ATS</t>
        </is>
      </c>
      <c r="F345" s="12" t="inlineStr">
        <is>
          <t>FIU -10</t>
        </is>
      </c>
      <c r="G345" s="23" t="n">
        <v>-10</v>
      </c>
      <c r="H345" s="13" t="n">
        <v>-112</v>
      </c>
      <c r="I345" s="15" t="n">
        <v>0.4121294202734993</v>
      </c>
      <c r="J345" s="15" t="n">
        <v>0.5043297540699688</v>
      </c>
      <c r="K345" s="15" t="n">
        <v>0.5283018867924528</v>
      </c>
      <c r="L345" s="14" t="n">
        <v>-0.09103640400977764</v>
      </c>
      <c r="M345" s="14" t="n">
        <v>-0.2115197737093862</v>
      </c>
      <c r="N345" s="15" t="n">
        <v>0.0381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CP @ SJSU</t>
        </is>
      </c>
      <c r="C346" s="17" t="inlineStr">
        <is>
          <t>2026-09-13 01:00</t>
        </is>
      </c>
      <c r="D346" s="25" t="n">
        <v>2</v>
      </c>
      <c r="E346" s="17" t="inlineStr">
        <is>
          <t>TOTAL</t>
        </is>
      </c>
      <c r="F346" s="17" t="inlineStr">
        <is>
          <t>Over 58.5</t>
        </is>
      </c>
      <c r="G346" s="26" t="n">
        <v>58.5</v>
      </c>
      <c r="H346" s="18" t="n">
        <v>-108</v>
      </c>
      <c r="I346" s="20" t="n">
        <v>0.4038324550725719</v>
      </c>
      <c r="J346" s="20" t="n">
        <v>0.4956702459300312</v>
      </c>
      <c r="K346" s="20" t="n">
        <v>0.5192307692307693</v>
      </c>
      <c r="L346" s="19" t="n">
        <v>-0.09123267600945741</v>
      </c>
      <c r="M346" s="19" t="n">
        <v>-0.2222486050454171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CP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UNLV @ UNT</t>
        </is>
      </c>
      <c r="C347" s="12" t="inlineStr">
        <is>
          <t>2026-09-12 19:45</t>
        </is>
      </c>
      <c r="D347" s="22" t="n">
        <v>2</v>
      </c>
      <c r="E347" s="12" t="inlineStr">
        <is>
          <t>ML</t>
        </is>
      </c>
      <c r="F347" s="12" t="inlineStr">
        <is>
          <t>UNLV ML</t>
        </is>
      </c>
      <c r="G347" s="23" t="n"/>
      <c r="H347" s="13" t="n">
        <v>-162</v>
      </c>
      <c r="I347" s="15" t="n">
        <v>0.4821166204276498</v>
      </c>
      <c r="J347" s="15" t="n">
        <v>0.5933697541594239</v>
      </c>
      <c r="K347" s="15" t="n">
        <v>0.6183206106870229</v>
      </c>
      <c r="L347" s="14" t="n">
        <v>-0.09140097556361355</v>
      </c>
      <c r="M347" s="14" t="n">
        <v>-0.2202805274565169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SMU @ LOU</t>
        </is>
      </c>
      <c r="C348" s="17" t="inlineStr">
        <is>
          <t>2026-09-19 19:30</t>
        </is>
      </c>
      <c r="D348" s="25" t="n">
        <v>3</v>
      </c>
      <c r="E348" s="17" t="inlineStr">
        <is>
          <t>TOTAL</t>
        </is>
      </c>
      <c r="F348" s="17" t="inlineStr">
        <is>
          <t>Over 58.5</t>
        </is>
      </c>
      <c r="G348" s="26" t="n">
        <v>58.5</v>
      </c>
      <c r="H348" s="18" t="n">
        <v>-108</v>
      </c>
      <c r="I348" s="20" t="n">
        <v>0.4020671944809223</v>
      </c>
      <c r="J348" s="20" t="n">
        <v>0.4956702459300312</v>
      </c>
      <c r="K348" s="20" t="n">
        <v>0.5192307692307693</v>
      </c>
      <c r="L348" s="19" t="n">
        <v>-0.09149979266761231</v>
      </c>
      <c r="M348" s="19" t="n">
        <v>-0.2256483661848903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FLA @ AUB</t>
        </is>
      </c>
      <c r="C349" s="12" t="inlineStr">
        <is>
          <t>2026-09-19 23:00</t>
        </is>
      </c>
      <c r="D349" s="22" t="n">
        <v>3</v>
      </c>
      <c r="E349" s="12" t="inlineStr">
        <is>
          <t>ATS</t>
        </is>
      </c>
      <c r="F349" s="12" t="inlineStr">
        <is>
          <t>FLA -2.5</t>
        </is>
      </c>
      <c r="G349" s="23" t="n">
        <v>2.5</v>
      </c>
      <c r="H349" s="13" t="n">
        <v>-110</v>
      </c>
      <c r="I349" s="15" t="n">
        <v>0.404661811719063</v>
      </c>
      <c r="J349" s="15" t="n">
        <v>0.5</v>
      </c>
      <c r="K349" s="15" t="n">
        <v>0.5238095238095238</v>
      </c>
      <c r="L349" s="14" t="n">
        <v>-0.09163008011891809</v>
      </c>
      <c r="M349" s="14" t="n">
        <v>-0.2274638139908797</v>
      </c>
      <c r="N349" s="15" t="n">
        <v>0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ILST @ NIU</t>
        </is>
      </c>
      <c r="C350" s="17" t="inlineStr">
        <is>
          <t>2026-09-12 23:00</t>
        </is>
      </c>
      <c r="D350" s="25" t="n">
        <v>2</v>
      </c>
      <c r="E350" s="17" t="inlineStr">
        <is>
          <t>ML</t>
        </is>
      </c>
      <c r="F350" s="17" t="inlineStr">
        <is>
          <t>ILST ML</t>
        </is>
      </c>
      <c r="G350" s="26" t="n"/>
      <c r="H350" s="18" t="n">
        <v>-170</v>
      </c>
      <c r="I350" s="20" t="n">
        <v>0.487583990273184</v>
      </c>
      <c r="J350" s="20" t="n">
        <v>0.6037569709421778</v>
      </c>
      <c r="K350" s="20" t="n">
        <v>0.6296296296296297</v>
      </c>
      <c r="L350" s="19" t="n">
        <v>-0.0917492461769507</v>
      </c>
      <c r="M350" s="19" t="n">
        <v>-0.2256018978014136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ILST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LSU @ MISS</t>
        </is>
      </c>
      <c r="C351" s="12" t="inlineStr">
        <is>
          <t>2026-09-19 23:30</t>
        </is>
      </c>
      <c r="D351" s="22" t="n">
        <v>3</v>
      </c>
      <c r="E351" s="12" t="inlineStr">
        <is>
          <t>TOTAL</t>
        </is>
      </c>
      <c r="F351" s="12" t="inlineStr">
        <is>
          <t>Over 58.5</t>
        </is>
      </c>
      <c r="G351" s="23" t="n">
        <v>58.5</v>
      </c>
      <c r="H351" s="13" t="n">
        <v>-112</v>
      </c>
      <c r="I351" s="15" t="n">
        <v>0.4063969485508911</v>
      </c>
      <c r="J351" s="15" t="n">
        <v>0.5043297540699688</v>
      </c>
      <c r="K351" s="15" t="n">
        <v>0.5283018867924528</v>
      </c>
      <c r="L351" s="14" t="n">
        <v>-0.09186601263108968</v>
      </c>
      <c r="M351" s="14" t="n">
        <v>-0.230748633100099</v>
      </c>
      <c r="N351" s="15" t="n">
        <v>0</v>
      </c>
      <c r="O351" s="24" t="n">
        <v>0.725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LSU @ MISS</t>
        </is>
      </c>
      <c r="C352" s="17" t="inlineStr">
        <is>
          <t>2026-09-19 23:30</t>
        </is>
      </c>
      <c r="D352" s="25" t="n">
        <v>3</v>
      </c>
      <c r="E352" s="17" t="inlineStr">
        <is>
          <t>ATS</t>
        </is>
      </c>
      <c r="F352" s="17" t="inlineStr">
        <is>
          <t>LSU -2.5</t>
        </is>
      </c>
      <c r="G352" s="26" t="n">
        <v>2.5</v>
      </c>
      <c r="H352" s="18" t="n">
        <v>-112</v>
      </c>
      <c r="I352" s="20" t="n">
        <v>0.4048002577599124</v>
      </c>
      <c r="J352" s="20" t="n">
        <v>0.5043297540699688</v>
      </c>
      <c r="K352" s="20" t="n">
        <v>0.5283018867924528</v>
      </c>
      <c r="L352" s="19" t="n">
        <v>-0.09206496807730206</v>
      </c>
      <c r="M352" s="19" t="n">
        <v>-0.2337709406687374</v>
      </c>
      <c r="N352" s="20" t="n">
        <v>0</v>
      </c>
      <c r="O352" s="27" t="n">
        <v>0.725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SYR @ PITT</t>
        </is>
      </c>
      <c r="C353" s="12" t="inlineStr">
        <is>
          <t>2026-09-17 23:30</t>
        </is>
      </c>
      <c r="D353" s="22" t="n">
        <v>3</v>
      </c>
      <c r="E353" s="12" t="inlineStr">
        <is>
          <t>ATS</t>
        </is>
      </c>
      <c r="F353" s="12" t="inlineStr">
        <is>
          <t>PITT -10.5</t>
        </is>
      </c>
      <c r="G353" s="23" t="n">
        <v>-10.5</v>
      </c>
      <c r="H353" s="13" t="n">
        <v>-108</v>
      </c>
      <c r="I353" s="15" t="n">
        <v>0.3978480915785988</v>
      </c>
      <c r="J353" s="15" t="n">
        <v>0.4956702459300312</v>
      </c>
      <c r="K353" s="15" t="n">
        <v>0.5192307692307693</v>
      </c>
      <c r="L353" s="14" t="n">
        <v>-0.09206516595552763</v>
      </c>
      <c r="M353" s="14" t="n">
        <v>-0.2337740458486245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WEB @ COLO</t>
        </is>
      </c>
      <c r="C354" s="17" t="inlineStr">
        <is>
          <t>2026-09-12 19:30</t>
        </is>
      </c>
      <c r="D354" s="25" t="n">
        <v>2</v>
      </c>
      <c r="E354" s="17" t="inlineStr">
        <is>
          <t>TOTAL</t>
        </is>
      </c>
      <c r="F354" s="17" t="inlineStr">
        <is>
          <t>Over 57.5</t>
        </is>
      </c>
      <c r="G354" s="26" t="n">
        <v>57.5</v>
      </c>
      <c r="H354" s="18" t="n">
        <v>-108</v>
      </c>
      <c r="I354" s="20" t="n">
        <v>0.3968248074171328</v>
      </c>
      <c r="J354" s="20" t="n">
        <v>0.4956702459300312</v>
      </c>
      <c r="K354" s="20" t="n">
        <v>0.5192307692307693</v>
      </c>
      <c r="L354" s="19" t="n">
        <v>-0.09218814032245501</v>
      </c>
      <c r="M354" s="19" t="n">
        <v>-0.2357448153447813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WEB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NAVY @ FAU</t>
        </is>
      </c>
      <c r="C355" s="12" t="inlineStr">
        <is>
          <t>2026-09-12 23:30</t>
        </is>
      </c>
      <c r="D355" s="22" t="n">
        <v>2</v>
      </c>
      <c r="E355" s="12" t="inlineStr">
        <is>
          <t>ML</t>
        </is>
      </c>
      <c r="F355" s="12" t="inlineStr">
        <is>
          <t>NAVY ML</t>
        </is>
      </c>
      <c r="G355" s="23" t="n"/>
      <c r="H355" s="13" t="n">
        <v>-198</v>
      </c>
      <c r="I355" s="15" t="n">
        <v>0.5096578364200555</v>
      </c>
      <c r="J355" s="15" t="n">
        <v>0.6369041816941223</v>
      </c>
      <c r="K355" s="15" t="n">
        <v>0.6644295302013423</v>
      </c>
      <c r="L355" s="14" t="n">
        <v>-0.09220970137879463</v>
      </c>
      <c r="M355" s="14" t="n">
        <v>-0.2329392158930478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ALA @ UK</t>
        </is>
      </c>
      <c r="C356" s="17" t="inlineStr">
        <is>
          <t>2026-09-12 19:30</t>
        </is>
      </c>
      <c r="D356" s="25" t="n">
        <v>2</v>
      </c>
      <c r="E356" s="17" t="inlineStr">
        <is>
          <t>TOTAL</t>
        </is>
      </c>
      <c r="F356" s="17" t="inlineStr">
        <is>
          <t>Under 46.5</t>
        </is>
      </c>
      <c r="G356" s="26" t="n">
        <v>46.5</v>
      </c>
      <c r="H356" s="18" t="n">
        <v>-105</v>
      </c>
      <c r="I356" s="20" t="n">
        <v>0.3901233720590863</v>
      </c>
      <c r="J356" s="20" t="n">
        <v>0.4891657638136511</v>
      </c>
      <c r="K356" s="20" t="n">
        <v>0.5121951219512195</v>
      </c>
      <c r="L356" s="19" t="n">
        <v>-0.09236082343762195</v>
      </c>
      <c r="M356" s="19" t="n">
        <v>-0.2383305593132125</v>
      </c>
      <c r="N356" s="20" t="n">
        <v>0</v>
      </c>
      <c r="O356" s="27" t="n">
        <v>0.725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UCD @ SMU</t>
        </is>
      </c>
      <c r="C357" s="12" t="inlineStr">
        <is>
          <t>2026-09-12 20:00</t>
        </is>
      </c>
      <c r="D357" s="22" t="n">
        <v>2</v>
      </c>
      <c r="E357" s="12" t="inlineStr">
        <is>
          <t>TOTAL</t>
        </is>
      </c>
      <c r="F357" s="12" t="inlineStr">
        <is>
          <t>Over 58.5</t>
        </is>
      </c>
      <c r="G357" s="23" t="n">
        <v>58.5</v>
      </c>
      <c r="H357" s="13" t="n">
        <v>-115</v>
      </c>
      <c r="I357" s="15" t="n">
        <v>0.4044067982963728</v>
      </c>
      <c r="J357" s="15" t="n">
        <v>0.5108342361863488</v>
      </c>
      <c r="K357" s="15" t="n">
        <v>0.5348837209302325</v>
      </c>
      <c r="L357" s="14" t="n">
        <v>-0.09266377342783776</v>
      </c>
      <c r="M357" s="14" t="n">
        <v>-0.2439351162285204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UCD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MTST @ NEV</t>
        </is>
      </c>
      <c r="C358" s="17" t="inlineStr">
        <is>
          <t>2026-09-13 02:30</t>
        </is>
      </c>
      <c r="D358" s="25" t="n">
        <v>2</v>
      </c>
      <c r="E358" s="17" t="inlineStr">
        <is>
          <t>ML</t>
        </is>
      </c>
      <c r="F358" s="17" t="inlineStr">
        <is>
          <t>MTST ML</t>
        </is>
      </c>
      <c r="G358" s="26" t="n"/>
      <c r="H358" s="18" t="n">
        <v>-170</v>
      </c>
      <c r="I358" s="20" t="n">
        <v>0.4767340422879809</v>
      </c>
      <c r="J358" s="20" t="n">
        <v>0.6037569709421778</v>
      </c>
      <c r="K358" s="20" t="n">
        <v>0.6296296296296297</v>
      </c>
      <c r="L358" s="19" t="n">
        <v>-0.0927611555367341</v>
      </c>
      <c r="M358" s="19" t="n">
        <v>-0.2428341681308538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MTST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ARK @ UTAH</t>
        </is>
      </c>
      <c r="C359" s="12" t="inlineStr">
        <is>
          <t>2026-09-13 02:15</t>
        </is>
      </c>
      <c r="D359" s="22" t="n">
        <v>2</v>
      </c>
      <c r="E359" s="12" t="inlineStr">
        <is>
          <t>ATS</t>
        </is>
      </c>
      <c r="F359" s="12" t="inlineStr">
        <is>
          <t>UTAH -12.5</t>
        </is>
      </c>
      <c r="G359" s="23" t="n">
        <v>-12.5</v>
      </c>
      <c r="H359" s="13" t="n">
        <v>-110</v>
      </c>
      <c r="I359" s="15" t="n">
        <v>0.388175153472793</v>
      </c>
      <c r="J359" s="15" t="n">
        <v>0.5</v>
      </c>
      <c r="K359" s="15" t="n">
        <v>0.5238095238095238</v>
      </c>
      <c r="L359" s="14" t="n">
        <v>-0.09330169474458291</v>
      </c>
      <c r="M359" s="14" t="n">
        <v>-0.2589383433701224</v>
      </c>
      <c r="N359" s="15" t="n">
        <v>0</v>
      </c>
      <c r="O359" s="24" t="n">
        <v>0.725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USM @ AUB</t>
        </is>
      </c>
      <c r="C360" s="17" t="inlineStr">
        <is>
          <t>2026-09-12 23:45</t>
        </is>
      </c>
      <c r="D360" s="25" t="n">
        <v>2</v>
      </c>
      <c r="E360" s="17" t="inlineStr">
        <is>
          <t>TOTAL</t>
        </is>
      </c>
      <c r="F360" s="17" t="inlineStr">
        <is>
          <t>Over 57.5</t>
        </is>
      </c>
      <c r="G360" s="26" t="n">
        <v>57.5</v>
      </c>
      <c r="H360" s="18" t="n">
        <v>-105</v>
      </c>
      <c r="I360" s="20" t="n">
        <v>0.3783547912424042</v>
      </c>
      <c r="J360" s="20" t="n">
        <v>0.4891657638136511</v>
      </c>
      <c r="K360" s="20" t="n">
        <v>0.5121951219512195</v>
      </c>
      <c r="L360" s="19" t="n">
        <v>-0.0934007926690552</v>
      </c>
      <c r="M360" s="19" t="n">
        <v>-0.2613073123362585</v>
      </c>
      <c r="N360" s="20" t="n">
        <v>0</v>
      </c>
      <c r="O360" s="27" t="n">
        <v>0.725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UNC @ CLEM</t>
        </is>
      </c>
      <c r="C361" s="12" t="inlineStr">
        <is>
          <t>2026-09-19 16:00</t>
        </is>
      </c>
      <c r="D361" s="22" t="n">
        <v>3</v>
      </c>
      <c r="E361" s="12" t="inlineStr">
        <is>
          <t>ATS</t>
        </is>
      </c>
      <c r="F361" s="12" t="inlineStr">
        <is>
          <t>CLEM -8.5</t>
        </is>
      </c>
      <c r="G361" s="23" t="n">
        <v>-8.5</v>
      </c>
      <c r="H361" s="13" t="n">
        <v>-110</v>
      </c>
      <c r="I361" s="15" t="n">
        <v>0.3854382202417359</v>
      </c>
      <c r="J361" s="15" t="n">
        <v>0.5</v>
      </c>
      <c r="K361" s="15" t="n">
        <v>0.5238095238095238</v>
      </c>
      <c r="L361" s="14" t="n">
        <v>-0.09348507648978471</v>
      </c>
      <c r="M361" s="14" t="n">
        <v>-0.2641633977203224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SAC @ FRES</t>
        </is>
      </c>
      <c r="C362" s="17" t="inlineStr">
        <is>
          <t>2026-09-13 02:30</t>
        </is>
      </c>
      <c r="D362" s="25" t="n">
        <v>2</v>
      </c>
      <c r="E362" s="17" t="inlineStr">
        <is>
          <t>TOTAL</t>
        </is>
      </c>
      <c r="F362" s="17" t="inlineStr">
        <is>
          <t>Under 44.5</t>
        </is>
      </c>
      <c r="G362" s="26" t="n">
        <v>44.5</v>
      </c>
      <c r="H362" s="18" t="n">
        <v>-108</v>
      </c>
      <c r="I362" s="20" t="n">
        <v>0.3816069623108305</v>
      </c>
      <c r="J362" s="20" t="n">
        <v>0.4956702459300312</v>
      </c>
      <c r="K362" s="20" t="n">
        <v>0.5192307692307693</v>
      </c>
      <c r="L362" s="19" t="n">
        <v>-0.09351625740045143</v>
      </c>
      <c r="M362" s="19" t="n">
        <v>-0.2650532577717338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ILST @ NIU</t>
        </is>
      </c>
      <c r="C363" s="12" t="inlineStr">
        <is>
          <t>2026-09-12 23:00</t>
        </is>
      </c>
      <c r="D363" s="22" t="n">
        <v>2</v>
      </c>
      <c r="E363" s="12" t="inlineStr">
        <is>
          <t>ATS</t>
        </is>
      </c>
      <c r="F363" s="12" t="inlineStr">
        <is>
          <t>ILST -3</t>
        </is>
      </c>
      <c r="G363" s="23" t="n">
        <v>3</v>
      </c>
      <c r="H363" s="13" t="n">
        <v>-115</v>
      </c>
      <c r="I363" s="15" t="n">
        <v>0.3932269064672512</v>
      </c>
      <c r="J363" s="15" t="n">
        <v>0.5108342361863488</v>
      </c>
      <c r="K363" s="15" t="n">
        <v>0.5348837209302325</v>
      </c>
      <c r="L363" s="14" t="n">
        <v>-0.09351956148854339</v>
      </c>
      <c r="M363" s="14" t="n">
        <v>-0.2511181144944937</v>
      </c>
      <c r="N363" s="15" t="n">
        <v>0.0518</v>
      </c>
      <c r="O363" s="24" t="n">
        <v>0.4</v>
      </c>
      <c r="P363" s="12" t="inlineStr">
        <is>
          <t>DraftKings</t>
        </is>
      </c>
      <c r="Q363" s="12" t="inlineStr">
        <is>
          <t>ILST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UNLV @ UNT</t>
        </is>
      </c>
      <c r="C364" s="17" t="inlineStr">
        <is>
          <t>2026-09-12 19:45</t>
        </is>
      </c>
      <c r="D364" s="25" t="n">
        <v>2</v>
      </c>
      <c r="E364" s="17" t="inlineStr">
        <is>
          <t>ATS</t>
        </is>
      </c>
      <c r="F364" s="17" t="inlineStr">
        <is>
          <t>UNLV -3</t>
        </is>
      </c>
      <c r="G364" s="26" t="n">
        <v>3</v>
      </c>
      <c r="H364" s="18" t="n">
        <v>-115</v>
      </c>
      <c r="I364" s="20" t="n">
        <v>0.3929743144810817</v>
      </c>
      <c r="J364" s="20" t="n">
        <v>0.5108342361863488</v>
      </c>
      <c r="K364" s="20" t="n">
        <v>0.5348837209302325</v>
      </c>
      <c r="L364" s="19" t="n">
        <v>-0.09353477451722965</v>
      </c>
      <c r="M364" s="19" t="n">
        <v>-0.2515658897995066</v>
      </c>
      <c r="N364" s="20" t="n">
        <v>0.0518</v>
      </c>
      <c r="O364" s="27" t="n">
        <v>0.725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UNC @ CLEM</t>
        </is>
      </c>
      <c r="C365" s="12" t="inlineStr">
        <is>
          <t>2026-09-19 16:00</t>
        </is>
      </c>
      <c r="D365" s="22" t="n">
        <v>3</v>
      </c>
      <c r="E365" s="12" t="inlineStr">
        <is>
          <t>TOTAL</t>
        </is>
      </c>
      <c r="F365" s="12" t="inlineStr">
        <is>
          <t>Under 44.5</t>
        </is>
      </c>
      <c r="G365" s="23" t="n">
        <v>44.5</v>
      </c>
      <c r="H365" s="13" t="n">
        <v>-112</v>
      </c>
      <c r="I365" s="15" t="n">
        <v>0.3859367163807992</v>
      </c>
      <c r="J365" s="15" t="n">
        <v>0.5043297540699688</v>
      </c>
      <c r="K365" s="15" t="n">
        <v>0.5283018867924528</v>
      </c>
      <c r="L365" s="14" t="n">
        <v>-0.09365319226818981</v>
      </c>
      <c r="M365" s="14" t="n">
        <v>-0.269476929707773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SDSU @ UCLA</t>
        </is>
      </c>
      <c r="C366" s="17" t="inlineStr">
        <is>
          <t>2026-09-12 23:15</t>
        </is>
      </c>
      <c r="D366" s="25" t="n">
        <v>2</v>
      </c>
      <c r="E366" s="17" t="inlineStr">
        <is>
          <t>ATS</t>
        </is>
      </c>
      <c r="F366" s="17" t="inlineStr">
        <is>
          <t>UCLA -13.5</t>
        </is>
      </c>
      <c r="G366" s="26" t="n">
        <v>-13.5</v>
      </c>
      <c r="H366" s="18" t="n">
        <v>-108</v>
      </c>
      <c r="I366" s="20" t="n">
        <v>0.3785933236737478</v>
      </c>
      <c r="J366" s="20" t="n">
        <v>0.4956702459300312</v>
      </c>
      <c r="K366" s="20" t="n">
        <v>0.5192307692307693</v>
      </c>
      <c r="L366" s="19" t="n">
        <v>-0.09369329604318358</v>
      </c>
      <c r="M366" s="19" t="n">
        <v>-0.2708573025542635</v>
      </c>
      <c r="N366" s="20" t="n">
        <v>0</v>
      </c>
      <c r="O366" s="27" t="n">
        <v>0.725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NAVY @ FAU</t>
        </is>
      </c>
      <c r="C367" s="12" t="inlineStr">
        <is>
          <t>2026-09-12 23:30</t>
        </is>
      </c>
      <c r="D367" s="22" t="n">
        <v>2</v>
      </c>
      <c r="E367" s="12" t="inlineStr">
        <is>
          <t>ATS</t>
        </is>
      </c>
      <c r="F367" s="12" t="inlineStr">
        <is>
          <t>NAVY -4</t>
        </is>
      </c>
      <c r="G367" s="23" t="n">
        <v>4</v>
      </c>
      <c r="H367" s="13" t="n">
        <v>-112</v>
      </c>
      <c r="I367" s="15" t="n">
        <v>0.3779333217370513</v>
      </c>
      <c r="J367" s="15" t="n">
        <v>0.5043297540699688</v>
      </c>
      <c r="K367" s="15" t="n">
        <v>0.5283018867924528</v>
      </c>
      <c r="L367" s="14" t="n">
        <v>-0.09403375666651427</v>
      </c>
      <c r="M367" s="14" t="n">
        <v>-0.27731131876694</v>
      </c>
      <c r="N367" s="15" t="n">
        <v>0.0257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RMU @ AKR</t>
        </is>
      </c>
      <c r="C368" s="17" t="inlineStr">
        <is>
          <t>2026-09-12 19:30</t>
        </is>
      </c>
      <c r="D368" s="25" t="n">
        <v>2</v>
      </c>
      <c r="E368" s="17" t="inlineStr">
        <is>
          <t>TOTAL</t>
        </is>
      </c>
      <c r="F368" s="17" t="inlineStr">
        <is>
          <t>Under 46.5</t>
        </is>
      </c>
      <c r="G368" s="26" t="n">
        <v>46.5</v>
      </c>
      <c r="H368" s="18" t="n">
        <v>-110</v>
      </c>
      <c r="I368" s="20" t="n">
        <v>0.3740812175055281</v>
      </c>
      <c r="J368" s="20" t="n">
        <v>0.5</v>
      </c>
      <c r="K368" s="20" t="n">
        <v>0.5238095238095238</v>
      </c>
      <c r="L368" s="19" t="n">
        <v>-0.09405803713885667</v>
      </c>
      <c r="M368" s="19" t="n">
        <v>-0.2858449483985371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RMU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TENN @ GT</t>
        </is>
      </c>
      <c r="C369" s="12" t="inlineStr">
        <is>
          <t>2026-09-12 23:00</t>
        </is>
      </c>
      <c r="D369" s="22" t="n">
        <v>2</v>
      </c>
      <c r="E369" s="12" t="inlineStr">
        <is>
          <t>ML</t>
        </is>
      </c>
      <c r="F369" s="12" t="inlineStr">
        <is>
          <t>TENN ML</t>
        </is>
      </c>
      <c r="G369" s="23" t="n"/>
      <c r="H369" s="13" t="n">
        <v>-485</v>
      </c>
      <c r="I369" s="15" t="n">
        <v>0.590891127051391</v>
      </c>
      <c r="J369" s="15" t="n">
        <v>0.7957758771164253</v>
      </c>
      <c r="K369" s="15" t="n">
        <v>0.8290598290598291</v>
      </c>
      <c r="L369" s="14" t="n">
        <v>-0.09416281982442284</v>
      </c>
      <c r="M369" s="14" t="n">
        <v>-0.2872756508761573</v>
      </c>
      <c r="N369" s="15" t="n">
        <v>0</v>
      </c>
      <c r="O369" s="24" t="n">
        <v>0.725</v>
      </c>
      <c r="P369" s="12" t="inlineStr">
        <is>
          <t>DraftKings</t>
        </is>
      </c>
      <c r="Q369" s="12" t="inlineStr">
        <is>
          <t>price outside allowed range</t>
        </is>
      </c>
    </row>
    <row r="370">
      <c r="A370" s="17" t="inlineStr">
        <is>
          <t>PASS</t>
        </is>
      </c>
      <c r="B370" s="17" t="inlineStr">
        <is>
          <t>MTST @ NEV</t>
        </is>
      </c>
      <c r="C370" s="17" t="inlineStr">
        <is>
          <t>2026-09-13 02:30</t>
        </is>
      </c>
      <c r="D370" s="25" t="n">
        <v>2</v>
      </c>
      <c r="E370" s="17" t="inlineStr">
        <is>
          <t>ATS</t>
        </is>
      </c>
      <c r="F370" s="17" t="inlineStr">
        <is>
          <t>MTST -3.5</t>
        </is>
      </c>
      <c r="G370" s="26" t="n">
        <v>3.5</v>
      </c>
      <c r="H370" s="18" t="n">
        <v>-112</v>
      </c>
      <c r="I370" s="20" t="n">
        <v>0.3736607443761757</v>
      </c>
      <c r="J370" s="20" t="n">
        <v>0.5043297540699688</v>
      </c>
      <c r="K370" s="20" t="n">
        <v>0.5283018867924528</v>
      </c>
      <c r="L370" s="19" t="n">
        <v>-0.09419092369082452</v>
      </c>
      <c r="M370" s="19" t="n">
        <v>-0.2927135910022389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MTST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ALA @ UK</t>
        </is>
      </c>
      <c r="C371" s="12" t="inlineStr">
        <is>
          <t>2026-09-12 19:30</t>
        </is>
      </c>
      <c r="D371" s="22" t="n">
        <v>2</v>
      </c>
      <c r="E371" s="12" t="inlineStr">
        <is>
          <t>ML</t>
        </is>
      </c>
      <c r="F371" s="12" t="inlineStr">
        <is>
          <t>ALA ML</t>
        </is>
      </c>
      <c r="G371" s="23" t="n"/>
      <c r="H371" s="13" t="n">
        <v>-360</v>
      </c>
      <c r="I371" s="15" t="n">
        <v>0.5559317794247816</v>
      </c>
      <c r="J371" s="15" t="n">
        <v>0.7508125677139762</v>
      </c>
      <c r="K371" s="15" t="n">
        <v>0.7826086956521739</v>
      </c>
      <c r="L371" s="14" t="n">
        <v>-0.0941987797737473</v>
      </c>
      <c r="M371" s="14" t="n">
        <v>-0.289642726290557</v>
      </c>
      <c r="N371" s="15" t="n">
        <v>0</v>
      </c>
      <c r="O371" s="24" t="n">
        <v>0.725</v>
      </c>
      <c r="P371" s="12" t="inlineStr">
        <is>
          <t>DraftKings</t>
        </is>
      </c>
      <c r="Q371" s="12" t="inlineStr">
        <is>
          <t>raw model/market disagreement exceeds the safety limit</t>
        </is>
      </c>
    </row>
    <row r="372">
      <c r="A372" s="17" t="inlineStr">
        <is>
          <t>PASS</t>
        </is>
      </c>
      <c r="B372" s="17" t="inlineStr">
        <is>
          <t>WCU @ CIN</t>
        </is>
      </c>
      <c r="C372" s="17" t="inlineStr">
        <is>
          <t>2026-09-12 23:00</t>
        </is>
      </c>
      <c r="D372" s="25" t="n">
        <v>2</v>
      </c>
      <c r="E372" s="17" t="inlineStr">
        <is>
          <t>TOTAL</t>
        </is>
      </c>
      <c r="F372" s="17" t="inlineStr">
        <is>
          <t>Over 60.5</t>
        </is>
      </c>
      <c r="G372" s="26" t="n">
        <v>60.5</v>
      </c>
      <c r="H372" s="18" t="n">
        <v>-108</v>
      </c>
      <c r="I372" s="20" t="n">
        <v>0.365670165040585</v>
      </c>
      <c r="J372" s="20" t="n">
        <v>0.4956702459300312</v>
      </c>
      <c r="K372" s="20" t="n">
        <v>0.5192307692307693</v>
      </c>
      <c r="L372" s="19" t="n">
        <v>-0.09424305818350739</v>
      </c>
      <c r="M372" s="19" t="n">
        <v>-0.2957463488107251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WCU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MTSU @ MRSH</t>
        </is>
      </c>
      <c r="C373" s="12" t="inlineStr">
        <is>
          <t>2026-09-12 23:00</t>
        </is>
      </c>
      <c r="D373" s="22" t="n">
        <v>2</v>
      </c>
      <c r="E373" s="12" t="inlineStr">
        <is>
          <t>ATS</t>
        </is>
      </c>
      <c r="F373" s="12" t="inlineStr">
        <is>
          <t>MRSH -12.5</t>
        </is>
      </c>
      <c r="G373" s="23" t="n">
        <v>-12.5</v>
      </c>
      <c r="H373" s="13" t="n">
        <v>-112</v>
      </c>
      <c r="I373" s="15" t="n">
        <v>0.3715082338744559</v>
      </c>
      <c r="J373" s="15" t="n">
        <v>0.5043297540699688</v>
      </c>
      <c r="K373" s="15" t="n">
        <v>0.5283018867924528</v>
      </c>
      <c r="L373" s="14" t="n">
        <v>-0.09426018118426799</v>
      </c>
      <c r="M373" s="14" t="n">
        <v>-0.2967879858804942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UL @ USC</t>
        </is>
      </c>
      <c r="C374" s="17" t="inlineStr">
        <is>
          <t>2026-09-13 03:00</t>
        </is>
      </c>
      <c r="D374" s="25" t="n">
        <v>2</v>
      </c>
      <c r="E374" s="17" t="inlineStr">
        <is>
          <t>TOTAL</t>
        </is>
      </c>
      <c r="F374" s="17" t="inlineStr">
        <is>
          <t>Over 59.5</t>
        </is>
      </c>
      <c r="G374" s="26" t="n">
        <v>59.5</v>
      </c>
      <c r="H374" s="18" t="n">
        <v>-105</v>
      </c>
      <c r="I374" s="20" t="n">
        <v>0.3578494803971468</v>
      </c>
      <c r="J374" s="20" t="n">
        <v>0.4891657638136511</v>
      </c>
      <c r="K374" s="20" t="n">
        <v>0.5121951219512195</v>
      </c>
      <c r="L374" s="19" t="n">
        <v>-0.09433505389519455</v>
      </c>
      <c r="M374" s="19" t="n">
        <v>-0.3013414906531896</v>
      </c>
      <c r="N374" s="20" t="n">
        <v>0</v>
      </c>
      <c r="O374" s="27" t="n">
        <v>0.725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MD @ CONN</t>
        </is>
      </c>
      <c r="C375" s="12" t="inlineStr">
        <is>
          <t>2026-09-12 19:30</t>
        </is>
      </c>
      <c r="D375" s="22" t="n">
        <v>2</v>
      </c>
      <c r="E375" s="12" t="inlineStr">
        <is>
          <t>ML</t>
        </is>
      </c>
      <c r="F375" s="12" t="inlineStr">
        <is>
          <t>MD ML</t>
        </is>
      </c>
      <c r="G375" s="23" t="n"/>
      <c r="H375" s="13" t="n">
        <v>-470</v>
      </c>
      <c r="I375" s="15" t="n">
        <v>0.5694633238460951</v>
      </c>
      <c r="J375" s="15" t="n">
        <v>0.7913616398243045</v>
      </c>
      <c r="K375" s="15" t="n">
        <v>0.8245614035087719</v>
      </c>
      <c r="L375" s="14" t="n">
        <v>-0.09448256662003493</v>
      </c>
      <c r="M375" s="14" t="n">
        <v>-0.3093742668249484</v>
      </c>
      <c r="N375" s="15" t="n">
        <v>0</v>
      </c>
      <c r="O375" s="24" t="n">
        <v>0.725</v>
      </c>
      <c r="P375" s="12" t="inlineStr">
        <is>
          <t>DraftKings</t>
        </is>
      </c>
      <c r="Q375" s="12" t="inlineStr">
        <is>
          <t>price outside allowed range</t>
        </is>
      </c>
    </row>
    <row r="376">
      <c r="A376" s="17" t="inlineStr">
        <is>
          <t>PASS</t>
        </is>
      </c>
      <c r="B376" s="17" t="inlineStr">
        <is>
          <t>UGA @ ARK</t>
        </is>
      </c>
      <c r="C376" s="17" t="inlineStr">
        <is>
          <t>2026-09-19 16:00</t>
        </is>
      </c>
      <c r="D376" s="25" t="n">
        <v>3</v>
      </c>
      <c r="E376" s="17" t="inlineStr">
        <is>
          <t>ML</t>
        </is>
      </c>
      <c r="F376" s="17" t="inlineStr">
        <is>
          <t>UGA ML</t>
        </is>
      </c>
      <c r="G376" s="26" t="n"/>
      <c r="H376" s="18" t="n">
        <v>-900</v>
      </c>
      <c r="I376" s="20" t="n">
        <v>0.6195442119282537</v>
      </c>
      <c r="J376" s="20" t="n">
        <v>0.863013698630137</v>
      </c>
      <c r="K376" s="20" t="n">
        <v>0.9</v>
      </c>
      <c r="L376" s="19" t="n">
        <v>-0.09450086504451131</v>
      </c>
      <c r="M376" s="19" t="n">
        <v>-0.3116175423019403</v>
      </c>
      <c r="N376" s="20" t="n">
        <v>0</v>
      </c>
      <c r="O376" s="27" t="n">
        <v>0.725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WVU @ UVA</t>
        </is>
      </c>
      <c r="C377" s="12" t="inlineStr">
        <is>
          <t>2026-09-19 23:30</t>
        </is>
      </c>
      <c r="D377" s="22" t="n">
        <v>3</v>
      </c>
      <c r="E377" s="12" t="inlineStr">
        <is>
          <t>ATS</t>
        </is>
      </c>
      <c r="F377" s="12" t="inlineStr">
        <is>
          <t>UVA -8.5</t>
        </is>
      </c>
      <c r="G377" s="23" t="n">
        <v>-8.5</v>
      </c>
      <c r="H377" s="13" t="n">
        <v>-110</v>
      </c>
      <c r="I377" s="15" t="n">
        <v>0.3585035265985596</v>
      </c>
      <c r="J377" s="15" t="n">
        <v>0.5</v>
      </c>
      <c r="K377" s="15" t="n">
        <v>0.5238095238095238</v>
      </c>
      <c r="L377" s="14" t="n">
        <v>-0.09450997779475362</v>
      </c>
      <c r="M377" s="14" t="n">
        <v>-0.3155841764936589</v>
      </c>
      <c r="N377" s="15" t="n">
        <v>0</v>
      </c>
      <c r="O377" s="24" t="n">
        <v>0.725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HOU @ TTU</t>
        </is>
      </c>
      <c r="C378" s="17" t="inlineStr">
        <is>
          <t>2026-09-19 00:00</t>
        </is>
      </c>
      <c r="D378" s="25" t="n">
        <v>3</v>
      </c>
      <c r="E378" s="17" t="inlineStr">
        <is>
          <t>ATS</t>
        </is>
      </c>
      <c r="F378" s="17" t="inlineStr">
        <is>
          <t>TTU -14</t>
        </is>
      </c>
      <c r="G378" s="26" t="n">
        <v>-14</v>
      </c>
      <c r="H378" s="18" t="n">
        <v>-112</v>
      </c>
      <c r="I378" s="20" t="n">
        <v>0.3611102901767641</v>
      </c>
      <c r="J378" s="20" t="n">
        <v>0.5043297540699688</v>
      </c>
      <c r="K378" s="20" t="n">
        <v>0.5283018867924528</v>
      </c>
      <c r="L378" s="19" t="n">
        <v>-0.09452002797011598</v>
      </c>
      <c r="M378" s="19" t="n">
        <v>-0.3057414813925748</v>
      </c>
      <c r="N378" s="20" t="n">
        <v>0.0339</v>
      </c>
      <c r="O378" s="27" t="n">
        <v>0.725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STBK @ BALL</t>
        </is>
      </c>
      <c r="C379" s="12" t="inlineStr">
        <is>
          <t>2026-09-12 18:00</t>
        </is>
      </c>
      <c r="D379" s="22" t="n">
        <v>2</v>
      </c>
      <c r="E379" s="12" t="inlineStr">
        <is>
          <t>ATS</t>
        </is>
      </c>
      <c r="F379" s="12" t="inlineStr">
        <is>
          <t>BALL -13.5</t>
        </is>
      </c>
      <c r="G379" s="23" t="n">
        <v>-13.5</v>
      </c>
      <c r="H379" s="13" t="n">
        <v>-115</v>
      </c>
      <c r="I379" s="15" t="n">
        <v>0.3656632257890287</v>
      </c>
      <c r="J379" s="15" t="n">
        <v>0.5108342361863488</v>
      </c>
      <c r="K379" s="15" t="n">
        <v>0.5348837209302325</v>
      </c>
      <c r="L379" s="14" t="n">
        <v>-0.09452208355620884</v>
      </c>
      <c r="M379" s="14" t="n">
        <v>-0.3163687517857291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STBK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UNCO @ WYO</t>
        </is>
      </c>
      <c r="C380" s="17" t="inlineStr">
        <is>
          <t>2026-09-12 20:00</t>
        </is>
      </c>
      <c r="D380" s="25" t="n">
        <v>2</v>
      </c>
      <c r="E380" s="17" t="inlineStr">
        <is>
          <t>TOTAL</t>
        </is>
      </c>
      <c r="F380" s="17" t="inlineStr">
        <is>
          <t>Under 44.5</t>
        </is>
      </c>
      <c r="G380" s="26" t="n">
        <v>44.5</v>
      </c>
      <c r="H380" s="18" t="n">
        <v>-118</v>
      </c>
      <c r="I380" s="20" t="n">
        <v>0.3689593975813719</v>
      </c>
      <c r="J380" s="20" t="n">
        <v>0.5173641257162701</v>
      </c>
      <c r="K380" s="20" t="n">
        <v>0.5412844036697247</v>
      </c>
      <c r="L380" s="19" t="n">
        <v>-0.09454808310453267</v>
      </c>
      <c r="M380" s="19" t="n">
        <v>-0.3183631468411944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UNCO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SOU @ HOU</t>
        </is>
      </c>
      <c r="C381" s="12" t="inlineStr">
        <is>
          <t>2026-09-12 23:00</t>
        </is>
      </c>
      <c r="D381" s="22" t="n">
        <v>2</v>
      </c>
      <c r="E381" s="12" t="inlineStr">
        <is>
          <t>TOTAL</t>
        </is>
      </c>
      <c r="F381" s="12" t="inlineStr">
        <is>
          <t>Over 61.5</t>
        </is>
      </c>
      <c r="G381" s="23" t="n">
        <v>61.5</v>
      </c>
      <c r="H381" s="13" t="n">
        <v>-108</v>
      </c>
      <c r="I381" s="15" t="n">
        <v>0.3522716438479017</v>
      </c>
      <c r="J381" s="15" t="n">
        <v>0.4956702459300312</v>
      </c>
      <c r="K381" s="15" t="n">
        <v>0.5192307692307693</v>
      </c>
      <c r="L381" s="14" t="n">
        <v>-0.09457079248146388</v>
      </c>
      <c r="M381" s="14" t="n">
        <v>-0.3215509081447819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SOU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TLSA @ SHSU</t>
        </is>
      </c>
      <c r="C382" s="17" t="inlineStr">
        <is>
          <t>2026-09-12 23:00</t>
        </is>
      </c>
      <c r="D382" s="25" t="n">
        <v>2</v>
      </c>
      <c r="E382" s="17" t="inlineStr">
        <is>
          <t>ML</t>
        </is>
      </c>
      <c r="F382" s="17" t="inlineStr">
        <is>
          <t>TLSA ML</t>
        </is>
      </c>
      <c r="G382" s="26" t="n"/>
      <c r="H382" s="18" t="n">
        <v>-500</v>
      </c>
      <c r="I382" s="20" t="n">
        <v>0.5672611471935365</v>
      </c>
      <c r="J382" s="20" t="n">
        <v>0.7999999999999999</v>
      </c>
      <c r="K382" s="20" t="n">
        <v>0.8333333333333334</v>
      </c>
      <c r="L382" s="19" t="n">
        <v>-0.09458516246738256</v>
      </c>
      <c r="M382" s="19" t="n">
        <v>-0.3192866233677563</v>
      </c>
      <c r="N382" s="20" t="n">
        <v>0</v>
      </c>
      <c r="O382" s="27" t="n">
        <v>0.725</v>
      </c>
      <c r="P382" s="17" t="inlineStr">
        <is>
          <t>DraftKings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ISU @ IOWA</t>
        </is>
      </c>
      <c r="C383" s="12" t="inlineStr">
        <is>
          <t>2026-09-12 23:30</t>
        </is>
      </c>
      <c r="D383" s="22" t="n">
        <v>2</v>
      </c>
      <c r="E383" s="12" t="inlineStr">
        <is>
          <t>ATS</t>
        </is>
      </c>
      <c r="F383" s="12" t="inlineStr">
        <is>
          <t>IOWA -14</t>
        </is>
      </c>
      <c r="G383" s="23" t="n">
        <v>-14</v>
      </c>
      <c r="H383" s="13" t="n">
        <v>-110</v>
      </c>
      <c r="I383" s="15" t="n">
        <v>0.3529436652740585</v>
      </c>
      <c r="J383" s="15" t="n">
        <v>0.5</v>
      </c>
      <c r="K383" s="15" t="n">
        <v>0.5238095238095238</v>
      </c>
      <c r="L383" s="14" t="n">
        <v>-0.09461204485710618</v>
      </c>
      <c r="M383" s="14" t="n">
        <v>-0.3154339081163357</v>
      </c>
      <c r="N383" s="15" t="n">
        <v>0.033</v>
      </c>
      <c r="O383" s="24" t="n">
        <v>0.725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MIA @ WAKE</t>
        </is>
      </c>
      <c r="C384" s="17" t="inlineStr">
        <is>
          <t>2026-09-18 23:30</t>
        </is>
      </c>
      <c r="D384" s="25" t="n">
        <v>3</v>
      </c>
      <c r="E384" s="17" t="inlineStr">
        <is>
          <t>ML</t>
        </is>
      </c>
      <c r="F384" s="17" t="inlineStr">
        <is>
          <t>MIA ML</t>
        </is>
      </c>
      <c r="G384" s="26" t="n"/>
      <c r="H384" s="18" t="n">
        <v>-1350</v>
      </c>
      <c r="I384" s="20" t="n">
        <v>0.620875808292541</v>
      </c>
      <c r="J384" s="20" t="n">
        <v>0.8933823529411765</v>
      </c>
      <c r="K384" s="20" t="n">
        <v>0.9310344827586207</v>
      </c>
      <c r="L384" s="19" t="n">
        <v>-0.09469156391383342</v>
      </c>
      <c r="M384" s="19" t="n">
        <v>-0.3331333910931968</v>
      </c>
      <c r="N384" s="20" t="n">
        <v>0</v>
      </c>
      <c r="O384" s="27" t="n">
        <v>0.725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TTU @ ORST</t>
        </is>
      </c>
      <c r="C385" s="12" t="inlineStr">
        <is>
          <t>2026-09-12 23:30</t>
        </is>
      </c>
      <c r="D385" s="22" t="n">
        <v>2</v>
      </c>
      <c r="E385" s="12" t="inlineStr">
        <is>
          <t>ML</t>
        </is>
      </c>
      <c r="F385" s="12" t="inlineStr">
        <is>
          <t>TTU ML</t>
        </is>
      </c>
      <c r="G385" s="23" t="n"/>
      <c r="H385" s="13" t="n">
        <v>-3200</v>
      </c>
      <c r="I385" s="15" t="n">
        <v>0.6489048397097542</v>
      </c>
      <c r="J385" s="15" t="n">
        <v>0.9356725146198831</v>
      </c>
      <c r="K385" s="15" t="n">
        <v>0.9696969696969697</v>
      </c>
      <c r="L385" s="14" t="n">
        <v>-0.09470085423184582</v>
      </c>
      <c r="M385" s="14" t="n">
        <v>-0.330816884049316</v>
      </c>
      <c r="N385" s="15" t="n">
        <v>0</v>
      </c>
      <c r="O385" s="24" t="n">
        <v>0.725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ORE @ OKST</t>
        </is>
      </c>
      <c r="C386" s="17" t="inlineStr">
        <is>
          <t>2026-09-12 17:30</t>
        </is>
      </c>
      <c r="D386" s="25" t="n">
        <v>2</v>
      </c>
      <c r="E386" s="17" t="inlineStr">
        <is>
          <t>ML</t>
        </is>
      </c>
      <c r="F386" s="17" t="inlineStr">
        <is>
          <t>ORE ML</t>
        </is>
      </c>
      <c r="G386" s="26" t="n"/>
      <c r="H386" s="18" t="n">
        <v>-2400</v>
      </c>
      <c r="I386" s="20" t="n">
        <v>0.6348182048525641</v>
      </c>
      <c r="J386" s="20" t="n">
        <v>0.9258160237388724</v>
      </c>
      <c r="K386" s="20" t="n">
        <v>0.96</v>
      </c>
      <c r="L386" s="19" t="n">
        <v>-0.09474626608560932</v>
      </c>
      <c r="M386" s="19" t="n">
        <v>-0.3387310366119123</v>
      </c>
      <c r="N386" s="20" t="n">
        <v>0</v>
      </c>
      <c r="O386" s="27" t="n">
        <v>0.725</v>
      </c>
      <c r="P386" s="17" t="inlineStr">
        <is>
          <t>DraftKings</t>
        </is>
      </c>
      <c r="Q386" s="17" t="inlineStr">
        <is>
          <t>price outside allowed range</t>
        </is>
      </c>
    </row>
    <row r="387">
      <c r="A387" s="12" t="inlineStr">
        <is>
          <t>PASS</t>
        </is>
      </c>
      <c r="B387" s="12" t="inlineStr">
        <is>
          <t>FSU @ ALA</t>
        </is>
      </c>
      <c r="C387" s="12" t="inlineStr">
        <is>
          <t>2026-09-19 19:30</t>
        </is>
      </c>
      <c r="D387" s="22" t="n">
        <v>3</v>
      </c>
      <c r="E387" s="12" t="inlineStr">
        <is>
          <t>ATS</t>
        </is>
      </c>
      <c r="F387" s="12" t="inlineStr">
        <is>
          <t>ALA -17.5</t>
        </is>
      </c>
      <c r="G387" s="23" t="n">
        <v>-17.5</v>
      </c>
      <c r="H387" s="13" t="n">
        <v>-105</v>
      </c>
      <c r="I387" s="15" t="n">
        <v>0.3348369152684669</v>
      </c>
      <c r="J387" s="15" t="n">
        <v>0.4891657638136511</v>
      </c>
      <c r="K387" s="15" t="n">
        <v>0.5121951219512195</v>
      </c>
      <c r="L387" s="14" t="n">
        <v>-0.09475247849853209</v>
      </c>
      <c r="M387" s="14" t="n">
        <v>-0.3462707844758502</v>
      </c>
      <c r="N387" s="15" t="n">
        <v>0</v>
      </c>
      <c r="O387" s="24" t="n">
        <v>0.725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ISU @ IOWA</t>
        </is>
      </c>
      <c r="C388" s="17" t="inlineStr">
        <is>
          <t>2026-09-12 23:30</t>
        </is>
      </c>
      <c r="D388" s="25" t="n">
        <v>2</v>
      </c>
      <c r="E388" s="17" t="inlineStr">
        <is>
          <t>TOTAL</t>
        </is>
      </c>
      <c r="F388" s="17" t="inlineStr">
        <is>
          <t>Under 41.5</t>
        </is>
      </c>
      <c r="G388" s="26" t="n">
        <v>41.5</v>
      </c>
      <c r="H388" s="18" t="n">
        <v>-112</v>
      </c>
      <c r="I388" s="20" t="n">
        <v>0.3402073997813136</v>
      </c>
      <c r="J388" s="20" t="n">
        <v>0.5043297540699688</v>
      </c>
      <c r="K388" s="20" t="n">
        <v>0.5283018867924528</v>
      </c>
      <c r="L388" s="19" t="n">
        <v>-0.09479913485937627</v>
      </c>
      <c r="M388" s="19" t="n">
        <v>-0.3560359932710849</v>
      </c>
      <c r="N388" s="20" t="n">
        <v>0</v>
      </c>
      <c r="O388" s="27" t="n">
        <v>0.725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LIN @ MOST</t>
        </is>
      </c>
      <c r="C389" s="12" t="inlineStr">
        <is>
          <t>2026-09-12 23:00</t>
        </is>
      </c>
      <c r="D389" s="22" t="n">
        <v>2</v>
      </c>
      <c r="E389" s="12" t="inlineStr">
        <is>
          <t>ATS</t>
        </is>
      </c>
      <c r="F389" s="12" t="inlineStr">
        <is>
          <t>MOST -16.5</t>
        </is>
      </c>
      <c r="G389" s="23" t="n">
        <v>-16.5</v>
      </c>
      <c r="H389" s="13" t="n">
        <v>-112</v>
      </c>
      <c r="I389" s="15" t="n">
        <v>0.3310604019320236</v>
      </c>
      <c r="J389" s="15" t="n">
        <v>0.5043297540699688</v>
      </c>
      <c r="K389" s="15" t="n">
        <v>0.5283018867924528</v>
      </c>
      <c r="L389" s="14" t="n">
        <v>-0.09486284124549561</v>
      </c>
      <c r="M389" s="14" t="n">
        <v>-0.3733499534858126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LIN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EMU @ MSU</t>
        </is>
      </c>
      <c r="C390" s="17" t="inlineStr">
        <is>
          <t>2026-09-12 19:30</t>
        </is>
      </c>
      <c r="D390" s="25" t="n">
        <v>2</v>
      </c>
      <c r="E390" s="17" t="inlineStr">
        <is>
          <t>ATS</t>
        </is>
      </c>
      <c r="F390" s="17" t="inlineStr">
        <is>
          <t>MSU -17.5</t>
        </is>
      </c>
      <c r="G390" s="26" t="n">
        <v>-17.5</v>
      </c>
      <c r="H390" s="18" t="n">
        <v>-105</v>
      </c>
      <c r="I390" s="20" t="n">
        <v>0.3204284212914781</v>
      </c>
      <c r="J390" s="20" t="n">
        <v>0.4891657638136511</v>
      </c>
      <c r="K390" s="20" t="n">
        <v>0.5121951219512195</v>
      </c>
      <c r="L390" s="19" t="n">
        <v>-0.09486678166764316</v>
      </c>
      <c r="M390" s="19" t="n">
        <v>-0.374401653669019</v>
      </c>
      <c r="N390" s="20" t="n">
        <v>0</v>
      </c>
      <c r="O390" s="27" t="n">
        <v>0.725</v>
      </c>
      <c r="P390" s="17" t="inlineStr">
        <is>
          <t>DraftKings</t>
        </is>
      </c>
      <c r="Q390" s="17" t="inlineStr">
        <is>
          <t>raw model/market disagreement exceeds the safety limit</t>
        </is>
      </c>
    </row>
    <row r="391">
      <c r="A391" s="12" t="inlineStr">
        <is>
          <t>PASS</t>
        </is>
      </c>
      <c r="B391" s="12" t="inlineStr">
        <is>
          <t>UTSA @ TXST</t>
        </is>
      </c>
      <c r="C391" s="12" t="inlineStr">
        <is>
          <t>2026-09-12 19:30</t>
        </is>
      </c>
      <c r="D391" s="22" t="n">
        <v>2</v>
      </c>
      <c r="E391" s="12" t="inlineStr">
        <is>
          <t>TOTAL</t>
        </is>
      </c>
      <c r="F391" s="12" t="inlineStr">
        <is>
          <t>Over 65.5</t>
        </is>
      </c>
      <c r="G391" s="23" t="n">
        <v>65.5</v>
      </c>
      <c r="H391" s="13" t="n">
        <v>-110</v>
      </c>
      <c r="I391" s="15" t="n">
        <v>0.319985422368004</v>
      </c>
      <c r="J391" s="15" t="n">
        <v>0.5</v>
      </c>
      <c r="K391" s="15" t="n">
        <v>0.5238095238095238</v>
      </c>
      <c r="L391" s="14" t="n">
        <v>-0.09490300033423542</v>
      </c>
      <c r="M391" s="14" t="n">
        <v>-0.3891187391156288</v>
      </c>
      <c r="N391" s="15" t="n">
        <v>0</v>
      </c>
      <c r="O391" s="24" t="n">
        <v>0.725</v>
      </c>
      <c r="P391" s="12" t="inlineStr">
        <is>
          <t>DraftKings</t>
        </is>
      </c>
      <c r="Q391" s="12" t="inlineStr">
        <is>
          <t>raw model/market disagreement exceeds the safety limit</t>
        </is>
      </c>
    </row>
    <row r="392">
      <c r="A392" s="17" t="inlineStr">
        <is>
          <t>PASS</t>
        </is>
      </c>
      <c r="B392" s="17" t="inlineStr">
        <is>
          <t>ALA @ UK</t>
        </is>
      </c>
      <c r="C392" s="17" t="inlineStr">
        <is>
          <t>2026-09-12 19:30</t>
        </is>
      </c>
      <c r="D392" s="25" t="n">
        <v>2</v>
      </c>
      <c r="E392" s="17" t="inlineStr">
        <is>
          <t>ATS</t>
        </is>
      </c>
      <c r="F392" s="17" t="inlineStr">
        <is>
          <t>ALA -8.5</t>
        </is>
      </c>
      <c r="G392" s="26" t="n">
        <v>8.5</v>
      </c>
      <c r="H392" s="18" t="n">
        <v>-112</v>
      </c>
      <c r="I392" s="20" t="n">
        <v>0.3216090109617495</v>
      </c>
      <c r="J392" s="20" t="n">
        <v>0.5043297540699688</v>
      </c>
      <c r="K392" s="20" t="n">
        <v>0.5283018867924528</v>
      </c>
      <c r="L392" s="19" t="n">
        <v>-0.09490753431464491</v>
      </c>
      <c r="M392" s="19" t="n">
        <v>-0.3912400863938312</v>
      </c>
      <c r="N392" s="20" t="n">
        <v>0</v>
      </c>
      <c r="O392" s="27" t="n">
        <v>0.725</v>
      </c>
      <c r="P392" s="17" t="inlineStr">
        <is>
          <t>DraftKings</t>
        </is>
      </c>
      <c r="Q392" s="17" t="inlineStr">
        <is>
          <t>raw model/market disagreement exceeds the safety limit</t>
        </is>
      </c>
    </row>
    <row r="393">
      <c r="A393" s="12" t="inlineStr">
        <is>
          <t>PASS</t>
        </is>
      </c>
      <c r="B393" s="12" t="inlineStr">
        <is>
          <t>CAM @ FLA</t>
        </is>
      </c>
      <c r="C393" s="12" t="inlineStr">
        <is>
          <t>2026-09-12 21:30</t>
        </is>
      </c>
      <c r="D393" s="22" t="n">
        <v>2</v>
      </c>
      <c r="E393" s="12" t="inlineStr">
        <is>
          <t>TOTAL</t>
        </is>
      </c>
      <c r="F393" s="12" t="inlineStr">
        <is>
          <t>Over 65.5</t>
        </is>
      </c>
      <c r="G393" s="23" t="n">
        <v>65.5</v>
      </c>
      <c r="H393" s="13" t="n">
        <v>-118</v>
      </c>
      <c r="I393" s="15" t="n">
        <v>0.326465144063165</v>
      </c>
      <c r="J393" s="15" t="n">
        <v>0.5173641257162701</v>
      </c>
      <c r="K393" s="15" t="n">
        <v>0.5412844036697247</v>
      </c>
      <c r="L393" s="14" t="n">
        <v>-0.09491965929589065</v>
      </c>
      <c r="M393" s="14" t="n">
        <v>-0.3968694796121189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CAM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SAC @ FRES</t>
        </is>
      </c>
      <c r="C394" s="17" t="inlineStr">
        <is>
          <t>2026-09-13 02:30</t>
        </is>
      </c>
      <c r="D394" s="25" t="n">
        <v>2</v>
      </c>
      <c r="E394" s="17" t="inlineStr">
        <is>
          <t>ATS</t>
        </is>
      </c>
      <c r="F394" s="17" t="inlineStr">
        <is>
          <t>FRES -17.5</t>
        </is>
      </c>
      <c r="G394" s="26" t="n">
        <v>-17.5</v>
      </c>
      <c r="H394" s="18" t="n">
        <v>-110</v>
      </c>
      <c r="I394" s="20" t="n">
        <v>0.3142814845603238</v>
      </c>
      <c r="J394" s="20" t="n">
        <v>0.5</v>
      </c>
      <c r="K394" s="20" t="n">
        <v>0.5238095238095238</v>
      </c>
      <c r="L394" s="19" t="n">
        <v>-0.09492370169412431</v>
      </c>
      <c r="M394" s="19" t="n">
        <v>-0.4000080749302909</v>
      </c>
      <c r="N394" s="20" t="n">
        <v>0</v>
      </c>
      <c r="O394" s="27" t="n">
        <v>0.725</v>
      </c>
      <c r="P394" s="17" t="inlineStr">
        <is>
          <t>DraftKings</t>
        </is>
      </c>
      <c r="Q394" s="17" t="inlineStr">
        <is>
          <t>raw model/market disagreement exceeds the safety limit</t>
        </is>
      </c>
    </row>
    <row r="395">
      <c r="A395" s="12" t="inlineStr">
        <is>
          <t>PASS</t>
        </is>
      </c>
      <c r="B395" s="12" t="inlineStr">
        <is>
          <t>SUU @ CSU</t>
        </is>
      </c>
      <c r="C395" s="12" t="inlineStr">
        <is>
          <t>2026-09-12 23:00</t>
        </is>
      </c>
      <c r="D395" s="22" t="n">
        <v>2</v>
      </c>
      <c r="E395" s="12" t="inlineStr">
        <is>
          <t>ATS</t>
        </is>
      </c>
      <c r="F395" s="12" t="inlineStr">
        <is>
          <t>CSU -19.5</t>
        </is>
      </c>
      <c r="G395" s="23" t="n">
        <v>-19.5</v>
      </c>
      <c r="H395" s="13" t="n">
        <v>-102</v>
      </c>
      <c r="I395" s="15" t="n">
        <v>0.2984621349086956</v>
      </c>
      <c r="J395" s="15" t="n">
        <v>0.4826358742837298</v>
      </c>
      <c r="K395" s="15" t="n">
        <v>0.504950495049505</v>
      </c>
      <c r="L395" s="14" t="n">
        <v>-0.09493839299079827</v>
      </c>
      <c r="M395" s="14" t="n">
        <v>-0.4089279289063088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SUU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CP @ SJSU</t>
        </is>
      </c>
      <c r="C396" s="17" t="inlineStr">
        <is>
          <t>2026-09-13 01:00</t>
        </is>
      </c>
      <c r="D396" s="25" t="n">
        <v>2</v>
      </c>
      <c r="E396" s="17" t="inlineStr">
        <is>
          <t>ATS</t>
        </is>
      </c>
      <c r="F396" s="17" t="inlineStr">
        <is>
          <t>SJSU -21.5</t>
        </is>
      </c>
      <c r="G396" s="26" t="n">
        <v>-21.5</v>
      </c>
      <c r="H396" s="18" t="n">
        <v>-105</v>
      </c>
      <c r="I396" s="20" t="n">
        <v>0.2940881257574004</v>
      </c>
      <c r="J396" s="20" t="n">
        <v>0.4891657638136511</v>
      </c>
      <c r="K396" s="20" t="n">
        <v>0.5121951219512195</v>
      </c>
      <c r="L396" s="19" t="n">
        <v>-0.09495710154198903</v>
      </c>
      <c r="M396" s="19" t="n">
        <v>-0.4258279449498373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CP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GASO @ CLEM</t>
        </is>
      </c>
      <c r="C397" s="12" t="inlineStr">
        <is>
          <t>2026-09-12 23:30</t>
        </is>
      </c>
      <c r="D397" s="22" t="n">
        <v>2</v>
      </c>
      <c r="E397" s="12" t="inlineStr">
        <is>
          <t>ATS</t>
        </is>
      </c>
      <c r="F397" s="12" t="inlineStr">
        <is>
          <t>CLEM -19.5</t>
        </is>
      </c>
      <c r="G397" s="23" t="n">
        <v>-19.5</v>
      </c>
      <c r="H397" s="13" t="n">
        <v>-115</v>
      </c>
      <c r="I397" s="15" t="n">
        <v>0.3047784505518457</v>
      </c>
      <c r="J397" s="15" t="n">
        <v>0.5108342361863488</v>
      </c>
      <c r="K397" s="15" t="n">
        <v>0.5348837209302325</v>
      </c>
      <c r="L397" s="14" t="n">
        <v>-0.0949610394194353</v>
      </c>
      <c r="M397" s="14" t="n">
        <v>-0.4301968098378537</v>
      </c>
      <c r="N397" s="15" t="n">
        <v>0</v>
      </c>
      <c r="O397" s="24" t="n">
        <v>0.725</v>
      </c>
      <c r="P397" s="12" t="inlineStr">
        <is>
          <t>DraftKings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TENN @ GT</t>
        </is>
      </c>
      <c r="C398" s="17" t="inlineStr">
        <is>
          <t>2026-09-12 23:00</t>
        </is>
      </c>
      <c r="D398" s="25" t="n">
        <v>2</v>
      </c>
      <c r="E398" s="17" t="inlineStr">
        <is>
          <t>ATS</t>
        </is>
      </c>
      <c r="F398" s="17" t="inlineStr">
        <is>
          <t>TENN -12.5</t>
        </is>
      </c>
      <c r="G398" s="26" t="n">
        <v>12.5</v>
      </c>
      <c r="H398" s="18" t="n">
        <v>-108</v>
      </c>
      <c r="I398" s="20" t="n">
        <v>0.2938653044858215</v>
      </c>
      <c r="J398" s="20" t="n">
        <v>0.4956702459300312</v>
      </c>
      <c r="K398" s="20" t="n">
        <v>0.5192307692307693</v>
      </c>
      <c r="L398" s="19" t="n">
        <v>-0.09496400727905946</v>
      </c>
      <c r="M398" s="19" t="n">
        <v>-0.4340371913606401</v>
      </c>
      <c r="N398" s="20" t="n">
        <v>0</v>
      </c>
      <c r="O398" s="27" t="n">
        <v>0.725</v>
      </c>
      <c r="P398" s="17" t="inlineStr">
        <is>
          <t>DraftKings</t>
        </is>
      </c>
      <c r="Q398" s="17" t="inlineStr">
        <is>
          <t>raw model/market disagreement exceeds the safety limit</t>
        </is>
      </c>
    </row>
    <row r="399">
      <c r="A399" s="12" t="inlineStr">
        <is>
          <t>PASS</t>
        </is>
      </c>
      <c r="B399" s="12" t="inlineStr">
        <is>
          <t>MD @ CONN</t>
        </is>
      </c>
      <c r="C399" s="12" t="inlineStr">
        <is>
          <t>2026-09-12 19:30</t>
        </is>
      </c>
      <c r="D399" s="22" t="n">
        <v>2</v>
      </c>
      <c r="E399" s="12" t="inlineStr">
        <is>
          <t>ATS</t>
        </is>
      </c>
      <c r="F399" s="12" t="inlineStr">
        <is>
          <t>MD -11.5</t>
        </is>
      </c>
      <c r="G399" s="23" t="n">
        <v>11.5</v>
      </c>
      <c r="H399" s="13" t="n">
        <v>-112</v>
      </c>
      <c r="I399" s="15" t="n">
        <v>0.2948276772474037</v>
      </c>
      <c r="J399" s="15" t="n">
        <v>0.5043297540699688</v>
      </c>
      <c r="K399" s="15" t="n">
        <v>0.5283018867924528</v>
      </c>
      <c r="L399" s="14" t="n">
        <v>-0.0949697586244454</v>
      </c>
      <c r="M399" s="14" t="n">
        <v>-0.4419333252102716</v>
      </c>
      <c r="N399" s="15" t="n">
        <v>0</v>
      </c>
      <c r="O399" s="24" t="n">
        <v>0.725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SHU @ MASS</t>
        </is>
      </c>
      <c r="C400" s="17" t="inlineStr">
        <is>
          <t>2026-09-12 19:30</t>
        </is>
      </c>
      <c r="D400" s="25" t="n">
        <v>2</v>
      </c>
      <c r="E400" s="17" t="inlineStr">
        <is>
          <t>ATS</t>
        </is>
      </c>
      <c r="F400" s="17" t="inlineStr">
        <is>
          <t>MASS -23.5</t>
        </is>
      </c>
      <c r="G400" s="26" t="n">
        <v>-23.5</v>
      </c>
      <c r="H400" s="18" t="n">
        <v>-112</v>
      </c>
      <c r="I400" s="20" t="n">
        <v>0.2931401346926425</v>
      </c>
      <c r="J400" s="20" t="n">
        <v>0.5043297540699688</v>
      </c>
      <c r="K400" s="20" t="n">
        <v>0.5283018867924528</v>
      </c>
      <c r="L400" s="19" t="n">
        <v>-0.09497181535135818</v>
      </c>
      <c r="M400" s="19" t="n">
        <v>-0.4451276021889268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SHU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DEL @ VAN</t>
        </is>
      </c>
      <c r="C401" s="12" t="inlineStr">
        <is>
          <t>2026-09-12 20:15</t>
        </is>
      </c>
      <c r="D401" s="22" t="n">
        <v>2</v>
      </c>
      <c r="E401" s="12" t="inlineStr">
        <is>
          <t>ATS</t>
        </is>
      </c>
      <c r="F401" s="12" t="inlineStr">
        <is>
          <t>VAN -21</t>
        </is>
      </c>
      <c r="G401" s="23" t="n">
        <v>-21</v>
      </c>
      <c r="H401" s="13" t="n">
        <v>-108</v>
      </c>
      <c r="I401" s="15" t="n">
        <v>0.2851322140913748</v>
      </c>
      <c r="J401" s="15" t="n">
        <v>0.4956702459300312</v>
      </c>
      <c r="K401" s="15" t="n">
        <v>0.5192307692307693</v>
      </c>
      <c r="L401" s="14" t="n">
        <v>-0.09497516002211528</v>
      </c>
      <c r="M401" s="14" t="n">
        <v>-0.4440936294162882</v>
      </c>
      <c r="N401" s="15" t="n">
        <v>0.015</v>
      </c>
      <c r="O401" s="24" t="n">
        <v>0.725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TLSA @ SHSU</t>
        </is>
      </c>
      <c r="C402" s="17" t="inlineStr">
        <is>
          <t>2026-09-12 23:00</t>
        </is>
      </c>
      <c r="D402" s="25" t="n">
        <v>2</v>
      </c>
      <c r="E402" s="17" t="inlineStr">
        <is>
          <t>ATS</t>
        </is>
      </c>
      <c r="F402" s="17" t="inlineStr">
        <is>
          <t>TLSA -12.5</t>
        </is>
      </c>
      <c r="G402" s="26" t="n">
        <v>12.5</v>
      </c>
      <c r="H402" s="18" t="n">
        <v>-108</v>
      </c>
      <c r="I402" s="20" t="n">
        <v>0.2834817102706317</v>
      </c>
      <c r="J402" s="20" t="n">
        <v>0.4956702459300312</v>
      </c>
      <c r="K402" s="20" t="n">
        <v>0.5192307692307693</v>
      </c>
      <c r="L402" s="19" t="n">
        <v>-0.09497684151417356</v>
      </c>
      <c r="M402" s="19" t="n">
        <v>-0.4540352246639685</v>
      </c>
      <c r="N402" s="20" t="n">
        <v>0</v>
      </c>
      <c r="O402" s="27" t="n">
        <v>0.725</v>
      </c>
      <c r="P402" s="17" t="inlineStr">
        <is>
          <t>DraftKings</t>
        </is>
      </c>
      <c r="Q402" s="17" t="inlineStr">
        <is>
          <t>raw model/market disagreement exceeds the safety limit</t>
        </is>
      </c>
    </row>
    <row r="403">
      <c r="A403" s="12" t="inlineStr">
        <is>
          <t>PASS</t>
        </is>
      </c>
      <c r="B403" s="12" t="inlineStr">
        <is>
          <t>UNCO @ WYO</t>
        </is>
      </c>
      <c r="C403" s="12" t="inlineStr">
        <is>
          <t>2026-09-12 20:00</t>
        </is>
      </c>
      <c r="D403" s="22" t="n">
        <v>2</v>
      </c>
      <c r="E403" s="12" t="inlineStr">
        <is>
          <t>ATS</t>
        </is>
      </c>
      <c r="F403" s="12" t="inlineStr">
        <is>
          <t>WYO -23.5</t>
        </is>
      </c>
      <c r="G403" s="23" t="n">
        <v>-23.5</v>
      </c>
      <c r="H403" s="13" t="n">
        <v>-105</v>
      </c>
      <c r="I403" s="15" t="n">
        <v>0.2770201318057224</v>
      </c>
      <c r="J403" s="15" t="n">
        <v>0.4891657638136511</v>
      </c>
      <c r="K403" s="15" t="n">
        <v>0.5121951219512195</v>
      </c>
      <c r="L403" s="14" t="n">
        <v>-0.09497941867756417</v>
      </c>
      <c r="M403" s="14" t="n">
        <v>-0.4591511712364468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UNCO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ALST @ TROY</t>
        </is>
      </c>
      <c r="C404" s="17" t="inlineStr">
        <is>
          <t>2026-09-12 20:00</t>
        </is>
      </c>
      <c r="D404" s="25" t="n">
        <v>2</v>
      </c>
      <c r="E404" s="17" t="inlineStr">
        <is>
          <t>ATS</t>
        </is>
      </c>
      <c r="F404" s="17" t="inlineStr">
        <is>
          <t>TROY -23.5</t>
        </is>
      </c>
      <c r="G404" s="26" t="n">
        <v>-23.5</v>
      </c>
      <c r="H404" s="18" t="n">
        <v>-115</v>
      </c>
      <c r="I404" s="20" t="n">
        <v>0.285211544121472</v>
      </c>
      <c r="J404" s="20" t="n">
        <v>0.5108342361863488</v>
      </c>
      <c r="K404" s="20" t="n">
        <v>0.5348837209302325</v>
      </c>
      <c r="L404" s="19" t="n">
        <v>-0.09498260352629033</v>
      </c>
      <c r="M404" s="19" t="n">
        <v>-0.4667784175120305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ALST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UGA @ ARK</t>
        </is>
      </c>
      <c r="C405" s="12" t="inlineStr">
        <is>
          <t>2026-09-19 16:00</t>
        </is>
      </c>
      <c r="D405" s="22" t="n">
        <v>3</v>
      </c>
      <c r="E405" s="12" t="inlineStr">
        <is>
          <t>ATS</t>
        </is>
      </c>
      <c r="F405" s="12" t="inlineStr">
        <is>
          <t>UGA -17.5</t>
        </is>
      </c>
      <c r="G405" s="23" t="n">
        <v>17.5</v>
      </c>
      <c r="H405" s="13" t="n">
        <v>-110</v>
      </c>
      <c r="I405" s="15" t="n">
        <v>0.2691451663256565</v>
      </c>
      <c r="J405" s="15" t="n">
        <v>0.5</v>
      </c>
      <c r="K405" s="15" t="n">
        <v>0.5238095238095238</v>
      </c>
      <c r="L405" s="14" t="n">
        <v>-0.09498858970780709</v>
      </c>
      <c r="M405" s="14" t="n">
        <v>-0.4861774097419284</v>
      </c>
      <c r="N405" s="15" t="n">
        <v>0</v>
      </c>
      <c r="O405" s="24" t="n">
        <v>0.725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USU @ WASH</t>
        </is>
      </c>
      <c r="C406" s="17" t="inlineStr">
        <is>
          <t>2026-09-12 19:30</t>
        </is>
      </c>
      <c r="D406" s="25" t="n">
        <v>2</v>
      </c>
      <c r="E406" s="17" t="inlineStr">
        <is>
          <t>ATS</t>
        </is>
      </c>
      <c r="F406" s="17" t="inlineStr">
        <is>
          <t>WASH -28.5</t>
        </is>
      </c>
      <c r="G406" s="26" t="n">
        <v>-28.5</v>
      </c>
      <c r="H406" s="18" t="n">
        <v>-102</v>
      </c>
      <c r="I406" s="20" t="n">
        <v>0.2589878347142924</v>
      </c>
      <c r="J406" s="20" t="n">
        <v>0.4826358742837298</v>
      </c>
      <c r="K406" s="20" t="n">
        <v>0.504950495049505</v>
      </c>
      <c r="L406" s="19" t="n">
        <v>-0.09498898598527475</v>
      </c>
      <c r="M406" s="19" t="n">
        <v>-0.4871025234089502</v>
      </c>
      <c r="N406" s="20" t="n">
        <v>0</v>
      </c>
      <c r="O406" s="27" t="n">
        <v>0.725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RMU @ AKR</t>
        </is>
      </c>
      <c r="C407" s="12" t="inlineStr">
        <is>
          <t>2026-09-12 19:30</t>
        </is>
      </c>
      <c r="D407" s="22" t="n">
        <v>2</v>
      </c>
      <c r="E407" s="12" t="inlineStr">
        <is>
          <t>ATS</t>
        </is>
      </c>
      <c r="F407" s="12" t="inlineStr">
        <is>
          <t>AKR -27.5</t>
        </is>
      </c>
      <c r="G407" s="23" t="n">
        <v>-27.5</v>
      </c>
      <c r="H407" s="13" t="n">
        <v>-110</v>
      </c>
      <c r="I407" s="15" t="n">
        <v>0.2677932733176072</v>
      </c>
      <c r="J407" s="15" t="n">
        <v>0.5</v>
      </c>
      <c r="K407" s="15" t="n">
        <v>0.5238095238095238</v>
      </c>
      <c r="L407" s="14" t="n">
        <v>-0.09498922102708433</v>
      </c>
      <c r="M407" s="14" t="n">
        <v>-0.4887582963936591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RMU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TXSO @ UTEP</t>
        </is>
      </c>
      <c r="C408" s="17" t="inlineStr">
        <is>
          <t>2026-09-13 01:00</t>
        </is>
      </c>
      <c r="D408" s="25" t="n">
        <v>2</v>
      </c>
      <c r="E408" s="17" t="inlineStr">
        <is>
          <t>ATS</t>
        </is>
      </c>
      <c r="F408" s="17" t="inlineStr">
        <is>
          <t>UTEP -27.5</t>
        </is>
      </c>
      <c r="G408" s="26" t="n">
        <v>-27.5</v>
      </c>
      <c r="H408" s="18" t="n">
        <v>-108</v>
      </c>
      <c r="I408" s="20" t="n">
        <v>0.2647243455442313</v>
      </c>
      <c r="J408" s="20" t="n">
        <v>0.4956702459300312</v>
      </c>
      <c r="K408" s="20" t="n">
        <v>0.5192307692307693</v>
      </c>
      <c r="L408" s="19" t="n">
        <v>-0.09498955894580804</v>
      </c>
      <c r="M408" s="19" t="n">
        <v>-0.4901605196925916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TXSO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MSU @ ND</t>
        </is>
      </c>
      <c r="C409" s="12" t="inlineStr">
        <is>
          <t>2026-09-19 23:30</t>
        </is>
      </c>
      <c r="D409" s="22" t="n">
        <v>3</v>
      </c>
      <c r="E409" s="12" t="inlineStr">
        <is>
          <t>ATS</t>
        </is>
      </c>
      <c r="F409" s="12" t="inlineStr">
        <is>
          <t>ND -29.5</t>
        </is>
      </c>
      <c r="G409" s="23" t="n">
        <v>-29.5</v>
      </c>
      <c r="H409" s="13" t="n">
        <v>-105</v>
      </c>
      <c r="I409" s="15" t="n">
        <v>0.2611992189684572</v>
      </c>
      <c r="J409" s="15" t="n">
        <v>0.4891657638136511</v>
      </c>
      <c r="K409" s="15" t="n">
        <v>0.5121951219512195</v>
      </c>
      <c r="L409" s="14" t="n">
        <v>-0.09498958195112976</v>
      </c>
      <c r="M409" s="14" t="n">
        <v>-0.4900396201092025</v>
      </c>
      <c r="N409" s="15" t="n">
        <v>0</v>
      </c>
      <c r="O409" s="24" t="n">
        <v>0.725</v>
      </c>
      <c r="P409" s="12" t="inlineStr">
        <is>
          <t>DraftKings</t>
        </is>
      </c>
      <c r="Q409" s="12" t="inlineStr">
        <is>
          <t>raw model/market disagreement exceeds the safety limit</t>
        </is>
      </c>
    </row>
    <row r="410">
      <c r="A410" s="17" t="inlineStr">
        <is>
          <t>PASS</t>
        </is>
      </c>
      <c r="B410" s="17" t="inlineStr">
        <is>
          <t>MONM @ WMU</t>
        </is>
      </c>
      <c r="C410" s="17" t="inlineStr">
        <is>
          <t>2026-09-12 22:30</t>
        </is>
      </c>
      <c r="D410" s="25" t="n">
        <v>2</v>
      </c>
      <c r="E410" s="17" t="inlineStr">
        <is>
          <t>ATS</t>
        </is>
      </c>
      <c r="F410" s="17" t="inlineStr">
        <is>
          <t>WMU -29.5</t>
        </is>
      </c>
      <c r="G410" s="26" t="n">
        <v>-29.5</v>
      </c>
      <c r="H410" s="18" t="n">
        <v>-110</v>
      </c>
      <c r="I410" s="20" t="n">
        <v>0.2649094802532621</v>
      </c>
      <c r="J410" s="20" t="n">
        <v>0.5</v>
      </c>
      <c r="K410" s="20" t="n">
        <v>0.5238095238095238</v>
      </c>
      <c r="L410" s="19" t="n">
        <v>-0.09499045343976338</v>
      </c>
      <c r="M410" s="19" t="n">
        <v>-0.4942637195164996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MONM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BGSU @ NEB</t>
        </is>
      </c>
      <c r="C411" s="12" t="inlineStr">
        <is>
          <t>2026-09-12 23:00</t>
        </is>
      </c>
      <c r="D411" s="22" t="n">
        <v>2</v>
      </c>
      <c r="E411" s="12" t="inlineStr">
        <is>
          <t>ATS</t>
        </is>
      </c>
      <c r="F411" s="12" t="inlineStr">
        <is>
          <t>NEB -30.5</t>
        </is>
      </c>
      <c r="G411" s="23" t="n">
        <v>-30.5</v>
      </c>
      <c r="H411" s="13" t="n">
        <v>-110</v>
      </c>
      <c r="I411" s="15" t="n">
        <v>0.2642171888565256</v>
      </c>
      <c r="J411" s="15" t="n">
        <v>0.5</v>
      </c>
      <c r="K411" s="15" t="n">
        <v>0.5238095238095238</v>
      </c>
      <c r="L411" s="14" t="n">
        <v>-0.09499072768353249</v>
      </c>
      <c r="M411" s="14" t="n">
        <v>-0.4955853667284512</v>
      </c>
      <c r="N411" s="15" t="n">
        <v>0</v>
      </c>
      <c r="O411" s="24" t="n">
        <v>0.725</v>
      </c>
      <c r="P411" s="12" t="inlineStr">
        <is>
          <t>DraftKings</t>
        </is>
      </c>
      <c r="Q411" s="12" t="inlineStr">
        <is>
          <t>raw model/market disagreement exceeds the safety limit</t>
        </is>
      </c>
    </row>
    <row r="412">
      <c r="A412" s="17" t="inlineStr">
        <is>
          <t>PASS</t>
        </is>
      </c>
      <c r="B412" s="17" t="inlineStr">
        <is>
          <t>UL @ USC</t>
        </is>
      </c>
      <c r="C412" s="17" t="inlineStr">
        <is>
          <t>2026-09-13 03:00</t>
        </is>
      </c>
      <c r="D412" s="25" t="n">
        <v>2</v>
      </c>
      <c r="E412" s="17" t="inlineStr">
        <is>
          <t>ATS</t>
        </is>
      </c>
      <c r="F412" s="17" t="inlineStr">
        <is>
          <t>USC -30.5</t>
        </is>
      </c>
      <c r="G412" s="26" t="n">
        <v>-30.5</v>
      </c>
      <c r="H412" s="18" t="n">
        <v>-118</v>
      </c>
      <c r="I412" s="20" t="n">
        <v>0.2699974525337648</v>
      </c>
      <c r="J412" s="20" t="n">
        <v>0.5173641257162701</v>
      </c>
      <c r="K412" s="20" t="n">
        <v>0.5412844036697247</v>
      </c>
      <c r="L412" s="19" t="n">
        <v>-0.09499192423178517</v>
      </c>
      <c r="M412" s="19" t="n">
        <v>-0.5011911470138921</v>
      </c>
      <c r="N412" s="20" t="n">
        <v>0</v>
      </c>
      <c r="O412" s="27" t="n">
        <v>0.725</v>
      </c>
      <c r="P412" s="17" t="inlineStr">
        <is>
          <t>DraftKings</t>
        </is>
      </c>
      <c r="Q412" s="17" t="inlineStr">
        <is>
          <t>raw model/market disagreement exceeds the safety limit</t>
        </is>
      </c>
    </row>
    <row r="413">
      <c r="A413" s="12" t="inlineStr">
        <is>
          <t>PASS</t>
        </is>
      </c>
      <c r="B413" s="12" t="inlineStr">
        <is>
          <t>MIA @ WAKE</t>
        </is>
      </c>
      <c r="C413" s="12" t="inlineStr">
        <is>
          <t>2026-09-18 23:30</t>
        </is>
      </c>
      <c r="D413" s="22" t="n">
        <v>3</v>
      </c>
      <c r="E413" s="12" t="inlineStr">
        <is>
          <t>ATS</t>
        </is>
      </c>
      <c r="F413" s="12" t="inlineStr">
        <is>
          <t>MIA -20.5</t>
        </is>
      </c>
      <c r="G413" s="23" t="n">
        <v>20.5</v>
      </c>
      <c r="H413" s="13" t="n">
        <v>-108</v>
      </c>
      <c r="I413" s="15" t="n">
        <v>0.2579821879877671</v>
      </c>
      <c r="J413" s="15" t="n">
        <v>0.4956702459300312</v>
      </c>
      <c r="K413" s="15" t="n">
        <v>0.5192307692307693</v>
      </c>
      <c r="L413" s="14" t="n">
        <v>-0.09499215874277372</v>
      </c>
      <c r="M413" s="14" t="n">
        <v>-0.5031454157272635</v>
      </c>
      <c r="N413" s="15" t="n">
        <v>0</v>
      </c>
      <c r="O413" s="24" t="n">
        <v>0.725</v>
      </c>
      <c r="P413" s="12" t="inlineStr">
        <is>
          <t>DraftKings</t>
        </is>
      </c>
      <c r="Q413" s="12" t="inlineStr">
        <is>
          <t>raw model/market disagreement exceeds the safety limit</t>
        </is>
      </c>
    </row>
    <row r="414">
      <c r="A414" s="17" t="inlineStr">
        <is>
          <t>PASS</t>
        </is>
      </c>
      <c r="B414" s="17" t="inlineStr">
        <is>
          <t>UCD @ SMU</t>
        </is>
      </c>
      <c r="C414" s="17" t="inlineStr">
        <is>
          <t>2026-09-12 20:00</t>
        </is>
      </c>
      <c r="D414" s="25" t="n">
        <v>2</v>
      </c>
      <c r="E414" s="17" t="inlineStr">
        <is>
          <t>ATS</t>
        </is>
      </c>
      <c r="F414" s="17" t="inlineStr">
        <is>
          <t>SMU -32.5</t>
        </is>
      </c>
      <c r="G414" s="26" t="n">
        <v>-32.5</v>
      </c>
      <c r="H414" s="18" t="n">
        <v>-108</v>
      </c>
      <c r="I414" s="20" t="n">
        <v>0.2568691637016254</v>
      </c>
      <c r="J414" s="20" t="n">
        <v>0.4956702459300312</v>
      </c>
      <c r="K414" s="20" t="n">
        <v>0.5192307692307693</v>
      </c>
      <c r="L414" s="19" t="n">
        <v>-0.0949925207872326</v>
      </c>
      <c r="M414" s="19" t="n">
        <v>-0.5052890180561287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UCD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WES @ ARST</t>
        </is>
      </c>
      <c r="C415" s="12" t="inlineStr">
        <is>
          <t>2026-09-12 23:00</t>
        </is>
      </c>
      <c r="D415" s="22" t="n">
        <v>2</v>
      </c>
      <c r="E415" s="12" t="inlineStr">
        <is>
          <t>ATS</t>
        </is>
      </c>
      <c r="F415" s="12" t="inlineStr">
        <is>
          <t>ARST -31.5</t>
        </is>
      </c>
      <c r="G415" s="23" t="n">
        <v>-31.5</v>
      </c>
      <c r="H415" s="13" t="n">
        <v>-112</v>
      </c>
      <c r="I415" s="15" t="n">
        <v>0.2606896472934793</v>
      </c>
      <c r="J415" s="15" t="n">
        <v>0.5043297540699688</v>
      </c>
      <c r="K415" s="15" t="n">
        <v>0.5283018867924528</v>
      </c>
      <c r="L415" s="14" t="n">
        <v>-0.0949927261812154</v>
      </c>
      <c r="M415" s="14" t="n">
        <v>-0.5065517390516285</v>
      </c>
      <c r="N415" s="15" t="n">
        <v>0</v>
      </c>
      <c r="O415" s="24" t="n">
        <v>0.725</v>
      </c>
      <c r="P415" s="12" t="inlineStr">
        <is>
          <t>DraftKings</t>
        </is>
      </c>
      <c r="Q415" s="12" t="inlineStr">
        <is>
          <t>WES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USM @ AUB</t>
        </is>
      </c>
      <c r="C416" s="17" t="inlineStr">
        <is>
          <t>2026-09-12 23:45</t>
        </is>
      </c>
      <c r="D416" s="25" t="n">
        <v>2</v>
      </c>
      <c r="E416" s="17" t="inlineStr">
        <is>
          <t>ATS</t>
        </is>
      </c>
      <c r="F416" s="17" t="inlineStr">
        <is>
          <t>AUB -32.5</t>
        </is>
      </c>
      <c r="G416" s="26" t="n">
        <v>-32.5</v>
      </c>
      <c r="H416" s="18" t="n">
        <v>-112</v>
      </c>
      <c r="I416" s="20" t="n">
        <v>0.2590194569921488</v>
      </c>
      <c r="J416" s="20" t="n">
        <v>0.5043297540699688</v>
      </c>
      <c r="K416" s="20" t="n">
        <v>0.5283018867924528</v>
      </c>
      <c r="L416" s="19" t="n">
        <v>-0.094993216019996</v>
      </c>
      <c r="M416" s="19" t="n">
        <v>-0.5097131706934326</v>
      </c>
      <c r="N416" s="20" t="n">
        <v>0</v>
      </c>
      <c r="O416" s="27" t="n">
        <v>0.725</v>
      </c>
      <c r="P416" s="17" t="inlineStr">
        <is>
          <t>DraftKings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FOR @ CCU</t>
        </is>
      </c>
      <c r="C417" s="12" t="inlineStr">
        <is>
          <t>2026-09-12 23:30</t>
        </is>
      </c>
      <c r="D417" s="22" t="n">
        <v>2</v>
      </c>
      <c r="E417" s="12" t="inlineStr">
        <is>
          <t>ATS</t>
        </is>
      </c>
      <c r="F417" s="12" t="inlineStr">
        <is>
          <t>CCU -35.5</t>
        </is>
      </c>
      <c r="G417" s="23" t="n">
        <v>-35.5</v>
      </c>
      <c r="H417" s="13" t="n">
        <v>-112</v>
      </c>
      <c r="I417" s="15" t="n">
        <v>0.2570208011629059</v>
      </c>
      <c r="J417" s="15" t="n">
        <v>0.5043297540699688</v>
      </c>
      <c r="K417" s="15" t="n">
        <v>0.5283018867924528</v>
      </c>
      <c r="L417" s="14" t="n">
        <v>-0.09499375903164947</v>
      </c>
      <c r="M417" s="14" t="n">
        <v>-0.5134963406559281</v>
      </c>
      <c r="N417" s="15" t="n">
        <v>0</v>
      </c>
      <c r="O417" s="24" t="n">
        <v>0.725</v>
      </c>
      <c r="P417" s="12" t="inlineStr">
        <is>
          <t>DraftKings</t>
        </is>
      </c>
      <c r="Q417" s="12" t="inlineStr">
        <is>
          <t>FOR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LT @ LSU</t>
        </is>
      </c>
      <c r="C418" s="17" t="inlineStr">
        <is>
          <t>2026-09-12 23:30</t>
        </is>
      </c>
      <c r="D418" s="25" t="n">
        <v>2</v>
      </c>
      <c r="E418" s="17" t="inlineStr">
        <is>
          <t>ATS</t>
        </is>
      </c>
      <c r="F418" s="17" t="inlineStr">
        <is>
          <t>LSU -34.5</t>
        </is>
      </c>
      <c r="G418" s="26" t="n">
        <v>-34.5</v>
      </c>
      <c r="H418" s="18" t="n">
        <v>-118</v>
      </c>
      <c r="I418" s="20" t="n">
        <v>0.2632612242361135</v>
      </c>
      <c r="J418" s="20" t="n">
        <v>0.5173641257162701</v>
      </c>
      <c r="K418" s="20" t="n">
        <v>0.5412844036697247</v>
      </c>
      <c r="L418" s="19" t="n">
        <v>-0.09499386035495849</v>
      </c>
      <c r="M418" s="19" t="n">
        <v>-0.5136360433604004</v>
      </c>
      <c r="N418" s="20" t="n">
        <v>0</v>
      </c>
      <c r="O418" s="27" t="n">
        <v>0.725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ORE @ OKST</t>
        </is>
      </c>
      <c r="C419" s="12" t="inlineStr">
        <is>
          <t>2026-09-12 17:30</t>
        </is>
      </c>
      <c r="D419" s="22" t="n">
        <v>2</v>
      </c>
      <c r="E419" s="12" t="inlineStr">
        <is>
          <t>ATS</t>
        </is>
      </c>
      <c r="F419" s="12" t="inlineStr">
        <is>
          <t>ORE -24.5</t>
        </is>
      </c>
      <c r="G419" s="23" t="n">
        <v>24.5</v>
      </c>
      <c r="H419" s="13" t="n">
        <v>-110</v>
      </c>
      <c r="I419" s="15" t="n">
        <v>0.2543485581850851</v>
      </c>
      <c r="J419" s="15" t="n">
        <v>0.5</v>
      </c>
      <c r="K419" s="15" t="n">
        <v>0.5238095238095238</v>
      </c>
      <c r="L419" s="14" t="n">
        <v>-0.094993880205372</v>
      </c>
      <c r="M419" s="14" t="n">
        <v>-0.514425479828474</v>
      </c>
      <c r="N419" s="15" t="n">
        <v>0</v>
      </c>
      <c r="O419" s="24" t="n">
        <v>0.725</v>
      </c>
      <c r="P419" s="12" t="inlineStr">
        <is>
          <t>DraftKings</t>
        </is>
      </c>
      <c r="Q419" s="12" t="inlineStr">
        <is>
          <t>raw model/market disagreement exceeds the safety limit</t>
        </is>
      </c>
    </row>
    <row r="420">
      <c r="A420" s="17" t="inlineStr">
        <is>
          <t>PASS</t>
        </is>
      </c>
      <c r="B420" s="17" t="inlineStr">
        <is>
          <t>TTU @ ORST</t>
        </is>
      </c>
      <c r="C420" s="17" t="inlineStr">
        <is>
          <t>2026-09-12 23:30</t>
        </is>
      </c>
      <c r="D420" s="25" t="n">
        <v>2</v>
      </c>
      <c r="E420" s="17" t="inlineStr">
        <is>
          <t>ATS</t>
        </is>
      </c>
      <c r="F420" s="17" t="inlineStr">
        <is>
          <t>TTU -25.5</t>
        </is>
      </c>
      <c r="G420" s="26" t="n">
        <v>25.5</v>
      </c>
      <c r="H420" s="18" t="n">
        <v>-108</v>
      </c>
      <c r="I420" s="20" t="n">
        <v>0.2520260127469955</v>
      </c>
      <c r="J420" s="20" t="n">
        <v>0.4956702459300312</v>
      </c>
      <c r="K420" s="20" t="n">
        <v>0.5192307692307693</v>
      </c>
      <c r="L420" s="19" t="n">
        <v>-0.094993911319301</v>
      </c>
      <c r="M420" s="19" t="n">
        <v>-0.5146165680428234</v>
      </c>
      <c r="N420" s="20" t="n">
        <v>0</v>
      </c>
      <c r="O420" s="27" t="n">
        <v>0.725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CCSU @ TOL</t>
        </is>
      </c>
      <c r="C421" s="12" t="inlineStr">
        <is>
          <t>2026-09-12 19:30</t>
        </is>
      </c>
      <c r="D421" s="22" t="n">
        <v>2</v>
      </c>
      <c r="E421" s="12" t="inlineStr">
        <is>
          <t>ATS</t>
        </is>
      </c>
      <c r="F421" s="12" t="inlineStr">
        <is>
          <t>TOL -36.5</t>
        </is>
      </c>
      <c r="G421" s="23" t="n">
        <v>-36.5</v>
      </c>
      <c r="H421" s="13" t="n">
        <v>-108</v>
      </c>
      <c r="I421" s="15" t="n">
        <v>0.2514801645196251</v>
      </c>
      <c r="J421" s="15" t="n">
        <v>0.4956702459300312</v>
      </c>
      <c r="K421" s="15" t="n">
        <v>0.5192307692307693</v>
      </c>
      <c r="L421" s="14" t="n">
        <v>-0.09499405085022306</v>
      </c>
      <c r="M421" s="14" t="n">
        <v>-0.5156678312955367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CCSU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WCU @ CIN</t>
        </is>
      </c>
      <c r="C422" s="17" t="inlineStr">
        <is>
          <t>2026-09-12 23:00</t>
        </is>
      </c>
      <c r="D422" s="25" t="n">
        <v>2</v>
      </c>
      <c r="E422" s="17" t="inlineStr">
        <is>
          <t>ATS</t>
        </is>
      </c>
      <c r="F422" s="17" t="inlineStr">
        <is>
          <t>CIN -36.5</t>
        </is>
      </c>
      <c r="G422" s="26" t="n">
        <v>-36.5</v>
      </c>
      <c r="H422" s="18" t="n">
        <v>-112</v>
      </c>
      <c r="I422" s="20" t="n">
        <v>0.2553917125119459</v>
      </c>
      <c r="J422" s="20" t="n">
        <v>0.5043297540699688</v>
      </c>
      <c r="K422" s="20" t="n">
        <v>0.5283018867924528</v>
      </c>
      <c r="L422" s="19" t="n">
        <v>-0.09499416932256431</v>
      </c>
      <c r="M422" s="19" t="n">
        <v>-0.5165799727452453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WCU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WEB @ COLO</t>
        </is>
      </c>
      <c r="C423" s="12" t="inlineStr">
        <is>
          <t>2026-09-12 19:30</t>
        </is>
      </c>
      <c r="D423" s="22" t="n">
        <v>2</v>
      </c>
      <c r="E423" s="12" t="inlineStr">
        <is>
          <t>ATS</t>
        </is>
      </c>
      <c r="F423" s="12" t="inlineStr">
        <is>
          <t>COLO -38.5</t>
        </is>
      </c>
      <c r="G423" s="23" t="n">
        <v>-38.5</v>
      </c>
      <c r="H423" s="13" t="n">
        <v>-102</v>
      </c>
      <c r="I423" s="15" t="n">
        <v>0.2438778690681762</v>
      </c>
      <c r="J423" s="15" t="n">
        <v>0.4826358742837298</v>
      </c>
      <c r="K423" s="15" t="n">
        <v>0.504950495049505</v>
      </c>
      <c r="L423" s="14" t="n">
        <v>-0.09499430209767902</v>
      </c>
      <c r="M423" s="14" t="n">
        <v>-0.5170261808649843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WEB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PV @ BAY</t>
        </is>
      </c>
      <c r="C424" s="17" t="inlineStr">
        <is>
          <t>2026-09-13 00:08</t>
        </is>
      </c>
      <c r="D424" s="25" t="n">
        <v>2</v>
      </c>
      <c r="E424" s="17" t="inlineStr">
        <is>
          <t>ATS</t>
        </is>
      </c>
      <c r="F424" s="17" t="inlineStr">
        <is>
          <t>BAY -37.5</t>
        </is>
      </c>
      <c r="G424" s="26" t="n">
        <v>-37.5</v>
      </c>
      <c r="H424" s="18" t="n">
        <v>-105</v>
      </c>
      <c r="I424" s="20" t="n">
        <v>0.247174343649329</v>
      </c>
      <c r="J424" s="20" t="n">
        <v>0.4891657638136511</v>
      </c>
      <c r="K424" s="20" t="n">
        <v>0.5121951219512195</v>
      </c>
      <c r="L424" s="19" t="n">
        <v>-0.09499430285906446</v>
      </c>
      <c r="M424" s="19" t="n">
        <v>-0.5174215195417864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PV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MERC @ UNM</t>
        </is>
      </c>
      <c r="C425" s="12" t="inlineStr">
        <is>
          <t>2026-09-12 20:00</t>
        </is>
      </c>
      <c r="D425" s="22" t="n">
        <v>2</v>
      </c>
      <c r="E425" s="12" t="inlineStr">
        <is>
          <t>ATS</t>
        </is>
      </c>
      <c r="F425" s="12" t="inlineStr">
        <is>
          <t>UNM -42.5</t>
        </is>
      </c>
      <c r="G425" s="23" t="n">
        <v>-42.5</v>
      </c>
      <c r="H425" s="13" t="n">
        <v>-105</v>
      </c>
      <c r="I425" s="15" t="n">
        <v>0.2456075510323582</v>
      </c>
      <c r="J425" s="15" t="n">
        <v>0.4891657638136511</v>
      </c>
      <c r="K425" s="15" t="n">
        <v>0.5121951219512195</v>
      </c>
      <c r="L425" s="14" t="n">
        <v>-0.09499467434843244</v>
      </c>
      <c r="M425" s="14" t="n">
        <v>-0.5204804956034912</v>
      </c>
      <c r="N425" s="15" t="n">
        <v>0</v>
      </c>
      <c r="O425" s="24" t="n">
        <v>0.725</v>
      </c>
      <c r="P425" s="12" t="inlineStr">
        <is>
          <t>DraftKings</t>
        </is>
      </c>
      <c r="Q425" s="12" t="inlineStr">
        <is>
          <t>MERC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TOW @ SC</t>
        </is>
      </c>
      <c r="C426" s="17" t="inlineStr">
        <is>
          <t>2026-09-12 23:00</t>
        </is>
      </c>
      <c r="D426" s="25" t="n">
        <v>2</v>
      </c>
      <c r="E426" s="17" t="inlineStr">
        <is>
          <t>ATS</t>
        </is>
      </c>
      <c r="F426" s="17" t="inlineStr">
        <is>
          <t>SC -44.5</t>
        </is>
      </c>
      <c r="G426" s="26" t="n">
        <v>-44.5</v>
      </c>
      <c r="H426" s="18" t="n">
        <v>-105</v>
      </c>
      <c r="I426" s="20" t="n">
        <v>0.2451960520877419</v>
      </c>
      <c r="J426" s="20" t="n">
        <v>0.4891657638136511</v>
      </c>
      <c r="K426" s="20" t="n">
        <v>0.5121951219512195</v>
      </c>
      <c r="L426" s="19" t="n">
        <v>-0.09499476783298322</v>
      </c>
      <c r="M426" s="19" t="n">
        <v>-0.5212838983048849</v>
      </c>
      <c r="N426" s="20" t="n">
        <v>0</v>
      </c>
      <c r="O426" s="27" t="n">
        <v>0.725</v>
      </c>
      <c r="P426" s="17" t="inlineStr">
        <is>
          <t>DraftKings</t>
        </is>
      </c>
      <c r="Q426" s="17" t="inlineStr">
        <is>
          <t>TOW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WIU @ WIS</t>
        </is>
      </c>
      <c r="C427" s="12" t="inlineStr">
        <is>
          <t>2026-09-12 23:15</t>
        </is>
      </c>
      <c r="D427" s="22" t="n">
        <v>2</v>
      </c>
      <c r="E427" s="12" t="inlineStr">
        <is>
          <t>ATS</t>
        </is>
      </c>
      <c r="F427" s="12" t="inlineStr">
        <is>
          <t>WIS -42.5</t>
        </is>
      </c>
      <c r="G427" s="23" t="n">
        <v>-42.5</v>
      </c>
      <c r="H427" s="13" t="n">
        <v>-105</v>
      </c>
      <c r="I427" s="15" t="n">
        <v>0.2451788092382083</v>
      </c>
      <c r="J427" s="15" t="n">
        <v>0.4891657638136511</v>
      </c>
      <c r="K427" s="15" t="n">
        <v>0.5121951219512195</v>
      </c>
      <c r="L427" s="14" t="n">
        <v>-0.0949947717141999</v>
      </c>
      <c r="M427" s="14" t="n">
        <v>-0.5213175629158791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WIU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RICE @ ND</t>
        </is>
      </c>
      <c r="C428" s="17" t="inlineStr">
        <is>
          <t>2026-09-12 19:30</t>
        </is>
      </c>
      <c r="D428" s="25" t="n">
        <v>2</v>
      </c>
      <c r="E428" s="17" t="inlineStr">
        <is>
          <t>ATS</t>
        </is>
      </c>
      <c r="F428" s="17" t="inlineStr">
        <is>
          <t>ND -44.5</t>
        </is>
      </c>
      <c r="G428" s="26" t="n">
        <v>-44.5</v>
      </c>
      <c r="H428" s="18" t="n">
        <v>-118</v>
      </c>
      <c r="I428" s="20" t="n">
        <v>0.2592983633335659</v>
      </c>
      <c r="J428" s="20" t="n">
        <v>0.5173641257162701</v>
      </c>
      <c r="K428" s="20" t="n">
        <v>0.5412844036697247</v>
      </c>
      <c r="L428" s="19" t="n">
        <v>-0.094994774687426</v>
      </c>
      <c r="M428" s="19" t="n">
        <v>-0.5209572609600223</v>
      </c>
      <c r="N428" s="20" t="n">
        <v>0</v>
      </c>
      <c r="O428" s="27" t="n">
        <v>0.725</v>
      </c>
      <c r="P428" s="17" t="inlineStr">
        <is>
          <t>DraftKings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CLT @ MISS</t>
        </is>
      </c>
      <c r="C429" s="12" t="inlineStr">
        <is>
          <t>2026-09-12 23:45</t>
        </is>
      </c>
      <c r="D429" s="22" t="n">
        <v>2</v>
      </c>
      <c r="E429" s="12" t="inlineStr">
        <is>
          <t>ATS</t>
        </is>
      </c>
      <c r="F429" s="12" t="inlineStr">
        <is>
          <t>MISS -45.5</t>
        </is>
      </c>
      <c r="G429" s="23" t="n">
        <v>-45.5</v>
      </c>
      <c r="H429" s="13" t="n">
        <v>-105</v>
      </c>
      <c r="I429" s="15" t="n">
        <v>0.2450930069186016</v>
      </c>
      <c r="J429" s="15" t="n">
        <v>0.4891657638136511</v>
      </c>
      <c r="K429" s="15" t="n">
        <v>0.5121951219512195</v>
      </c>
      <c r="L429" s="14" t="n">
        <v>-0.09499479098479632</v>
      </c>
      <c r="M429" s="14" t="n">
        <v>-0.5214850817303494</v>
      </c>
      <c r="N429" s="15" t="n">
        <v>0</v>
      </c>
      <c r="O429" s="24" t="n">
        <v>0.725</v>
      </c>
      <c r="P429" s="12" t="inlineStr">
        <is>
          <t>DraftKings</t>
        </is>
      </c>
      <c r="Q429" s="12" t="inlineStr">
        <is>
          <t>raw model/market disagreement exceeds the safety limit</t>
        </is>
      </c>
    </row>
    <row r="430">
      <c r="A430" s="17" t="inlineStr">
        <is>
          <t>PASS</t>
        </is>
      </c>
      <c r="B430" s="17" t="inlineStr">
        <is>
          <t>GRAM @ TCU</t>
        </is>
      </c>
      <c r="C430" s="17" t="inlineStr">
        <is>
          <t>2026-09-13 00:00</t>
        </is>
      </c>
      <c r="D430" s="25" t="n">
        <v>2</v>
      </c>
      <c r="E430" s="17" t="inlineStr">
        <is>
          <t>ATS</t>
        </is>
      </c>
      <c r="F430" s="17" t="inlineStr">
        <is>
          <t>TCU -44.5</t>
        </is>
      </c>
      <c r="G430" s="26" t="n">
        <v>-44.5</v>
      </c>
      <c r="H430" s="18" t="n">
        <v>-105</v>
      </c>
      <c r="I430" s="20" t="n">
        <v>0.2450632148253286</v>
      </c>
      <c r="J430" s="20" t="n">
        <v>0.4891657638136511</v>
      </c>
      <c r="K430" s="20" t="n">
        <v>0.5121951219512195</v>
      </c>
      <c r="L430" s="19" t="n">
        <v>-0.09499479765926494</v>
      </c>
      <c r="M430" s="19" t="n">
        <v>-0.521543247245787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GRAM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CAM @ FLA</t>
        </is>
      </c>
      <c r="C431" s="12" t="inlineStr">
        <is>
          <t>2026-09-12 21:30</t>
        </is>
      </c>
      <c r="D431" s="22" t="n">
        <v>2</v>
      </c>
      <c r="E431" s="12" t="inlineStr">
        <is>
          <t>ATS</t>
        </is>
      </c>
      <c r="F431" s="12" t="inlineStr">
        <is>
          <t>FLA -50.5</t>
        </is>
      </c>
      <c r="G431" s="23" t="n">
        <v>-50.5</v>
      </c>
      <c r="H431" s="13" t="n">
        <v>-112</v>
      </c>
      <c r="I431" s="15" t="n">
        <v>0.2522746363903054</v>
      </c>
      <c r="J431" s="15" t="n">
        <v>0.5043297540699688</v>
      </c>
      <c r="K431" s="15" t="n">
        <v>0.5283018867924528</v>
      </c>
      <c r="L431" s="14" t="n">
        <v>-0.09499488069653265</v>
      </c>
      <c r="M431" s="14" t="n">
        <v>-0.5224801525469219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CAM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SOU @ HOU</t>
        </is>
      </c>
      <c r="C432" s="17" t="inlineStr">
        <is>
          <t>2026-09-12 23:00</t>
        </is>
      </c>
      <c r="D432" s="25" t="n">
        <v>2</v>
      </c>
      <c r="E432" s="17" t="inlineStr">
        <is>
          <t>ATS</t>
        </is>
      </c>
      <c r="F432" s="17" t="inlineStr">
        <is>
          <t>HOU -51.5</t>
        </is>
      </c>
      <c r="G432" s="26" t="n">
        <v>-51.5</v>
      </c>
      <c r="H432" s="18" t="n">
        <v>-118</v>
      </c>
      <c r="I432" s="20" t="n">
        <v>0.2587503991503137</v>
      </c>
      <c r="J432" s="20" t="n">
        <v>0.5173641257162701</v>
      </c>
      <c r="K432" s="20" t="n">
        <v>0.5412844036697247</v>
      </c>
      <c r="L432" s="19" t="n">
        <v>-0.09499488990797343</v>
      </c>
      <c r="M432" s="19" t="n">
        <v>-0.5219696015697595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SOU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SAC @ FRES</t>
        </is>
      </c>
      <c r="C22" s="12" t="inlineStr">
        <is>
          <t>ML</t>
        </is>
      </c>
      <c r="D22" s="12" t="inlineStr">
        <is>
          <t>SAC ML</t>
        </is>
      </c>
      <c r="E22" s="13" t="n">
        <v>600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ATS</t>
        </is>
      </c>
      <c r="D23" s="17" t="inlineStr">
        <is>
          <t>ARK +9.5</t>
        </is>
      </c>
      <c r="E23" s="18" t="n">
        <v>-105</v>
      </c>
      <c r="F23" s="21" t="n">
        <v>23.5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0.09180000000000001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2026-09-13</t>
        </is>
      </c>
      <c r="B24" s="12" t="inlineStr">
        <is>
          <t>ARK @ UTAH</t>
        </is>
      </c>
      <c r="C24" s="12" t="inlineStr">
        <is>
          <t>ML</t>
        </is>
      </c>
      <c r="D24" s="12" t="inlineStr">
        <is>
          <t>ARK ML</t>
        </is>
      </c>
      <c r="E24" s="13" t="n">
        <v>380</v>
      </c>
      <c r="F24" s="16" t="n">
        <v>2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0.0948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2026-09-13</t>
        </is>
      </c>
      <c r="B25" s="17" t="inlineStr">
        <is>
          <t>NDSU @ AFA</t>
        </is>
      </c>
      <c r="C25" s="17" t="inlineStr">
        <is>
          <t>ML</t>
        </is>
      </c>
      <c r="D25" s="17" t="inlineStr">
        <is>
          <t>AFA ML</t>
        </is>
      </c>
      <c r="E25" s="18" t="n">
        <v>180</v>
      </c>
      <c r="F25" s="21" t="n">
        <v>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CLT @ MISS</t>
        </is>
      </c>
      <c r="C26" s="12" t="inlineStr">
        <is>
          <t>TOTAL</t>
        </is>
      </c>
      <c r="D26" s="12" t="inlineStr">
        <is>
          <t>Under 61.5</t>
        </is>
      </c>
      <c r="E26" s="13" t="n">
        <v>-108</v>
      </c>
      <c r="F26" s="16" t="n">
        <v>18.5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0.1108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OSU @ TEX</t>
        </is>
      </c>
      <c r="C27" s="17" t="inlineStr">
        <is>
          <t>TOTAL</t>
        </is>
      </c>
      <c r="D27" s="17" t="inlineStr">
        <is>
          <t>Over 47.5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0.1189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TTU @ ORST</t>
        </is>
      </c>
      <c r="C28" s="12" t="inlineStr">
        <is>
          <t>TOTAL</t>
        </is>
      </c>
      <c r="D28" s="12" t="inlineStr">
        <is>
          <t>Over 49.5</t>
        </is>
      </c>
      <c r="E28" s="13" t="n">
        <v>-108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0.1092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ATS</t>
        </is>
      </c>
      <c r="D29" s="17" t="inlineStr">
        <is>
          <t>ISU +12.5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0.1201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ISU @ IOWA</t>
        </is>
      </c>
      <c r="C30" s="12" t="inlineStr">
        <is>
          <t>ML</t>
        </is>
      </c>
      <c r="D30" s="12" t="inlineStr">
        <is>
          <t>ISU ML</t>
        </is>
      </c>
      <c r="E30" s="13" t="n">
        <v>550</v>
      </c>
      <c r="F30" s="16" t="n">
        <v>19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0.128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GASO @ CLEM</t>
        </is>
      </c>
      <c r="C31" s="17" t="inlineStr">
        <is>
          <t>TOTAL</t>
        </is>
      </c>
      <c r="D31" s="17" t="inlineStr">
        <is>
          <t>Under 57.5</t>
        </is>
      </c>
      <c r="E31" s="18" t="n">
        <v>-108</v>
      </c>
      <c r="F31" s="21" t="n">
        <v>24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0.0882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NAVY @ FAU</t>
        </is>
      </c>
      <c r="C32" s="12" t="inlineStr">
        <is>
          <t>ML</t>
        </is>
      </c>
      <c r="D32" s="12" t="inlineStr">
        <is>
          <t>FAU ML</t>
        </is>
      </c>
      <c r="E32" s="13" t="n">
        <v>195</v>
      </c>
      <c r="F32" s="16" t="n">
        <v>18.5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BEST BET</t>
        </is>
      </c>
      <c r="L32" s="14" t="n">
        <v>0.1327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ML</t>
        </is>
      </c>
      <c r="D33" s="17" t="inlineStr">
        <is>
          <t>SDSU ML</t>
        </is>
      </c>
      <c r="E33" s="18" t="n">
        <v>380</v>
      </c>
      <c r="F33" s="21" t="n">
        <v>2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0.09470000000000001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SDSU @ UCLA</t>
        </is>
      </c>
      <c r="C34" s="12" t="inlineStr">
        <is>
          <t>TOTAL</t>
        </is>
      </c>
      <c r="D34" s="12" t="inlineStr">
        <is>
          <t>Over 48.5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0.1218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USA @ TULN</t>
        </is>
      </c>
      <c r="C35" s="17" t="inlineStr">
        <is>
          <t>ML</t>
        </is>
      </c>
      <c r="D35" s="17" t="inlineStr">
        <is>
          <t>USA ML</t>
        </is>
      </c>
      <c r="E35" s="18" t="n">
        <v>330</v>
      </c>
      <c r="F35" s="21" t="n">
        <v>2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0.09470000000000001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ML</t>
        </is>
      </c>
      <c r="D36" s="12" t="inlineStr">
        <is>
          <t>MTSU ML</t>
        </is>
      </c>
      <c r="E36" s="13" t="n">
        <v>490</v>
      </c>
      <c r="F36" s="16" t="n">
        <v>1.5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BEST BET</t>
        </is>
      </c>
      <c r="L36" s="14" t="n">
        <v>0.095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MTSU @ MRSH</t>
        </is>
      </c>
      <c r="C37" s="17" t="inlineStr">
        <is>
          <t>TOTAL</t>
        </is>
      </c>
      <c r="D37" s="17" t="inlineStr">
        <is>
          <t>Under 57.5</t>
        </is>
      </c>
      <c r="E37" s="18" t="n">
        <v>-105</v>
      </c>
      <c r="F37" s="21" t="n">
        <v>14.5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0.07820000000000001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BUFF @ FIU</t>
        </is>
      </c>
      <c r="C38" s="12" t="inlineStr">
        <is>
          <t>ML</t>
        </is>
      </c>
      <c r="D38" s="12" t="inlineStr">
        <is>
          <t>BUFF ML</t>
        </is>
      </c>
      <c r="E38" s="13" t="n">
        <v>340</v>
      </c>
      <c r="F38" s="16" t="n">
        <v>2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0.0946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JVST @ OHIO</t>
        </is>
      </c>
      <c r="C39" s="17" t="inlineStr">
        <is>
          <t>TOTAL</t>
        </is>
      </c>
      <c r="D39" s="17" t="inlineStr">
        <is>
          <t>Over 48.5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0.1159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MEM @ BOIS</t>
        </is>
      </c>
      <c r="C40" s="12" t="inlineStr">
        <is>
          <t>ML</t>
        </is>
      </c>
      <c r="D40" s="12" t="inlineStr">
        <is>
          <t>MEM ML</t>
        </is>
      </c>
      <c r="E40" s="13" t="n">
        <v>300</v>
      </c>
      <c r="F40" s="16" t="n">
        <v>2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0.0944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UNLV @ UNT</t>
        </is>
      </c>
      <c r="C41" s="17" t="inlineStr">
        <is>
          <t>ATS</t>
        </is>
      </c>
      <c r="D41" s="17" t="inlineStr">
        <is>
          <t>UNT +5.5</t>
        </is>
      </c>
      <c r="E41" s="18" t="n">
        <v>-105</v>
      </c>
      <c r="F41" s="21" t="n">
        <v>18.5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0.1238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UNLV @ UNT</t>
        </is>
      </c>
      <c r="C42" s="12" t="inlineStr">
        <is>
          <t>ML</t>
        </is>
      </c>
      <c r="D42" s="12" t="inlineStr">
        <is>
          <t>UNT ML</t>
        </is>
      </c>
      <c r="E42" s="13" t="n">
        <v>185</v>
      </c>
      <c r="F42" s="16" t="n">
        <v>24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0.1187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UCF @ PITT</t>
        </is>
      </c>
      <c r="C43" s="17" t="inlineStr">
        <is>
          <t>ATS</t>
        </is>
      </c>
      <c r="D43" s="17" t="inlineStr">
        <is>
          <t>UCF +8.5</t>
        </is>
      </c>
      <c r="E43" s="18" t="n">
        <v>-110</v>
      </c>
      <c r="F43" s="21" t="n">
        <v>15.5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0.0569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UCF @ PITT</t>
        </is>
      </c>
      <c r="C44" s="12" t="inlineStr">
        <is>
          <t>TOTAL</t>
        </is>
      </c>
      <c r="D44" s="12" t="inlineStr">
        <is>
          <t>Over 51.5</t>
        </is>
      </c>
      <c r="E44" s="13" t="n">
        <v>-108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0.1061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CAL @ SYR</t>
        </is>
      </c>
      <c r="C45" s="17" t="inlineStr">
        <is>
          <t>ATS</t>
        </is>
      </c>
      <c r="D45" s="17" t="inlineStr">
        <is>
          <t>SYR +1.5</t>
        </is>
      </c>
      <c r="E45" s="18" t="n">
        <v>-108</v>
      </c>
      <c r="F45" s="21" t="n">
        <v>23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0.0987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EMU @ MSU</t>
        </is>
      </c>
      <c r="C46" s="12" t="inlineStr">
        <is>
          <t>ML</t>
        </is>
      </c>
      <c r="D46" s="12" t="inlineStr">
        <is>
          <t>EMU ML</t>
        </is>
      </c>
      <c r="E46" s="13" t="n">
        <v>550</v>
      </c>
      <c r="F46" s="16" t="n">
        <v>16.5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0.1106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OU @ MICH</t>
        </is>
      </c>
      <c r="C47" s="17" t="inlineStr">
        <is>
          <t>ML</t>
        </is>
      </c>
      <c r="D47" s="17" t="inlineStr">
        <is>
          <t>MICH ML</t>
        </is>
      </c>
      <c r="E47" s="18" t="n">
        <v>170</v>
      </c>
      <c r="F47" s="21" t="n">
        <v>20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GOOD</t>
        </is>
      </c>
      <c r="L47" s="19" t="n">
        <v>0.1101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OU @ MICH</t>
        </is>
      </c>
      <c r="C48" s="12" t="inlineStr">
        <is>
          <t>TOTAL</t>
        </is>
      </c>
      <c r="D48" s="12" t="inlineStr">
        <is>
          <t>Over 46.5</t>
        </is>
      </c>
      <c r="E48" s="13" t="n">
        <v>-105</v>
      </c>
      <c r="F48" s="16" t="n">
        <v>23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0.0851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ATS</t>
        </is>
      </c>
      <c r="D49" s="17" t="inlineStr">
        <is>
          <t>ASU +14.5</t>
        </is>
      </c>
      <c r="E49" s="18" t="n">
        <v>-110</v>
      </c>
      <c r="F49" s="21" t="n">
        <v>26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0.1221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ASU @ TA&amp;M</t>
        </is>
      </c>
      <c r="C50" s="12" t="inlineStr">
        <is>
          <t>ML</t>
        </is>
      </c>
      <c r="D50" s="12" t="inlineStr">
        <is>
          <t>ASU ML</t>
        </is>
      </c>
      <c r="E50" s="13" t="n">
        <v>410</v>
      </c>
      <c r="F50" s="16" t="n">
        <v>16.5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0.1061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ASU @ TA&amp;M</t>
        </is>
      </c>
      <c r="C51" s="17" t="inlineStr">
        <is>
          <t>TOTAL</t>
        </is>
      </c>
      <c r="D51" s="17" t="inlineStr">
        <is>
          <t>Over 50.5</t>
        </is>
      </c>
      <c r="E51" s="18" t="n">
        <v>-112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0.09660000000000001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WSU @ KSU</t>
        </is>
      </c>
      <c r="C52" s="12" t="inlineStr">
        <is>
          <t>ML</t>
        </is>
      </c>
      <c r="D52" s="12" t="inlineStr">
        <is>
          <t>WSU ML</t>
        </is>
      </c>
      <c r="E52" s="13" t="n">
        <v>575</v>
      </c>
      <c r="F52" s="16" t="n">
        <v>1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0.095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ORE @ OKST</t>
        </is>
      </c>
      <c r="C53" s="17" t="inlineStr">
        <is>
          <t>TOTAL</t>
        </is>
      </c>
      <c r="D53" s="17" t="inlineStr">
        <is>
          <t>Under 60.5</t>
        </is>
      </c>
      <c r="E53" s="18" t="n">
        <v>-112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0.1106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ODU @ VT</t>
        </is>
      </c>
      <c r="C54" s="12" t="inlineStr">
        <is>
          <t>ML</t>
        </is>
      </c>
      <c r="D54" s="12" t="inlineStr">
        <is>
          <t>ODU ML</t>
        </is>
      </c>
      <c r="E54" s="13" t="n">
        <v>455</v>
      </c>
      <c r="F54" s="16" t="n">
        <v>15.5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0.1006</v>
      </c>
      <c r="M54" s="14" t="n"/>
      <c r="N54" s="12" t="n"/>
      <c r="O54" s="12" t="inlineStr">
        <is>
          <t>Draft 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ATS</t>
        </is>
      </c>
      <c r="D55" s="17" t="inlineStr">
        <is>
          <t>PUR +3.5</t>
        </is>
      </c>
      <c r="E55" s="18" t="n">
        <v>-115</v>
      </c>
      <c r="F55" s="21" t="n">
        <v>26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0.0922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WAKE @ PUR</t>
        </is>
      </c>
      <c r="C56" s="12" t="inlineStr">
        <is>
          <t>ML</t>
        </is>
      </c>
      <c r="D56" s="12" t="inlineStr">
        <is>
          <t>PUR ML</t>
        </is>
      </c>
      <c r="E56" s="13" t="n">
        <v>164</v>
      </c>
      <c r="F56" s="16" t="n">
        <v>4.5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WAKE @ PUR</t>
        </is>
      </c>
      <c r="C57" s="17" t="inlineStr">
        <is>
          <t>TOTAL</t>
        </is>
      </c>
      <c r="D57" s="17" t="inlineStr">
        <is>
          <t>Over 49.5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0.1129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PSU @ TEM</t>
        </is>
      </c>
      <c r="C58" s="12" t="inlineStr">
        <is>
          <t>TOTAL</t>
        </is>
      </c>
      <c r="D58" s="12" t="inlineStr">
        <is>
          <t>Over 51.5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0.09859999999999999</v>
      </c>
      <c r="M58" s="14" t="n"/>
      <c r="N58" s="12" t="n"/>
      <c r="O58" s="12" t="inlineStr">
        <is>
          <t>DraftKings</t>
        </is>
      </c>
    </row>
    <row r="59">
      <c r="A59" s="17" t="inlineStr">
        <is>
          <t>2026-09-12</t>
        </is>
      </c>
      <c r="B59" s="17" t="inlineStr">
        <is>
          <t>APP @ ECU</t>
        </is>
      </c>
      <c r="C59" s="17" t="inlineStr">
        <is>
          <t>ATS</t>
        </is>
      </c>
      <c r="D59" s="17" t="inlineStr">
        <is>
          <t>APP +10</t>
        </is>
      </c>
      <c r="E59" s="18" t="n">
        <v>-110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0.0818</v>
      </c>
      <c r="M59" s="19" t="n"/>
      <c r="N59" s="17" t="n"/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MIZ @ KU</t>
        </is>
      </c>
      <c r="C60" s="12" t="inlineStr">
        <is>
          <t>ATS</t>
        </is>
      </c>
      <c r="D60" s="12" t="inlineStr">
        <is>
          <t>KU +6.5</t>
        </is>
      </c>
      <c r="E60" s="13" t="n">
        <v>-105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0.1173</v>
      </c>
      <c r="M60" s="14" t="n">
        <v>0.06610000000000001</v>
      </c>
      <c r="N60" s="12" t="inlineStr">
        <is>
          <t>MIZ 38 - KU 21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MIZ @ KU</t>
        </is>
      </c>
      <c r="C61" s="17" t="inlineStr">
        <is>
          <t>ML</t>
        </is>
      </c>
      <c r="D61" s="17" t="inlineStr">
        <is>
          <t>KU ML</t>
        </is>
      </c>
      <c r="E61" s="18" t="n">
        <v>205</v>
      </c>
      <c r="F61" s="21" t="n">
        <v>22.5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0.1213</v>
      </c>
      <c r="M61" s="19" t="n">
        <v>0.0567</v>
      </c>
      <c r="N61" s="17" t="inlineStr">
        <is>
          <t>MIZ 38 - KU 21</t>
        </is>
      </c>
      <c r="O61" s="17" t="inlineStr">
        <is>
          <t>DraftKings</t>
        </is>
      </c>
    </row>
    <row r="62">
      <c r="A62" s="12" t="inlineStr">
        <is>
          <t>2026-09-07</t>
        </is>
      </c>
      <c r="B62" s="12" t="inlineStr">
        <is>
          <t>SMU @ FSU</t>
        </is>
      </c>
      <c r="C62" s="12" t="inlineStr">
        <is>
          <t>ML</t>
        </is>
      </c>
      <c r="D62" s="12" t="inlineStr">
        <is>
          <t>FSU ML</t>
        </is>
      </c>
      <c r="E62" s="13" t="n">
        <v>130</v>
      </c>
      <c r="F62" s="16" t="n">
        <v>21.5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0.0935</v>
      </c>
      <c r="M62" s="14" t="n">
        <v>0.0116</v>
      </c>
      <c r="N62" s="12" t="inlineStr">
        <is>
          <t>SMU 27 - FSU 24</t>
        </is>
      </c>
      <c r="O62" s="12" t="inlineStr">
        <is>
          <t>Draft Kings</t>
        </is>
      </c>
    </row>
    <row r="63">
      <c r="A63" s="17" t="inlineStr">
        <is>
          <t>2026-09-06</t>
        </is>
      </c>
      <c r="B63" s="17" t="inlineStr">
        <is>
          <t>UNLV @ HAW</t>
        </is>
      </c>
      <c r="C63" s="17" t="inlineStr">
        <is>
          <t>ATS</t>
        </is>
      </c>
      <c r="D63" s="17" t="inlineStr">
        <is>
          <t>HAW +3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0.08989999999999999</v>
      </c>
      <c r="M63" s="19" t="n">
        <v>0</v>
      </c>
      <c r="N63" s="17" t="inlineStr">
        <is>
          <t>UNLV 21 - HAW 6</t>
        </is>
      </c>
      <c r="O63" s="17" t="inlineStr">
        <is>
          <t>Draft Kings</t>
        </is>
      </c>
    </row>
    <row r="64">
      <c r="A64" s="12" t="inlineStr">
        <is>
          <t>2026-09-06</t>
        </is>
      </c>
      <c r="B64" s="12" t="inlineStr">
        <is>
          <t>UNLV @ HAW</t>
        </is>
      </c>
      <c r="C64" s="12" t="inlineStr">
        <is>
          <t>ML</t>
        </is>
      </c>
      <c r="D64" s="12" t="inlineStr">
        <is>
          <t>HAW ML</t>
        </is>
      </c>
      <c r="E64" s="13" t="n">
        <v>136</v>
      </c>
      <c r="F64" s="16" t="n">
        <v>24.5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GOOD</t>
        </is>
      </c>
      <c r="L64" s="14" t="n">
        <v>0.1085</v>
      </c>
      <c r="M64" s="14" t="n">
        <v>0.0111</v>
      </c>
      <c r="N64" s="12" t="inlineStr">
        <is>
          <t>UNLV 21 - HAW 6</t>
        </is>
      </c>
      <c r="O64" s="12" t="inlineStr">
        <is>
          <t>DraftKings</t>
        </is>
      </c>
    </row>
    <row r="65">
      <c r="A65" s="17" t="inlineStr">
        <is>
          <t>2026-09-06</t>
        </is>
      </c>
      <c r="B65" s="17" t="inlineStr">
        <is>
          <t>CMU @ UNM</t>
        </is>
      </c>
      <c r="C65" s="17" t="inlineStr">
        <is>
          <t>ATS</t>
        </is>
      </c>
      <c r="D65" s="17" t="inlineStr">
        <is>
          <t>CMU +10.5</t>
        </is>
      </c>
      <c r="E65" s="18" t="n">
        <v>-112</v>
      </c>
      <c r="F65" s="21" t="n">
        <v>25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0.0988</v>
      </c>
      <c r="M65" s="19" t="n">
        <v>-0.0045</v>
      </c>
      <c r="N65" s="17" t="inlineStr">
        <is>
          <t>CMU 7 - UNM 38</t>
        </is>
      </c>
      <c r="O65" s="17" t="inlineStr">
        <is>
          <t>Draft 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ATS</t>
        </is>
      </c>
      <c r="D66" s="12" t="inlineStr">
        <is>
          <t>CLEM +10.5</t>
        </is>
      </c>
      <c r="E66" s="13" t="n">
        <v>-110</v>
      </c>
      <c r="F66" s="16" t="n">
        <v>25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0.109</v>
      </c>
      <c r="M66" s="14" t="n">
        <v>0.0236</v>
      </c>
      <c r="N66" s="12" t="inlineStr">
        <is>
          <t>CLEM 10 - LSU 51</t>
        </is>
      </c>
      <c r="O66" s="12" t="inlineStr">
        <is>
          <t>Draft Kings</t>
        </is>
      </c>
    </row>
    <row r="67">
      <c r="A67" s="17" t="inlineStr">
        <is>
          <t>2026-09-05</t>
        </is>
      </c>
      <c r="B67" s="17" t="inlineStr">
        <is>
          <t>CLEM @ LSU</t>
        </is>
      </c>
      <c r="C67" s="17" t="inlineStr">
        <is>
          <t>ML</t>
        </is>
      </c>
      <c r="D67" s="17" t="inlineStr">
        <is>
          <t>CLEM ML</t>
        </is>
      </c>
      <c r="E67" s="18" t="n">
        <v>275</v>
      </c>
      <c r="F67" s="21" t="n">
        <v>15.5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0.0896</v>
      </c>
      <c r="M67" s="19" t="n">
        <v>-0.0069</v>
      </c>
      <c r="N67" s="17" t="inlineStr">
        <is>
          <t>CLEM 10 - LSU 51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CLEM @ LSU</t>
        </is>
      </c>
      <c r="C68" s="12" t="inlineStr">
        <is>
          <t>TOTAL</t>
        </is>
      </c>
      <c r="D68" s="12" t="inlineStr">
        <is>
          <t>Over 50.5</t>
        </is>
      </c>
      <c r="E68" s="13" t="n">
        <v>-112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0.0901</v>
      </c>
      <c r="M68" s="14" t="n">
        <v>-0.0345</v>
      </c>
      <c r="N68" s="12" t="inlineStr">
        <is>
          <t>CLEM 10 - LSU 51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WMU @ MICH</t>
        </is>
      </c>
      <c r="C69" s="17" t="inlineStr">
        <is>
          <t>TOTAL</t>
        </is>
      </c>
      <c r="D69" s="17" t="inlineStr">
        <is>
          <t>Over 47.5</t>
        </is>
      </c>
      <c r="E69" s="18" t="n">
        <v>-115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0.1073</v>
      </c>
      <c r="M69" s="19" t="n">
        <v>0.0443</v>
      </c>
      <c r="N69" s="17" t="inlineStr">
        <is>
          <t>WMU 12 - MICH 13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ARST @ MEM</t>
        </is>
      </c>
      <c r="C70" s="12" t="inlineStr">
        <is>
          <t>ATS</t>
        </is>
      </c>
      <c r="D70" s="12" t="inlineStr">
        <is>
          <t>ARST +11.5</t>
        </is>
      </c>
      <c r="E70" s="13" t="n">
        <v>-112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0.1011</v>
      </c>
      <c r="M70" s="14" t="n">
        <v>0.0159</v>
      </c>
      <c r="N70" s="12" t="inlineStr">
        <is>
          <t>ARST 24 - MEM 42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ATS</t>
        </is>
      </c>
      <c r="D71" s="17" t="inlineStr">
        <is>
          <t>FIU +14.5</t>
        </is>
      </c>
      <c r="E71" s="18" t="n">
        <v>-115</v>
      </c>
      <c r="F71" s="21" t="n">
        <v>26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0.1214</v>
      </c>
      <c r="M71" s="19" t="n">
        <v>0</v>
      </c>
      <c r="N71" s="17" t="inlineStr">
        <is>
          <t>FIU 9 - USF 19</t>
        </is>
      </c>
      <c r="O71" s="17" t="inlineStr">
        <is>
          <t>Draft Kings</t>
        </is>
      </c>
    </row>
    <row r="72">
      <c r="A72" s="12" t="inlineStr">
        <is>
          <t>2026-09-05</t>
        </is>
      </c>
      <c r="B72" s="12" t="inlineStr">
        <is>
          <t>FIU @ USF</t>
        </is>
      </c>
      <c r="C72" s="12" t="inlineStr">
        <is>
          <t>ML</t>
        </is>
      </c>
      <c r="D72" s="12" t="inlineStr">
        <is>
          <t>FIU ML</t>
        </is>
      </c>
      <c r="E72" s="13" t="n">
        <v>425</v>
      </c>
      <c r="F72" s="16" t="n">
        <v>18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0.1165</v>
      </c>
      <c r="M72" s="14" t="n">
        <v>-0.015</v>
      </c>
      <c r="N72" s="12" t="inlineStr">
        <is>
          <t>FIU 9 - USF 19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FIU @ USF</t>
        </is>
      </c>
      <c r="C73" s="17" t="inlineStr">
        <is>
          <t>TOTAL</t>
        </is>
      </c>
      <c r="D73" s="17" t="inlineStr">
        <is>
          <t>Over 53.5</t>
        </is>
      </c>
      <c r="E73" s="18" t="n">
        <v>-115</v>
      </c>
      <c r="F73" s="21" t="n">
        <v>25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0.09329999999999999</v>
      </c>
      <c r="M73" s="19" t="n">
        <v>-0.0227</v>
      </c>
      <c r="N73" s="17" t="inlineStr">
        <is>
          <t>FIU 9 - USF 19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SHSU @ TROY</t>
        </is>
      </c>
      <c r="C74" s="12" t="inlineStr">
        <is>
          <t>ML</t>
        </is>
      </c>
      <c r="D74" s="12" t="inlineStr">
        <is>
          <t>SHSU ML</t>
        </is>
      </c>
      <c r="E74" s="13" t="n">
        <v>600</v>
      </c>
      <c r="F74" s="16" t="n">
        <v>19.5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0.1337</v>
      </c>
      <c r="M74" s="14" t="n">
        <v>0.0053</v>
      </c>
      <c r="N74" s="12" t="inlineStr">
        <is>
          <t>SHSU 21 - TROY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WYO @ CSU</t>
        </is>
      </c>
      <c r="C75" s="17" t="inlineStr">
        <is>
          <t>TOTAL</t>
        </is>
      </c>
      <c r="D75" s="17" t="inlineStr">
        <is>
          <t>Over 47.5</t>
        </is>
      </c>
      <c r="E75" s="18" t="n">
        <v>-112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0.1091</v>
      </c>
      <c r="M75" s="19" t="n">
        <v>-0.0345</v>
      </c>
      <c r="N75" s="17" t="inlineStr">
        <is>
          <t>WYO 13 - CSU 35</t>
        </is>
      </c>
      <c r="O75" s="17" t="inlineStr">
        <is>
          <t>Draft Kings</t>
        </is>
      </c>
    </row>
    <row r="76">
      <c r="A76" s="12" t="inlineStr">
        <is>
          <t>2026-09-05</t>
        </is>
      </c>
      <c r="B76" s="12" t="inlineStr">
        <is>
          <t>OKST @ TLSA</t>
        </is>
      </c>
      <c r="C76" s="12" t="inlineStr">
        <is>
          <t>TOTAL</t>
        </is>
      </c>
      <c r="D76" s="12" t="inlineStr">
        <is>
          <t>Under 60.5</t>
        </is>
      </c>
      <c r="E76" s="13" t="n">
        <v>-102</v>
      </c>
      <c r="F76" s="16" t="n">
        <v>25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0.1091</v>
      </c>
      <c r="M76" s="14" t="n">
        <v>0.1089</v>
      </c>
      <c r="N76" s="12" t="inlineStr">
        <is>
          <t>OKST 10 - TLSA 24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ATS</t>
        </is>
      </c>
      <c r="D77" s="17" t="inlineStr">
        <is>
          <t>BAY +7</t>
        </is>
      </c>
      <c r="E77" s="18" t="n">
        <v>-105</v>
      </c>
      <c r="F77" s="21" t="n">
        <v>26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0.099</v>
      </c>
      <c r="M77" s="19" t="n">
        <v>0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BAY @ AUB</t>
        </is>
      </c>
      <c r="C78" s="12" t="inlineStr">
        <is>
          <t>ML</t>
        </is>
      </c>
      <c r="D78" s="12" t="inlineStr">
        <is>
          <t>BAY ML</t>
        </is>
      </c>
      <c r="E78" s="13" t="n">
        <v>240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0.0969</v>
      </c>
      <c r="M78" s="14" t="n">
        <v>0.0184</v>
      </c>
      <c r="N78" s="12" t="inlineStr">
        <is>
          <t>BAY 16 - AUB 17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BAY @ AUB</t>
        </is>
      </c>
      <c r="C79" s="17" t="inlineStr">
        <is>
          <t>TOTAL</t>
        </is>
      </c>
      <c r="D79" s="17" t="inlineStr">
        <is>
          <t>Under 59.5</t>
        </is>
      </c>
      <c r="E79" s="18" t="n">
        <v>-115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0.098</v>
      </c>
      <c r="M79" s="19" t="n">
        <v>0.0373</v>
      </c>
      <c r="N79" s="17" t="inlineStr">
        <is>
          <t>BAY 16 - AUB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BC @ CIN</t>
        </is>
      </c>
      <c r="C80" s="12" t="inlineStr">
        <is>
          <t>TOTAL</t>
        </is>
      </c>
      <c r="D80" s="12" t="inlineStr">
        <is>
          <t>Over 49.5</t>
        </is>
      </c>
      <c r="E80" s="13" t="n">
        <v>-115</v>
      </c>
      <c r="F80" s="16" t="n">
        <v>25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0.1042</v>
      </c>
      <c r="M80" s="14" t="n">
        <v>0.0301</v>
      </c>
      <c r="N80" s="12" t="inlineStr">
        <is>
          <t>BC 15 - CIN 34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TULN @ DUKE</t>
        </is>
      </c>
      <c r="C81" s="17" t="inlineStr">
        <is>
          <t>TOTAL</t>
        </is>
      </c>
      <c r="D81" s="17" t="inlineStr">
        <is>
          <t>Over 51.5</t>
        </is>
      </c>
      <c r="E81" s="18" t="n">
        <v>-108</v>
      </c>
      <c r="F81" s="21" t="n">
        <v>25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0.1029</v>
      </c>
      <c r="M81" s="19" t="n">
        <v>-0.0143</v>
      </c>
      <c r="N81" s="17" t="inlineStr">
        <is>
          <t>TULN 3 - DUKE 17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BOIS @ ORE</t>
        </is>
      </c>
      <c r="C82" s="12" t="inlineStr">
        <is>
          <t>TOTAL</t>
        </is>
      </c>
      <c r="D82" s="12" t="inlineStr">
        <is>
          <t>Over 51.5</t>
        </is>
      </c>
      <c r="E82" s="13" t="n">
        <v>-108</v>
      </c>
      <c r="F82" s="16" t="n">
        <v>23.5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0.0898</v>
      </c>
      <c r="M82" s="14" t="n">
        <v>0.0091</v>
      </c>
      <c r="N82" s="12" t="inlineStr">
        <is>
          <t>BOIS 27 - ORE 34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MRSH @ PSU</t>
        </is>
      </c>
      <c r="C83" s="17" t="inlineStr">
        <is>
          <t>TOTAL</t>
        </is>
      </c>
      <c r="D83" s="17" t="inlineStr">
        <is>
          <t>Over 52.5</t>
        </is>
      </c>
      <c r="E83" s="18" t="n">
        <v>-102</v>
      </c>
      <c r="F83" s="21" t="n">
        <v>24.5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0.0925</v>
      </c>
      <c r="M83" s="19" t="n">
        <v>0</v>
      </c>
      <c r="N83" s="17" t="inlineStr">
        <is>
          <t>MRSH 0 - PSU 45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M-OH @ PITT</t>
        </is>
      </c>
      <c r="C84" s="12" t="inlineStr">
        <is>
          <t>ML</t>
        </is>
      </c>
      <c r="D84" s="12" t="inlineStr">
        <is>
          <t>M-OH ML</t>
        </is>
      </c>
      <c r="E84" s="13" t="n">
        <v>550</v>
      </c>
      <c r="F84" s="16" t="n">
        <v>19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GOOD</t>
        </is>
      </c>
      <c r="L84" s="14" t="n">
        <v>0.1283</v>
      </c>
      <c r="M84" s="14" t="n">
        <v>0</v>
      </c>
      <c r="N84" s="12" t="inlineStr">
        <is>
          <t>M-OH 14 - PITT 59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BALL @ OSU</t>
        </is>
      </c>
      <c r="C85" s="17" t="inlineStr">
        <is>
          <t>TOTAL</t>
        </is>
      </c>
      <c r="D85" s="17" t="inlineStr">
        <is>
          <t>Under 56.5</t>
        </is>
      </c>
      <c r="E85" s="18" t="n">
        <v>-105</v>
      </c>
      <c r="F85" s="21" t="n">
        <v>22.5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0.0886</v>
      </c>
      <c r="M85" s="19" t="n">
        <v>0.0161</v>
      </c>
      <c r="N85" s="17" t="inlineStr">
        <is>
          <t>BALL 3 - OSU 56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ORST @ HOU</t>
        </is>
      </c>
      <c r="C86" s="12" t="inlineStr">
        <is>
          <t>TOTAL</t>
        </is>
      </c>
      <c r="D86" s="12" t="inlineStr">
        <is>
          <t>Over 49.5</t>
        </is>
      </c>
      <c r="E86" s="13" t="n">
        <v>-110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0.0973</v>
      </c>
      <c r="M86" s="14" t="n">
        <v>0.0475</v>
      </c>
      <c r="N86" s="12" t="inlineStr">
        <is>
          <t>ORST 20 - HOU 33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UNT @ IU</t>
        </is>
      </c>
      <c r="C87" s="17" t="inlineStr">
        <is>
          <t>TOTAL</t>
        </is>
      </c>
      <c r="D87" s="17" t="inlineStr">
        <is>
          <t>Over 55.5</t>
        </is>
      </c>
      <c r="E87" s="18" t="n">
        <v>-108</v>
      </c>
      <c r="F87" s="21" t="n">
        <v>23.5</v>
      </c>
      <c r="G87" s="17" t="inlineStr">
        <is>
          <t>Win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0.0898</v>
      </c>
      <c r="M87" s="19" t="n">
        <v>0.03</v>
      </c>
      <c r="N87" s="17" t="inlineStr">
        <is>
          <t>UNT 16 - IU 52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OHIO @ NEB</t>
        </is>
      </c>
      <c r="C88" s="12" t="inlineStr">
        <is>
          <t>TOTAL</t>
        </is>
      </c>
      <c r="D88" s="12" t="inlineStr">
        <is>
          <t>Over 47.5</t>
        </is>
      </c>
      <c r="E88" s="13" t="n">
        <v>-108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0.1092</v>
      </c>
      <c r="M88" s="14" t="n">
        <v>-0.0254</v>
      </c>
      <c r="N88" s="12" t="inlineStr">
        <is>
          <t>OHIO 21 - NEB 49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LIB @ JMU</t>
        </is>
      </c>
      <c r="C89" s="17" t="inlineStr">
        <is>
          <t>TOTAL</t>
        </is>
      </c>
      <c r="D89" s="17" t="inlineStr">
        <is>
          <t>Over 50.5</t>
        </is>
      </c>
      <c r="E89" s="18" t="n">
        <v>-112</v>
      </c>
      <c r="F89" s="21" t="n">
        <v>25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0.0982</v>
      </c>
      <c r="M89" s="19" t="n">
        <v>0</v>
      </c>
      <c r="N89" s="17" t="inlineStr">
        <is>
          <t>LIB 13 - JMU 20</t>
        </is>
      </c>
      <c r="O89" s="17" t="inlineStr">
        <is>
          <t>DraftKings</t>
        </is>
      </c>
    </row>
    <row r="90">
      <c r="A90" s="12" t="inlineStr">
        <is>
          <t>2026-09-05</t>
        </is>
      </c>
      <c r="B90" s="12" t="inlineStr">
        <is>
          <t>MIA @ STAN</t>
        </is>
      </c>
      <c r="C90" s="12" t="inlineStr">
        <is>
          <t>TOTAL</t>
        </is>
      </c>
      <c r="D90" s="12" t="inlineStr">
        <is>
          <t>Over 48.5</t>
        </is>
      </c>
      <c r="E90" s="13" t="n">
        <v>100</v>
      </c>
      <c r="F90" s="16" t="n">
        <v>25</v>
      </c>
      <c r="G90" s="12" t="inlineStr">
        <is>
          <t>Win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0.1103</v>
      </c>
      <c r="M90" s="14" t="n">
        <v>-0.0362</v>
      </c>
      <c r="N90" s="12" t="inlineStr">
        <is>
          <t>MIA 45 - STAN 6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TOL @ MSU</t>
        </is>
      </c>
      <c r="C91" s="17" t="inlineStr">
        <is>
          <t>ATS</t>
        </is>
      </c>
      <c r="D91" s="17" t="inlineStr">
        <is>
          <t>TOL +10</t>
        </is>
      </c>
      <c r="E91" s="18" t="n">
        <v>-105</v>
      </c>
      <c r="F91" s="21" t="n">
        <v>25</v>
      </c>
      <c r="G91" s="17" t="inlineStr">
        <is>
          <t>Push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0.111</v>
      </c>
      <c r="M91" s="19" t="n">
        <v>0.0241</v>
      </c>
      <c r="N91" s="17" t="inlineStr">
        <is>
          <t>TOL 20 - MSU 30</t>
        </is>
      </c>
      <c r="O91" s="17" t="inlineStr">
        <is>
          <t>Draft Kings</t>
        </is>
      </c>
    </row>
    <row r="92">
      <c r="A92" s="12" t="inlineStr">
        <is>
          <t>2026-09-04</t>
        </is>
      </c>
      <c r="B92" s="12" t="inlineStr">
        <is>
          <t>COLO @ GT</t>
        </is>
      </c>
      <c r="C92" s="12" t="inlineStr">
        <is>
          <t>TOTAL</t>
        </is>
      </c>
      <c r="D92" s="12" t="inlineStr">
        <is>
          <t>Over 50.5</t>
        </is>
      </c>
      <c r="E92" s="13" t="n">
        <v>-115</v>
      </c>
      <c r="F92" s="16" t="n">
        <v>21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0.0784</v>
      </c>
      <c r="M92" s="14" t="n">
        <v>0.0189</v>
      </c>
      <c r="N92" s="12" t="inlineStr">
        <is>
          <t>COLO 14 - GT 13</t>
        </is>
      </c>
      <c r="O92" s="12" t="inlineStr">
        <is>
          <t>DraftKings</t>
        </is>
      </c>
    </row>
    <row r="93">
      <c r="A93" s="17" t="inlineStr">
        <is>
          <t>2026-09-03</t>
        </is>
      </c>
      <c r="B93" s="17" t="inlineStr">
        <is>
          <t>AKR @ WAKE</t>
        </is>
      </c>
      <c r="C93" s="17" t="inlineStr">
        <is>
          <t>TOTAL</t>
        </is>
      </c>
      <c r="D93" s="17" t="inlineStr">
        <is>
          <t>Over 48.5</t>
        </is>
      </c>
      <c r="E93" s="18" t="n">
        <v>-112</v>
      </c>
      <c r="F93" s="21" t="n">
        <v>24.5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0.0917</v>
      </c>
      <c r="M93" s="19" t="n">
        <v>0.0509</v>
      </c>
      <c r="N93" s="17" t="inlineStr">
        <is>
          <t>AKR 16 - WAKE 38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HAW @ STAN</t>
        </is>
      </c>
      <c r="C94" s="12" t="inlineStr">
        <is>
          <t>TOTAL</t>
        </is>
      </c>
      <c r="D94" s="12" t="inlineStr">
        <is>
          <t>Over 49.5</t>
        </is>
      </c>
      <c r="E94" s="13" t="n">
        <v>-105</v>
      </c>
      <c r="F94" s="16" t="n">
        <v>21.5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0.0834</v>
      </c>
      <c r="M94" s="14" t="n">
        <v>-0.0139</v>
      </c>
      <c r="N94" s="12" t="inlineStr">
        <is>
          <t>HAW 27 - STAN 37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SAC @ EMU</t>
        </is>
      </c>
      <c r="C95" s="17" t="inlineStr">
        <is>
          <t>ATS</t>
        </is>
      </c>
      <c r="D95" s="17" t="inlineStr">
        <is>
          <t>SAC +8.5</t>
        </is>
      </c>
      <c r="E95" s="18" t="n">
        <v>-108</v>
      </c>
      <c r="F95" s="21" t="n">
        <v>25</v>
      </c>
      <c r="G95" s="17" t="inlineStr">
        <is>
          <t>Loss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0.1065</v>
      </c>
      <c r="M95" s="19" t="n">
        <v>0.0046</v>
      </c>
      <c r="N95" s="17" t="inlineStr">
        <is>
          <t>SAC 17 - EMU 28</t>
        </is>
      </c>
      <c r="O95" s="17" t="inlineStr">
        <is>
          <t>DraftKings</t>
        </is>
      </c>
    </row>
    <row r="96">
      <c r="A96" s="12" t="inlineStr">
        <is>
          <t>2026-08-29</t>
        </is>
      </c>
      <c r="B96" s="12" t="inlineStr">
        <is>
          <t>SAC @ EMU</t>
        </is>
      </c>
      <c r="C96" s="12" t="inlineStr">
        <is>
          <t>ML</t>
        </is>
      </c>
      <c r="D96" s="12" t="inlineStr">
        <is>
          <t>SAC ML</t>
        </is>
      </c>
      <c r="E96" s="13" t="n">
        <v>280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0.1055</v>
      </c>
      <c r="M96" s="14" t="n">
        <v>0</v>
      </c>
      <c r="N96" s="12" t="inlineStr">
        <is>
          <t>SAC 17 - EMU 28</t>
        </is>
      </c>
      <c r="O96" s="12" t="inlineStr">
        <is>
          <t>Draft Kings</t>
        </is>
      </c>
    </row>
    <row r="97">
      <c r="A97" s="17" t="inlineStr">
        <is>
          <t>2026-08-29</t>
        </is>
      </c>
      <c r="B97" s="17" t="inlineStr">
        <is>
          <t>UNC @ TCU</t>
        </is>
      </c>
      <c r="C97" s="17" t="inlineStr">
        <is>
          <t>ATS</t>
        </is>
      </c>
      <c r="D97" s="17" t="inlineStr">
        <is>
          <t>UNC +7.5</t>
        </is>
      </c>
      <c r="E97" s="18" t="n">
        <v>-108</v>
      </c>
      <c r="F97" s="21" t="n">
        <v>21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0.0801</v>
      </c>
      <c r="M97" s="19" t="n">
        <v>-0.009299999999999999</v>
      </c>
      <c r="N97" s="17" t="inlineStr">
        <is>
          <t>UNC 15 - TCU 10</t>
        </is>
      </c>
      <c r="O9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2.58</v>
      </c>
      <c r="D5" s="23" t="n">
        <v>2.56</v>
      </c>
      <c r="E5" s="23" t="n">
        <v>3.61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MIZ</t>
        </is>
      </c>
      <c r="C6" s="26" t="n">
        <v>2.09</v>
      </c>
      <c r="D6" s="26" t="n">
        <v>1.03</v>
      </c>
      <c r="E6" s="26" t="n">
        <v>1.92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UCLA</t>
        </is>
      </c>
      <c r="C7" s="23" t="n">
        <v>1.77</v>
      </c>
      <c r="D7" s="23" t="n">
        <v>0.13</v>
      </c>
      <c r="E7" s="23" t="n">
        <v>0.43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MASS</t>
        </is>
      </c>
      <c r="C8" s="26" t="n">
        <v>1.44</v>
      </c>
      <c r="D8" s="26" t="n">
        <v>-0.67</v>
      </c>
      <c r="E8" s="26" t="n">
        <v>0.18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0.93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IDST</t>
        </is>
      </c>
      <c r="C10" s="26" t="n">
        <v>1.42</v>
      </c>
      <c r="D10" s="26" t="n">
        <v>0.13</v>
      </c>
      <c r="E10" s="26" t="n">
        <v>0.93</v>
      </c>
      <c r="F10" s="25" t="n">
        <v>1</v>
      </c>
      <c r="G10" s="17" t="inlineStr">
        <is>
          <t>1-0</t>
        </is>
      </c>
    </row>
    <row r="11">
      <c r="A11" s="22" t="n">
        <v>7</v>
      </c>
      <c r="B11" s="12" t="inlineStr">
        <is>
          <t>TAR</t>
        </is>
      </c>
      <c r="C11" s="23" t="n">
        <v>1.2</v>
      </c>
      <c r="D11" s="23" t="n">
        <v>-0.28</v>
      </c>
      <c r="E11" s="23" t="n">
        <v>1.12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SJSU</t>
        </is>
      </c>
      <c r="C12" s="26" t="n">
        <v>1.16</v>
      </c>
      <c r="D12" s="26" t="n">
        <v>-0.48</v>
      </c>
      <c r="E12" s="26" t="n">
        <v>0.27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MEM</t>
        </is>
      </c>
      <c r="C13" s="23" t="n">
        <v>1.11</v>
      </c>
      <c r="D13" s="23" t="n">
        <v>0.34</v>
      </c>
      <c r="E13" s="23" t="n">
        <v>1.16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SMU</t>
        </is>
      </c>
      <c r="C14" s="26" t="n">
        <v>1.11</v>
      </c>
      <c r="D14" s="26" t="n">
        <v>0.1</v>
      </c>
      <c r="E14" s="26" t="n">
        <v>1.26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CIT</t>
        </is>
      </c>
      <c r="C15" s="23" t="n">
        <v>0.92</v>
      </c>
      <c r="D15" s="23" t="n">
        <v>0.49</v>
      </c>
      <c r="E15" s="23" t="n">
        <v>-0.38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WMU</t>
        </is>
      </c>
      <c r="C16" s="26" t="n">
        <v>0.9</v>
      </c>
      <c r="D16" s="26" t="n">
        <v>-1.04</v>
      </c>
      <c r="E16" s="26" t="n">
        <v>1.97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COLO</t>
        </is>
      </c>
      <c r="C17" s="23" t="n">
        <v>0.85</v>
      </c>
      <c r="D17" s="23" t="n">
        <v>-1.17</v>
      </c>
      <c r="E17" s="23" t="n">
        <v>1.02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NDSU</t>
        </is>
      </c>
      <c r="C18" s="26" t="n">
        <v>0.83</v>
      </c>
      <c r="D18" s="26" t="n">
        <v>0.47</v>
      </c>
      <c r="E18" s="26" t="n">
        <v>2.96</v>
      </c>
      <c r="F18" s="25" t="n">
        <v>2</v>
      </c>
      <c r="G18" s="17" t="inlineStr">
        <is>
          <t>1-0</t>
        </is>
      </c>
    </row>
    <row r="19">
      <c r="A19" s="22" t="n">
        <v>15</v>
      </c>
      <c r="B19" s="12" t="inlineStr">
        <is>
          <t>UVA</t>
        </is>
      </c>
      <c r="C19" s="23" t="n">
        <v>0.76</v>
      </c>
      <c r="D19" s="23" t="n">
        <v>0.79</v>
      </c>
      <c r="E19" s="23" t="n">
        <v>2.66</v>
      </c>
      <c r="F19" s="22" t="n">
        <v>2</v>
      </c>
      <c r="G19" s="12" t="inlineStr">
        <is>
          <t>1-0</t>
        </is>
      </c>
    </row>
    <row r="20">
      <c r="A20" s="25" t="n">
        <v>16</v>
      </c>
      <c r="B20" s="17" t="inlineStr">
        <is>
          <t>SAC</t>
        </is>
      </c>
      <c r="C20" s="26" t="n">
        <v>0.73</v>
      </c>
      <c r="D20" s="26" t="n">
        <v>0.43</v>
      </c>
      <c r="E20" s="26" t="n">
        <v>1.72</v>
      </c>
      <c r="F20" s="25" t="n">
        <v>2</v>
      </c>
      <c r="G20" s="17" t="inlineStr">
        <is>
          <t>0-1</t>
        </is>
      </c>
    </row>
    <row r="21">
      <c r="A21" s="22" t="n">
        <v>17</v>
      </c>
      <c r="B21" s="12" t="inlineStr">
        <is>
          <t>ALB</t>
        </is>
      </c>
      <c r="C21" s="23" t="n">
        <v>0.67</v>
      </c>
      <c r="D21" s="23" t="n">
        <v>-0.5</v>
      </c>
      <c r="E21" s="23" t="n">
        <v>0.71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SHSU</t>
        </is>
      </c>
      <c r="C22" s="26" t="n">
        <v>0.63</v>
      </c>
      <c r="D22" s="26" t="n">
        <v>-0.93</v>
      </c>
      <c r="E22" s="26" t="n">
        <v>0.2</v>
      </c>
      <c r="F22" s="25" t="n">
        <v>1</v>
      </c>
      <c r="G22" s="17" t="inlineStr">
        <is>
          <t>1-0</t>
        </is>
      </c>
    </row>
    <row r="23">
      <c r="A23" s="22" t="n">
        <v>19</v>
      </c>
      <c r="B23" s="12" t="inlineStr">
        <is>
          <t>BOIS</t>
        </is>
      </c>
      <c r="C23" s="23" t="n">
        <v>0.6</v>
      </c>
      <c r="D23" s="23" t="n">
        <v>-0.04</v>
      </c>
      <c r="E23" s="23" t="n">
        <v>0.63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IU</t>
        </is>
      </c>
      <c r="C24" s="26" t="n">
        <v>0.6</v>
      </c>
      <c r="D24" s="26" t="n">
        <v>1.49</v>
      </c>
      <c r="E24" s="26" t="n">
        <v>2.11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LIB</t>
        </is>
      </c>
      <c r="C25" s="23" t="n">
        <v>0.55</v>
      </c>
      <c r="D25" s="23" t="n">
        <v>-0.8</v>
      </c>
      <c r="E25" s="23" t="n">
        <v>0.95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OSU</t>
        </is>
      </c>
      <c r="C26" s="26" t="n">
        <v>0.55</v>
      </c>
      <c r="D26" s="26" t="n">
        <v>0.88</v>
      </c>
      <c r="E26" s="26" t="n">
        <v>2.45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0.54</v>
      </c>
      <c r="D27" s="23" t="n">
        <v>2.01</v>
      </c>
      <c r="E27" s="23" t="n">
        <v>1.25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TOL</t>
        </is>
      </c>
      <c r="C28" s="26" t="n">
        <v>0.51</v>
      </c>
      <c r="D28" s="26" t="n">
        <v>-0.33</v>
      </c>
      <c r="E28" s="26" t="n">
        <v>1.44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CCU</t>
        </is>
      </c>
      <c r="C29" s="23" t="n">
        <v>0.5</v>
      </c>
      <c r="D29" s="23" t="n">
        <v>-0.61</v>
      </c>
      <c r="E29" s="23" t="n">
        <v>0.08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UGA</t>
        </is>
      </c>
      <c r="C30" s="26" t="n">
        <v>0.5</v>
      </c>
      <c r="D30" s="26" t="n">
        <v>1.19</v>
      </c>
      <c r="E30" s="26" t="n">
        <v>2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UNLV</t>
        </is>
      </c>
      <c r="C31" s="23" t="n">
        <v>0.5</v>
      </c>
      <c r="D31" s="23" t="n">
        <v>-0.64</v>
      </c>
      <c r="E31" s="23" t="n">
        <v>1.62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BYU</t>
        </is>
      </c>
      <c r="C32" s="26" t="n">
        <v>0.48</v>
      </c>
      <c r="D32" s="26" t="n">
        <v>1.14</v>
      </c>
      <c r="E32" s="26" t="n">
        <v>1.67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IOWA</t>
        </is>
      </c>
      <c r="C33" s="23" t="n">
        <v>0.48</v>
      </c>
      <c r="D33" s="23" t="n">
        <v>0.1</v>
      </c>
      <c r="E33" s="23" t="n">
        <v>2.1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TA&amp;M</t>
        </is>
      </c>
      <c r="C34" s="26" t="n">
        <v>0.48</v>
      </c>
      <c r="D34" s="26" t="n">
        <v>0.68</v>
      </c>
      <c r="E34" s="26" t="n">
        <v>1.89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ARIZ</t>
        </is>
      </c>
      <c r="C35" s="23" t="n">
        <v>0.47</v>
      </c>
      <c r="D35" s="23" t="n">
        <v>-0.04</v>
      </c>
      <c r="E35" s="23" t="n">
        <v>1.67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PSU</t>
        </is>
      </c>
      <c r="C36" s="26" t="n">
        <v>0.47</v>
      </c>
      <c r="D36" s="26" t="n">
        <v>0.36</v>
      </c>
      <c r="E36" s="26" t="n">
        <v>1.9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SDSU</t>
        </is>
      </c>
      <c r="C37" s="23" t="n">
        <v>0.47</v>
      </c>
      <c r="D37" s="23" t="n">
        <v>0.4</v>
      </c>
      <c r="E37" s="23" t="n">
        <v>1.16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TEX</t>
        </is>
      </c>
      <c r="C38" s="26" t="n">
        <v>0.46</v>
      </c>
      <c r="D38" s="26" t="n">
        <v>0.99</v>
      </c>
      <c r="E38" s="26" t="n">
        <v>1.42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ALA</t>
        </is>
      </c>
      <c r="C39" s="23" t="n">
        <v>0.45</v>
      </c>
      <c r="D39" s="23" t="n">
        <v>0.34</v>
      </c>
      <c r="E39" s="23" t="n">
        <v>1.64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UTSA</t>
        </is>
      </c>
      <c r="C40" s="26" t="n">
        <v>0.45</v>
      </c>
      <c r="D40" s="26" t="n">
        <v>0.73</v>
      </c>
      <c r="E40" s="26" t="n">
        <v>0.63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OU</t>
        </is>
      </c>
      <c r="C41" s="23" t="n">
        <v>0.44</v>
      </c>
      <c r="D41" s="23" t="n">
        <v>0.24</v>
      </c>
      <c r="E41" s="23" t="n">
        <v>2.06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TENN</t>
        </is>
      </c>
      <c r="C42" s="26" t="n">
        <v>0.44</v>
      </c>
      <c r="D42" s="26" t="n">
        <v>1.29</v>
      </c>
      <c r="E42" s="26" t="n">
        <v>0.93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UNM</t>
        </is>
      </c>
      <c r="C43" s="23" t="n">
        <v>0.44</v>
      </c>
      <c r="D43" s="23" t="n">
        <v>-0.16</v>
      </c>
      <c r="E43" s="23" t="n">
        <v>1.53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ARMY</t>
        </is>
      </c>
      <c r="C44" s="26" t="n">
        <v>0.43</v>
      </c>
      <c r="D44" s="26" t="n">
        <v>0.59</v>
      </c>
      <c r="E44" s="26" t="n">
        <v>1.79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ISU</t>
        </is>
      </c>
      <c r="C45" s="23" t="n">
        <v>0.43</v>
      </c>
      <c r="D45" s="23" t="n">
        <v>-0.13</v>
      </c>
      <c r="E45" s="23" t="n">
        <v>1.36</v>
      </c>
      <c r="F45" s="22" t="n">
        <v>1</v>
      </c>
      <c r="G45" s="12" t="inlineStr">
        <is>
          <t>0-1</t>
        </is>
      </c>
    </row>
    <row r="46">
      <c r="A46" s="25" t="n">
        <v>42</v>
      </c>
      <c r="B46" s="17" t="inlineStr">
        <is>
          <t>LT</t>
        </is>
      </c>
      <c r="C46" s="26" t="n">
        <v>0.43</v>
      </c>
      <c r="D46" s="26" t="n">
        <v>1.68</v>
      </c>
      <c r="E46" s="26" t="n">
        <v>1.5</v>
      </c>
      <c r="F46" s="25" t="n">
        <v>1</v>
      </c>
      <c r="G46" s="17" t="inlineStr">
        <is>
          <t>1-0</t>
        </is>
      </c>
    </row>
    <row r="47">
      <c r="A47" s="22" t="n">
        <v>43</v>
      </c>
      <c r="B47" s="12" t="inlineStr">
        <is>
          <t>PITT</t>
        </is>
      </c>
      <c r="C47" s="23" t="n">
        <v>0.43</v>
      </c>
      <c r="D47" s="23" t="n">
        <v>1.11</v>
      </c>
      <c r="E47" s="23" t="n">
        <v>0.91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1.12</v>
      </c>
      <c r="E48" s="26" t="n">
        <v>1.08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FIU</t>
        </is>
      </c>
      <c r="C49" s="23" t="n">
        <v>0.42</v>
      </c>
      <c r="D49" s="23" t="n">
        <v>-0.8100000000000001</v>
      </c>
      <c r="E49" s="23" t="n">
        <v>0.88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</v>
      </c>
      <c r="E50" s="26" t="n">
        <v>1.56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KSU</t>
        </is>
      </c>
      <c r="C51" s="23" t="n">
        <v>0.42</v>
      </c>
      <c r="D51" s="23" t="n">
        <v>1.49</v>
      </c>
      <c r="E51" s="23" t="n">
        <v>1.3</v>
      </c>
      <c r="F51" s="22" t="n">
        <v>1</v>
      </c>
      <c r="G51" s="12" t="inlineStr">
        <is>
          <t>1-0</t>
        </is>
      </c>
    </row>
    <row r="52">
      <c r="A52" s="25" t="n">
        <v>48</v>
      </c>
      <c r="B52" s="17" t="inlineStr">
        <is>
          <t>ASU</t>
        </is>
      </c>
      <c r="C52" s="26" t="n">
        <v>0.41</v>
      </c>
      <c r="D52" s="26" t="n">
        <v>1.2</v>
      </c>
      <c r="E52" s="26" t="n">
        <v>1.25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LSU</t>
        </is>
      </c>
      <c r="C53" s="23" t="n">
        <v>0.41</v>
      </c>
      <c r="D53" s="23" t="n">
        <v>0.17</v>
      </c>
      <c r="E53" s="23" t="n">
        <v>1.4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NAVY</t>
        </is>
      </c>
      <c r="C54" s="26" t="n">
        <v>0.4</v>
      </c>
      <c r="D54" s="26" t="n">
        <v>0.21</v>
      </c>
      <c r="E54" s="26" t="n">
        <v>0.95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AFA</t>
        </is>
      </c>
      <c r="C55" s="23" t="n">
        <v>0.39</v>
      </c>
      <c r="D55" s="23" t="n">
        <v>-0.23</v>
      </c>
      <c r="E55" s="23" t="n">
        <v>1.33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0.39</v>
      </c>
      <c r="D56" s="26" t="n">
        <v>-0.39</v>
      </c>
      <c r="E56" s="26" t="n">
        <v>1.25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NMSU</t>
        </is>
      </c>
      <c r="C57" s="23" t="n">
        <v>0.39</v>
      </c>
      <c r="D57" s="23" t="n">
        <v>-0.26</v>
      </c>
      <c r="E57" s="23" t="n">
        <v>0.77</v>
      </c>
      <c r="F57" s="22" t="n">
        <v>2</v>
      </c>
      <c r="G57" s="12" t="inlineStr">
        <is>
          <t>1-0</t>
        </is>
      </c>
    </row>
    <row r="58">
      <c r="A58" s="25" t="n">
        <v>54</v>
      </c>
      <c r="B58" s="17" t="inlineStr">
        <is>
          <t>SC</t>
        </is>
      </c>
      <c r="C58" s="26" t="n">
        <v>0.39</v>
      </c>
      <c r="D58" s="26" t="n">
        <v>0.41</v>
      </c>
      <c r="E58" s="26" t="n">
        <v>1.61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USM</t>
        </is>
      </c>
      <c r="C59" s="23" t="n">
        <v>0.39</v>
      </c>
      <c r="D59" s="23" t="n">
        <v>0.27</v>
      </c>
      <c r="E59" s="23" t="n">
        <v>1.19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DEL</t>
        </is>
      </c>
      <c r="C60" s="26" t="n">
        <v>0.38</v>
      </c>
      <c r="D60" s="26" t="n">
        <v>0.1</v>
      </c>
      <c r="E60" s="26" t="n">
        <v>0.83</v>
      </c>
      <c r="F60" s="25" t="n">
        <v>1</v>
      </c>
      <c r="G60" s="17" t="inlineStr">
        <is>
          <t>1-0</t>
        </is>
      </c>
    </row>
    <row r="61">
      <c r="A61" s="22" t="n">
        <v>57</v>
      </c>
      <c r="B61" s="12" t="inlineStr">
        <is>
          <t>MINN</t>
        </is>
      </c>
      <c r="C61" s="23" t="n">
        <v>0.38</v>
      </c>
      <c r="D61" s="23" t="n">
        <v>0.35</v>
      </c>
      <c r="E61" s="23" t="n">
        <v>1.29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UK</t>
        </is>
      </c>
      <c r="C62" s="26" t="n">
        <v>0.38</v>
      </c>
      <c r="D62" s="26" t="n">
        <v>-0.12</v>
      </c>
      <c r="E62" s="26" t="n">
        <v>0.89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UL</t>
        </is>
      </c>
      <c r="C63" s="23" t="n">
        <v>0.38</v>
      </c>
      <c r="D63" s="23" t="n">
        <v>-0.21</v>
      </c>
      <c r="E63" s="23" t="n">
        <v>1.05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0.75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0.34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MD</t>
        </is>
      </c>
      <c r="C66" s="26" t="n">
        <v>0.36</v>
      </c>
      <c r="D66" s="26" t="n">
        <v>0.64</v>
      </c>
      <c r="E66" s="26" t="n">
        <v>1.31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MSST</t>
        </is>
      </c>
      <c r="C67" s="23" t="n">
        <v>0.36</v>
      </c>
      <c r="D67" s="23" t="n">
        <v>1</v>
      </c>
      <c r="E67" s="23" t="n">
        <v>0.43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UCF</t>
        </is>
      </c>
      <c r="C68" s="26" t="n">
        <v>0.36</v>
      </c>
      <c r="D68" s="26" t="n">
        <v>1.15</v>
      </c>
      <c r="E68" s="26" t="n">
        <v>1.23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USC</t>
        </is>
      </c>
      <c r="C69" s="23" t="n">
        <v>0.36</v>
      </c>
      <c r="D69" s="23" t="n">
        <v>0.58</v>
      </c>
      <c r="E69" s="23" t="n">
        <v>1.6</v>
      </c>
      <c r="F69" s="22" t="n">
        <v>2</v>
      </c>
      <c r="G69" s="12" t="inlineStr">
        <is>
          <t>—</t>
        </is>
      </c>
    </row>
    <row r="70">
      <c r="A70" s="25" t="n">
        <v>66</v>
      </c>
      <c r="B70" s="17" t="inlineStr">
        <is>
          <t>APP</t>
        </is>
      </c>
      <c r="C70" s="26" t="n">
        <v>0.35</v>
      </c>
      <c r="D70" s="26" t="n">
        <v>0.27</v>
      </c>
      <c r="E70" s="26" t="n">
        <v>1.03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0.34</v>
      </c>
      <c r="D71" s="23" t="n">
        <v>-0.12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TTU</t>
        </is>
      </c>
      <c r="C72" s="26" t="n">
        <v>0.33</v>
      </c>
      <c r="D72" s="26" t="n">
        <v>0.18</v>
      </c>
      <c r="E72" s="26" t="n">
        <v>2.04</v>
      </c>
      <c r="F72" s="25" t="n">
        <v>1</v>
      </c>
      <c r="G72" s="17" t="inlineStr">
        <is>
          <t>0-1</t>
        </is>
      </c>
    </row>
    <row r="73">
      <c r="A73" s="22" t="n">
        <v>69</v>
      </c>
      <c r="B73" s="12" t="inlineStr">
        <is>
          <t>VT</t>
        </is>
      </c>
      <c r="C73" s="23" t="n">
        <v>0.33</v>
      </c>
      <c r="D73" s="23" t="n">
        <v>1.07</v>
      </c>
      <c r="E73" s="23" t="n">
        <v>1.11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LOU</t>
        </is>
      </c>
      <c r="C74" s="26" t="n">
        <v>0.32</v>
      </c>
      <c r="D74" s="26" t="n">
        <v>1.3</v>
      </c>
      <c r="E74" s="26" t="n">
        <v>0.9399999999999999</v>
      </c>
      <c r="F74" s="25" t="n">
        <v>2</v>
      </c>
      <c r="G74" s="17" t="inlineStr">
        <is>
          <t>1-0</t>
        </is>
      </c>
    </row>
    <row r="75">
      <c r="A75" s="22" t="n">
        <v>71</v>
      </c>
      <c r="B75" s="12" t="inlineStr">
        <is>
          <t>GAST</t>
        </is>
      </c>
      <c r="C75" s="23" t="n">
        <v>0.3</v>
      </c>
      <c r="D75" s="23" t="n">
        <v>0.38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</v>
      </c>
      <c r="D76" s="26" t="n">
        <v>-1.11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</v>
      </c>
      <c r="D77" s="23" t="n">
        <v>0.64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</v>
      </c>
      <c r="D78" s="26" t="n">
        <v>-1.15</v>
      </c>
      <c r="E78" s="26" t="n">
        <v>1.41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0.28</v>
      </c>
      <c r="D79" s="23" t="n">
        <v>-1.29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0.26</v>
      </c>
      <c r="D80" s="26" t="n">
        <v>0.64</v>
      </c>
      <c r="E80" s="26" t="n">
        <v>0.23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-0.13</v>
      </c>
      <c r="E81" s="23" t="n">
        <v>0.58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ORST</t>
        </is>
      </c>
      <c r="C82" s="26" t="n">
        <v>0.2</v>
      </c>
      <c r="D82" s="26" t="n">
        <v>-1.05</v>
      </c>
      <c r="E82" s="26" t="n">
        <v>0.25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-0.46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-0.16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0.17</v>
      </c>
      <c r="D85" s="23" t="n">
        <v>-1.17</v>
      </c>
      <c r="E85" s="23" t="n">
        <v>1.51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WAKE</t>
        </is>
      </c>
      <c r="C86" s="26" t="n">
        <v>0.17</v>
      </c>
      <c r="D86" s="26" t="n">
        <v>0.02</v>
      </c>
      <c r="E86" s="26" t="n">
        <v>1.02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MTSU</t>
        </is>
      </c>
      <c r="C87" s="23" t="n">
        <v>0.16</v>
      </c>
      <c r="D87" s="23" t="n">
        <v>-0.35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NCSU</t>
        </is>
      </c>
      <c r="C88" s="26" t="n">
        <v>0.16</v>
      </c>
      <c r="D88" s="26" t="n">
        <v>0.86</v>
      </c>
      <c r="E88" s="26" t="n">
        <v>1.56</v>
      </c>
      <c r="F88" s="25" t="n">
        <v>2</v>
      </c>
      <c r="G88" s="17" t="inlineStr">
        <is>
          <t>—</t>
        </is>
      </c>
    </row>
    <row r="89">
      <c r="A89" s="22" t="n">
        <v>85</v>
      </c>
      <c r="B89" s="12" t="inlineStr">
        <is>
          <t>ODU</t>
        </is>
      </c>
      <c r="C89" s="23" t="n">
        <v>0.15</v>
      </c>
      <c r="D89" s="23" t="n">
        <v>-0.21</v>
      </c>
      <c r="E89" s="23" t="n">
        <v>1.61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-0.42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0.13</v>
      </c>
      <c r="D91" s="23" t="n">
        <v>-0.57</v>
      </c>
      <c r="E91" s="23" t="n">
        <v>0.12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OKST</t>
        </is>
      </c>
      <c r="C92" s="26" t="n">
        <v>0.12</v>
      </c>
      <c r="D92" s="26" t="n">
        <v>-1.76</v>
      </c>
      <c r="E92" s="26" t="n">
        <v>0.46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ARST</t>
        </is>
      </c>
      <c r="C93" s="23" t="n">
        <v>0.1</v>
      </c>
      <c r="D93" s="23" t="n">
        <v>-0.43</v>
      </c>
      <c r="E93" s="23" t="n">
        <v>-0.03</v>
      </c>
      <c r="F93" s="22" t="n">
        <v>1</v>
      </c>
      <c r="G93" s="12" t="inlineStr">
        <is>
          <t>0-1</t>
        </is>
      </c>
    </row>
    <row r="94">
      <c r="A94" s="25" t="n">
        <v>90</v>
      </c>
      <c r="B94" s="17" t="inlineStr">
        <is>
          <t>UNA</t>
        </is>
      </c>
      <c r="C94" s="26" t="n">
        <v>0.08</v>
      </c>
      <c r="D94" s="26" t="n">
        <v>-0.68</v>
      </c>
      <c r="E94" s="26" t="n">
        <v>0.19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0.08</v>
      </c>
      <c r="D95" s="23" t="n">
        <v>0.02</v>
      </c>
      <c r="E95" s="23" t="n">
        <v>1.18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AUB</t>
        </is>
      </c>
      <c r="C96" s="26" t="n">
        <v>0.06</v>
      </c>
      <c r="D96" s="26" t="n">
        <v>-1.14</v>
      </c>
      <c r="E96" s="26" t="n">
        <v>0.99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CSU</t>
        </is>
      </c>
      <c r="C97" s="23" t="n">
        <v>0.03</v>
      </c>
      <c r="D97" s="23" t="n">
        <v>-0.79</v>
      </c>
      <c r="E97" s="23" t="n">
        <v>0.47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0.02</v>
      </c>
      <c r="D98" s="26" t="n">
        <v>-0.02</v>
      </c>
      <c r="E98" s="26" t="n">
        <v>0.5600000000000001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APSU</t>
        </is>
      </c>
      <c r="C99" s="23" t="n">
        <v>0.01</v>
      </c>
      <c r="D99" s="23" t="n">
        <v>-0.86</v>
      </c>
      <c r="E99" s="23" t="n">
        <v>0.53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CIN</t>
        </is>
      </c>
      <c r="C100" s="26" t="n">
        <v>-0.06</v>
      </c>
      <c r="D100" s="26" t="n">
        <v>-0.38</v>
      </c>
      <c r="E100" s="26" t="n">
        <v>0.63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0.73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UAB</t>
        </is>
      </c>
      <c r="C102" s="26" t="n">
        <v>-0.08</v>
      </c>
      <c r="D102" s="26" t="n">
        <v>-0.45</v>
      </c>
      <c r="E102" s="26" t="n">
        <v>-0.64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ARK</t>
        </is>
      </c>
      <c r="C103" s="23" t="n">
        <v>-0.13</v>
      </c>
      <c r="D103" s="23" t="n">
        <v>-0.22</v>
      </c>
      <c r="E103" s="23" t="n">
        <v>0.36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NU</t>
        </is>
      </c>
      <c r="C104" s="26" t="n">
        <v>-0.13</v>
      </c>
      <c r="D104" s="26" t="n">
        <v>-0.63</v>
      </c>
      <c r="E104" s="26" t="n">
        <v>1.04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-0.15</v>
      </c>
      <c r="D105" s="23" t="n">
        <v>-0.88</v>
      </c>
      <c r="E105" s="23" t="n">
        <v>0.12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WASH</t>
        </is>
      </c>
      <c r="C106" s="26" t="n">
        <v>-0.15</v>
      </c>
      <c r="D106" s="26" t="n">
        <v>-0.43</v>
      </c>
      <c r="E106" s="26" t="n">
        <v>1.49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WYO</t>
        </is>
      </c>
      <c r="C107" s="23" t="n">
        <v>-0.18</v>
      </c>
      <c r="D107" s="23" t="n">
        <v>-1.51</v>
      </c>
      <c r="E107" s="23" t="n">
        <v>0.63</v>
      </c>
      <c r="F107" s="22" t="n">
        <v>1</v>
      </c>
      <c r="G107" s="12" t="inlineStr">
        <is>
          <t>0-1</t>
        </is>
      </c>
    </row>
    <row r="108">
      <c r="A108" s="25" t="n">
        <v>104</v>
      </c>
      <c r="B108" s="17" t="inlineStr">
        <is>
          <t>ACU</t>
        </is>
      </c>
      <c r="C108" s="26" t="n">
        <v>-0.19</v>
      </c>
      <c r="D108" s="26" t="n">
        <v>-0.8100000000000001</v>
      </c>
      <c r="E108" s="26" t="n">
        <v>0.15</v>
      </c>
      <c r="F108" s="25" t="n">
        <v>1</v>
      </c>
      <c r="G108" s="17" t="inlineStr">
        <is>
          <t>1-0</t>
        </is>
      </c>
    </row>
    <row r="109">
      <c r="A109" s="22" t="n">
        <v>105</v>
      </c>
      <c r="B109" s="12" t="inlineStr">
        <is>
          <t>DUKE</t>
        </is>
      </c>
      <c r="C109" s="23" t="n">
        <v>-0.19</v>
      </c>
      <c r="D109" s="23" t="n">
        <v>-0.52</v>
      </c>
      <c r="E109" s="23" t="n">
        <v>1.15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TCU</t>
        </is>
      </c>
      <c r="C110" s="26" t="n">
        <v>-0.19</v>
      </c>
      <c r="D110" s="26" t="n">
        <v>-1.2</v>
      </c>
      <c r="E110" s="26" t="n">
        <v>0.82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URI</t>
        </is>
      </c>
      <c r="C111" s="23" t="n">
        <v>-0.24</v>
      </c>
      <c r="D111" s="23" t="n">
        <v>-0.65</v>
      </c>
      <c r="E111" s="23" t="n">
        <v>-0.14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HOU</t>
        </is>
      </c>
      <c r="C112" s="26" t="n">
        <v>-0.25</v>
      </c>
      <c r="D112" s="26" t="n">
        <v>-0.26</v>
      </c>
      <c r="E112" s="26" t="n">
        <v>0.68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MUR</t>
        </is>
      </c>
      <c r="C113" s="23" t="n">
        <v>-0.25</v>
      </c>
      <c r="D113" s="23" t="n">
        <v>-0.68</v>
      </c>
      <c r="E113" s="23" t="n">
        <v>-0.14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UNT</t>
        </is>
      </c>
      <c r="C114" s="26" t="n">
        <v>-0.28</v>
      </c>
      <c r="D114" s="26" t="n">
        <v>0.66</v>
      </c>
      <c r="E114" s="26" t="n">
        <v>-0.39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TLSA</t>
        </is>
      </c>
      <c r="C115" s="23" t="n">
        <v>-0.29</v>
      </c>
      <c r="D115" s="23" t="n">
        <v>-1</v>
      </c>
      <c r="E115" s="23" t="n">
        <v>0.79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INST</t>
        </is>
      </c>
      <c r="C116" s="26" t="n">
        <v>-0.3</v>
      </c>
      <c r="D116" s="26" t="n">
        <v>-0.6</v>
      </c>
      <c r="E116" s="26" t="n">
        <v>-0.59</v>
      </c>
      <c r="F116" s="25" t="n">
        <v>1</v>
      </c>
      <c r="G116" s="17" t="inlineStr">
        <is>
          <t>1-0</t>
        </is>
      </c>
    </row>
    <row r="117">
      <c r="A117" s="22" t="n">
        <v>113</v>
      </c>
      <c r="B117" s="12" t="inlineStr">
        <is>
          <t>SELA</t>
        </is>
      </c>
      <c r="C117" s="23" t="n">
        <v>-0.3</v>
      </c>
      <c r="D117" s="23" t="n">
        <v>-0.75</v>
      </c>
      <c r="E117" s="23" t="n">
        <v>-0.17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USF</t>
        </is>
      </c>
      <c r="C118" s="26" t="n">
        <v>-0.32</v>
      </c>
      <c r="D118" s="26" t="n">
        <v>-0.2</v>
      </c>
      <c r="E118" s="26" t="n">
        <v>1.29</v>
      </c>
      <c r="F118" s="25" t="n">
        <v>1</v>
      </c>
      <c r="G118" s="17" t="inlineStr">
        <is>
          <t>0-1</t>
        </is>
      </c>
    </row>
    <row r="119">
      <c r="A119" s="22" t="n">
        <v>115</v>
      </c>
      <c r="B119" s="12" t="inlineStr">
        <is>
          <t>ECU</t>
        </is>
      </c>
      <c r="C119" s="23" t="n">
        <v>-0.33</v>
      </c>
      <c r="D119" s="23" t="n">
        <v>-0.62</v>
      </c>
      <c r="E119" s="23" t="n">
        <v>0.14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FAMU</t>
        </is>
      </c>
      <c r="C120" s="26" t="n">
        <v>-0.33</v>
      </c>
      <c r="D120" s="26" t="n">
        <v>-0.88</v>
      </c>
      <c r="E120" s="26" t="n">
        <v>-2.06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UAPB</t>
        </is>
      </c>
      <c r="C121" s="23" t="n">
        <v>-0.33</v>
      </c>
      <c r="D121" s="23" t="n">
        <v>-0.59</v>
      </c>
      <c r="E121" s="23" t="n">
        <v>-0.93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-0.52</v>
      </c>
      <c r="E122" s="26" t="n">
        <v>-0.85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-1.01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0.01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</v>
      </c>
      <c r="E125" s="23" t="n">
        <v>0.71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TOW</t>
        </is>
      </c>
      <c r="C126" s="26" t="n">
        <v>-0.37</v>
      </c>
      <c r="D126" s="26" t="n">
        <v>-0.5600000000000001</v>
      </c>
      <c r="E126" s="26" t="n">
        <v>-0.3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WKU</t>
        </is>
      </c>
      <c r="C127" s="23" t="n">
        <v>-0.38</v>
      </c>
      <c r="D127" s="23" t="n">
        <v>-0.62</v>
      </c>
      <c r="E127" s="23" t="n">
        <v>-0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IDHO</t>
        </is>
      </c>
      <c r="C128" s="26" t="n">
        <v>-0.39</v>
      </c>
      <c r="D128" s="26" t="n">
        <v>-0.63</v>
      </c>
      <c r="E128" s="26" t="n">
        <v>-1.17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-1.24</v>
      </c>
      <c r="E129" s="23" t="n">
        <v>-0.17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-0.4</v>
      </c>
      <c r="D130" s="26" t="n">
        <v>-1.04</v>
      </c>
      <c r="E130" s="26" t="n">
        <v>-0.3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-0.4</v>
      </c>
      <c r="D131" s="23" t="n">
        <v>-1.19</v>
      </c>
      <c r="E131" s="23" t="n">
        <v>-0.32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BRY</t>
        </is>
      </c>
      <c r="C132" s="26" t="n">
        <v>-0.41</v>
      </c>
      <c r="D132" s="26" t="n">
        <v>-1.17</v>
      </c>
      <c r="E132" s="26" t="n">
        <v>-1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-1.36</v>
      </c>
      <c r="E133" s="23" t="n">
        <v>0.47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</v>
      </c>
      <c r="E134" s="26" t="n">
        <v>-0.42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-1.01</v>
      </c>
      <c r="E135" s="23" t="n">
        <v>-0.18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MVSU</t>
        </is>
      </c>
      <c r="C136" s="26" t="n">
        <v>-0.41</v>
      </c>
      <c r="D136" s="26" t="n">
        <v>-1.26</v>
      </c>
      <c r="E136" s="26" t="n">
        <v>-0.77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NAU</t>
        </is>
      </c>
      <c r="C137" s="23" t="n">
        <v>-0.41</v>
      </c>
      <c r="D137" s="23" t="n">
        <v>-0.92</v>
      </c>
      <c r="E137" s="23" t="n">
        <v>0.07000000000000001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UNH</t>
        </is>
      </c>
      <c r="C138" s="26" t="n">
        <v>-0.41</v>
      </c>
      <c r="D138" s="26" t="n">
        <v>-1.13</v>
      </c>
      <c r="E138" s="26" t="n">
        <v>-1.45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YSU</t>
        </is>
      </c>
      <c r="C139" s="23" t="n">
        <v>-0.41</v>
      </c>
      <c r="D139" s="23" t="n">
        <v>-0.6</v>
      </c>
      <c r="E139" s="23" t="n">
        <v>-0.46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ALCN</t>
        </is>
      </c>
      <c r="C140" s="26" t="n">
        <v>-0.42</v>
      </c>
      <c r="D140" s="26" t="n">
        <v>-1.22</v>
      </c>
      <c r="E140" s="26" t="n">
        <v>-0.72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CHSO</t>
        </is>
      </c>
      <c r="C141" s="23" t="n">
        <v>-0.42</v>
      </c>
      <c r="D141" s="23" t="n">
        <v>-1.44</v>
      </c>
      <c r="E141" s="23" t="n">
        <v>0.3</v>
      </c>
      <c r="F141" s="22" t="n">
        <v>1</v>
      </c>
      <c r="G141" s="12" t="inlineStr">
        <is>
          <t>0-1</t>
        </is>
      </c>
    </row>
    <row r="142">
      <c r="A142" s="25" t="n">
        <v>138</v>
      </c>
      <c r="B142" s="17" t="inlineStr">
        <is>
          <t>LAM</t>
        </is>
      </c>
      <c r="C142" s="26" t="n">
        <v>-0.42</v>
      </c>
      <c r="D142" s="26" t="n">
        <v>-1.03</v>
      </c>
      <c r="E142" s="26" t="n">
        <v>-0.14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MERC</t>
        </is>
      </c>
      <c r="C143" s="23" t="n">
        <v>-0.42</v>
      </c>
      <c r="D143" s="23" t="n">
        <v>-0.58</v>
      </c>
      <c r="E143" s="23" t="n">
        <v>-0.8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NCAT</t>
        </is>
      </c>
      <c r="C144" s="26" t="n">
        <v>-0.42</v>
      </c>
      <c r="D144" s="26" t="n">
        <v>-0.87</v>
      </c>
      <c r="E144" s="26" t="n">
        <v>-1.22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RGV</t>
        </is>
      </c>
      <c r="C145" s="23" t="n">
        <v>-0.42</v>
      </c>
      <c r="D145" s="23" t="n">
        <v>-0.5</v>
      </c>
      <c r="E145" s="23" t="n">
        <v>-0.4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SEMO</t>
        </is>
      </c>
      <c r="C146" s="26" t="n">
        <v>-0.42</v>
      </c>
      <c r="D146" s="26" t="n">
        <v>-0.8</v>
      </c>
      <c r="E146" s="26" t="n">
        <v>-0.13</v>
      </c>
      <c r="F146" s="25" t="n">
        <v>1</v>
      </c>
      <c r="G146" s="17" t="inlineStr">
        <is>
          <t>1-0</t>
        </is>
      </c>
    </row>
    <row r="147">
      <c r="A147" s="22" t="n">
        <v>143</v>
      </c>
      <c r="B147" s="12" t="inlineStr">
        <is>
          <t>TNST</t>
        </is>
      </c>
      <c r="C147" s="23" t="n">
        <v>-0.42</v>
      </c>
      <c r="D147" s="23" t="n">
        <v>-1.19</v>
      </c>
      <c r="E147" s="23" t="n">
        <v>-1.39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VMI</t>
        </is>
      </c>
      <c r="C148" s="26" t="n">
        <v>-0.42</v>
      </c>
      <c r="D148" s="26" t="n">
        <v>-1.19</v>
      </c>
      <c r="E148" s="26" t="n">
        <v>-1.83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WES</t>
        </is>
      </c>
      <c r="C149" s="23" t="n">
        <v>-0.42</v>
      </c>
      <c r="D149" s="23" t="n">
        <v>-1.24</v>
      </c>
      <c r="E149" s="23" t="n">
        <v>-0.51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BCU</t>
        </is>
      </c>
      <c r="C150" s="26" t="n">
        <v>-0.43</v>
      </c>
      <c r="D150" s="26" t="n">
        <v>-1.09</v>
      </c>
      <c r="E150" s="26" t="n">
        <v>-1.79</v>
      </c>
      <c r="F150" s="25" t="n">
        <v>1</v>
      </c>
      <c r="G150" s="17" t="inlineStr">
        <is>
          <t>0-1</t>
        </is>
      </c>
    </row>
    <row r="151">
      <c r="A151" s="22" t="n">
        <v>147</v>
      </c>
      <c r="B151" s="12" t="inlineStr">
        <is>
          <t>DUQ</t>
        </is>
      </c>
      <c r="C151" s="23" t="n">
        <v>-0.43</v>
      </c>
      <c r="D151" s="23" t="n">
        <v>-1.4</v>
      </c>
      <c r="E151" s="23" t="n">
        <v>-0.04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EIU</t>
        </is>
      </c>
      <c r="C152" s="26" t="n">
        <v>-0.43</v>
      </c>
      <c r="D152" s="26" t="n">
        <v>-1.07</v>
      </c>
      <c r="E152" s="26" t="n">
        <v>-1.23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FUR</t>
        </is>
      </c>
      <c r="C153" s="23" t="n">
        <v>-0.43</v>
      </c>
      <c r="D153" s="23" t="n">
        <v>-0.9399999999999999</v>
      </c>
      <c r="E153" s="23" t="n">
        <v>-0.98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HAMP</t>
        </is>
      </c>
      <c r="C154" s="26" t="n">
        <v>-0.43</v>
      </c>
      <c r="D154" s="26" t="n">
        <v>-1.28</v>
      </c>
      <c r="E154" s="26" t="n">
        <v>-1.26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HCU</t>
        </is>
      </c>
      <c r="C155" s="23" t="n">
        <v>-0.43</v>
      </c>
      <c r="D155" s="23" t="n">
        <v>-1.21</v>
      </c>
      <c r="E155" s="23" t="n">
        <v>0.12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LAF</t>
        </is>
      </c>
      <c r="C156" s="26" t="n">
        <v>-0.43</v>
      </c>
      <c r="D156" s="26" t="n">
        <v>-1.06</v>
      </c>
      <c r="E156" s="26" t="n">
        <v>-0.9399999999999999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ME</t>
        </is>
      </c>
      <c r="C157" s="23" t="n">
        <v>-0.43</v>
      </c>
      <c r="D157" s="23" t="n">
        <v>-1.22</v>
      </c>
      <c r="E157" s="23" t="n">
        <v>-0.92</v>
      </c>
      <c r="F157" s="22" t="n">
        <v>1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-0.43</v>
      </c>
      <c r="D158" s="26" t="n">
        <v>-1.04</v>
      </c>
      <c r="E158" s="26" t="n">
        <v>-1.73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NICH</t>
        </is>
      </c>
      <c r="C159" s="23" t="n">
        <v>-0.43</v>
      </c>
      <c r="D159" s="23" t="n">
        <v>-1.23</v>
      </c>
      <c r="E159" s="23" t="n">
        <v>-1.66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NWST</t>
        </is>
      </c>
      <c r="C160" s="26" t="n">
        <v>-0.43</v>
      </c>
      <c r="D160" s="26" t="n">
        <v>-1.15</v>
      </c>
      <c r="E160" s="26" t="n">
        <v>-2.34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ORE</t>
        </is>
      </c>
      <c r="C161" s="23" t="n">
        <v>-0.43</v>
      </c>
      <c r="D161" s="23" t="n">
        <v>0.32</v>
      </c>
      <c r="E161" s="23" t="n">
        <v>0.92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UTU</t>
        </is>
      </c>
      <c r="C162" s="26" t="n">
        <v>-0.43</v>
      </c>
      <c r="D162" s="26" t="n">
        <v>-0.9</v>
      </c>
      <c r="E162" s="26" t="n">
        <v>-1.29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JMU</t>
        </is>
      </c>
      <c r="C163" s="23" t="n">
        <v>-0.44</v>
      </c>
      <c r="D163" s="23" t="n">
        <v>-0.2</v>
      </c>
      <c r="E163" s="23" t="n">
        <v>1.44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VILL</t>
        </is>
      </c>
      <c r="C164" s="26" t="n">
        <v>-0.44</v>
      </c>
      <c r="D164" s="26" t="n">
        <v>-0.73</v>
      </c>
      <c r="E164" s="26" t="n">
        <v>-1.17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-1.02</v>
      </c>
      <c r="E165" s="23" t="n">
        <v>-0.71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-1.63</v>
      </c>
      <c r="E166" s="26" t="n">
        <v>-1.02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PRST</t>
        </is>
      </c>
      <c r="C167" s="23" t="n">
        <v>-0.45</v>
      </c>
      <c r="D167" s="23" t="n">
        <v>-0.51</v>
      </c>
      <c r="E167" s="23" t="n">
        <v>-1.02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RICH</t>
        </is>
      </c>
      <c r="C168" s="26" t="n">
        <v>-0.45</v>
      </c>
      <c r="D168" s="26" t="n">
        <v>-1.38</v>
      </c>
      <c r="E168" s="26" t="n">
        <v>-1.89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FAU</t>
        </is>
      </c>
      <c r="C169" s="23" t="n">
        <v>-0.46</v>
      </c>
      <c r="D169" s="23" t="n">
        <v>-0.35</v>
      </c>
      <c r="E169" s="23" t="n">
        <v>-1.72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MSU</t>
        </is>
      </c>
      <c r="C170" s="26" t="n">
        <v>-0.46</v>
      </c>
      <c r="D170" s="26" t="n">
        <v>-0.65</v>
      </c>
      <c r="E170" s="26" t="n">
        <v>0.36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NIU</t>
        </is>
      </c>
      <c r="C171" s="23" t="n">
        <v>-0.46</v>
      </c>
      <c r="D171" s="23" t="n">
        <v>-1.91</v>
      </c>
      <c r="E171" s="23" t="n">
        <v>0.17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-0.46</v>
      </c>
      <c r="D172" s="26" t="n">
        <v>-1.55</v>
      </c>
      <c r="E172" s="26" t="n">
        <v>-0.72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-1.83</v>
      </c>
      <c r="E173" s="23" t="n">
        <v>-0.8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NORF</t>
        </is>
      </c>
      <c r="C174" s="26" t="n">
        <v>-0.48</v>
      </c>
      <c r="D174" s="26" t="n">
        <v>-1.81</v>
      </c>
      <c r="E174" s="26" t="n">
        <v>-0.93</v>
      </c>
      <c r="F174" s="25" t="n">
        <v>2</v>
      </c>
      <c r="G174" s="17" t="inlineStr">
        <is>
          <t>1-1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-1.41</v>
      </c>
      <c r="E175" s="23" t="n">
        <v>-1.16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LIU</t>
        </is>
      </c>
      <c r="C176" s="26" t="n">
        <v>-0.5</v>
      </c>
      <c r="D176" s="26" t="n">
        <v>-1.08</v>
      </c>
      <c r="E176" s="26" t="n">
        <v>-0.76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WVU</t>
        </is>
      </c>
      <c r="C177" s="23" t="n">
        <v>-0.61</v>
      </c>
      <c r="D177" s="23" t="n">
        <v>-0.78</v>
      </c>
      <c r="E177" s="23" t="n">
        <v>0.08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BC</t>
        </is>
      </c>
      <c r="C178" s="26" t="n">
        <v>-0.68</v>
      </c>
      <c r="D178" s="26" t="n">
        <v>-1.3</v>
      </c>
      <c r="E178" s="26" t="n">
        <v>0.18</v>
      </c>
      <c r="F178" s="25" t="n">
        <v>2</v>
      </c>
      <c r="G178" s="17" t="inlineStr">
        <is>
          <t>—</t>
        </is>
      </c>
    </row>
    <row r="179">
      <c r="A179" s="22" t="n">
        <v>175</v>
      </c>
      <c r="B179" s="12" t="inlineStr">
        <is>
          <t>BUFF</t>
        </is>
      </c>
      <c r="C179" s="23" t="n">
        <v>-0.71</v>
      </c>
      <c r="D179" s="23" t="n">
        <v>-1.16</v>
      </c>
      <c r="E179" s="23" t="n">
        <v>0.73</v>
      </c>
      <c r="F179" s="22" t="n">
        <v>1</v>
      </c>
      <c r="G179" s="12" t="inlineStr">
        <is>
          <t>—</t>
        </is>
      </c>
    </row>
    <row r="180">
      <c r="A180" s="25" t="n">
        <v>176</v>
      </c>
      <c r="B180" s="17" t="inlineStr">
        <is>
          <t>TROY</t>
        </is>
      </c>
      <c r="C180" s="26" t="n">
        <v>-0.75</v>
      </c>
      <c r="D180" s="26" t="n">
        <v>-1.08</v>
      </c>
      <c r="E180" s="26" t="n">
        <v>0.8100000000000001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MICH</t>
        </is>
      </c>
      <c r="C181" s="23" t="n">
        <v>-0.8</v>
      </c>
      <c r="D181" s="23" t="n">
        <v>-1.18</v>
      </c>
      <c r="E181" s="23" t="n">
        <v>1.31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GT</t>
        </is>
      </c>
      <c r="C182" s="26" t="n">
        <v>-0.89</v>
      </c>
      <c r="D182" s="26" t="n">
        <v>-1.04</v>
      </c>
      <c r="E182" s="26" t="n">
        <v>0.9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RUTG</t>
        </is>
      </c>
      <c r="C183" s="23" t="n">
        <v>-1</v>
      </c>
      <c r="D183" s="23" t="n">
        <v>-1.13</v>
      </c>
      <c r="E183" s="23" t="n">
        <v>-0.26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FSU</t>
        </is>
      </c>
      <c r="C184" s="26" t="n">
        <v>-1.04</v>
      </c>
      <c r="D184" s="26" t="n">
        <v>-0.6</v>
      </c>
      <c r="E184" s="26" t="n">
        <v>0.88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CLT</t>
        </is>
      </c>
      <c r="C185" s="23" t="n">
        <v>-1.12</v>
      </c>
      <c r="D185" s="23" t="n">
        <v>-0.8100000000000001</v>
      </c>
      <c r="E185" s="23" t="n">
        <v>-1.07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BGSU</t>
        </is>
      </c>
      <c r="C186" s="26" t="n">
        <v>-1.23</v>
      </c>
      <c r="D186" s="26" t="n">
        <v>-1.64</v>
      </c>
      <c r="E186" s="26" t="n">
        <v>0.68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HAW</t>
        </is>
      </c>
      <c r="C187" s="23" t="n">
        <v>-1.24</v>
      </c>
      <c r="D187" s="23" t="n">
        <v>-1.48</v>
      </c>
      <c r="E187" s="23" t="n">
        <v>0.44</v>
      </c>
      <c r="F187" s="22" t="n">
        <v>2</v>
      </c>
      <c r="G187" s="12" t="inlineStr">
        <is>
          <t>0-1</t>
        </is>
      </c>
    </row>
    <row r="188">
      <c r="A188" s="25" t="n">
        <v>184</v>
      </c>
      <c r="B188" s="17" t="inlineStr">
        <is>
          <t>KU</t>
        </is>
      </c>
      <c r="C188" s="26" t="n">
        <v>-1.27</v>
      </c>
      <c r="D188" s="26" t="n">
        <v>-0.25</v>
      </c>
      <c r="E188" s="26" t="n">
        <v>0.55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WIS</t>
        </is>
      </c>
      <c r="C189" s="23" t="n">
        <v>-1.33</v>
      </c>
      <c r="D189" s="23" t="n">
        <v>-1.65</v>
      </c>
      <c r="E189" s="23" t="n">
        <v>0.38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USU</t>
        </is>
      </c>
      <c r="C190" s="26" t="n">
        <v>-1.42</v>
      </c>
      <c r="D190" s="26" t="n">
        <v>-0.93</v>
      </c>
      <c r="E190" s="26" t="n">
        <v>0.03</v>
      </c>
      <c r="F190" s="25" t="n">
        <v>1</v>
      </c>
      <c r="G190" s="17" t="inlineStr">
        <is>
          <t>0-1</t>
        </is>
      </c>
    </row>
    <row r="191">
      <c r="A191" s="22" t="n">
        <v>187</v>
      </c>
      <c r="B191" s="12" t="inlineStr">
        <is>
          <t>EMU</t>
        </is>
      </c>
      <c r="C191" s="23" t="n">
        <v>-1.45</v>
      </c>
      <c r="D191" s="23" t="n">
        <v>-1.37</v>
      </c>
      <c r="E191" s="23" t="n">
        <v>0.48</v>
      </c>
      <c r="F191" s="22" t="n">
        <v>2</v>
      </c>
      <c r="G191" s="12" t="inlineStr">
        <is>
          <t>1-1</t>
        </is>
      </c>
    </row>
    <row r="192">
      <c r="A192" s="25" t="n">
        <v>188</v>
      </c>
      <c r="B192" s="17" t="inlineStr">
        <is>
          <t>CAL</t>
        </is>
      </c>
      <c r="C192" s="26" t="n">
        <v>-1.87</v>
      </c>
      <c r="D192" s="26" t="n">
        <v>-0.85</v>
      </c>
      <c r="E192" s="26" t="n">
        <v>-0.66</v>
      </c>
      <c r="F192" s="25" t="n">
        <v>1</v>
      </c>
      <c r="G192" s="17" t="inlineStr">
        <is>
          <t>—</t>
        </is>
      </c>
    </row>
    <row r="193">
      <c r="A193" s="22" t="n">
        <v>189</v>
      </c>
      <c r="B193" s="12" t="inlineStr">
        <is>
          <t>STAN</t>
        </is>
      </c>
      <c r="C193" s="23" t="n">
        <v>-2.56</v>
      </c>
      <c r="D193" s="23" t="n">
        <v>-1.81</v>
      </c>
      <c r="E193" s="23" t="n">
        <v>-0.7</v>
      </c>
      <c r="F193" s="22" t="n">
        <v>2</v>
      </c>
      <c r="G19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7</v>
      </c>
      <c r="G110" s="17" t="inlineStr">
        <is>
          <t>13:34 - 2nd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7</v>
      </c>
      <c r="F111" s="22" t="n">
        <v>14</v>
      </c>
      <c r="G111" s="12" t="inlineStr">
        <is>
          <t>9:15 - 2nd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10</v>
      </c>
      <c r="G112" s="17" t="inlineStr">
        <is>
          <t>2:00 - 2nd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0</v>
      </c>
      <c r="F113" s="22" t="n">
        <v>14</v>
      </c>
      <c r="G113" s="12" t="inlineStr">
        <is>
          <t>5:50 - 2nd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3</v>
      </c>
      <c r="F114" s="25" t="n">
        <v>17</v>
      </c>
      <c r="G114" s="17" t="inlineStr">
        <is>
          <t>9:34 - 2nd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17</v>
      </c>
      <c r="F115" s="22" t="n">
        <v>7</v>
      </c>
      <c r="G115" s="12" t="inlineStr">
        <is>
          <t>3:55 - 2nd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27</v>
      </c>
      <c r="G116" s="17" t="inlineStr">
        <is>
          <t>5:17 - 2nd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3</v>
      </c>
      <c r="F117" s="22" t="n">
        <v>3</v>
      </c>
      <c r="G117" s="12" t="inlineStr">
        <is>
          <t>2:07 - 2nd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7</v>
      </c>
      <c r="F118" s="25" t="n">
        <v>7</v>
      </c>
      <c r="G118" s="17" t="inlineStr">
        <is>
          <t>0:37 - 2nd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10</v>
      </c>
      <c r="F119" s="22" t="n">
        <v>7</v>
      </c>
      <c r="G119" s="12" t="inlineStr">
        <is>
          <t>10:14 - 2nd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10</v>
      </c>
      <c r="F120" s="25" t="n">
        <v>7</v>
      </c>
      <c r="G120" s="17" t="inlineStr">
        <is>
          <t>7:54 - 2nd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28</v>
      </c>
      <c r="G121" s="12" t="inlineStr">
        <is>
          <t>13:09 - 2nd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13</v>
      </c>
      <c r="F122" s="25" t="n">
        <v>14</v>
      </c>
      <c r="G122" s="17" t="inlineStr">
        <is>
          <t>9:11 - 2nd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0</v>
      </c>
      <c r="F123" s="22" t="n">
        <v>14</v>
      </c>
      <c r="G123" s="12" t="inlineStr">
        <is>
          <t>10:20 - 1st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0</v>
      </c>
      <c r="F124" s="25" t="n">
        <v>0</v>
      </c>
      <c r="G124" s="17" t="inlineStr">
        <is>
          <t>13:10 - 1st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0</v>
      </c>
      <c r="F125" s="22" t="n">
        <v>0</v>
      </c>
      <c r="G125" s="12" t="inlineStr">
        <is>
          <t>12:04 - 1st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0</v>
      </c>
      <c r="F126" s="25" t="n">
        <v>0</v>
      </c>
      <c r="G126" s="17" t="inlineStr">
        <is>
          <t>13:23 - 1st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0</v>
      </c>
      <c r="F127" s="22" t="n">
        <v>0</v>
      </c>
      <c r="G127" s="12" t="inlineStr">
        <is>
          <t>9/12 - 1:30 PM EDT</t>
        </is>
      </c>
      <c r="H127" s="12" t="inlineStr"/>
      <c r="I127" s="23" t="n">
        <v>24.5</v>
      </c>
      <c r="J127" s="29" t="n">
        <v>55.5</v>
      </c>
      <c r="K127" s="13" t="n">
        <v>-2400</v>
      </c>
      <c r="L127" s="13" t="n">
        <v>1200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>
        <v>-13.5</v>
      </c>
      <c r="J128" s="30" t="n">
        <v>52.5</v>
      </c>
      <c r="K128" s="18" t="n">
        <v>425</v>
      </c>
      <c r="L128" s="18" t="n">
        <v>-575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8.5</v>
      </c>
      <c r="J129" s="29" t="n">
        <v>46.5</v>
      </c>
      <c r="K129" s="13" t="n">
        <v>-360</v>
      </c>
      <c r="L129" s="13" t="n">
        <v>285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1.5</v>
      </c>
      <c r="J130" s="30" t="n">
        <v>54.5</v>
      </c>
      <c r="K130" s="18" t="n">
        <v>-115</v>
      </c>
      <c r="L130" s="18" t="n">
        <v>-105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-38.5</v>
      </c>
      <c r="J131" s="29" t="n">
        <v>57.5</v>
      </c>
      <c r="K131" s="13" t="n">
        <v>2000</v>
      </c>
      <c r="L131" s="13" t="n">
        <v>-6500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-7</v>
      </c>
      <c r="J132" s="30" t="n">
        <v>55.5</v>
      </c>
      <c r="K132" s="18" t="n">
        <v>240</v>
      </c>
      <c r="L132" s="18" t="n">
        <v>-298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</v>
      </c>
      <c r="J133" s="29" t="n">
        <v>48.5</v>
      </c>
      <c r="K133" s="13" t="n">
        <v>220</v>
      </c>
      <c r="L133" s="13" t="n">
        <v>-270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-3.5</v>
      </c>
      <c r="J134" s="30" t="n">
        <v>56.5</v>
      </c>
      <c r="K134" s="18" t="n">
        <v>160</v>
      </c>
      <c r="L134" s="18" t="n">
        <v>-192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-6</v>
      </c>
      <c r="J135" s="29" t="n">
        <v>51.5</v>
      </c>
      <c r="K135" s="13" t="n">
        <v>190</v>
      </c>
      <c r="L135" s="13" t="n">
        <v>-230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-17.5</v>
      </c>
      <c r="J136" s="30" t="n">
        <v>49.5</v>
      </c>
      <c r="K136" s="18" t="n">
        <v>600</v>
      </c>
      <c r="L136" s="18" t="n">
        <v>-900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11.5</v>
      </c>
      <c r="J137" s="29" t="n">
        <v>52.5</v>
      </c>
      <c r="K137" s="13" t="n">
        <v>-470</v>
      </c>
      <c r="L137" s="13" t="n">
        <v>360</v>
      </c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-28.5</v>
      </c>
      <c r="J138" s="30" t="n">
        <v>55.5</v>
      </c>
      <c r="K138" s="18" t="n">
        <v>2000</v>
      </c>
      <c r="L138" s="18" t="n">
        <v>-6500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-44.5</v>
      </c>
      <c r="J139" s="29" t="n">
        <v>54.5</v>
      </c>
      <c r="K139" s="13" t="n"/>
      <c r="L139" s="13" t="n"/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-2.5</v>
      </c>
      <c r="J140" s="30" t="n">
        <v>65.5</v>
      </c>
      <c r="K140" s="18" t="n">
        <v>114</v>
      </c>
      <c r="L140" s="18" t="n">
        <v>-135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-9.5</v>
      </c>
      <c r="J141" s="29" t="n">
        <v>54.5</v>
      </c>
      <c r="K141" s="13" t="n">
        <v>285</v>
      </c>
      <c r="L141" s="13" t="n">
        <v>-360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-27.5</v>
      </c>
      <c r="J142" s="30" t="n">
        <v>46.5</v>
      </c>
      <c r="K142" s="18" t="n">
        <v>1500</v>
      </c>
      <c r="L142" s="18" t="n">
        <v>-3600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-36.5</v>
      </c>
      <c r="J143" s="29" t="n">
        <v>52.5</v>
      </c>
      <c r="K143" s="13" t="n">
        <v>3500</v>
      </c>
      <c r="L143" s="13" t="n">
        <v>-20000</v>
      </c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>
        <v>-23.5</v>
      </c>
      <c r="J144" s="30" t="n">
        <v>53.5</v>
      </c>
      <c r="K144" s="18" t="n">
        <v>1200</v>
      </c>
      <c r="L144" s="18" t="n">
        <v>-2400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0</v>
      </c>
      <c r="F145" s="22" t="n">
        <v>0</v>
      </c>
      <c r="G145" s="12" t="inlineStr">
        <is>
          <t>9/12 - 3:45 PM EDT</t>
        </is>
      </c>
      <c r="H145" s="12" t="inlineStr"/>
      <c r="I145" s="23" t="n">
        <v>3</v>
      </c>
      <c r="J145" s="29" t="n">
        <v>57.5</v>
      </c>
      <c r="K145" s="13" t="n">
        <v>-162</v>
      </c>
      <c r="L145" s="13" t="n">
        <v>136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-32.5</v>
      </c>
      <c r="J146" s="30" t="n">
        <v>58.5</v>
      </c>
      <c r="K146" s="18" t="n">
        <v>1500</v>
      </c>
      <c r="L146" s="18" t="n">
        <v>-3600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-23.5</v>
      </c>
      <c r="J147" s="29" t="n">
        <v>44.5</v>
      </c>
      <c r="K147" s="13" t="n">
        <v>1000</v>
      </c>
      <c r="L147" s="13" t="n">
        <v>-1800</v>
      </c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>
        <v>-42.5</v>
      </c>
      <c r="J148" s="30" t="n">
        <v>54.5</v>
      </c>
      <c r="K148" s="18" t="n"/>
      <c r="L148" s="18" t="n"/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>
        <v>-23.5</v>
      </c>
      <c r="J149" s="29" t="n">
        <v>51.5</v>
      </c>
      <c r="K149" s="13" t="n">
        <v>1100</v>
      </c>
      <c r="L149" s="13" t="n">
        <v>-2100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>
        <v>-21</v>
      </c>
      <c r="J150" s="30" t="n">
        <v>54.5</v>
      </c>
      <c r="K150" s="18" t="n">
        <v>800</v>
      </c>
      <c r="L150" s="18" t="n">
        <v>-1350</v>
      </c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>
        <v>-50.5</v>
      </c>
      <c r="J151" s="29" t="n">
        <v>65.5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-29.5</v>
      </c>
      <c r="J155" s="29" t="n">
        <v>53.5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-44.5</v>
      </c>
      <c r="J156" s="30" t="n">
        <v>57.5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-485</v>
      </c>
      <c r="L157" s="13" t="n">
        <v>370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-19.5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3</v>
      </c>
      <c r="J163" s="29" t="n">
        <v>47.5</v>
      </c>
      <c r="K163" s="13" t="n">
        <v>-170</v>
      </c>
      <c r="L163" s="13" t="n">
        <v>142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48.5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-16.5</v>
      </c>
      <c r="J168" s="30" t="n">
        <v>52.5</v>
      </c>
      <c r="K168" s="18" t="n">
        <v>575</v>
      </c>
      <c r="L168" s="18" t="n">
        <v>-850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52.5</v>
      </c>
      <c r="K172" s="18" t="n">
        <v>-3200</v>
      </c>
      <c r="L172" s="18" t="n">
        <v>1400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455</v>
      </c>
      <c r="L173" s="13" t="n">
        <v>-600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</v>
      </c>
      <c r="J175" s="29" t="n">
        <v>59.5</v>
      </c>
      <c r="K175" s="13" t="n">
        <v>-198</v>
      </c>
      <c r="L175" s="13" t="n">
        <v>164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-34.5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-35.5</v>
      </c>
      <c r="J177" s="29" t="n">
        <v>53.5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57.5</v>
      </c>
      <c r="K178" s="18" t="n">
        <v>3000</v>
      </c>
      <c r="L178" s="18" t="n">
        <v>-10000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59.5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-44.5</v>
      </c>
      <c r="J180" s="30" t="n">
        <v>55.5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-37.5</v>
      </c>
      <c r="J181" s="29" t="n">
        <v>55.5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-21.5</v>
      </c>
      <c r="J182" s="30" t="n">
        <v>58.5</v>
      </c>
      <c r="K182" s="18" t="n">
        <v>1000</v>
      </c>
      <c r="L182" s="18" t="n">
        <v>-1800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-27.5</v>
      </c>
      <c r="J183" s="29" t="n">
        <v>52.5</v>
      </c>
      <c r="K183" s="13" t="n">
        <v>1700</v>
      </c>
      <c r="L183" s="13" t="n">
        <v>-4500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380</v>
      </c>
      <c r="L185" s="13" t="n">
        <v>-500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-17.5</v>
      </c>
      <c r="J186" s="30" t="n">
        <v>44.5</v>
      </c>
      <c r="K186" s="18" t="n">
        <v>600</v>
      </c>
      <c r="L186" s="18" t="n">
        <v>-900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51.5</v>
      </c>
      <c r="K187" s="13" t="n">
        <v>-170</v>
      </c>
      <c r="L187" s="13" t="n">
        <v>142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2000</v>
      </c>
      <c r="L188" s="18" t="n">
        <v>-6500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50.5</v>
      </c>
      <c r="K189" s="13" t="n">
        <v>240</v>
      </c>
      <c r="L189" s="13" t="n">
        <v>-298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53.5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52.5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7</v>
      </c>
      <c r="C5" s="15" t="n">
        <v>0.3473</v>
      </c>
      <c r="D5" s="15" t="n">
        <v>0</v>
      </c>
      <c r="E5" s="14" t="n">
        <v>-0.3473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24</v>
      </c>
      <c r="C8" s="20" t="n">
        <v>0.6224</v>
      </c>
      <c r="D8" s="20" t="n">
        <v>0.4583</v>
      </c>
      <c r="E8" s="19" t="n">
        <v>-0.1641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0.01087631578947368</v>
      </c>
    </row>
    <row r="12">
      <c r="A12" s="3" t="inlineStr">
        <is>
          <t>Bets beating the close</t>
        </is>
      </c>
      <c r="B12" s="35" t="n">
        <v>0.5263157894736842</v>
      </c>
    </row>
    <row r="13">
      <c r="A13" s="3" t="inlineStr">
        <is>
          <t>Brier score</t>
        </is>
      </c>
      <c r="B13" s="36" t="n">
        <v>0.2407</v>
      </c>
    </row>
    <row r="14">
      <c r="A14" s="3" t="inlineStr">
        <is>
          <t>Settled bets</t>
        </is>
      </c>
      <c r="B14" s="37" t="n">
        <v>38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612</v>
      </c>
    </row>
    <row r="5">
      <c r="A5" s="3" t="inlineStr">
        <is>
          <t>Settled</t>
        </is>
      </c>
      <c r="B5" s="39" t="n">
        <v>315</v>
      </c>
    </row>
    <row r="6">
      <c r="A6" s="3" t="inlineStr">
        <is>
          <t>Pending</t>
        </is>
      </c>
      <c r="B6" s="39" t="n">
        <v>296</v>
      </c>
    </row>
    <row r="7">
      <c r="A7" s="3" t="inlineStr">
        <is>
          <t>Brier (all settled)</t>
        </is>
      </c>
      <c r="B7" s="40" t="n">
        <v>0.2576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5</v>
      </c>
      <c r="C11" s="15" t="n">
        <v>0.15</v>
      </c>
      <c r="D11" s="15" t="n">
        <v>0.2</v>
      </c>
      <c r="E11" s="14" t="n">
        <v>0.05000000000000002</v>
      </c>
    </row>
    <row r="12">
      <c r="A12" s="17" t="inlineStr">
        <is>
          <t>20-30%</t>
        </is>
      </c>
      <c r="B12" s="25" t="n">
        <v>42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21</v>
      </c>
      <c r="C13" s="15" t="n">
        <v>0.35</v>
      </c>
      <c r="D13" s="15" t="n">
        <v>0.3333</v>
      </c>
      <c r="E13" s="14" t="n">
        <v>-0.01669999999999999</v>
      </c>
    </row>
    <row r="14">
      <c r="A14" s="17" t="inlineStr">
        <is>
          <t>40-50%</t>
        </is>
      </c>
      <c r="B14" s="25" t="n">
        <v>17</v>
      </c>
      <c r="C14" s="20" t="n">
        <v>0.45</v>
      </c>
      <c r="D14" s="20" t="n">
        <v>0.4118</v>
      </c>
      <c r="E14" s="19" t="n">
        <v>-0.03820000000000001</v>
      </c>
    </row>
    <row r="15">
      <c r="A15" s="12" t="inlineStr">
        <is>
          <t>50-60%</t>
        </is>
      </c>
      <c r="B15" s="22" t="n">
        <v>114</v>
      </c>
      <c r="C15" s="15" t="n">
        <v>0.55</v>
      </c>
      <c r="D15" s="15" t="n">
        <v>0.5088</v>
      </c>
      <c r="E15" s="14" t="n">
        <v>-0.04120000000000001</v>
      </c>
    </row>
    <row r="16">
      <c r="A16" s="17" t="inlineStr">
        <is>
          <t>60-70%</t>
        </is>
      </c>
      <c r="B16" s="25" t="n">
        <v>44</v>
      </c>
      <c r="C16" s="20" t="n">
        <v>0.65</v>
      </c>
      <c r="D16" s="20" t="n">
        <v>0.4318</v>
      </c>
      <c r="E16" s="19" t="n">
        <v>-0.2182</v>
      </c>
    </row>
    <row r="17">
      <c r="A17" s="12" t="inlineStr">
        <is>
          <t>70-80%</t>
        </is>
      </c>
      <c r="B17" s="22" t="n">
        <v>72</v>
      </c>
      <c r="C17" s="15" t="n">
        <v>0.75</v>
      </c>
      <c r="D17" s="15" t="n">
        <v>0.3333</v>
      </c>
      <c r="E17" s="14" t="n">
        <v>-0.4167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GOOD</t>
        </is>
      </c>
      <c r="B21" s="22" t="n">
        <v>1</v>
      </c>
      <c r="C21" s="15" t="n">
        <v>0</v>
      </c>
    </row>
    <row r="22">
      <c r="A22" s="17" t="inlineStr">
        <is>
          <t>LEAN</t>
        </is>
      </c>
      <c r="B22" s="25" t="n">
        <v>10</v>
      </c>
      <c r="C22" s="20" t="n">
        <v>0.4</v>
      </c>
    </row>
    <row r="23">
      <c r="A23" s="12" t="inlineStr">
        <is>
          <t>PASS</t>
        </is>
      </c>
      <c r="B23" s="22" t="n">
        <v>304</v>
      </c>
      <c r="C23" s="15" t="n">
        <v>0.3684</v>
      </c>
    </row>
    <row r="25">
      <c r="A25" s="3" t="inlineStr">
        <is>
          <t>ACCURACY BY MARKET</t>
        </is>
      </c>
    </row>
    <row r="26">
      <c r="A26" s="11" t="inlineStr">
        <is>
          <t>Market</t>
        </is>
      </c>
      <c r="B26" s="11" t="inlineStr">
        <is>
          <t>N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ATS</t>
        </is>
      </c>
      <c r="B27" s="22" t="n">
        <v>107</v>
      </c>
      <c r="C27" s="15" t="n">
        <v>0.3551</v>
      </c>
      <c r="D27" s="41" t="n">
        <v>0.3517</v>
      </c>
    </row>
    <row r="28">
      <c r="A28" s="17" t="inlineStr">
        <is>
          <t>ML</t>
        </is>
      </c>
      <c r="B28" s="25" t="n">
        <v>80</v>
      </c>
      <c r="C28" s="20" t="n">
        <v>0.15</v>
      </c>
      <c r="D28" s="42" t="n">
        <v>0.1355</v>
      </c>
    </row>
    <row r="29">
      <c r="A29" s="12" t="inlineStr">
        <is>
          <t>TOTAL</t>
        </is>
      </c>
      <c r="B29" s="22" t="n">
        <v>128</v>
      </c>
      <c r="C29" s="15" t="n">
        <v>0.5155999999999999</v>
      </c>
      <c r="D29" s="41" t="n">
        <v>0.2553</v>
      </c>
    </row>
    <row r="31">
      <c r="A31" s="3" t="inlineStr">
        <is>
          <t>WEEK TREND</t>
        </is>
      </c>
    </row>
    <row r="32">
      <c r="A32" s="11" t="inlineStr">
        <is>
          <t>Week</t>
        </is>
      </c>
      <c r="B32" s="11" t="inlineStr">
        <is>
          <t>Predictions Settled</t>
        </is>
      </c>
      <c r="C32" s="11" t="inlineStr">
        <is>
          <t>Win Rate</t>
        </is>
      </c>
      <c r="D32" s="11" t="inlineStr">
        <is>
          <t>Brier</t>
        </is>
      </c>
    </row>
    <row r="33">
      <c r="A33" s="12" t="inlineStr">
        <is>
          <t>1</t>
        </is>
      </c>
      <c r="B33" s="22" t="n">
        <v>300</v>
      </c>
      <c r="C33" s="15" t="n">
        <v>0.37</v>
      </c>
      <c r="D33" s="41" t="n">
        <v>0.2542</v>
      </c>
    </row>
    <row r="34">
      <c r="A34" s="17" t="inlineStr">
        <is>
          <t>2</t>
        </is>
      </c>
      <c r="B34" s="25" t="n">
        <v>15</v>
      </c>
      <c r="C34" s="20" t="n">
        <v>0.3333</v>
      </c>
      <c r="D34" s="42" t="n">
        <v>0.3255</v>
      </c>
    </row>
    <row r="36">
      <c r="A36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7"/>
    <row r="38"/>
  </sheetData>
  <mergeCells count="1">
    <mergeCell ref="A36:E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2026-09-12T17:07:39Z</dcterms:created>
  <dcterms:modified xsi:type="dcterms:W3CDTF">2026-09-12T17:07:40Z</dcterms:modified>
</cp:coreProperties>
</file>
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Dashboard" sheetId="2" state="visible" r:id="rId4"/>
    <sheet name="Board" sheetId="3" state="visible" r:id="rId5"/>
    <sheet name="Bet Ledger" sheetId="4" state="visible" r:id="rId6"/>
    <sheet name="Power Ratings" sheetId="5" state="visible" r:id="rId7"/>
    <sheet name="Games &amp; Results" sheetId="6" state="visible" r:id="rId8"/>
    <sheet name="Settings" sheetId="7" state="visible" r:id="rId9"/>
    <sheet name="Model Health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<sst xmlns="http://schemas.openxmlformats.org/spreadsheetml/2006/main" count="4405" uniqueCount="813">
  <si>
    <t xml:space="preserve">NCAAF Edge — Model Export</t>
  </si>
  <si>
    <t xml:space="preserve">SIMULATED DATA — generated 2026-08-21T00:07:05+00:00 by tools/make_demo.py to show the layout. The teams are real; every game, line and result is invented. Run `python -m pipeline.build --full` and re-export to replace it with live ESPN data.</t>
  </si>
  <si>
    <t xml:space="preserve">What changed</t>
  </si>
  <si>
    <t xml:space="preserve">The schedule, scores, odds, power ratings and rest days are fetched and solved automatically. Nothing in this workbook is typed in by hand.</t>
  </si>
  <si>
    <t xml:space="preserve">Power ratings</t>
  </si>
  <si>
    <t xml:space="preserve">Solved from results by ridge-regularised least squares on margin of victory, with strength of schedule handled structurally rather than as an adjustment. They update themselves every time a game finishes.</t>
  </si>
  <si>
    <t xml:space="preserve">Probabilities</t>
  </si>
  <si>
    <t xml:space="preserve">Margins are modelled with a discrete distribution bumped at football's key numbers (3, 7, 10, 14), not a smooth normal curve, so pushes and the value of a half-point off 3 are priced correctly.</t>
  </si>
  <si>
    <t xml:space="preserve">Edge</t>
  </si>
  <si>
    <t xml:space="preserve">Model probability minus the break-even probability of the price on offer. A 1.0% haircut is applied first, because you only bet where the model disagrees with the market, which is also where the model's own error is largest.</t>
  </si>
  <si>
    <t xml:space="preserve">Tiers</t>
  </si>
  <si>
    <t xml:space="preserve">BEST BET ≥ 8% edge · GOOD ≥ 5% · LEAN ≥ 3% · PASS below. Thresholds are raised when the model has thin data on a matchup.</t>
  </si>
  <si>
    <t xml:space="preserve">Settings sheet</t>
  </si>
  <si>
    <t xml:space="preserve">Read-only. It records the settings that produced this file. Editing a value there changes nothing — the model runs in the pipeline, not in Excel. Change config/settings.json and re-run.</t>
  </si>
  <si>
    <t xml:space="preserve">Bet Ledger</t>
  </si>
  <si>
    <t xml:space="preserve">The only live part. Stake and Result are editable; Profit/Loss, Running Bankroll and the Dashboard recalculate from them, so you can correct a settlement by hand.</t>
  </si>
  <si>
    <t xml:space="preserve">Honest warning</t>
  </si>
  <si>
    <t xml:space="preserve">Model edges reflect the assumptions on the Settings sheet, not certainty. Check the calibration table before trusting a number, and bet only what you can afford to lose.</t>
  </si>
  <si>
    <t xml:space="preserve">Dashboard</t>
  </si>
  <si>
    <t xml:space="preserve">Every figure below is a formula over the Bet Ledger sheet — correct a stake or a result there and these follow.</t>
  </si>
  <si>
    <t xml:space="preserve">Starting Bankroll</t>
  </si>
  <si>
    <t xml:space="preserve">Current Bankroll</t>
  </si>
  <si>
    <t xml:space="preserve">Total Staked</t>
  </si>
  <si>
    <t xml:space="preserve">Profit / Loss</t>
  </si>
  <si>
    <t xml:space="preserve">ROI</t>
  </si>
  <si>
    <t xml:space="preserve">Bets Settled</t>
  </si>
  <si>
    <t xml:space="preserve">Wins</t>
  </si>
  <si>
    <t xml:space="preserve">Losses</t>
  </si>
  <si>
    <t xml:space="preserve">Pushes</t>
  </si>
  <si>
    <t xml:space="preserve">Win Rate</t>
  </si>
  <si>
    <t xml:space="preserve">Pending</t>
  </si>
  <si>
    <t xml:space="preserve">Live Plays On The Board</t>
  </si>
  <si>
    <t xml:space="preserve">Solved Home Field (pts)</t>
  </si>
  <si>
    <t xml:space="preserve">Brier Score</t>
  </si>
  <si>
    <t xml:space="preserve">TOP PLAYS ON THE BOARD RIGHT NOW</t>
  </si>
  <si>
    <t xml:space="preserve">Tier</t>
  </si>
  <si>
    <t xml:space="preserve">Game</t>
  </si>
  <si>
    <t xml:space="preserve">Market</t>
  </si>
  <si>
    <t xml:space="preserve">Pick</t>
  </si>
  <si>
    <t xml:space="preserve">Price</t>
  </si>
  <si>
    <t xml:space="preserve">Model</t>
  </si>
  <si>
    <t xml:space="preserve">Stake</t>
  </si>
  <si>
    <t xml:space="preserve">Kickoff</t>
  </si>
  <si>
    <t xml:space="preserve">BEST BET</t>
  </si>
  <si>
    <t xml:space="preserve">IOWA @ WASH</t>
  </si>
  <si>
    <t xml:space="preserve">ATS</t>
  </si>
  <si>
    <t xml:space="preserve">WASH +39.5</t>
  </si>
  <si>
    <t xml:space="preserve">2026-12-05 23:00</t>
  </si>
  <si>
    <t xml:space="preserve">ND @ ALA</t>
  </si>
  <si>
    <t xml:space="preserve">TOTAL</t>
  </si>
  <si>
    <t xml:space="preserve">Over 36.5</t>
  </si>
  <si>
    <t xml:space="preserve">2026-12-05 16:00</t>
  </si>
  <si>
    <t xml:space="preserve">OU @ ND</t>
  </si>
  <si>
    <t xml:space="preserve">OU +28</t>
  </si>
  <si>
    <t xml:space="preserve">2026-11-07 19:30</t>
  </si>
  <si>
    <t xml:space="preserve">TEX @ SMU</t>
  </si>
  <si>
    <t xml:space="preserve">Under 76</t>
  </si>
  <si>
    <t xml:space="preserve">TEX @ LOU</t>
  </si>
  <si>
    <t xml:space="preserve">Under 75.5</t>
  </si>
  <si>
    <t xml:space="preserve">2026-11-07 23:00</t>
  </si>
  <si>
    <t xml:space="preserve">FSU @ MIZZ</t>
  </si>
  <si>
    <t xml:space="preserve">Over 39</t>
  </si>
  <si>
    <t xml:space="preserve">2026-11-07 16:00</t>
  </si>
  <si>
    <t xml:space="preserve">WIS @ BYU</t>
  </si>
  <si>
    <t xml:space="preserve">Over 40.5</t>
  </si>
  <si>
    <t xml:space="preserve">2026-11-14 16:00</t>
  </si>
  <si>
    <t xml:space="preserve">TCU @ SMU</t>
  </si>
  <si>
    <t xml:space="preserve">SMU +18</t>
  </si>
  <si>
    <t xml:space="preserve">2026-11-14 23:00</t>
  </si>
  <si>
    <t xml:space="preserve">WASH @ PSU</t>
  </si>
  <si>
    <t xml:space="preserve">WASH +23</t>
  </si>
  <si>
    <t xml:space="preserve">2026-11-14 19:30</t>
  </si>
  <si>
    <t xml:space="preserve">UGA @ OU</t>
  </si>
  <si>
    <t xml:space="preserve">ML</t>
  </si>
  <si>
    <t xml:space="preserve">OU ML</t>
  </si>
  <si>
    <t xml:space="preserve">2026-11-28 19:30</t>
  </si>
  <si>
    <t xml:space="preserve">2026-12-05 19:30</t>
  </si>
  <si>
    <t xml:space="preserve">IND @ CLEM</t>
  </si>
  <si>
    <t xml:space="preserve">Over 43</t>
  </si>
  <si>
    <t xml:space="preserve">NEB @ IOWA</t>
  </si>
  <si>
    <t xml:space="preserve">NEB +19.5</t>
  </si>
  <si>
    <t xml:space="preserve">TAMU @ OSU</t>
  </si>
  <si>
    <t xml:space="preserve">TAMU +24</t>
  </si>
  <si>
    <t xml:space="preserve">WIS @ ALA</t>
  </si>
  <si>
    <t xml:space="preserve">Over 44</t>
  </si>
  <si>
    <t xml:space="preserve">Full Board</t>
  </si>
  <si>
    <t xml:space="preserve">Every market on every upcoming game, priced against the book. Passes are included on purpose — a model you only see when it likes something cannot be audited. 'Fair' is the market's own view with the vig removed; 'Break-even' is what the price requires.</t>
  </si>
  <si>
    <t xml:space="preserve">Wk</t>
  </si>
  <si>
    <t xml:space="preserve">Line</t>
  </si>
  <si>
    <t xml:space="preserve">Fair</t>
  </si>
  <si>
    <t xml:space="preserve">Break-even</t>
  </si>
  <si>
    <t xml:space="preserve">EV</t>
  </si>
  <si>
    <t xml:space="preserve">Push</t>
  </si>
  <si>
    <t xml:space="preserve">Conf.</t>
  </si>
  <si>
    <t xml:space="preserve">Book</t>
  </si>
  <si>
    <t xml:space="preserve">Why not</t>
  </si>
  <si>
    <t xml:space="preserve">DraftKings</t>
  </si>
  <si>
    <t xml:space="preserve">UGA @ IOWA</t>
  </si>
  <si>
    <t xml:space="preserve">UGA +24</t>
  </si>
  <si>
    <t xml:space="preserve">NEB @ TEX</t>
  </si>
  <si>
    <t xml:space="preserve">TEX +20.5</t>
  </si>
  <si>
    <t xml:space="preserve">ORE @ WASH</t>
  </si>
  <si>
    <t xml:space="preserve">2026-11-28 16:00</t>
  </si>
  <si>
    <t xml:space="preserve">WASH +14.5</t>
  </si>
  <si>
    <t xml:space="preserve">ARIZ @ LSU</t>
  </si>
  <si>
    <t xml:space="preserve">LSU +12</t>
  </si>
  <si>
    <t xml:space="preserve">MIZZ @ MISS</t>
  </si>
  <si>
    <t xml:space="preserve">Over 45.5</t>
  </si>
  <si>
    <t xml:space="preserve">MIA @ LSU</t>
  </si>
  <si>
    <t xml:space="preserve">2026-11-21 16:00</t>
  </si>
  <si>
    <t xml:space="preserve">LSU ML</t>
  </si>
  <si>
    <t xml:space="preserve">SMU @ KSU</t>
  </si>
  <si>
    <t xml:space="preserve">SMU +19</t>
  </si>
  <si>
    <t xml:space="preserve">OSU @ LSU</t>
  </si>
  <si>
    <t xml:space="preserve">2026-11-28 23:00</t>
  </si>
  <si>
    <t xml:space="preserve">LSU +16</t>
  </si>
  <si>
    <t xml:space="preserve">KSU @ WASH</t>
  </si>
  <si>
    <t xml:space="preserve">WASH +15.5</t>
  </si>
  <si>
    <t xml:space="preserve">USC @ LSU</t>
  </si>
  <si>
    <t xml:space="preserve">BYU @ IOWA</t>
  </si>
  <si>
    <t xml:space="preserve">BYU +17</t>
  </si>
  <si>
    <t xml:space="preserve">AUB @ MICH</t>
  </si>
  <si>
    <t xml:space="preserve">Under 65</t>
  </si>
  <si>
    <t xml:space="preserve">IOWA @ BYU</t>
  </si>
  <si>
    <t xml:space="preserve">BYU ML</t>
  </si>
  <si>
    <t xml:space="preserve">TEX @ MICH</t>
  </si>
  <si>
    <t xml:space="preserve">Under 67.5</t>
  </si>
  <si>
    <t xml:space="preserve">TAMU @ TEX</t>
  </si>
  <si>
    <t xml:space="preserve">Under 68</t>
  </si>
  <si>
    <t xml:space="preserve">TCU @ MICH</t>
  </si>
  <si>
    <t xml:space="preserve">MICH ML</t>
  </si>
  <si>
    <t xml:space="preserve">BYU @ MISS</t>
  </si>
  <si>
    <t xml:space="preserve">MISS ML</t>
  </si>
  <si>
    <t xml:space="preserve">UNC @ ALA</t>
  </si>
  <si>
    <t xml:space="preserve">ALA ML</t>
  </si>
  <si>
    <t xml:space="preserve">WIS @ ORE</t>
  </si>
  <si>
    <t xml:space="preserve">2026-11-21 23:00</t>
  </si>
  <si>
    <t xml:space="preserve">Over 46.5</t>
  </si>
  <si>
    <t xml:space="preserve">TAMU @ UNC</t>
  </si>
  <si>
    <t xml:space="preserve">TAMU +15.5</t>
  </si>
  <si>
    <t xml:space="preserve">TAMU @ TENN</t>
  </si>
  <si>
    <t xml:space="preserve">TAMU +19</t>
  </si>
  <si>
    <t xml:space="preserve">SMU @ MIZZ</t>
  </si>
  <si>
    <t xml:space="preserve">SMU +15.5</t>
  </si>
  <si>
    <t xml:space="preserve">AUB @ OSU</t>
  </si>
  <si>
    <t xml:space="preserve">2026-11-21 19:30</t>
  </si>
  <si>
    <t xml:space="preserve">AUB +19.5</t>
  </si>
  <si>
    <t xml:space="preserve">LOU @ ALA</t>
  </si>
  <si>
    <t xml:space="preserve">ALA +8</t>
  </si>
  <si>
    <t xml:space="preserve">NEB @ CLEM</t>
  </si>
  <si>
    <t xml:space="preserve">NEB +11.5</t>
  </si>
  <si>
    <t xml:space="preserve">KSU @ ND</t>
  </si>
  <si>
    <t xml:space="preserve">KSU ML</t>
  </si>
  <si>
    <t xml:space="preserve">IND @ OU</t>
  </si>
  <si>
    <t xml:space="preserve">OU +9.5</t>
  </si>
  <si>
    <t xml:space="preserve">CLEM @ UNC</t>
  </si>
  <si>
    <t xml:space="preserve">UNC ML</t>
  </si>
  <si>
    <t xml:space="preserve">UNC @ CLEM</t>
  </si>
  <si>
    <t xml:space="preserve">UNC +14</t>
  </si>
  <si>
    <t xml:space="preserve">PSU @ IND</t>
  </si>
  <si>
    <t xml:space="preserve">IND +8</t>
  </si>
  <si>
    <t xml:space="preserve">NEB @ UNC</t>
  </si>
  <si>
    <t xml:space="preserve">Over 53</t>
  </si>
  <si>
    <t xml:space="preserve">MISS @ ALA</t>
  </si>
  <si>
    <t xml:space="preserve">ALA +11.5</t>
  </si>
  <si>
    <t xml:space="preserve">GOOD</t>
  </si>
  <si>
    <t xml:space="preserve">MIA @ AUB</t>
  </si>
  <si>
    <t xml:space="preserve">AUB ML</t>
  </si>
  <si>
    <t xml:space="preserve">KSU @ MIZZ</t>
  </si>
  <si>
    <t xml:space="preserve">KSU +7.5</t>
  </si>
  <si>
    <t xml:space="preserve">TENN @ TCU</t>
  </si>
  <si>
    <t xml:space="preserve">TENN +4</t>
  </si>
  <si>
    <t xml:space="preserve">PASS</t>
  </si>
  <si>
    <t xml:space="preserve">SMU ML</t>
  </si>
  <si>
    <t xml:space="preserve">price outside allowed range</t>
  </si>
  <si>
    <t xml:space="preserve">WASH ML</t>
  </si>
  <si>
    <t xml:space="preserve">NEB ML</t>
  </si>
  <si>
    <t xml:space="preserve">Under 72.5</t>
  </si>
  <si>
    <t xml:space="preserve">correlated with a stronger play on the same game</t>
  </si>
  <si>
    <t xml:space="preserve">OU +12</t>
  </si>
  <si>
    <t xml:space="preserve">ALA +15</t>
  </si>
  <si>
    <t xml:space="preserve">Under 70</t>
  </si>
  <si>
    <t xml:space="preserve">OU +11</t>
  </si>
  <si>
    <t xml:space="preserve">LSU +10.5</t>
  </si>
  <si>
    <t xml:space="preserve">IND +17.5</t>
  </si>
  <si>
    <t xml:space="preserve">LSU +12.5</t>
  </si>
  <si>
    <t xml:space="preserve">WIS +16</t>
  </si>
  <si>
    <t xml:space="preserve">BYU +10.5</t>
  </si>
  <si>
    <t xml:space="preserve">OU @ MIA</t>
  </si>
  <si>
    <t xml:space="preserve">TENN @ ORE</t>
  </si>
  <si>
    <t xml:space="preserve">Over 47</t>
  </si>
  <si>
    <t xml:space="preserve">outside the top 10 plays for this week</t>
  </si>
  <si>
    <t xml:space="preserve">ALA +10.5</t>
  </si>
  <si>
    <t xml:space="preserve">Over 49.5</t>
  </si>
  <si>
    <t xml:space="preserve">TAMU ML</t>
  </si>
  <si>
    <t xml:space="preserve">TEX ML</t>
  </si>
  <si>
    <t xml:space="preserve">IND ML</t>
  </si>
  <si>
    <t xml:space="preserve">Over 50</t>
  </si>
  <si>
    <t xml:space="preserve">Over 54</t>
  </si>
  <si>
    <t xml:space="preserve">Under 67</t>
  </si>
  <si>
    <t xml:space="preserve">WIS ML</t>
  </si>
  <si>
    <t xml:space="preserve">MISS +7.5</t>
  </si>
  <si>
    <t xml:space="preserve">MICH +7.5</t>
  </si>
  <si>
    <t xml:space="preserve">Over 52.5</t>
  </si>
  <si>
    <t xml:space="preserve">UGA ML</t>
  </si>
  <si>
    <t xml:space="preserve">USC @ MICH</t>
  </si>
  <si>
    <t xml:space="preserve">FSU @ UTAH</t>
  </si>
  <si>
    <t xml:space="preserve">UTAH ML</t>
  </si>
  <si>
    <t xml:space="preserve">UNC +8</t>
  </si>
  <si>
    <t xml:space="preserve">OU +11.5</t>
  </si>
  <si>
    <t xml:space="preserve">ALA +7</t>
  </si>
  <si>
    <t xml:space="preserve">Under 64.5</t>
  </si>
  <si>
    <t xml:space="preserve">MICH +7</t>
  </si>
  <si>
    <t xml:space="preserve">USC @ ND</t>
  </si>
  <si>
    <t xml:space="preserve">USC +9.5</t>
  </si>
  <si>
    <t xml:space="preserve">Over 51.5</t>
  </si>
  <si>
    <t xml:space="preserve">UTAH +9.5</t>
  </si>
  <si>
    <t xml:space="preserve">ORE +9.5</t>
  </si>
  <si>
    <t xml:space="preserve">Under 63</t>
  </si>
  <si>
    <t xml:space="preserve">MISS @ TAMU</t>
  </si>
  <si>
    <t xml:space="preserve">TAMU +7.5</t>
  </si>
  <si>
    <t xml:space="preserve">USC ML</t>
  </si>
  <si>
    <t xml:space="preserve">ND @ USC</t>
  </si>
  <si>
    <t xml:space="preserve">USC +4.5</t>
  </si>
  <si>
    <t xml:space="preserve">UTAH @ MIA</t>
  </si>
  <si>
    <t xml:space="preserve">UTAH +8.5</t>
  </si>
  <si>
    <t xml:space="preserve">AUB @ SMU</t>
  </si>
  <si>
    <t xml:space="preserve">SMU +4</t>
  </si>
  <si>
    <t xml:space="preserve">Over 50.5</t>
  </si>
  <si>
    <t xml:space="preserve">UGA @ OSU</t>
  </si>
  <si>
    <t xml:space="preserve">Over 49</t>
  </si>
  <si>
    <t xml:space="preserve">LSU @ WASH</t>
  </si>
  <si>
    <t xml:space="preserve">WASH +6</t>
  </si>
  <si>
    <t xml:space="preserve">AUB +6.5</t>
  </si>
  <si>
    <t xml:space="preserve">Over 51</t>
  </si>
  <si>
    <t xml:space="preserve">Over 53.5</t>
  </si>
  <si>
    <t xml:space="preserve">TEX +9.5</t>
  </si>
  <si>
    <t xml:space="preserve">LOU @ KSU</t>
  </si>
  <si>
    <t xml:space="preserve">AUB @ ARIZ</t>
  </si>
  <si>
    <t xml:space="preserve">TEX +10.5</t>
  </si>
  <si>
    <t xml:space="preserve">Over 52</t>
  </si>
  <si>
    <t xml:space="preserve">ORE @ OSU</t>
  </si>
  <si>
    <t xml:space="preserve">ORE +12</t>
  </si>
  <si>
    <t xml:space="preserve">UGA @ TCU</t>
  </si>
  <si>
    <t xml:space="preserve">WIS +7</t>
  </si>
  <si>
    <t xml:space="preserve">ORE ML</t>
  </si>
  <si>
    <t xml:space="preserve">IND @ MICH</t>
  </si>
  <si>
    <t xml:space="preserve">Under 60.5</t>
  </si>
  <si>
    <t xml:space="preserve">UTAH @ WIS</t>
  </si>
  <si>
    <t xml:space="preserve">Under 61</t>
  </si>
  <si>
    <t xml:space="preserve">Under 60</t>
  </si>
  <si>
    <t xml:space="preserve">PSU @ FSU</t>
  </si>
  <si>
    <t xml:space="preserve">Under 62.5</t>
  </si>
  <si>
    <t xml:space="preserve">ARIZ @ FSU</t>
  </si>
  <si>
    <t xml:space="preserve">ARIZ ML</t>
  </si>
  <si>
    <t xml:space="preserve">TCU @ TENN</t>
  </si>
  <si>
    <t xml:space="preserve">TENN -0.5</t>
  </si>
  <si>
    <t xml:space="preserve">Under 59</t>
  </si>
  <si>
    <t xml:space="preserve">Over 54.5</t>
  </si>
  <si>
    <t xml:space="preserve">MISS +1.5</t>
  </si>
  <si>
    <t xml:space="preserve">AUB +7.5</t>
  </si>
  <si>
    <t xml:space="preserve">Under 58.5</t>
  </si>
  <si>
    <t xml:space="preserve">TENN ML</t>
  </si>
  <si>
    <t xml:space="preserve">ARIZ +10.5</t>
  </si>
  <si>
    <t xml:space="preserve">MIZZ ML</t>
  </si>
  <si>
    <t xml:space="preserve">UGA +7</t>
  </si>
  <si>
    <t xml:space="preserve">MIA @ USC</t>
  </si>
  <si>
    <t xml:space="preserve">Under 57.5</t>
  </si>
  <si>
    <t xml:space="preserve">MISS @ ARIZ</t>
  </si>
  <si>
    <t xml:space="preserve">UTAH @ ARIZ</t>
  </si>
  <si>
    <t xml:space="preserve">LOU +8</t>
  </si>
  <si>
    <t xml:space="preserve">Over 57</t>
  </si>
  <si>
    <t xml:space="preserve">CLEM @ BYU</t>
  </si>
  <si>
    <t xml:space="preserve">UNC +4</t>
  </si>
  <si>
    <t xml:space="preserve">UTAH +4.5</t>
  </si>
  <si>
    <t xml:space="preserve">PSU @ MIZZ</t>
  </si>
  <si>
    <t xml:space="preserve">MIZZ +4</t>
  </si>
  <si>
    <t xml:space="preserve">UGA +9</t>
  </si>
  <si>
    <t xml:space="preserve">BYU +2</t>
  </si>
  <si>
    <t xml:space="preserve">UTAH @ IND</t>
  </si>
  <si>
    <t xml:space="preserve">Under 56</t>
  </si>
  <si>
    <t xml:space="preserve">SMU -1</t>
  </si>
  <si>
    <t xml:space="preserve">TAMU +3</t>
  </si>
  <si>
    <t xml:space="preserve">MIZZ -0.5</t>
  </si>
  <si>
    <t xml:space="preserve">NEB @ TENN</t>
  </si>
  <si>
    <t xml:space="preserve">TENN +0.5</t>
  </si>
  <si>
    <t xml:space="preserve">MIA ML</t>
  </si>
  <si>
    <t xml:space="preserve">Over 57.5</t>
  </si>
  <si>
    <t xml:space="preserve">Over 55</t>
  </si>
  <si>
    <t xml:space="preserve">Over 56</t>
  </si>
  <si>
    <t xml:space="preserve">LOU ML</t>
  </si>
  <si>
    <t xml:space="preserve">ORE @ LOU</t>
  </si>
  <si>
    <t xml:space="preserve">Over 55.5</t>
  </si>
  <si>
    <t xml:space="preserve">Under 58</t>
  </si>
  <si>
    <t xml:space="preserve">Under 54.5</t>
  </si>
  <si>
    <t xml:space="preserve">MICH -0.5</t>
  </si>
  <si>
    <t xml:space="preserve">LOU @ WIS</t>
  </si>
  <si>
    <t xml:space="preserve">WIS -2.5</t>
  </si>
  <si>
    <t xml:space="preserve">LOU +1</t>
  </si>
  <si>
    <t xml:space="preserve">PSU ML</t>
  </si>
  <si>
    <t xml:space="preserve">IND -1.5</t>
  </si>
  <si>
    <t xml:space="preserve">Under 54</t>
  </si>
  <si>
    <t xml:space="preserve">FSU @ PSU</t>
  </si>
  <si>
    <t xml:space="preserve">Under 59.5</t>
  </si>
  <si>
    <t xml:space="preserve">WIS -2</t>
  </si>
  <si>
    <t xml:space="preserve">Under 57</t>
  </si>
  <si>
    <t xml:space="preserve">USC -3.5</t>
  </si>
  <si>
    <t xml:space="preserve">Over 58.5</t>
  </si>
  <si>
    <t xml:space="preserve">FSU -3.5</t>
  </si>
  <si>
    <t xml:space="preserve">MISS +0.5</t>
  </si>
  <si>
    <t xml:space="preserve">PSU +2.5</t>
  </si>
  <si>
    <t xml:space="preserve">FSU -2.5</t>
  </si>
  <si>
    <t xml:space="preserve">ARIZ -0.5</t>
  </si>
  <si>
    <t xml:space="preserve">PSU +3.5</t>
  </si>
  <si>
    <t xml:space="preserve">FSU ML</t>
  </si>
  <si>
    <t xml:space="preserve">MIA +3.5</t>
  </si>
  <si>
    <t xml:space="preserve">Over 58</t>
  </si>
  <si>
    <t xml:space="preserve">UTAH +2</t>
  </si>
  <si>
    <t xml:space="preserve">Under 52</t>
  </si>
  <si>
    <t xml:space="preserve">Over 59.5</t>
  </si>
  <si>
    <t xml:space="preserve">Over 60</t>
  </si>
  <si>
    <t xml:space="preserve">Under 55.5</t>
  </si>
  <si>
    <t xml:space="preserve">UTAH +1.5</t>
  </si>
  <si>
    <t xml:space="preserve">Under 53.5</t>
  </si>
  <si>
    <t xml:space="preserve">Over 61</t>
  </si>
  <si>
    <t xml:space="preserve">OSU ML</t>
  </si>
  <si>
    <t xml:space="preserve">ORE -1</t>
  </si>
  <si>
    <t xml:space="preserve">TCU ML</t>
  </si>
  <si>
    <t xml:space="preserve">LOU +2.5</t>
  </si>
  <si>
    <t xml:space="preserve">IND +0.5</t>
  </si>
  <si>
    <t xml:space="preserve">Under 55</t>
  </si>
  <si>
    <t xml:space="preserve">NEB -0.5</t>
  </si>
  <si>
    <t xml:space="preserve">PSU +0.5</t>
  </si>
  <si>
    <t xml:space="preserve">Over 60.5</t>
  </si>
  <si>
    <t xml:space="preserve">TEX -3</t>
  </si>
  <si>
    <t xml:space="preserve">CLEM ML</t>
  </si>
  <si>
    <t xml:space="preserve">TEX +1</t>
  </si>
  <si>
    <t xml:space="preserve">MICH -6.5</t>
  </si>
  <si>
    <t xml:space="preserve">Under 51</t>
  </si>
  <si>
    <t xml:space="preserve">CLEM -2</t>
  </si>
  <si>
    <t xml:space="preserve">OSU -9</t>
  </si>
  <si>
    <t xml:space="preserve">FSU -4</t>
  </si>
  <si>
    <t xml:space="preserve">ARIZ -4.5</t>
  </si>
  <si>
    <t xml:space="preserve">NEB -4</t>
  </si>
  <si>
    <t xml:space="preserve">Under 52.5</t>
  </si>
  <si>
    <t xml:space="preserve">KSU -8</t>
  </si>
  <si>
    <t xml:space="preserve">Under 53</t>
  </si>
  <si>
    <t xml:space="preserve">TCU -7</t>
  </si>
  <si>
    <t xml:space="preserve">Under 50.5</t>
  </si>
  <si>
    <t xml:space="preserve">FSU -10.5</t>
  </si>
  <si>
    <t xml:space="preserve">ARIZ -7.5</t>
  </si>
  <si>
    <t xml:space="preserve">MIZZ -1.5</t>
  </si>
  <si>
    <t xml:space="preserve">IOWA ML</t>
  </si>
  <si>
    <t xml:space="preserve">Over 59</t>
  </si>
  <si>
    <t xml:space="preserve">TCU +0.5</t>
  </si>
  <si>
    <t xml:space="preserve">Over 62.5</t>
  </si>
  <si>
    <t xml:space="preserve">TCU -4</t>
  </si>
  <si>
    <t xml:space="preserve">ND ML</t>
  </si>
  <si>
    <t xml:space="preserve">ORE -7</t>
  </si>
  <si>
    <t xml:space="preserve">Under 51.5</t>
  </si>
  <si>
    <t xml:space="preserve">OSU -12</t>
  </si>
  <si>
    <t xml:space="preserve">MICH -10.5</t>
  </si>
  <si>
    <t xml:space="preserve">Under 50</t>
  </si>
  <si>
    <t xml:space="preserve">Over 64.5</t>
  </si>
  <si>
    <t xml:space="preserve">LOU -9.5</t>
  </si>
  <si>
    <t xml:space="preserve">MIA -6.5</t>
  </si>
  <si>
    <t xml:space="preserve">LSU -6</t>
  </si>
  <si>
    <t xml:space="preserve">Under 49</t>
  </si>
  <si>
    <t xml:space="preserve">AUB -4</t>
  </si>
  <si>
    <t xml:space="preserve">MIA -8.5</t>
  </si>
  <si>
    <t xml:space="preserve">ND -4.5</t>
  </si>
  <si>
    <t xml:space="preserve">MISS -7.5</t>
  </si>
  <si>
    <t xml:space="preserve">Over 63</t>
  </si>
  <si>
    <t xml:space="preserve">MIZZ -7.5</t>
  </si>
  <si>
    <t xml:space="preserve">TENN -9.5</t>
  </si>
  <si>
    <t xml:space="preserve">FSU -9.5</t>
  </si>
  <si>
    <t xml:space="preserve">ND -9.5</t>
  </si>
  <si>
    <t xml:space="preserve">USC -7</t>
  </si>
  <si>
    <t xml:space="preserve">WIS -7</t>
  </si>
  <si>
    <t xml:space="preserve">ND -7.5</t>
  </si>
  <si>
    <t xml:space="preserve">MIA -11.5</t>
  </si>
  <si>
    <t xml:space="preserve">CLEM -8</t>
  </si>
  <si>
    <t xml:space="preserve">MISS -11.5</t>
  </si>
  <si>
    <t xml:space="preserve">Under 47</t>
  </si>
  <si>
    <t xml:space="preserve">PSU -8</t>
  </si>
  <si>
    <t xml:space="preserve">BYU -7.5</t>
  </si>
  <si>
    <t xml:space="preserve">TCU -7.5</t>
  </si>
  <si>
    <t xml:space="preserve">CLEM -14</t>
  </si>
  <si>
    <t xml:space="preserve">Over 67</t>
  </si>
  <si>
    <t xml:space="preserve">IND -9.5</t>
  </si>
  <si>
    <t xml:space="preserve">Under 49.5</t>
  </si>
  <si>
    <t xml:space="preserve">UNC -10.5</t>
  </si>
  <si>
    <t xml:space="preserve">CLEM -11.5</t>
  </si>
  <si>
    <t xml:space="preserve">LOU -8</t>
  </si>
  <si>
    <t xml:space="preserve">IOWA -10.5</t>
  </si>
  <si>
    <t xml:space="preserve">OSU -19.5</t>
  </si>
  <si>
    <t xml:space="preserve">MIZZ -15.5</t>
  </si>
  <si>
    <t xml:space="preserve">TENN -19</t>
  </si>
  <si>
    <t xml:space="preserve">UNC -15.5</t>
  </si>
  <si>
    <t xml:space="preserve">Under 46.5</t>
  </si>
  <si>
    <t xml:space="preserve">BYU -16</t>
  </si>
  <si>
    <t xml:space="preserve">USC -12.5</t>
  </si>
  <si>
    <t xml:space="preserve">CLEM -17.5</t>
  </si>
  <si>
    <t xml:space="preserve">Over 68</t>
  </si>
  <si>
    <t xml:space="preserve">MIA -10.5</t>
  </si>
  <si>
    <t xml:space="preserve">Over 67.5</t>
  </si>
  <si>
    <t xml:space="preserve">Over 65</t>
  </si>
  <si>
    <t xml:space="preserve">UGA -11</t>
  </si>
  <si>
    <t xml:space="preserve">IOWA -17</t>
  </si>
  <si>
    <t xml:space="preserve">KSU -15.5</t>
  </si>
  <si>
    <t xml:space="preserve">OSU -16</t>
  </si>
  <si>
    <t xml:space="preserve">KSU -19</t>
  </si>
  <si>
    <t xml:space="preserve">Over 70</t>
  </si>
  <si>
    <t xml:space="preserve">ND -15</t>
  </si>
  <si>
    <t xml:space="preserve">UGA -12</t>
  </si>
  <si>
    <t xml:space="preserve">Under 45.5</t>
  </si>
  <si>
    <t xml:space="preserve">Over 72.5</t>
  </si>
  <si>
    <t xml:space="preserve">ARIZ -12</t>
  </si>
  <si>
    <t xml:space="preserve">ORE -14.5</t>
  </si>
  <si>
    <t xml:space="preserve">NEB -20.5</t>
  </si>
  <si>
    <t xml:space="preserve">IOWA -24</t>
  </si>
  <si>
    <t xml:space="preserve">Under 44</t>
  </si>
  <si>
    <t xml:space="preserve">OSU -24</t>
  </si>
  <si>
    <t xml:space="preserve">IOWA -19.5</t>
  </si>
  <si>
    <t xml:space="preserve">Under 43</t>
  </si>
  <si>
    <t xml:space="preserve">PSU -23</t>
  </si>
  <si>
    <t xml:space="preserve">TCU -18</t>
  </si>
  <si>
    <t xml:space="preserve">Under 40.5</t>
  </si>
  <si>
    <t xml:space="preserve">Under 39</t>
  </si>
  <si>
    <t xml:space="preserve">Over 75.5</t>
  </si>
  <si>
    <t xml:space="preserve">Over 76</t>
  </si>
  <si>
    <t xml:space="preserve">ND -28</t>
  </si>
  <si>
    <t xml:space="preserve">Under 36.5</t>
  </si>
  <si>
    <t xml:space="preserve">IOWA -39.5</t>
  </si>
  <si>
    <t xml:space="preserve">Logged at the number the bet qualified at, graded once the game finished, never re-priced afterwards. Stake (F) and Result (G) are yours to correct; Profit/Loss, Running Bankroll and Cumulative ROI are formulas that follow them.</t>
  </si>
  <si>
    <t xml:space="preserve">Profit/Loss uses American-odds payout on the price in column E. A Push returns the stake, so it books as zero.</t>
  </si>
  <si>
    <t xml:space="preserve">Date</t>
  </si>
  <si>
    <t xml:space="preserve">Result</t>
  </si>
  <si>
    <t xml:space="preserve">Profit/Loss</t>
  </si>
  <si>
    <t xml:space="preserve">Running Bankroll</t>
  </si>
  <si>
    <t xml:space="preserve">Cum. ROI</t>
  </si>
  <si>
    <t xml:space="preserve">CLV</t>
  </si>
  <si>
    <t xml:space="preserve">Final Score</t>
  </si>
  <si>
    <t xml:space="preserve">2026-12-05</t>
  </si>
  <si>
    <t xml:space="preserve">2026-11-28</t>
  </si>
  <si>
    <t xml:space="preserve">2026-11-21</t>
  </si>
  <si>
    <t xml:space="preserve">2026-11-14</t>
  </si>
  <si>
    <t xml:space="preserve">2026-11-07</t>
  </si>
  <si>
    <t xml:space="preserve">2026-10-31</t>
  </si>
  <si>
    <t xml:space="preserve">SMU @ MIA</t>
  </si>
  <si>
    <t xml:space="preserve">Win</t>
  </si>
  <si>
    <t xml:space="preserve">SMU 24 - MIA 38</t>
  </si>
  <si>
    <t xml:space="preserve">OSU @ WIS</t>
  </si>
  <si>
    <t xml:space="preserve">Over 40</t>
  </si>
  <si>
    <t xml:space="preserve">OSU 36 - WIS 15</t>
  </si>
  <si>
    <t xml:space="preserve">TAMU +17</t>
  </si>
  <si>
    <t xml:space="preserve">Loss</t>
  </si>
  <si>
    <t xml:space="preserve">TAMU 24 - UNC 46</t>
  </si>
  <si>
    <t xml:space="preserve">WASH @ ND</t>
  </si>
  <si>
    <t xml:space="preserve">WASH +33</t>
  </si>
  <si>
    <t xml:space="preserve">WASH 24 - ND 46</t>
  </si>
  <si>
    <t xml:space="preserve">IOWA @ TEX</t>
  </si>
  <si>
    <t xml:space="preserve">TEX +32.5</t>
  </si>
  <si>
    <t xml:space="preserve">IOWA 62 - TEX 15</t>
  </si>
  <si>
    <t xml:space="preserve">IND @ TCU</t>
  </si>
  <si>
    <t xml:space="preserve">IND 16 - TCU 37</t>
  </si>
  <si>
    <t xml:space="preserve">LOU @ NEB</t>
  </si>
  <si>
    <t xml:space="preserve">LOU 10 - NEB 42</t>
  </si>
  <si>
    <t xml:space="preserve">LSU @ BYU</t>
  </si>
  <si>
    <t xml:space="preserve">LSU +26</t>
  </si>
  <si>
    <t xml:space="preserve">LSU 11 - BYU 18</t>
  </si>
  <si>
    <t xml:space="preserve">MICH @ CLEM</t>
  </si>
  <si>
    <t xml:space="preserve">MICH +22.5</t>
  </si>
  <si>
    <t xml:space="preserve">MICH 28 - CLEM 24</t>
  </si>
  <si>
    <t xml:space="preserve">ORE @ ALA</t>
  </si>
  <si>
    <t xml:space="preserve">ALA +12</t>
  </si>
  <si>
    <t xml:space="preserve">ORE 20 - ALA 26</t>
  </si>
  <si>
    <t xml:space="preserve">2026-10-24</t>
  </si>
  <si>
    <t xml:space="preserve">ND @ MIA</t>
  </si>
  <si>
    <t xml:space="preserve">ND 19 - MIA 15</t>
  </si>
  <si>
    <t xml:space="preserve">SMU @ ORE</t>
  </si>
  <si>
    <t xml:space="preserve">SMU 33 - ORE 43</t>
  </si>
  <si>
    <t xml:space="preserve">UTAH @ IOWA</t>
  </si>
  <si>
    <t xml:space="preserve">UTAH +28</t>
  </si>
  <si>
    <t xml:space="preserve">UTAH 21 - IOWA 52</t>
  </si>
  <si>
    <t xml:space="preserve">BYU @ AUB</t>
  </si>
  <si>
    <t xml:space="preserve">AUB +16</t>
  </si>
  <si>
    <t xml:space="preserve">BYU 36 - AUB 22</t>
  </si>
  <si>
    <t xml:space="preserve">WIS @ CLEM</t>
  </si>
  <si>
    <t xml:space="preserve">WIS +18.5</t>
  </si>
  <si>
    <t xml:space="preserve">WIS 0 - CLEM 43</t>
  </si>
  <si>
    <t xml:space="preserve">TEX @ TAMU</t>
  </si>
  <si>
    <t xml:space="preserve">Under 70.5</t>
  </si>
  <si>
    <t xml:space="preserve">TEX 37 - TAMU 22</t>
  </si>
  <si>
    <t xml:space="preserve">WASH @ FSU</t>
  </si>
  <si>
    <t xml:space="preserve">WASH +28.5</t>
  </si>
  <si>
    <t xml:space="preserve">WASH 7 - FSU 51</t>
  </si>
  <si>
    <t xml:space="preserve">MICH @ IND</t>
  </si>
  <si>
    <t xml:space="preserve">MICH 30 - IND 29</t>
  </si>
  <si>
    <t xml:space="preserve">PSU @ LSU</t>
  </si>
  <si>
    <t xml:space="preserve">PSU 39 - LSU 5</t>
  </si>
  <si>
    <t xml:space="preserve">KSU @ OU</t>
  </si>
  <si>
    <t xml:space="preserve">KSU 53 - OU 36</t>
  </si>
  <si>
    <t xml:space="preserve">2026-10-17</t>
  </si>
  <si>
    <t xml:space="preserve">WASH @ OSU</t>
  </si>
  <si>
    <t xml:space="preserve">WASH +29</t>
  </si>
  <si>
    <t xml:space="preserve">WASH 0 - OSU 34</t>
  </si>
  <si>
    <t xml:space="preserve">ND @ TAMU</t>
  </si>
  <si>
    <t xml:space="preserve">TAMU +19.5</t>
  </si>
  <si>
    <t xml:space="preserve">ND 25 - TAMU 17</t>
  </si>
  <si>
    <t xml:space="preserve">TEX @ MIA</t>
  </si>
  <si>
    <t xml:space="preserve">TEX 23 - MIA 38</t>
  </si>
  <si>
    <t xml:space="preserve">MICH @ TCU</t>
  </si>
  <si>
    <t xml:space="preserve">MICH +15</t>
  </si>
  <si>
    <t xml:space="preserve">MICH 13 - TCU 30</t>
  </si>
  <si>
    <t xml:space="preserve">IOWA @ FSU</t>
  </si>
  <si>
    <t xml:space="preserve">IOWA 36 - FSU 36</t>
  </si>
  <si>
    <t xml:space="preserve">NEB @ SMU</t>
  </si>
  <si>
    <t xml:space="preserve">SMU +16</t>
  </si>
  <si>
    <t xml:space="preserve">NEB 30 - SMU 22</t>
  </si>
  <si>
    <t xml:space="preserve">KSU @ BYU</t>
  </si>
  <si>
    <t xml:space="preserve">KSU +12</t>
  </si>
  <si>
    <t xml:space="preserve">KSU 5 - BYU 42</t>
  </si>
  <si>
    <t xml:space="preserve">ARIZ @ ORE</t>
  </si>
  <si>
    <t xml:space="preserve">ARIZ 20 - ORE 22</t>
  </si>
  <si>
    <t xml:space="preserve">ALA @ MISS</t>
  </si>
  <si>
    <t xml:space="preserve">ALA 11 - MISS 40</t>
  </si>
  <si>
    <t xml:space="preserve">UTAH @ UGA</t>
  </si>
  <si>
    <t xml:space="preserve">UTAH +9</t>
  </si>
  <si>
    <t xml:space="preserve">UTAH 26 - UGA 19</t>
  </si>
  <si>
    <t xml:space="preserve">2026-10-10</t>
  </si>
  <si>
    <t xml:space="preserve">OSU @ ALA</t>
  </si>
  <si>
    <t xml:space="preserve">ALA +18</t>
  </si>
  <si>
    <t xml:space="preserve">OSU 32 - ALA 23</t>
  </si>
  <si>
    <t xml:space="preserve">MICH @ MIZZ</t>
  </si>
  <si>
    <t xml:space="preserve">MICH +11</t>
  </si>
  <si>
    <t xml:space="preserve">MICH 31 - MIZZ 14</t>
  </si>
  <si>
    <t xml:space="preserve">TENN @ TAMU</t>
  </si>
  <si>
    <t xml:space="preserve">TAMU +15</t>
  </si>
  <si>
    <t xml:space="preserve">TENN 35 - TAMU 20</t>
  </si>
  <si>
    <t xml:space="preserve">IOWA @ AUB</t>
  </si>
  <si>
    <t xml:space="preserve">AUB +30.5</t>
  </si>
  <si>
    <t xml:space="preserve">IOWA 53 - AUB 29</t>
  </si>
  <si>
    <t xml:space="preserve">ND @ UGA</t>
  </si>
  <si>
    <t xml:space="preserve">Over 43.5</t>
  </si>
  <si>
    <t xml:space="preserve">ND 27 - UGA 33</t>
  </si>
  <si>
    <t xml:space="preserve">USC @ TEX</t>
  </si>
  <si>
    <t xml:space="preserve">TEX +17</t>
  </si>
  <si>
    <t xml:space="preserve">USC 34 - TEX 12</t>
  </si>
  <si>
    <t xml:space="preserve">FSU @ WASH</t>
  </si>
  <si>
    <t xml:space="preserve">WASH +24.5</t>
  </si>
  <si>
    <t xml:space="preserve">FSU 26 - WASH 0</t>
  </si>
  <si>
    <t xml:space="preserve">LOU @ IND</t>
  </si>
  <si>
    <t xml:space="preserve">LOU 18 - IND 44</t>
  </si>
  <si>
    <t xml:space="preserve">SMU 31 - ORE 24</t>
  </si>
  <si>
    <t xml:space="preserve">LSU @ ARIZ</t>
  </si>
  <si>
    <t xml:space="preserve">LSU +15.5</t>
  </si>
  <si>
    <t xml:space="preserve">LSU 27 - ARIZ 20</t>
  </si>
  <si>
    <t xml:space="preserve">2026-10-03</t>
  </si>
  <si>
    <t xml:space="preserve">TEX @ MIZZ</t>
  </si>
  <si>
    <t xml:space="preserve">TEX 15 - MIZZ 35</t>
  </si>
  <si>
    <t xml:space="preserve">KSU @ ALA</t>
  </si>
  <si>
    <t xml:space="preserve">Over 48</t>
  </si>
  <si>
    <t xml:space="preserve">KSU 24 - ALA 17</t>
  </si>
  <si>
    <t xml:space="preserve">TAMU @ CLEM</t>
  </si>
  <si>
    <t xml:space="preserve">TAMU +29</t>
  </si>
  <si>
    <t xml:space="preserve">TAMU 18 - CLEM 31</t>
  </si>
  <si>
    <t xml:space="preserve">WASH @ SMU</t>
  </si>
  <si>
    <t xml:space="preserve">WASH 34 - SMU 43</t>
  </si>
  <si>
    <t xml:space="preserve">OU @ LOU</t>
  </si>
  <si>
    <t xml:space="preserve">OU 25 - LOU 27</t>
  </si>
  <si>
    <t xml:space="preserve">OSU @ MISS</t>
  </si>
  <si>
    <t xml:space="preserve">MISS +10</t>
  </si>
  <si>
    <t xml:space="preserve">OSU 40 - MISS 26</t>
  </si>
  <si>
    <t xml:space="preserve">ORE @ UTAH</t>
  </si>
  <si>
    <t xml:space="preserve">Over 46</t>
  </si>
  <si>
    <t xml:space="preserve">ORE 9 - UTAH 27</t>
  </si>
  <si>
    <t xml:space="preserve">ARIZ @ ND</t>
  </si>
  <si>
    <t xml:space="preserve">ARIZ +16</t>
  </si>
  <si>
    <t xml:space="preserve">ARIZ 29 - ND 43</t>
  </si>
  <si>
    <t xml:space="preserve">IND @ BYU</t>
  </si>
  <si>
    <t xml:space="preserve">IND +13</t>
  </si>
  <si>
    <t xml:space="preserve">IND 32 - BYU 28</t>
  </si>
  <si>
    <t xml:space="preserve">LSU @ IOWA</t>
  </si>
  <si>
    <t xml:space="preserve">LSU +40.5</t>
  </si>
  <si>
    <t xml:space="preserve">LSU 24 - IOWA 39</t>
  </si>
  <si>
    <t xml:space="preserve">2026-09-26</t>
  </si>
  <si>
    <t xml:space="preserve">IOWA @ UTAH</t>
  </si>
  <si>
    <t xml:space="preserve">UTAH +26</t>
  </si>
  <si>
    <t xml:space="preserve">IOWA 46 - UTAH 25</t>
  </si>
  <si>
    <t xml:space="preserve">ARIZ @ IND</t>
  </si>
  <si>
    <t xml:space="preserve">ARIZ 22 - IND 14</t>
  </si>
  <si>
    <t xml:space="preserve">OSU @ MIA</t>
  </si>
  <si>
    <t xml:space="preserve">OSU 41 - MIA 12</t>
  </si>
  <si>
    <t xml:space="preserve">NEB @ BYU</t>
  </si>
  <si>
    <t xml:space="preserve">NEB +9</t>
  </si>
  <si>
    <t xml:space="preserve">NEB 29 - BYU 14</t>
  </si>
  <si>
    <t xml:space="preserve">KSU 46 - ALA 14</t>
  </si>
  <si>
    <t xml:space="preserve">TCU @ PSU</t>
  </si>
  <si>
    <t xml:space="preserve">TCU 41 - PSU 36</t>
  </si>
  <si>
    <t xml:space="preserve">OU @ USC</t>
  </si>
  <si>
    <t xml:space="preserve">OU +18.5</t>
  </si>
  <si>
    <t xml:space="preserve">OU 6 - USC 50</t>
  </si>
  <si>
    <t xml:space="preserve">CLEM @ LSU</t>
  </si>
  <si>
    <t xml:space="preserve">LSU +25</t>
  </si>
  <si>
    <t xml:space="preserve">CLEM 33 - LSU 10</t>
  </si>
  <si>
    <t xml:space="preserve">ND @ TEX</t>
  </si>
  <si>
    <t xml:space="preserve">ND 52 - TEX 14</t>
  </si>
  <si>
    <t xml:space="preserve">WASH @ LOU</t>
  </si>
  <si>
    <t xml:space="preserve">WASH +16</t>
  </si>
  <si>
    <t xml:space="preserve">WASH 26 - LOU 47</t>
  </si>
  <si>
    <t xml:space="preserve">2026-09-19</t>
  </si>
  <si>
    <t xml:space="preserve">NEB @ LOU</t>
  </si>
  <si>
    <t xml:space="preserve">Under 68.5</t>
  </si>
  <si>
    <t xml:space="preserve">NEB 40 - LOU 29</t>
  </si>
  <si>
    <t xml:space="preserve">BYU @ UTAH</t>
  </si>
  <si>
    <t xml:space="preserve">BYU 30 - UTAH 29</t>
  </si>
  <si>
    <t xml:space="preserve">OSU @ WASH</t>
  </si>
  <si>
    <t xml:space="preserve">OSU 26 - WASH 15</t>
  </si>
  <si>
    <t xml:space="preserve">OU @ ARIZ</t>
  </si>
  <si>
    <t xml:space="preserve">OU +14.5</t>
  </si>
  <si>
    <t xml:space="preserve">OU 35 - ARIZ 44</t>
  </si>
  <si>
    <t xml:space="preserve">UGA @ SMU</t>
  </si>
  <si>
    <t xml:space="preserve">SMU +17</t>
  </si>
  <si>
    <t xml:space="preserve">UGA 45 - SMU 16</t>
  </si>
  <si>
    <t xml:space="preserve">IOWA @ KSU</t>
  </si>
  <si>
    <t xml:space="preserve">KSU +21.5</t>
  </si>
  <si>
    <t xml:space="preserve">IOWA 39 - KSU 20</t>
  </si>
  <si>
    <t xml:space="preserve">CLEM @ ALA</t>
  </si>
  <si>
    <t xml:space="preserve">ALA +23.5</t>
  </si>
  <si>
    <t xml:space="preserve">CLEM 40 - ALA 10</t>
  </si>
  <si>
    <t xml:space="preserve">ND 10 - MIA 24</t>
  </si>
  <si>
    <t xml:space="preserve">FSU @ ORE</t>
  </si>
  <si>
    <t xml:space="preserve">Over 41</t>
  </si>
  <si>
    <t xml:space="preserve">FSU 31 - ORE 7</t>
  </si>
  <si>
    <t xml:space="preserve">LSU @ TEX</t>
  </si>
  <si>
    <t xml:space="preserve">LSU 44 - TEX 34</t>
  </si>
  <si>
    <t xml:space="preserve">2026-09-12</t>
  </si>
  <si>
    <t xml:space="preserve">LOU @ OU</t>
  </si>
  <si>
    <t xml:space="preserve">LOU 30 - OU 30</t>
  </si>
  <si>
    <t xml:space="preserve">TAMU @ BYU</t>
  </si>
  <si>
    <t xml:space="preserve">TAMU +22</t>
  </si>
  <si>
    <t xml:space="preserve">TAMU 0 - BYU 30</t>
  </si>
  <si>
    <t xml:space="preserve">ALA @ TCU</t>
  </si>
  <si>
    <t xml:space="preserve">ALA +21.5</t>
  </si>
  <si>
    <t xml:space="preserve">ALA 29 - TCU 38</t>
  </si>
  <si>
    <t xml:space="preserve">MIZZ @ TEX</t>
  </si>
  <si>
    <t xml:space="preserve">MIZZ 37 - TEX 35</t>
  </si>
  <si>
    <t xml:space="preserve">WASH @ ORE</t>
  </si>
  <si>
    <t xml:space="preserve">WASH +17.5</t>
  </si>
  <si>
    <t xml:space="preserve">WASH 25 - ORE 41</t>
  </si>
  <si>
    <t xml:space="preserve">USC 36 - LSU 15</t>
  </si>
  <si>
    <t xml:space="preserve">MICH @ ND</t>
  </si>
  <si>
    <t xml:space="preserve">MICH +17.5</t>
  </si>
  <si>
    <t xml:space="preserve">MICH 29 - ND 25</t>
  </si>
  <si>
    <t xml:space="preserve">UGA +22</t>
  </si>
  <si>
    <t xml:space="preserve">UGA 15 - IOWA 53</t>
  </si>
  <si>
    <t xml:space="preserve">CLEM @ MIA</t>
  </si>
  <si>
    <t xml:space="preserve">MIA +11</t>
  </si>
  <si>
    <t xml:space="preserve">CLEM 14 - MIA 14</t>
  </si>
  <si>
    <t xml:space="preserve">FSU @ SMU</t>
  </si>
  <si>
    <t xml:space="preserve">SMU +19.5</t>
  </si>
  <si>
    <t xml:space="preserve">FSU 26 - SMU 18</t>
  </si>
  <si>
    <t xml:space="preserve">2026-09-05</t>
  </si>
  <si>
    <t xml:space="preserve">MIZZ @ FSU</t>
  </si>
  <si>
    <t xml:space="preserve">Over 42</t>
  </si>
  <si>
    <t xml:space="preserve">MIZZ 20 - FSU 30</t>
  </si>
  <si>
    <t xml:space="preserve">AUB @ TENN</t>
  </si>
  <si>
    <t xml:space="preserve">AUB +17</t>
  </si>
  <si>
    <t xml:space="preserve">AUB 15 - TENN 41</t>
  </si>
  <si>
    <t xml:space="preserve">KSU @ SMU</t>
  </si>
  <si>
    <t xml:space="preserve">SMU +15</t>
  </si>
  <si>
    <t xml:space="preserve">KSU 49 - SMU 21</t>
  </si>
  <si>
    <t xml:space="preserve">ORE 20 - UTAH 9</t>
  </si>
  <si>
    <t xml:space="preserve">OU +13</t>
  </si>
  <si>
    <t xml:space="preserve">OU 22 - ARIZ 26</t>
  </si>
  <si>
    <t xml:space="preserve">MISS @ UGA</t>
  </si>
  <si>
    <t xml:space="preserve">MISS 29 - UGA 24</t>
  </si>
  <si>
    <t xml:space="preserve">TEX @ ND</t>
  </si>
  <si>
    <t xml:space="preserve">TEX +28.5</t>
  </si>
  <si>
    <t xml:space="preserve">TEX 26 - ND 49</t>
  </si>
  <si>
    <t xml:space="preserve">USC @ WASH</t>
  </si>
  <si>
    <t xml:space="preserve">USC 31 - WASH 44</t>
  </si>
  <si>
    <t xml:space="preserve">LSU @ NEB</t>
  </si>
  <si>
    <t xml:space="preserve">LSU +23</t>
  </si>
  <si>
    <t xml:space="preserve">LSU 9 - NEB 36</t>
  </si>
  <si>
    <t xml:space="preserve">TAMU @ IOWA</t>
  </si>
  <si>
    <t xml:space="preserve">TAMU +39</t>
  </si>
  <si>
    <t xml:space="preserve">TAMU 13 - IOWA 40</t>
  </si>
  <si>
    <t xml:space="preserve">Power Ratings</t>
  </si>
  <si>
    <t xml:space="preserve"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</si>
  <si>
    <t xml:space="preserve">#</t>
  </si>
  <si>
    <t xml:space="preserve">Team</t>
  </si>
  <si>
    <t xml:space="preserve">Rating</t>
  </si>
  <si>
    <t xml:space="preserve">Offence</t>
  </si>
  <si>
    <t xml:space="preserve">Defence</t>
  </si>
  <si>
    <t xml:space="preserve">GP</t>
  </si>
  <si>
    <t xml:space="preserve">ATS L5</t>
  </si>
  <si>
    <t xml:space="preserve">IOWA</t>
  </si>
  <si>
    <t xml:space="preserve">2-3</t>
  </si>
  <si>
    <t xml:space="preserve">NEB</t>
  </si>
  <si>
    <t xml:space="preserve">3-2</t>
  </si>
  <si>
    <t xml:space="preserve">FSU</t>
  </si>
  <si>
    <t xml:space="preserve">4-1</t>
  </si>
  <si>
    <t xml:space="preserve">TENN</t>
  </si>
  <si>
    <t xml:space="preserve">3-1-1</t>
  </si>
  <si>
    <t xml:space="preserve">CLEM</t>
  </si>
  <si>
    <t xml:space="preserve">OSU</t>
  </si>
  <si>
    <t xml:space="preserve">BYU</t>
  </si>
  <si>
    <t xml:space="preserve">ND</t>
  </si>
  <si>
    <t xml:space="preserve">0-5</t>
  </si>
  <si>
    <t xml:space="preserve">USC</t>
  </si>
  <si>
    <t xml:space="preserve">KSU</t>
  </si>
  <si>
    <t xml:space="preserve">MISS</t>
  </si>
  <si>
    <t xml:space="preserve">TCU</t>
  </si>
  <si>
    <t xml:space="preserve">UNC</t>
  </si>
  <si>
    <t xml:space="preserve">MIZZ</t>
  </si>
  <si>
    <t xml:space="preserve">PSU</t>
  </si>
  <si>
    <t xml:space="preserve">IND</t>
  </si>
  <si>
    <t xml:space="preserve">MIA</t>
  </si>
  <si>
    <t xml:space="preserve">WIS</t>
  </si>
  <si>
    <t xml:space="preserve">MICH</t>
  </si>
  <si>
    <t xml:space="preserve">UTAH</t>
  </si>
  <si>
    <t xml:space="preserve">ORE</t>
  </si>
  <si>
    <t xml:space="preserve">1-4</t>
  </si>
  <si>
    <t xml:space="preserve">ARIZ</t>
  </si>
  <si>
    <t xml:space="preserve">UGA</t>
  </si>
  <si>
    <t xml:space="preserve">LSU</t>
  </si>
  <si>
    <t xml:space="preserve">LOU</t>
  </si>
  <si>
    <t xml:space="preserve">TAMU</t>
  </si>
  <si>
    <t xml:space="preserve">2-2-1</t>
  </si>
  <si>
    <t xml:space="preserve">AUB</t>
  </si>
  <si>
    <t xml:space="preserve">OU</t>
  </si>
  <si>
    <t xml:space="preserve">SMU</t>
  </si>
  <si>
    <t xml:space="preserve">5-0</t>
  </si>
  <si>
    <t xml:space="preserve">ALA</t>
  </si>
  <si>
    <t xml:space="preserve">TEX</t>
  </si>
  <si>
    <t xml:space="preserve">WASH</t>
  </si>
  <si>
    <t xml:space="preserve">Games &amp; Results</t>
  </si>
  <si>
    <t xml:space="preserve">Every FBS game pulled this season, with the line as last seen.</t>
  </si>
  <si>
    <t xml:space="preserve">Away</t>
  </si>
  <si>
    <t xml:space="preserve">Home</t>
  </si>
  <si>
    <t xml:space="preserve">Away Pts</t>
  </si>
  <si>
    <t xml:space="preserve">Home Pts</t>
  </si>
  <si>
    <t xml:space="preserve">Status</t>
  </si>
  <si>
    <t xml:space="preserve">Neutral</t>
  </si>
  <si>
    <t xml:space="preserve">Spread (home)</t>
  </si>
  <si>
    <t xml:space="preserve">Total</t>
  </si>
  <si>
    <t xml:space="preserve">Away ML</t>
  </si>
  <si>
    <t xml:space="preserve">Home ML</t>
  </si>
  <si>
    <t xml:space="preserve">Settings Used For This Run</t>
  </si>
  <si>
    <t xml:space="preserve"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</si>
  <si>
    <t xml:space="preserve">Setting</t>
  </si>
  <si>
    <t xml:space="preserve">Value</t>
  </si>
  <si>
    <t xml:space="preserve">What it does</t>
  </si>
  <si>
    <t xml:space="preserve">Bankroll the ledger starts from.</t>
  </si>
  <si>
    <t xml:space="preserve">Kelly Fraction</t>
  </si>
  <si>
    <t xml:space="preserve">Fraction of full Kelly used for every stake.</t>
  </si>
  <si>
    <t xml:space="preserve">Max Stake % of Bankroll</t>
  </si>
  <si>
    <t xml:space="preserve">Hard cap on any single stake.</t>
  </si>
  <si>
    <t xml:space="preserve">Size Stakes Off</t>
  </si>
  <si>
    <t xml:space="preserve">settled</t>
  </si>
  <si>
    <t xml:space="preserve">'settled' sizes off settled results only, which avoids a stake depending on its own outcome.</t>
  </si>
  <si>
    <t xml:space="preserve">Best Bet threshold</t>
  </si>
  <si>
    <t xml:space="preserve">Edge required for the top tier.</t>
  </si>
  <si>
    <t xml:space="preserve">Good threshold</t>
  </si>
  <si>
    <t xml:space="preserve">Edge required for GOOD.</t>
  </si>
  <si>
    <t xml:space="preserve">Lean threshold</t>
  </si>
  <si>
    <t xml:space="preserve">Edge required for LEAN.</t>
  </si>
  <si>
    <t xml:space="preserve">Selection haircut</t>
  </si>
  <si>
    <t xml:space="preserve">Subtracted from every edge before tiering, for the winner's curse.</t>
  </si>
  <si>
    <t xml:space="preserve">Market Blend</t>
  </si>
  <si>
    <t xml:space="preserve">Weight on the de-vigged market probability. 0.50 minimised out-of-sample calibration error in walk-forward simulation.</t>
  </si>
  <si>
    <t xml:space="preserve">Margin Std Dev (pts)</t>
  </si>
  <si>
    <t xml:space="preserve">Spread of FBS scoring margin around the projection.</t>
  </si>
  <si>
    <t xml:space="preserve">Total Std Dev (pts)</t>
  </si>
  <si>
    <t xml:space="preserve">Spread of combined score around the projection.</t>
  </si>
  <si>
    <t xml:space="preserve">Key Numbers</t>
  </si>
  <si>
    <t xml:space="preserve">on</t>
  </si>
  <si>
    <t xml:space="preserve">Discrete margin distribution bumped at 3, 7, 10, 14 rather than a smooth normal curve.</t>
  </si>
  <si>
    <t xml:space="preserve">Max Model Probability</t>
  </si>
  <si>
    <t xml:space="preserve">Cap applied at the staking step so one input cannot produce an extreme bet.</t>
  </si>
  <si>
    <t xml:space="preserve">Max bets per game</t>
  </si>
  <si>
    <t xml:space="preserve">Correlation guard — a team's ML and its spread are close to the same bet.</t>
  </si>
  <si>
    <t xml:space="preserve">Max plays per week</t>
  </si>
  <si>
    <t xml:space="preserve">Volume cap, best edges first.</t>
  </si>
  <si>
    <t xml:space="preserve">Ridge lambda</t>
  </si>
  <si>
    <t xml:space="preserve">Rating shrinkage. Higher pulls thin-evidence teams harder toward average.</t>
  </si>
  <si>
    <t xml:space="preserve">MOV cap</t>
  </si>
  <si>
    <t xml:space="preserve">Margin cap so blowouts do not dominate the ratings fit.</t>
  </si>
  <si>
    <t xml:space="preserve">Recency half-life (games)</t>
  </si>
  <si>
    <t xml:space="preserve">Measured in team-games; multiply by 7 for days.</t>
  </si>
  <si>
    <t xml:space="preserve">Estimated from this season's results, shrunk toward the configured prior.</t>
  </si>
  <si>
    <t xml:space="preserve">League avg points</t>
  </si>
  <si>
    <t xml:space="preserve">Per team per game, used as the baseline for the totals model.</t>
  </si>
  <si>
    <t xml:space="preserve">Odds source</t>
  </si>
  <si>
    <t xml:space="preserve">DraftKings, ESPN BET, Caesars Sportsbook</t>
  </si>
  <si>
    <t xml:space="preserve">ESPN's public feed. Free, keyless, single-book — no line shopping and no multi-book consensus.</t>
  </si>
  <si>
    <t xml:space="preserve">Model Health</t>
  </si>
  <si>
    <t xml:space="preserve">Whether the model deserves to be believed. Read this before the Board.</t>
  </si>
  <si>
    <t xml:space="preserve">Claimed probability</t>
  </si>
  <si>
    <t xml:space="preserve">Bets</t>
  </si>
  <si>
    <t xml:space="preserve">Predicted</t>
  </si>
  <si>
    <t xml:space="preserve">Actual</t>
  </si>
  <si>
    <t xml:space="preserve">Gap</t>
  </si>
  <si>
    <t xml:space="preserve">0-45%</t>
  </si>
  <si>
    <t xml:space="preserve">60-65%</t>
  </si>
  <si>
    <t xml:space="preserve">65-75%</t>
  </si>
  <si>
    <t xml:space="preserve">Average CLV</t>
  </si>
  <si>
    <t xml:space="preserve">Bets beating the close</t>
  </si>
  <si>
    <t xml:space="preserve">Brier score</t>
  </si>
  <si>
    <t xml:space="preserve">Settled bets</t>
  </si>
  <si>
    <t xml:space="preserve"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</si>
</sst>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&quot;C$&quot;#,##0.00;&quot;(C$&quot;#,##0.00\);\—"/>
    <numFmt numFmtId="166" formatCode="0.0%"/>
    <numFmt numFmtId="167" formatCode="0"/>
    <numFmt numFmtId="168" formatCode="0.00"/>
    <numFmt numFmtId="169" formatCode="0.0000"/>
    <numFmt numFmtId="170" formatCode="\+0;\-0"/>
    <numFmt numFmtId="171" formatCode="\+0.0%;\-0.0%"/>
    <numFmt numFmtId="172" formatCode="\+0.0;\-0.0"/>
    <numFmt numFmtId="173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2430"/>
      <name val="Arial"/>
      <family val="0"/>
      <charset val="1"/>
    </font>
    <font>
      <b val="true"/>
      <sz val="9"/>
      <color rgb="FF9A6B08"/>
      <name val="Arial"/>
      <family val="0"/>
      <charset val="1"/>
    </font>
    <font>
      <b val="true"/>
      <sz val="10"/>
      <color rgb="FF1F2430"/>
      <name val="Arial"/>
      <family val="0"/>
      <charset val="1"/>
    </font>
    <font>
      <sz val="10"/>
      <color rgb="FF1F2430"/>
      <name val="Arial"/>
      <family val="0"/>
      <charset val="1"/>
    </font>
    <font>
      <i val="true"/>
      <sz val="9"/>
      <color rgb="FF6F7887"/>
      <name val="Arial"/>
      <family val="0"/>
      <charset val="1"/>
    </font>
    <font>
      <b val="true"/>
      <sz val="16"/>
      <color rgb="FF1F243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6F7887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8E6"/>
        <bgColor rgb="FFF2F3F6"/>
      </patternFill>
    </fill>
    <fill>
      <patternFill patternType="solid">
        <fgColor rgb="FF2A3340"/>
        <bgColor rgb="FF1F2430"/>
      </patternFill>
    </fill>
    <fill>
      <patternFill patternType="solid">
        <fgColor rgb="FFF2F3F6"/>
        <bgColor rgb="FFFFF8E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6DA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A3340"/>
          <bgColor rgb="FF000000"/>
        </patternFill>
      </fill>
    </dxf>
    <dxf>
      <fill>
        <patternFill patternType="solid">
          <fgColor rgb="FFF2F3F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43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6B08"/>
      <rgbColor rgb="FF800080"/>
      <rgbColor rgb="FF008080"/>
      <rgbColor rgb="FFC0C0C0"/>
      <rgbColor rgb="FF6F7887"/>
      <rgbColor rgb="FF9999FF"/>
      <rgbColor rgb="FF993366"/>
      <rgbColor rgb="FFFFF8E6"/>
      <rgbColor rgb="FFF2F3F6"/>
      <rgbColor rgb="FF660066"/>
      <rgbColor rgb="FFFF8080"/>
      <rgbColor rgb="FF0066CC"/>
      <rgbColor rgb="FFD6DA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2430"/>
      <rgbColor rgb="FF993300"/>
      <rgbColor rgb="FF993366"/>
      <rgbColor rgb="FF333399"/>
      <rgbColor rgb="FF2A33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BoardTable" displayName="BoardTable" ref="A4:Q484" headerRowCount="1" totalsRowCount="0" totalsRowShown="0">
  <autoFilter ref="A4:Q484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</table>
</file>

<file path=xl/tables/table2.xml><?xml version="1.0" encoding="utf-8"?>
<table xmlns="http://schemas.openxmlformats.org/spreadsheetml/2006/main" id="2" name="RatingsTable" displayName="RatingsTable" ref="A4:G36" headerRowCount="1" totalsRowCount="0" totalsRowShown="0">
  <autoFilter ref="A4:G36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21.75" hidden="false" customHeight="true" outlineLevel="0" collapsed="false">
      <c r="A1" s="1" t="s">
        <v>0</v>
      </c>
    </row>
    <row r="2" customFormat="false" ht="25.5" hidden="false" customHeight="tru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4" t="s">
        <v>3</v>
      </c>
    </row>
    <row r="5" customFormat="false" ht="30" hidden="false" customHeight="true" outlineLevel="0" collapsed="false">
      <c r="A5" s="3" t="s">
        <v>4</v>
      </c>
      <c r="B5" s="4" t="s">
        <v>5</v>
      </c>
    </row>
    <row r="6" customFormat="false" ht="30" hidden="false" customHeight="true" outlineLevel="0" collapsed="false">
      <c r="A6" s="3" t="s">
        <v>6</v>
      </c>
      <c r="B6" s="4" t="s">
        <v>7</v>
      </c>
    </row>
    <row r="7" customFormat="false" ht="30" hidden="false" customHeight="true" outlineLevel="0" collapsed="false">
      <c r="A7" s="3" t="s">
        <v>8</v>
      </c>
      <c r="B7" s="4" t="s">
        <v>9</v>
      </c>
    </row>
    <row r="8" customFormat="false" ht="30" hidden="false" customHeight="true" outlineLevel="0" collapsed="false">
      <c r="A8" s="3" t="s">
        <v>10</v>
      </c>
      <c r="B8" s="4" t="s">
        <v>11</v>
      </c>
    </row>
    <row r="9" customFormat="false" ht="30" hidden="false" customHeight="true" outlineLevel="0" collapsed="false">
      <c r="A9" s="3" t="s">
        <v>12</v>
      </c>
      <c r="B9" s="4" t="s">
        <v>13</v>
      </c>
    </row>
    <row r="10" customFormat="false" ht="30" hidden="false" customHeight="true" outlineLevel="0" collapsed="false">
      <c r="A10" s="3" t="s">
        <v>14</v>
      </c>
      <c r="B10" s="4" t="s">
        <v>15</v>
      </c>
    </row>
    <row r="11" customFormat="false" ht="30" hidden="false" customHeight="true" outlineLevel="0" collapsed="false">
      <c r="A11" s="3" t="s">
        <v>16</v>
      </c>
      <c r="B11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0" topLeftCell="A2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0"/>
    <col collapsed="false" customWidth="true" hidden="false" outlineLevel="0" max="3" min="3" style="0" width="9"/>
    <col collapsed="false" customWidth="true" hidden="false" outlineLevel="0" max="4" min="4" style="0" width="22"/>
    <col collapsed="false" customWidth="true" hidden="false" outlineLevel="0" max="7" min="5" style="0" width="9"/>
    <col collapsed="false" customWidth="true" hidden="false" outlineLevel="0" max="8" min="8" style="0" width="11"/>
    <col collapsed="false" customWidth="true" hidden="false" outlineLevel="0" max="9" min="9" style="0" width="18"/>
  </cols>
  <sheetData>
    <row r="1" customFormat="false" ht="21.75" hidden="false" customHeight="true" outlineLevel="0" collapsed="false">
      <c r="A1" s="1" t="s">
        <v>18</v>
      </c>
    </row>
    <row r="2" customFormat="false" ht="25.5" hidden="false" customHeight="true" outlineLevel="0" collapsed="false">
      <c r="A2" s="5" t="s">
        <v>19</v>
      </c>
    </row>
    <row r="4" customFormat="false" ht="19.7" hidden="false" customHeight="false" outlineLevel="0" collapsed="false">
      <c r="A4" s="3" t="s">
        <v>20</v>
      </c>
      <c r="B4" s="6" t="n">
        <v>500</v>
      </c>
    </row>
    <row r="5" customFormat="false" ht="19.7" hidden="false" customHeight="false" outlineLevel="0" collapsed="false">
      <c r="A5" s="3" t="s">
        <v>21</v>
      </c>
      <c r="B5" s="6" t="n">
        <f aca="false">Settings!B5+SUMIF('Bet Ledger'!$G$6:$G$145,"&lt;&gt;Pending",'Bet Ledger'!$H$6:$H$145)</f>
        <v>574.59</v>
      </c>
    </row>
    <row r="6" customFormat="false" ht="19.7" hidden="false" customHeight="false" outlineLevel="0" collapsed="false">
      <c r="A6" s="3" t="s">
        <v>22</v>
      </c>
      <c r="B6" s="6" t="n">
        <f aca="false">SUMIF('Bet Ledger'!$G$6:$G$145,"&lt;&gt;Pending",'Bet Ledger'!$F$6:$F$145)</f>
        <v>2204</v>
      </c>
    </row>
    <row r="7" customFormat="false" ht="19.7" hidden="false" customHeight="false" outlineLevel="0" collapsed="false">
      <c r="A7" s="3" t="s">
        <v>23</v>
      </c>
      <c r="B7" s="6" t="n">
        <f aca="false">SUMIF('Bet Ledger'!$G$6:$G$145,"&lt;&gt;Pending",'Bet Ledger'!$H$6:$H$145)</f>
        <v>74.59</v>
      </c>
    </row>
    <row r="8" customFormat="false" ht="19.7" hidden="false" customHeight="false" outlineLevel="0" collapsed="false">
      <c r="A8" s="3" t="s">
        <v>24</v>
      </c>
      <c r="B8" s="7" t="n">
        <f aca="false">IFERROR(B7/B6,"")</f>
        <v>0.0338430127041742</v>
      </c>
    </row>
    <row r="9" customFormat="false" ht="15" hidden="false" customHeight="false" outlineLevel="0" collapsed="false">
      <c r="A9" s="3" t="s">
        <v>25</v>
      </c>
      <c r="B9" s="8" t="n">
        <f aca="false">COUNTIFS('Bet Ledger'!$G$6:$G$145,"&lt;&gt;Pending",'Bet Ledger'!$G$6:$G$145,"&lt;&gt;")</f>
        <v>90</v>
      </c>
    </row>
    <row r="10" customFormat="false" ht="15" hidden="false" customHeight="false" outlineLevel="0" collapsed="false">
      <c r="A10" s="3" t="s">
        <v>26</v>
      </c>
      <c r="B10" s="8" t="n">
        <f aca="false">COUNTIF('Bet Ledger'!$G$6:$G$145,"Win")</f>
        <v>46</v>
      </c>
    </row>
    <row r="11" customFormat="false" ht="15" hidden="false" customHeight="false" outlineLevel="0" collapsed="false">
      <c r="A11" s="3" t="s">
        <v>27</v>
      </c>
      <c r="B11" s="8" t="n">
        <f aca="false">COUNTIF('Bet Ledger'!$G$6:$G$145,"Loss")</f>
        <v>41</v>
      </c>
    </row>
    <row r="12" customFormat="false" ht="15" hidden="false" customHeight="false" outlineLevel="0" collapsed="false">
      <c r="A12" s="3" t="s">
        <v>28</v>
      </c>
      <c r="B12" s="8" t="n">
        <f aca="false">COUNTIF('Bet Ledger'!$G$6:$G$145,"Push")</f>
        <v>3</v>
      </c>
    </row>
    <row r="13" customFormat="false" ht="15" hidden="false" customHeight="false" outlineLevel="0" collapsed="false">
      <c r="A13" s="3" t="s">
        <v>29</v>
      </c>
      <c r="B13" s="9" t="n">
        <f aca="false">IFERROR(B10/(B10+B11),"")</f>
        <v>0.528735632183908</v>
      </c>
    </row>
    <row r="14" customFormat="false" ht="15" hidden="false" customHeight="false" outlineLevel="0" collapsed="false">
      <c r="A14" s="3" t="s">
        <v>30</v>
      </c>
      <c r="B14" s="8" t="n">
        <f aca="false">COUNTIF('Bet Ledger'!$G$6:$G$145,"Pending")</f>
        <v>50</v>
      </c>
    </row>
    <row r="15" customFormat="false" ht="15" hidden="false" customHeight="false" outlineLevel="0" collapsed="false">
      <c r="A15" s="3" t="s">
        <v>31</v>
      </c>
      <c r="B15" s="8" t="n">
        <v>50</v>
      </c>
    </row>
    <row r="16" customFormat="false" ht="15" hidden="false" customHeight="false" outlineLevel="0" collapsed="false">
      <c r="A16" s="3" t="s">
        <v>32</v>
      </c>
      <c r="B16" s="10" t="n">
        <v>2.42</v>
      </c>
    </row>
    <row r="17" customFormat="false" ht="15" hidden="false" customHeight="false" outlineLevel="0" collapsed="false">
      <c r="A17" s="3" t="s">
        <v>33</v>
      </c>
      <c r="B17" s="11" t="n">
        <v>0.2475</v>
      </c>
    </row>
    <row r="19" customFormat="false" ht="15" hidden="false" customHeight="false" outlineLevel="0" collapsed="false">
      <c r="A19" s="3" t="s">
        <v>34</v>
      </c>
    </row>
    <row r="20" customFormat="false" ht="15" hidden="false" customHeight="false" outlineLevel="0" collapsed="false">
      <c r="A20" s="12" t="s">
        <v>35</v>
      </c>
      <c r="B20" s="12" t="s">
        <v>36</v>
      </c>
      <c r="C20" s="12" t="s">
        <v>37</v>
      </c>
      <c r="D20" s="12" t="s">
        <v>38</v>
      </c>
      <c r="E20" s="12" t="s">
        <v>39</v>
      </c>
      <c r="F20" s="12" t="s">
        <v>8</v>
      </c>
      <c r="G20" s="12" t="s">
        <v>40</v>
      </c>
      <c r="H20" s="12" t="s">
        <v>41</v>
      </c>
      <c r="I20" s="12" t="s">
        <v>42</v>
      </c>
    </row>
    <row r="21" customFormat="false" ht="15" hidden="false" customHeight="false" outlineLevel="0" collapsed="false">
      <c r="A21" s="13" t="s">
        <v>43</v>
      </c>
      <c r="B21" s="13" t="s">
        <v>44</v>
      </c>
      <c r="C21" s="13" t="s">
        <v>45</v>
      </c>
      <c r="D21" s="13" t="s">
        <v>46</v>
      </c>
      <c r="E21" s="14" t="n">
        <v>-110</v>
      </c>
      <c r="F21" s="15" t="n">
        <v>0.223058813526404</v>
      </c>
      <c r="G21" s="16" t="n">
        <v>0.746868337335928</v>
      </c>
      <c r="H21" s="17"/>
      <c r="I21" s="13" t="s">
        <v>47</v>
      </c>
    </row>
    <row r="22" customFormat="false" ht="15" hidden="false" customHeight="false" outlineLevel="0" collapsed="false">
      <c r="A22" s="18" t="s">
        <v>43</v>
      </c>
      <c r="B22" s="18" t="s">
        <v>48</v>
      </c>
      <c r="C22" s="18" t="s">
        <v>49</v>
      </c>
      <c r="D22" s="18" t="s">
        <v>50</v>
      </c>
      <c r="E22" s="19" t="n">
        <v>-110</v>
      </c>
      <c r="F22" s="20" t="n">
        <v>0.213120111574352</v>
      </c>
      <c r="G22" s="21" t="n">
        <v>0.736929635383876</v>
      </c>
      <c r="H22" s="22"/>
      <c r="I22" s="18" t="s">
        <v>51</v>
      </c>
    </row>
    <row r="23" customFormat="false" ht="15" hidden="false" customHeight="false" outlineLevel="0" collapsed="false">
      <c r="A23" s="13" t="s">
        <v>43</v>
      </c>
      <c r="B23" s="13" t="s">
        <v>52</v>
      </c>
      <c r="C23" s="13" t="s">
        <v>45</v>
      </c>
      <c r="D23" s="13" t="s">
        <v>53</v>
      </c>
      <c r="E23" s="14" t="n">
        <v>-110</v>
      </c>
      <c r="F23" s="15" t="n">
        <v>0.20351414378689</v>
      </c>
      <c r="G23" s="16" t="n">
        <v>0.727323667596414</v>
      </c>
      <c r="H23" s="17"/>
      <c r="I23" s="13" t="s">
        <v>54</v>
      </c>
    </row>
    <row r="24" customFormat="false" ht="15" hidden="false" customHeight="false" outlineLevel="0" collapsed="false">
      <c r="A24" s="18" t="s">
        <v>43</v>
      </c>
      <c r="B24" s="18" t="s">
        <v>55</v>
      </c>
      <c r="C24" s="18" t="s">
        <v>49</v>
      </c>
      <c r="D24" s="18" t="s">
        <v>56</v>
      </c>
      <c r="E24" s="19" t="n">
        <v>-110</v>
      </c>
      <c r="F24" s="20" t="n">
        <v>0.192355597006796</v>
      </c>
      <c r="G24" s="21" t="n">
        <v>0.716165120816319</v>
      </c>
      <c r="H24" s="22"/>
      <c r="I24" s="18" t="s">
        <v>51</v>
      </c>
    </row>
    <row r="25" customFormat="false" ht="15" hidden="false" customHeight="false" outlineLevel="0" collapsed="false">
      <c r="A25" s="13" t="s">
        <v>43</v>
      </c>
      <c r="B25" s="13" t="s">
        <v>57</v>
      </c>
      <c r="C25" s="13" t="s">
        <v>49</v>
      </c>
      <c r="D25" s="13" t="s">
        <v>58</v>
      </c>
      <c r="E25" s="14" t="n">
        <v>-110</v>
      </c>
      <c r="F25" s="15" t="n">
        <v>0.188053985713945</v>
      </c>
      <c r="G25" s="16" t="n">
        <v>0.711863509523469</v>
      </c>
      <c r="H25" s="17"/>
      <c r="I25" s="13" t="s">
        <v>59</v>
      </c>
    </row>
    <row r="26" customFormat="false" ht="15" hidden="false" customHeight="false" outlineLevel="0" collapsed="false">
      <c r="A26" s="18" t="s">
        <v>43</v>
      </c>
      <c r="B26" s="18" t="s">
        <v>60</v>
      </c>
      <c r="C26" s="18" t="s">
        <v>49</v>
      </c>
      <c r="D26" s="18" t="s">
        <v>61</v>
      </c>
      <c r="E26" s="19" t="n">
        <v>-110</v>
      </c>
      <c r="F26" s="20" t="n">
        <v>0.187457724017183</v>
      </c>
      <c r="G26" s="21" t="n">
        <v>0.711267247826707</v>
      </c>
      <c r="H26" s="22"/>
      <c r="I26" s="18" t="s">
        <v>62</v>
      </c>
    </row>
    <row r="27" customFormat="false" ht="15" hidden="false" customHeight="false" outlineLevel="0" collapsed="false">
      <c r="A27" s="13" t="s">
        <v>43</v>
      </c>
      <c r="B27" s="13" t="s">
        <v>63</v>
      </c>
      <c r="C27" s="13" t="s">
        <v>49</v>
      </c>
      <c r="D27" s="13" t="s">
        <v>64</v>
      </c>
      <c r="E27" s="14" t="n">
        <v>-110</v>
      </c>
      <c r="F27" s="15" t="n">
        <v>0.187331638714163</v>
      </c>
      <c r="G27" s="16" t="n">
        <v>0.711141162523686</v>
      </c>
      <c r="H27" s="17"/>
      <c r="I27" s="13" t="s">
        <v>65</v>
      </c>
    </row>
    <row r="28" customFormat="false" ht="15" hidden="false" customHeight="false" outlineLevel="0" collapsed="false">
      <c r="A28" s="18" t="s">
        <v>43</v>
      </c>
      <c r="B28" s="18" t="s">
        <v>66</v>
      </c>
      <c r="C28" s="18" t="s">
        <v>45</v>
      </c>
      <c r="D28" s="18" t="s">
        <v>67</v>
      </c>
      <c r="E28" s="19" t="n">
        <v>-110</v>
      </c>
      <c r="F28" s="20" t="n">
        <v>0.186744378545473</v>
      </c>
      <c r="G28" s="21" t="n">
        <v>0.710553902354997</v>
      </c>
      <c r="H28" s="22"/>
      <c r="I28" s="18" t="s">
        <v>68</v>
      </c>
    </row>
    <row r="29" customFormat="false" ht="15" hidden="false" customHeight="false" outlineLevel="0" collapsed="false">
      <c r="A29" s="13" t="s">
        <v>43</v>
      </c>
      <c r="B29" s="13" t="s">
        <v>69</v>
      </c>
      <c r="C29" s="13" t="s">
        <v>45</v>
      </c>
      <c r="D29" s="13" t="s">
        <v>70</v>
      </c>
      <c r="E29" s="14" t="n">
        <v>-110</v>
      </c>
      <c r="F29" s="15" t="n">
        <v>0.184922179906125</v>
      </c>
      <c r="G29" s="16" t="n">
        <v>0.708731703715648</v>
      </c>
      <c r="H29" s="17"/>
      <c r="I29" s="13" t="s">
        <v>71</v>
      </c>
    </row>
    <row r="30" customFormat="false" ht="15" hidden="false" customHeight="false" outlineLevel="0" collapsed="false">
      <c r="A30" s="18" t="s">
        <v>43</v>
      </c>
      <c r="B30" s="18" t="s">
        <v>72</v>
      </c>
      <c r="C30" s="18" t="s">
        <v>73</v>
      </c>
      <c r="D30" s="18" t="s">
        <v>74</v>
      </c>
      <c r="E30" s="19" t="n">
        <v>571</v>
      </c>
      <c r="F30" s="20" t="n">
        <v>0.181889403195302</v>
      </c>
      <c r="G30" s="21" t="n">
        <v>0.330920699767582</v>
      </c>
      <c r="H30" s="22"/>
      <c r="I30" s="18" t="s">
        <v>75</v>
      </c>
    </row>
    <row r="31" customFormat="false" ht="15" hidden="false" customHeight="false" outlineLevel="0" collapsed="false">
      <c r="A31" s="13" t="s">
        <v>43</v>
      </c>
      <c r="B31" s="13" t="s">
        <v>72</v>
      </c>
      <c r="C31" s="13" t="s">
        <v>73</v>
      </c>
      <c r="D31" s="13" t="s">
        <v>74</v>
      </c>
      <c r="E31" s="14" t="n">
        <v>571</v>
      </c>
      <c r="F31" s="15" t="n">
        <v>0.181889403195302</v>
      </c>
      <c r="G31" s="16" t="n">
        <v>0.330920699767582</v>
      </c>
      <c r="H31" s="17"/>
      <c r="I31" s="13" t="s">
        <v>76</v>
      </c>
    </row>
    <row r="32" customFormat="false" ht="15" hidden="false" customHeight="false" outlineLevel="0" collapsed="false">
      <c r="A32" s="18" t="s">
        <v>43</v>
      </c>
      <c r="B32" s="18" t="s">
        <v>77</v>
      </c>
      <c r="C32" s="18" t="s">
        <v>49</v>
      </c>
      <c r="D32" s="18" t="s">
        <v>78</v>
      </c>
      <c r="E32" s="19" t="n">
        <v>-110</v>
      </c>
      <c r="F32" s="20" t="n">
        <v>0.180379246420114</v>
      </c>
      <c r="G32" s="21" t="n">
        <v>0.704188770229638</v>
      </c>
      <c r="H32" s="22"/>
      <c r="I32" s="18" t="s">
        <v>65</v>
      </c>
    </row>
    <row r="33" customFormat="false" ht="15" hidden="false" customHeight="false" outlineLevel="0" collapsed="false">
      <c r="A33" s="13" t="s">
        <v>43</v>
      </c>
      <c r="B33" s="13" t="s">
        <v>79</v>
      </c>
      <c r="C33" s="13" t="s">
        <v>45</v>
      </c>
      <c r="D33" s="13" t="s">
        <v>80</v>
      </c>
      <c r="E33" s="14" t="n">
        <v>-110</v>
      </c>
      <c r="F33" s="15" t="n">
        <v>0.177154070031641</v>
      </c>
      <c r="G33" s="16" t="n">
        <v>0.700963593841165</v>
      </c>
      <c r="H33" s="17"/>
      <c r="I33" s="13" t="s">
        <v>68</v>
      </c>
    </row>
    <row r="34" customFormat="false" ht="15" hidden="false" customHeight="false" outlineLevel="0" collapsed="false">
      <c r="A34" s="18" t="s">
        <v>43</v>
      </c>
      <c r="B34" s="18" t="s">
        <v>81</v>
      </c>
      <c r="C34" s="18" t="s">
        <v>45</v>
      </c>
      <c r="D34" s="18" t="s">
        <v>82</v>
      </c>
      <c r="E34" s="19" t="n">
        <v>-110</v>
      </c>
      <c r="F34" s="20" t="n">
        <v>0.175695210222269</v>
      </c>
      <c r="G34" s="21" t="n">
        <v>0.699504734031793</v>
      </c>
      <c r="H34" s="22"/>
      <c r="I34" s="18" t="s">
        <v>47</v>
      </c>
    </row>
    <row r="35" customFormat="false" ht="15" hidden="false" customHeight="false" outlineLevel="0" collapsed="false">
      <c r="A35" s="13" t="s">
        <v>43</v>
      </c>
      <c r="B35" s="13" t="s">
        <v>83</v>
      </c>
      <c r="C35" s="13" t="s">
        <v>49</v>
      </c>
      <c r="D35" s="13" t="s">
        <v>84</v>
      </c>
      <c r="E35" s="14" t="n">
        <v>-110</v>
      </c>
      <c r="F35" s="15" t="n">
        <v>0.172368020672368</v>
      </c>
      <c r="G35" s="16" t="n">
        <v>0.696177544481892</v>
      </c>
      <c r="H35" s="17"/>
      <c r="I35" s="13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8"/>
    <col collapsed="false" customWidth="true" hidden="false" outlineLevel="0" max="3" min="3" style="0" width="17"/>
    <col collapsed="false" customWidth="true" hidden="false" outlineLevel="0" max="4" min="4" style="0" width="5"/>
    <col collapsed="false" customWidth="true" hidden="false" outlineLevel="0" max="5" min="5" style="0" width="9"/>
    <col collapsed="false" customWidth="true" hidden="false" outlineLevel="0" max="6" min="6" style="0" width="22"/>
    <col collapsed="false" customWidth="true" hidden="false" outlineLevel="0" max="8" min="7" style="0" width="8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3" min="12" style="0" width="9"/>
    <col collapsed="false" customWidth="true" hidden="false" outlineLevel="0" max="15" min="14" style="0" width="8"/>
    <col collapsed="false" customWidth="true" hidden="false" outlineLevel="0" max="16" min="16" style="0" width="14"/>
    <col collapsed="false" customWidth="true" hidden="false" outlineLevel="0" max="17" min="17" style="0" width="38"/>
  </cols>
  <sheetData>
    <row r="1" customFormat="false" ht="21.75" hidden="false" customHeight="true" outlineLevel="0" collapsed="false">
      <c r="A1" s="1" t="s">
        <v>85</v>
      </c>
    </row>
    <row r="2" customFormat="false" ht="25.5" hidden="false" customHeight="true" outlineLevel="0" collapsed="false">
      <c r="A2" s="5" t="s">
        <v>86</v>
      </c>
    </row>
    <row r="4" customFormat="false" ht="15" hidden="false" customHeight="false" outlineLevel="0" collapsed="false">
      <c r="A4" s="12" t="s">
        <v>35</v>
      </c>
      <c r="B4" s="12" t="s">
        <v>36</v>
      </c>
      <c r="C4" s="12" t="s">
        <v>42</v>
      </c>
      <c r="D4" s="12" t="s">
        <v>87</v>
      </c>
      <c r="E4" s="12" t="s">
        <v>37</v>
      </c>
      <c r="F4" s="12" t="s">
        <v>38</v>
      </c>
      <c r="G4" s="12" t="s">
        <v>88</v>
      </c>
      <c r="H4" s="12" t="s">
        <v>39</v>
      </c>
      <c r="I4" s="12" t="s">
        <v>40</v>
      </c>
      <c r="J4" s="12" t="s">
        <v>89</v>
      </c>
      <c r="K4" s="12" t="s">
        <v>90</v>
      </c>
      <c r="L4" s="12" t="s">
        <v>8</v>
      </c>
      <c r="M4" s="12" t="s">
        <v>91</v>
      </c>
      <c r="N4" s="12" t="s">
        <v>92</v>
      </c>
      <c r="O4" s="12" t="s">
        <v>93</v>
      </c>
      <c r="P4" s="12" t="s">
        <v>94</v>
      </c>
      <c r="Q4" s="12" t="s">
        <v>95</v>
      </c>
    </row>
    <row r="5" customFormat="false" ht="15" hidden="false" customHeight="false" outlineLevel="0" collapsed="false">
      <c r="A5" s="13" t="s">
        <v>43</v>
      </c>
      <c r="B5" s="13" t="s">
        <v>44</v>
      </c>
      <c r="C5" s="13" t="s">
        <v>47</v>
      </c>
      <c r="D5" s="23" t="n">
        <v>14</v>
      </c>
      <c r="E5" s="13" t="s">
        <v>45</v>
      </c>
      <c r="F5" s="13" t="s">
        <v>46</v>
      </c>
      <c r="G5" s="24" t="n">
        <v>39.5</v>
      </c>
      <c r="H5" s="14" t="n">
        <v>-110</v>
      </c>
      <c r="I5" s="16" t="n">
        <v>0.746868337335928</v>
      </c>
      <c r="J5" s="16" t="n">
        <v>0.5</v>
      </c>
      <c r="K5" s="16" t="n">
        <v>0.523809523809524</v>
      </c>
      <c r="L5" s="15" t="n">
        <v>0.223058813526404</v>
      </c>
      <c r="M5" s="15" t="n">
        <v>0.425839553095863</v>
      </c>
      <c r="N5" s="16" t="n">
        <v>0</v>
      </c>
      <c r="O5" s="25" t="n">
        <v>1</v>
      </c>
      <c r="P5" s="13" t="s">
        <v>96</v>
      </c>
      <c r="Q5" s="13"/>
    </row>
    <row r="6" customFormat="false" ht="15" hidden="false" customHeight="false" outlineLevel="0" collapsed="false">
      <c r="A6" s="18" t="s">
        <v>43</v>
      </c>
      <c r="B6" s="18" t="s">
        <v>48</v>
      </c>
      <c r="C6" s="18" t="s">
        <v>51</v>
      </c>
      <c r="D6" s="26" t="n">
        <v>14</v>
      </c>
      <c r="E6" s="18" t="s">
        <v>49</v>
      </c>
      <c r="F6" s="18" t="s">
        <v>50</v>
      </c>
      <c r="G6" s="27" t="n">
        <v>36.5</v>
      </c>
      <c r="H6" s="19" t="n">
        <v>-110</v>
      </c>
      <c r="I6" s="21" t="n">
        <v>0.736929635383876</v>
      </c>
      <c r="J6" s="21" t="n">
        <v>0.5</v>
      </c>
      <c r="K6" s="21" t="n">
        <v>0.523809523809524</v>
      </c>
      <c r="L6" s="20" t="n">
        <v>0.213120111574352</v>
      </c>
      <c r="M6" s="20" t="n">
        <v>0.406865667551036</v>
      </c>
      <c r="N6" s="21" t="n">
        <v>0</v>
      </c>
      <c r="O6" s="28" t="n">
        <v>1</v>
      </c>
      <c r="P6" s="18" t="s">
        <v>96</v>
      </c>
      <c r="Q6" s="18"/>
    </row>
    <row r="7" customFormat="false" ht="15" hidden="false" customHeight="false" outlineLevel="0" collapsed="false">
      <c r="A7" s="13" t="s">
        <v>43</v>
      </c>
      <c r="B7" s="13" t="s">
        <v>52</v>
      </c>
      <c r="C7" s="13" t="s">
        <v>54</v>
      </c>
      <c r="D7" s="23" t="n">
        <v>10</v>
      </c>
      <c r="E7" s="13" t="s">
        <v>45</v>
      </c>
      <c r="F7" s="13" t="s">
        <v>53</v>
      </c>
      <c r="G7" s="24" t="n">
        <v>-28</v>
      </c>
      <c r="H7" s="14" t="n">
        <v>-110</v>
      </c>
      <c r="I7" s="16" t="n">
        <v>0.727323667596414</v>
      </c>
      <c r="J7" s="16" t="n">
        <v>0.5</v>
      </c>
      <c r="K7" s="16" t="n">
        <v>0.523809523809524</v>
      </c>
      <c r="L7" s="15" t="n">
        <v>0.20351414378689</v>
      </c>
      <c r="M7" s="15" t="n">
        <v>0.385181172416213</v>
      </c>
      <c r="N7" s="16" t="n">
        <v>0.0086</v>
      </c>
      <c r="O7" s="25" t="n">
        <v>1</v>
      </c>
      <c r="P7" s="13" t="s">
        <v>96</v>
      </c>
      <c r="Q7" s="13"/>
    </row>
    <row r="8" customFormat="false" ht="15" hidden="false" customHeight="false" outlineLevel="0" collapsed="false">
      <c r="A8" s="18" t="s">
        <v>43</v>
      </c>
      <c r="B8" s="18" t="s">
        <v>55</v>
      </c>
      <c r="C8" s="18" t="s">
        <v>51</v>
      </c>
      <c r="D8" s="26" t="n">
        <v>14</v>
      </c>
      <c r="E8" s="18" t="s">
        <v>49</v>
      </c>
      <c r="F8" s="18" t="s">
        <v>56</v>
      </c>
      <c r="G8" s="27" t="n">
        <v>76</v>
      </c>
      <c r="H8" s="19" t="n">
        <v>-110</v>
      </c>
      <c r="I8" s="21" t="n">
        <v>0.716165120816319</v>
      </c>
      <c r="J8" s="21" t="n">
        <v>0.5</v>
      </c>
      <c r="K8" s="21" t="n">
        <v>0.523809523809524</v>
      </c>
      <c r="L8" s="20" t="n">
        <v>0.192355597006796</v>
      </c>
      <c r="M8" s="20" t="n">
        <v>0.362104092040239</v>
      </c>
      <c r="N8" s="21" t="n">
        <v>0.0139</v>
      </c>
      <c r="O8" s="28" t="n">
        <v>1</v>
      </c>
      <c r="P8" s="18" t="s">
        <v>96</v>
      </c>
      <c r="Q8" s="18"/>
    </row>
    <row r="9" customFormat="false" ht="15" hidden="false" customHeight="false" outlineLevel="0" collapsed="false">
      <c r="A9" s="13" t="s">
        <v>43</v>
      </c>
      <c r="B9" s="13" t="s">
        <v>57</v>
      </c>
      <c r="C9" s="13" t="s">
        <v>59</v>
      </c>
      <c r="D9" s="23" t="n">
        <v>10</v>
      </c>
      <c r="E9" s="13" t="s">
        <v>49</v>
      </c>
      <c r="F9" s="13" t="s">
        <v>58</v>
      </c>
      <c r="G9" s="24" t="n">
        <v>75.5</v>
      </c>
      <c r="H9" s="14" t="n">
        <v>-110</v>
      </c>
      <c r="I9" s="16" t="n">
        <v>0.711863509523469</v>
      </c>
      <c r="J9" s="16" t="n">
        <v>0.5</v>
      </c>
      <c r="K9" s="16" t="n">
        <v>0.523809523809524</v>
      </c>
      <c r="L9" s="15" t="n">
        <v>0.188053985713945</v>
      </c>
      <c r="M9" s="15" t="n">
        <v>0.359012154544804</v>
      </c>
      <c r="N9" s="16" t="n">
        <v>0</v>
      </c>
      <c r="O9" s="25" t="n">
        <v>1</v>
      </c>
      <c r="P9" s="13" t="s">
        <v>96</v>
      </c>
      <c r="Q9" s="13"/>
    </row>
    <row r="10" customFormat="false" ht="15" hidden="false" customHeight="false" outlineLevel="0" collapsed="false">
      <c r="A10" s="18" t="s">
        <v>43</v>
      </c>
      <c r="B10" s="18" t="s">
        <v>60</v>
      </c>
      <c r="C10" s="18" t="s">
        <v>62</v>
      </c>
      <c r="D10" s="26" t="n">
        <v>10</v>
      </c>
      <c r="E10" s="18" t="s">
        <v>49</v>
      </c>
      <c r="F10" s="18" t="s">
        <v>61</v>
      </c>
      <c r="G10" s="27" t="n">
        <v>39</v>
      </c>
      <c r="H10" s="19" t="n">
        <v>-110</v>
      </c>
      <c r="I10" s="21" t="n">
        <v>0.711267247826707</v>
      </c>
      <c r="J10" s="21" t="n">
        <v>0.5</v>
      </c>
      <c r="K10" s="21" t="n">
        <v>0.523809523809524</v>
      </c>
      <c r="L10" s="20" t="n">
        <v>0.187457724017183</v>
      </c>
      <c r="M10" s="20" t="n">
        <v>0.352364430088176</v>
      </c>
      <c r="N10" s="21" t="n">
        <v>0.0154</v>
      </c>
      <c r="O10" s="28" t="n">
        <v>1</v>
      </c>
      <c r="P10" s="18" t="s">
        <v>96</v>
      </c>
      <c r="Q10" s="18"/>
    </row>
    <row r="11" customFormat="false" ht="15" hidden="false" customHeight="false" outlineLevel="0" collapsed="false">
      <c r="A11" s="13" t="s">
        <v>43</v>
      </c>
      <c r="B11" s="13" t="s">
        <v>63</v>
      </c>
      <c r="C11" s="13" t="s">
        <v>65</v>
      </c>
      <c r="D11" s="23" t="n">
        <v>11</v>
      </c>
      <c r="E11" s="13" t="s">
        <v>49</v>
      </c>
      <c r="F11" s="13" t="s">
        <v>64</v>
      </c>
      <c r="G11" s="24" t="n">
        <v>40.5</v>
      </c>
      <c r="H11" s="14" t="n">
        <v>-110</v>
      </c>
      <c r="I11" s="16" t="n">
        <v>0.711141162523686</v>
      </c>
      <c r="J11" s="16" t="n">
        <v>0.5</v>
      </c>
      <c r="K11" s="16" t="n">
        <v>0.523809523809524</v>
      </c>
      <c r="L11" s="15" t="n">
        <v>0.187331638714163</v>
      </c>
      <c r="M11" s="15" t="n">
        <v>0.35763312845431</v>
      </c>
      <c r="N11" s="16" t="n">
        <v>0</v>
      </c>
      <c r="O11" s="25" t="n">
        <v>1</v>
      </c>
      <c r="P11" s="13" t="s">
        <v>96</v>
      </c>
      <c r="Q11" s="13"/>
    </row>
    <row r="12" customFormat="false" ht="15" hidden="false" customHeight="false" outlineLevel="0" collapsed="false">
      <c r="A12" s="18" t="s">
        <v>43</v>
      </c>
      <c r="B12" s="18" t="s">
        <v>66</v>
      </c>
      <c r="C12" s="18" t="s">
        <v>68</v>
      </c>
      <c r="D12" s="26" t="n">
        <v>11</v>
      </c>
      <c r="E12" s="18" t="s">
        <v>45</v>
      </c>
      <c r="F12" s="18" t="s">
        <v>67</v>
      </c>
      <c r="G12" s="27" t="n">
        <v>18</v>
      </c>
      <c r="H12" s="19" t="n">
        <v>-110</v>
      </c>
      <c r="I12" s="21" t="n">
        <v>0.710553902354997</v>
      </c>
      <c r="J12" s="21" t="n">
        <v>0.5</v>
      </c>
      <c r="K12" s="21" t="n">
        <v>0.523809523809524</v>
      </c>
      <c r="L12" s="20" t="n">
        <v>0.186744378545473</v>
      </c>
      <c r="M12" s="20" t="n">
        <v>0.352855771624167</v>
      </c>
      <c r="N12" s="21" t="n">
        <v>0.0103</v>
      </c>
      <c r="O12" s="28" t="n">
        <v>1</v>
      </c>
      <c r="P12" s="18" t="s">
        <v>96</v>
      </c>
      <c r="Q12" s="18"/>
    </row>
    <row r="13" customFormat="false" ht="15" hidden="false" customHeight="false" outlineLevel="0" collapsed="false">
      <c r="A13" s="13" t="s">
        <v>43</v>
      </c>
      <c r="B13" s="13" t="s">
        <v>69</v>
      </c>
      <c r="C13" s="13" t="s">
        <v>71</v>
      </c>
      <c r="D13" s="23" t="n">
        <v>11</v>
      </c>
      <c r="E13" s="13" t="s">
        <v>45</v>
      </c>
      <c r="F13" s="13" t="s">
        <v>70</v>
      </c>
      <c r="G13" s="24" t="n">
        <v>-23</v>
      </c>
      <c r="H13" s="14" t="n">
        <v>-110</v>
      </c>
      <c r="I13" s="16" t="n">
        <v>0.708731703715648</v>
      </c>
      <c r="J13" s="16" t="n">
        <v>0.5</v>
      </c>
      <c r="K13" s="16" t="n">
        <v>0.523809523809524</v>
      </c>
      <c r="L13" s="15" t="n">
        <v>0.184922179906125</v>
      </c>
      <c r="M13" s="15" t="n">
        <v>0.349541527559978</v>
      </c>
      <c r="N13" s="16" t="n">
        <v>0.0099</v>
      </c>
      <c r="O13" s="25" t="n">
        <v>1</v>
      </c>
      <c r="P13" s="13" t="s">
        <v>96</v>
      </c>
      <c r="Q13" s="13"/>
    </row>
    <row r="14" customFormat="false" ht="15" hidden="false" customHeight="false" outlineLevel="0" collapsed="false">
      <c r="A14" s="18" t="s">
        <v>43</v>
      </c>
      <c r="B14" s="18" t="s">
        <v>72</v>
      </c>
      <c r="C14" s="18" t="s">
        <v>75</v>
      </c>
      <c r="D14" s="26" t="n">
        <v>13</v>
      </c>
      <c r="E14" s="18" t="s">
        <v>73</v>
      </c>
      <c r="F14" s="18" t="s">
        <v>74</v>
      </c>
      <c r="G14" s="27"/>
      <c r="H14" s="19" t="n">
        <v>571</v>
      </c>
      <c r="I14" s="21" t="n">
        <v>0.330920699767582</v>
      </c>
      <c r="J14" s="21" t="n">
        <v>0.143990726800171</v>
      </c>
      <c r="K14" s="21" t="n">
        <v>0.14903129657228</v>
      </c>
      <c r="L14" s="20" t="n">
        <v>0.181889403195302</v>
      </c>
      <c r="M14" s="20" t="n">
        <v>1.22047789544048</v>
      </c>
      <c r="N14" s="21" t="n">
        <v>0</v>
      </c>
      <c r="O14" s="28" t="n">
        <v>1</v>
      </c>
      <c r="P14" s="18" t="s">
        <v>96</v>
      </c>
      <c r="Q14" s="18"/>
    </row>
    <row r="15" customFormat="false" ht="15" hidden="false" customHeight="false" outlineLevel="0" collapsed="false">
      <c r="A15" s="13" t="s">
        <v>43</v>
      </c>
      <c r="B15" s="13" t="s">
        <v>72</v>
      </c>
      <c r="C15" s="13" t="s">
        <v>76</v>
      </c>
      <c r="D15" s="23" t="n">
        <v>14</v>
      </c>
      <c r="E15" s="13" t="s">
        <v>73</v>
      </c>
      <c r="F15" s="13" t="s">
        <v>74</v>
      </c>
      <c r="G15" s="24"/>
      <c r="H15" s="14" t="n">
        <v>571</v>
      </c>
      <c r="I15" s="16" t="n">
        <v>0.330920699767582</v>
      </c>
      <c r="J15" s="16" t="n">
        <v>0.143990726800171</v>
      </c>
      <c r="K15" s="16" t="n">
        <v>0.14903129657228</v>
      </c>
      <c r="L15" s="15" t="n">
        <v>0.181889403195302</v>
      </c>
      <c r="M15" s="15" t="n">
        <v>1.22047789544048</v>
      </c>
      <c r="N15" s="16" t="n">
        <v>0</v>
      </c>
      <c r="O15" s="25" t="n">
        <v>1</v>
      </c>
      <c r="P15" s="13" t="s">
        <v>96</v>
      </c>
      <c r="Q15" s="13"/>
    </row>
    <row r="16" customFormat="false" ht="15" hidden="false" customHeight="false" outlineLevel="0" collapsed="false">
      <c r="A16" s="18" t="s">
        <v>43</v>
      </c>
      <c r="B16" s="18" t="s">
        <v>77</v>
      </c>
      <c r="C16" s="18" t="s">
        <v>65</v>
      </c>
      <c r="D16" s="26" t="n">
        <v>11</v>
      </c>
      <c r="E16" s="18" t="s">
        <v>49</v>
      </c>
      <c r="F16" s="18" t="s">
        <v>78</v>
      </c>
      <c r="G16" s="27" t="n">
        <v>43</v>
      </c>
      <c r="H16" s="19" t="n">
        <v>-110</v>
      </c>
      <c r="I16" s="21" t="n">
        <v>0.704188770229638</v>
      </c>
      <c r="J16" s="21" t="n">
        <v>0.5</v>
      </c>
      <c r="K16" s="21" t="n">
        <v>0.523809523809524</v>
      </c>
      <c r="L16" s="20" t="n">
        <v>0.180379246420114</v>
      </c>
      <c r="M16" s="20" t="n">
        <v>0.338382205912243</v>
      </c>
      <c r="N16" s="21" t="n">
        <v>0.0174</v>
      </c>
      <c r="O16" s="28" t="n">
        <v>1</v>
      </c>
      <c r="P16" s="18" t="s">
        <v>96</v>
      </c>
      <c r="Q16" s="18"/>
    </row>
    <row r="17" customFormat="false" ht="15" hidden="false" customHeight="false" outlineLevel="0" collapsed="false">
      <c r="A17" s="13" t="s">
        <v>43</v>
      </c>
      <c r="B17" s="13" t="s">
        <v>79</v>
      </c>
      <c r="C17" s="13" t="s">
        <v>68</v>
      </c>
      <c r="D17" s="23" t="n">
        <v>11</v>
      </c>
      <c r="E17" s="13" t="s">
        <v>45</v>
      </c>
      <c r="F17" s="13" t="s">
        <v>80</v>
      </c>
      <c r="G17" s="24" t="n">
        <v>-19.5</v>
      </c>
      <c r="H17" s="14" t="n">
        <v>-110</v>
      </c>
      <c r="I17" s="16" t="n">
        <v>0.700963593841165</v>
      </c>
      <c r="J17" s="16" t="n">
        <v>0.5</v>
      </c>
      <c r="K17" s="16" t="n">
        <v>0.523809523809524</v>
      </c>
      <c r="L17" s="15" t="n">
        <v>0.177154070031641</v>
      </c>
      <c r="M17" s="15" t="n">
        <v>0.33820322460586</v>
      </c>
      <c r="N17" s="16" t="n">
        <v>0</v>
      </c>
      <c r="O17" s="25" t="n">
        <v>1</v>
      </c>
      <c r="P17" s="13" t="s">
        <v>96</v>
      </c>
      <c r="Q17" s="13"/>
    </row>
    <row r="18" customFormat="false" ht="15" hidden="false" customHeight="false" outlineLevel="0" collapsed="false">
      <c r="A18" s="18" t="s">
        <v>43</v>
      </c>
      <c r="B18" s="18" t="s">
        <v>81</v>
      </c>
      <c r="C18" s="18" t="s">
        <v>47</v>
      </c>
      <c r="D18" s="26" t="n">
        <v>14</v>
      </c>
      <c r="E18" s="18" t="s">
        <v>45</v>
      </c>
      <c r="F18" s="18" t="s">
        <v>82</v>
      </c>
      <c r="G18" s="27" t="n">
        <v>-24</v>
      </c>
      <c r="H18" s="19" t="n">
        <v>-110</v>
      </c>
      <c r="I18" s="21" t="n">
        <v>0.699504734031793</v>
      </c>
      <c r="J18" s="21" t="n">
        <v>0.5</v>
      </c>
      <c r="K18" s="21" t="n">
        <v>0.523809523809524</v>
      </c>
      <c r="L18" s="20" t="n">
        <v>0.175695210222269</v>
      </c>
      <c r="M18" s="20" t="n">
        <v>0.330180855108632</v>
      </c>
      <c r="N18" s="21" t="n">
        <v>0.0156</v>
      </c>
      <c r="O18" s="28" t="n">
        <v>1</v>
      </c>
      <c r="P18" s="18" t="s">
        <v>96</v>
      </c>
      <c r="Q18" s="18"/>
    </row>
    <row r="19" customFormat="false" ht="15" hidden="false" customHeight="false" outlineLevel="0" collapsed="false">
      <c r="A19" s="13" t="s">
        <v>43</v>
      </c>
      <c r="B19" s="13" t="s">
        <v>83</v>
      </c>
      <c r="C19" s="13" t="s">
        <v>62</v>
      </c>
      <c r="D19" s="23" t="n">
        <v>10</v>
      </c>
      <c r="E19" s="13" t="s">
        <v>49</v>
      </c>
      <c r="F19" s="13" t="s">
        <v>84</v>
      </c>
      <c r="G19" s="24" t="n">
        <v>44</v>
      </c>
      <c r="H19" s="14" t="n">
        <v>-110</v>
      </c>
      <c r="I19" s="16" t="n">
        <v>0.696177544481892</v>
      </c>
      <c r="J19" s="16" t="n">
        <v>0.5</v>
      </c>
      <c r="K19" s="16" t="n">
        <v>0.523809523809524</v>
      </c>
      <c r="L19" s="15" t="n">
        <v>0.172368020672368</v>
      </c>
      <c r="M19" s="15" t="n">
        <v>0.322676214099114</v>
      </c>
      <c r="N19" s="16" t="n">
        <v>0.0194</v>
      </c>
      <c r="O19" s="25" t="n">
        <v>1</v>
      </c>
      <c r="P19" s="13" t="s">
        <v>96</v>
      </c>
      <c r="Q19" s="13"/>
    </row>
    <row r="20" customFormat="false" ht="15" hidden="false" customHeight="false" outlineLevel="0" collapsed="false">
      <c r="A20" s="18" t="s">
        <v>43</v>
      </c>
      <c r="B20" s="18" t="s">
        <v>97</v>
      </c>
      <c r="C20" s="18" t="s">
        <v>62</v>
      </c>
      <c r="D20" s="26" t="n">
        <v>10</v>
      </c>
      <c r="E20" s="18" t="s">
        <v>45</v>
      </c>
      <c r="F20" s="18" t="s">
        <v>98</v>
      </c>
      <c r="G20" s="27" t="n">
        <v>-24</v>
      </c>
      <c r="H20" s="19" t="n">
        <v>-110</v>
      </c>
      <c r="I20" s="21" t="n">
        <v>0.695820075858009</v>
      </c>
      <c r="J20" s="21" t="n">
        <v>0.5</v>
      </c>
      <c r="K20" s="21" t="n">
        <v>0.523809523809524</v>
      </c>
      <c r="L20" s="20" t="n">
        <v>0.172010552048486</v>
      </c>
      <c r="M20" s="20" t="n">
        <v>0.323003490129281</v>
      </c>
      <c r="N20" s="21" t="n">
        <v>0.0164</v>
      </c>
      <c r="O20" s="28" t="n">
        <v>1</v>
      </c>
      <c r="P20" s="18" t="s">
        <v>96</v>
      </c>
      <c r="Q20" s="18"/>
    </row>
    <row r="21" customFormat="false" ht="15" hidden="false" customHeight="false" outlineLevel="0" collapsed="false">
      <c r="A21" s="13" t="s">
        <v>43</v>
      </c>
      <c r="B21" s="13" t="s">
        <v>99</v>
      </c>
      <c r="C21" s="13" t="s">
        <v>75</v>
      </c>
      <c r="D21" s="23" t="n">
        <v>13</v>
      </c>
      <c r="E21" s="13" t="s">
        <v>45</v>
      </c>
      <c r="F21" s="13" t="s">
        <v>100</v>
      </c>
      <c r="G21" s="24" t="n">
        <v>20.5</v>
      </c>
      <c r="H21" s="14" t="n">
        <v>-110</v>
      </c>
      <c r="I21" s="16" t="n">
        <v>0.69230612153682</v>
      </c>
      <c r="J21" s="16" t="n">
        <v>0.5</v>
      </c>
      <c r="K21" s="16" t="n">
        <v>0.523809523809524</v>
      </c>
      <c r="L21" s="15" t="n">
        <v>0.168496597727296</v>
      </c>
      <c r="M21" s="15" t="n">
        <v>0.321675322933928</v>
      </c>
      <c r="N21" s="16" t="n">
        <v>0</v>
      </c>
      <c r="O21" s="25" t="n">
        <v>1</v>
      </c>
      <c r="P21" s="13" t="s">
        <v>96</v>
      </c>
      <c r="Q21" s="13"/>
    </row>
    <row r="22" customFormat="false" ht="15" hidden="false" customHeight="false" outlineLevel="0" collapsed="false">
      <c r="A22" s="18" t="s">
        <v>43</v>
      </c>
      <c r="B22" s="18" t="s">
        <v>101</v>
      </c>
      <c r="C22" s="18" t="s">
        <v>102</v>
      </c>
      <c r="D22" s="26" t="n">
        <v>13</v>
      </c>
      <c r="E22" s="18" t="s">
        <v>45</v>
      </c>
      <c r="F22" s="18" t="s">
        <v>103</v>
      </c>
      <c r="G22" s="27" t="n">
        <v>14.5</v>
      </c>
      <c r="H22" s="19" t="n">
        <v>-110</v>
      </c>
      <c r="I22" s="21" t="n">
        <v>0.687281206006295</v>
      </c>
      <c r="J22" s="21" t="n">
        <v>0.5</v>
      </c>
      <c r="K22" s="21" t="n">
        <v>0.523809523809524</v>
      </c>
      <c r="L22" s="20" t="n">
        <v>0.163471682196771</v>
      </c>
      <c r="M22" s="20" t="n">
        <v>0.312082302375653</v>
      </c>
      <c r="N22" s="21" t="n">
        <v>0</v>
      </c>
      <c r="O22" s="28" t="n">
        <v>1</v>
      </c>
      <c r="P22" s="18" t="s">
        <v>96</v>
      </c>
      <c r="Q22" s="18"/>
    </row>
    <row r="23" customFormat="false" ht="15" hidden="false" customHeight="false" outlineLevel="0" collapsed="false">
      <c r="A23" s="13" t="s">
        <v>43</v>
      </c>
      <c r="B23" s="13" t="s">
        <v>104</v>
      </c>
      <c r="C23" s="13" t="s">
        <v>65</v>
      </c>
      <c r="D23" s="23" t="n">
        <v>11</v>
      </c>
      <c r="E23" s="13" t="s">
        <v>45</v>
      </c>
      <c r="F23" s="13" t="s">
        <v>105</v>
      </c>
      <c r="G23" s="24" t="n">
        <v>12</v>
      </c>
      <c r="H23" s="14" t="n">
        <v>-110</v>
      </c>
      <c r="I23" s="16" t="n">
        <v>0.685413520676538</v>
      </c>
      <c r="J23" s="16" t="n">
        <v>0.5</v>
      </c>
      <c r="K23" s="16" t="n">
        <v>0.523809523809524</v>
      </c>
      <c r="L23" s="15" t="n">
        <v>0.161603996867014</v>
      </c>
      <c r="M23" s="15" t="n">
        <v>0.304519278022487</v>
      </c>
      <c r="N23" s="16" t="n">
        <v>0.013</v>
      </c>
      <c r="O23" s="25" t="n">
        <v>1</v>
      </c>
      <c r="P23" s="13" t="s">
        <v>96</v>
      </c>
      <c r="Q23" s="13"/>
    </row>
    <row r="24" customFormat="false" ht="15" hidden="false" customHeight="false" outlineLevel="0" collapsed="false">
      <c r="A24" s="18" t="s">
        <v>43</v>
      </c>
      <c r="B24" s="18" t="s">
        <v>106</v>
      </c>
      <c r="C24" s="18" t="s">
        <v>68</v>
      </c>
      <c r="D24" s="26" t="n">
        <v>11</v>
      </c>
      <c r="E24" s="18" t="s">
        <v>49</v>
      </c>
      <c r="F24" s="18" t="s">
        <v>107</v>
      </c>
      <c r="G24" s="27" t="n">
        <v>45.5</v>
      </c>
      <c r="H24" s="19" t="n">
        <v>-110</v>
      </c>
      <c r="I24" s="21" t="n">
        <v>0.680014581659124</v>
      </c>
      <c r="J24" s="21" t="n">
        <v>0.5</v>
      </c>
      <c r="K24" s="21" t="n">
        <v>0.523809523809524</v>
      </c>
      <c r="L24" s="20" t="n">
        <v>0.1562050578496</v>
      </c>
      <c r="M24" s="20" t="n">
        <v>0.298209655894691</v>
      </c>
      <c r="N24" s="21" t="n">
        <v>0</v>
      </c>
      <c r="O24" s="28" t="n">
        <v>1</v>
      </c>
      <c r="P24" s="18" t="s">
        <v>96</v>
      </c>
      <c r="Q24" s="18"/>
    </row>
    <row r="25" customFormat="false" ht="15" hidden="false" customHeight="false" outlineLevel="0" collapsed="false">
      <c r="A25" s="13" t="s">
        <v>43</v>
      </c>
      <c r="B25" s="13" t="s">
        <v>108</v>
      </c>
      <c r="C25" s="13" t="s">
        <v>109</v>
      </c>
      <c r="D25" s="23" t="n">
        <v>12</v>
      </c>
      <c r="E25" s="13" t="s">
        <v>73</v>
      </c>
      <c r="F25" s="13" t="s">
        <v>110</v>
      </c>
      <c r="G25" s="24"/>
      <c r="H25" s="14" t="n">
        <v>385</v>
      </c>
      <c r="I25" s="16" t="n">
        <v>0.360693918998114</v>
      </c>
      <c r="J25" s="16" t="n">
        <v>0.199222214641468</v>
      </c>
      <c r="K25" s="16" t="n">
        <v>0.206185567010309</v>
      </c>
      <c r="L25" s="15" t="n">
        <v>0.154508351987804</v>
      </c>
      <c r="M25" s="15" t="n">
        <v>0.74936550714085</v>
      </c>
      <c r="N25" s="16" t="n">
        <v>0</v>
      </c>
      <c r="O25" s="25" t="n">
        <v>1</v>
      </c>
      <c r="P25" s="13" t="s">
        <v>96</v>
      </c>
      <c r="Q25" s="13"/>
    </row>
    <row r="26" customFormat="false" ht="15" hidden="false" customHeight="false" outlineLevel="0" collapsed="false">
      <c r="A26" s="18" t="s">
        <v>43</v>
      </c>
      <c r="B26" s="18" t="s">
        <v>111</v>
      </c>
      <c r="C26" s="18" t="s">
        <v>59</v>
      </c>
      <c r="D26" s="26" t="n">
        <v>10</v>
      </c>
      <c r="E26" s="18" t="s">
        <v>45</v>
      </c>
      <c r="F26" s="18" t="s">
        <v>112</v>
      </c>
      <c r="G26" s="27" t="n">
        <v>-19</v>
      </c>
      <c r="H26" s="19" t="n">
        <v>-110</v>
      </c>
      <c r="I26" s="21" t="n">
        <v>0.676994335875941</v>
      </c>
      <c r="J26" s="21" t="n">
        <v>0.5</v>
      </c>
      <c r="K26" s="21" t="n">
        <v>0.523809523809524</v>
      </c>
      <c r="L26" s="20" t="n">
        <v>0.153184812066417</v>
      </c>
      <c r="M26" s="20" t="n">
        <v>0.288205589877405</v>
      </c>
      <c r="N26" s="21" t="n">
        <v>0.0145</v>
      </c>
      <c r="O26" s="28" t="n">
        <v>1</v>
      </c>
      <c r="P26" s="18" t="s">
        <v>96</v>
      </c>
      <c r="Q26" s="18"/>
    </row>
    <row r="27" customFormat="false" ht="15" hidden="false" customHeight="false" outlineLevel="0" collapsed="false">
      <c r="A27" s="13" t="s">
        <v>43</v>
      </c>
      <c r="B27" s="13" t="s">
        <v>113</v>
      </c>
      <c r="C27" s="13" t="s">
        <v>114</v>
      </c>
      <c r="D27" s="23" t="n">
        <v>13</v>
      </c>
      <c r="E27" s="13" t="s">
        <v>45</v>
      </c>
      <c r="F27" s="13" t="s">
        <v>115</v>
      </c>
      <c r="G27" s="24" t="n">
        <v>16</v>
      </c>
      <c r="H27" s="14" t="n">
        <v>-110</v>
      </c>
      <c r="I27" s="16" t="n">
        <v>0.676939367060215</v>
      </c>
      <c r="J27" s="16" t="n">
        <v>0.5</v>
      </c>
      <c r="K27" s="16" t="n">
        <v>0.523809523809524</v>
      </c>
      <c r="L27" s="15" t="n">
        <v>0.153129843250691</v>
      </c>
      <c r="M27" s="15" t="n">
        <v>0.288174331324725</v>
      </c>
      <c r="N27" s="16" t="n">
        <v>0.0142</v>
      </c>
      <c r="O27" s="25" t="n">
        <v>1</v>
      </c>
      <c r="P27" s="13" t="s">
        <v>96</v>
      </c>
      <c r="Q27" s="13"/>
    </row>
    <row r="28" customFormat="false" ht="15" hidden="false" customHeight="false" outlineLevel="0" collapsed="false">
      <c r="A28" s="18" t="s">
        <v>43</v>
      </c>
      <c r="B28" s="18" t="s">
        <v>116</v>
      </c>
      <c r="C28" s="18" t="s">
        <v>109</v>
      </c>
      <c r="D28" s="26" t="n">
        <v>12</v>
      </c>
      <c r="E28" s="18" t="s">
        <v>45</v>
      </c>
      <c r="F28" s="18" t="s">
        <v>117</v>
      </c>
      <c r="G28" s="27" t="n">
        <v>15.5</v>
      </c>
      <c r="H28" s="19" t="n">
        <v>-110</v>
      </c>
      <c r="I28" s="21" t="n">
        <v>0.675767187727868</v>
      </c>
      <c r="J28" s="21" t="n">
        <v>0.5</v>
      </c>
      <c r="K28" s="21" t="n">
        <v>0.523809523809524</v>
      </c>
      <c r="L28" s="20" t="n">
        <v>0.151957663918344</v>
      </c>
      <c r="M28" s="20" t="n">
        <v>0.290100994753202</v>
      </c>
      <c r="N28" s="21" t="n">
        <v>0</v>
      </c>
      <c r="O28" s="28" t="n">
        <v>1</v>
      </c>
      <c r="P28" s="18" t="s">
        <v>96</v>
      </c>
      <c r="Q28" s="18"/>
    </row>
    <row r="29" customFormat="false" ht="15" hidden="false" customHeight="false" outlineLevel="0" collapsed="false">
      <c r="A29" s="13" t="s">
        <v>43</v>
      </c>
      <c r="B29" s="13" t="s">
        <v>118</v>
      </c>
      <c r="C29" s="13" t="s">
        <v>76</v>
      </c>
      <c r="D29" s="23" t="n">
        <v>14</v>
      </c>
      <c r="E29" s="13" t="s">
        <v>73</v>
      </c>
      <c r="F29" s="13" t="s">
        <v>110</v>
      </c>
      <c r="G29" s="24"/>
      <c r="H29" s="14" t="n">
        <v>585</v>
      </c>
      <c r="I29" s="16" t="n">
        <v>0.297380620530591</v>
      </c>
      <c r="J29" s="16" t="n">
        <v>0.141032256047032</v>
      </c>
      <c r="K29" s="16" t="n">
        <v>0.145985401459854</v>
      </c>
      <c r="L29" s="15" t="n">
        <v>0.151395219070737</v>
      </c>
      <c r="M29" s="15" t="n">
        <v>1.03705725063455</v>
      </c>
      <c r="N29" s="16" t="n">
        <v>0</v>
      </c>
      <c r="O29" s="25" t="n">
        <v>1</v>
      </c>
      <c r="P29" s="13" t="s">
        <v>96</v>
      </c>
      <c r="Q29" s="13"/>
    </row>
    <row r="30" customFormat="false" ht="15" hidden="false" customHeight="false" outlineLevel="0" collapsed="false">
      <c r="A30" s="18" t="s">
        <v>43</v>
      </c>
      <c r="B30" s="18" t="s">
        <v>119</v>
      </c>
      <c r="C30" s="18" t="s">
        <v>109</v>
      </c>
      <c r="D30" s="26" t="n">
        <v>12</v>
      </c>
      <c r="E30" s="18" t="s">
        <v>45</v>
      </c>
      <c r="F30" s="18" t="s">
        <v>120</v>
      </c>
      <c r="G30" s="27" t="n">
        <v>-17</v>
      </c>
      <c r="H30" s="19" t="n">
        <v>-110</v>
      </c>
      <c r="I30" s="21" t="n">
        <v>0.671767984406429</v>
      </c>
      <c r="J30" s="21" t="n">
        <v>0.5</v>
      </c>
      <c r="K30" s="21" t="n">
        <v>0.523809523809524</v>
      </c>
      <c r="L30" s="20" t="n">
        <v>0.147958460596905</v>
      </c>
      <c r="M30" s="20" t="n">
        <v>0.275123561986682</v>
      </c>
      <c r="N30" s="21" t="n">
        <v>0.026</v>
      </c>
      <c r="O30" s="28" t="n">
        <v>1</v>
      </c>
      <c r="P30" s="18" t="s">
        <v>96</v>
      </c>
      <c r="Q30" s="18"/>
    </row>
    <row r="31" customFormat="false" ht="15" hidden="false" customHeight="false" outlineLevel="0" collapsed="false">
      <c r="A31" s="13" t="s">
        <v>43</v>
      </c>
      <c r="B31" s="13" t="s">
        <v>121</v>
      </c>
      <c r="C31" s="13" t="s">
        <v>65</v>
      </c>
      <c r="D31" s="23" t="n">
        <v>11</v>
      </c>
      <c r="E31" s="13" t="s">
        <v>49</v>
      </c>
      <c r="F31" s="13" t="s">
        <v>122</v>
      </c>
      <c r="G31" s="24" t="n">
        <v>65</v>
      </c>
      <c r="H31" s="14" t="n">
        <v>-110</v>
      </c>
      <c r="I31" s="16" t="n">
        <v>0.667388147782307</v>
      </c>
      <c r="J31" s="16" t="n">
        <v>0.5</v>
      </c>
      <c r="K31" s="16" t="n">
        <v>0.523809523809524</v>
      </c>
      <c r="L31" s="15" t="n">
        <v>0.143578623972783</v>
      </c>
      <c r="M31" s="15" t="n">
        <v>0.267074648365282</v>
      </c>
      <c r="N31" s="16" t="n">
        <v>0.0256</v>
      </c>
      <c r="O31" s="25" t="n">
        <v>1</v>
      </c>
      <c r="P31" s="13" t="s">
        <v>96</v>
      </c>
      <c r="Q31" s="13"/>
    </row>
    <row r="32" customFormat="false" ht="15" hidden="false" customHeight="false" outlineLevel="0" collapsed="false">
      <c r="A32" s="18" t="s">
        <v>43</v>
      </c>
      <c r="B32" s="18" t="s">
        <v>123</v>
      </c>
      <c r="C32" s="18" t="s">
        <v>102</v>
      </c>
      <c r="D32" s="26" t="n">
        <v>13</v>
      </c>
      <c r="E32" s="18" t="s">
        <v>73</v>
      </c>
      <c r="F32" s="18" t="s">
        <v>124</v>
      </c>
      <c r="G32" s="27"/>
      <c r="H32" s="19" t="n">
        <v>444</v>
      </c>
      <c r="I32" s="21" t="n">
        <v>0.326569452983812</v>
      </c>
      <c r="J32" s="21" t="n">
        <v>0.177604871447903</v>
      </c>
      <c r="K32" s="21" t="n">
        <v>0.183823529411765</v>
      </c>
      <c r="L32" s="20" t="n">
        <v>0.142745923572047</v>
      </c>
      <c r="M32" s="20" t="n">
        <v>0.776537824231936</v>
      </c>
      <c r="N32" s="21" t="n">
        <v>0</v>
      </c>
      <c r="O32" s="28" t="n">
        <v>1</v>
      </c>
      <c r="P32" s="18" t="s">
        <v>96</v>
      </c>
      <c r="Q32" s="18"/>
    </row>
    <row r="33" customFormat="false" ht="15" hidden="false" customHeight="false" outlineLevel="0" collapsed="false">
      <c r="A33" s="13" t="s">
        <v>43</v>
      </c>
      <c r="B33" s="13" t="s">
        <v>125</v>
      </c>
      <c r="C33" s="13" t="s">
        <v>109</v>
      </c>
      <c r="D33" s="23" t="n">
        <v>12</v>
      </c>
      <c r="E33" s="13" t="s">
        <v>49</v>
      </c>
      <c r="F33" s="13" t="s">
        <v>126</v>
      </c>
      <c r="G33" s="24" t="n">
        <v>67.5</v>
      </c>
      <c r="H33" s="14" t="n">
        <v>-110</v>
      </c>
      <c r="I33" s="16" t="n">
        <v>0.665786555453399</v>
      </c>
      <c r="J33" s="16" t="n">
        <v>0.5</v>
      </c>
      <c r="K33" s="16" t="n">
        <v>0.523809523809524</v>
      </c>
      <c r="L33" s="15" t="n">
        <v>0.141977031643875</v>
      </c>
      <c r="M33" s="15" t="n">
        <v>0.271047060411034</v>
      </c>
      <c r="N33" s="16" t="n">
        <v>0</v>
      </c>
      <c r="O33" s="25" t="n">
        <v>1</v>
      </c>
      <c r="P33" s="13" t="s">
        <v>96</v>
      </c>
      <c r="Q33" s="13"/>
    </row>
    <row r="34" customFormat="false" ht="15" hidden="false" customHeight="false" outlineLevel="0" collapsed="false">
      <c r="A34" s="18" t="s">
        <v>43</v>
      </c>
      <c r="B34" s="18" t="s">
        <v>127</v>
      </c>
      <c r="C34" s="18" t="s">
        <v>65</v>
      </c>
      <c r="D34" s="26" t="n">
        <v>11</v>
      </c>
      <c r="E34" s="18" t="s">
        <v>49</v>
      </c>
      <c r="F34" s="18" t="s">
        <v>128</v>
      </c>
      <c r="G34" s="27" t="n">
        <v>68</v>
      </c>
      <c r="H34" s="19" t="n">
        <v>-110</v>
      </c>
      <c r="I34" s="21" t="n">
        <v>0.664812950973469</v>
      </c>
      <c r="J34" s="21" t="n">
        <v>0.5</v>
      </c>
      <c r="K34" s="21" t="n">
        <v>0.523809523809524</v>
      </c>
      <c r="L34" s="20" t="n">
        <v>0.141003427163946</v>
      </c>
      <c r="M34" s="20" t="n">
        <v>0.262154837821662</v>
      </c>
      <c r="N34" s="21" t="n">
        <v>0.0261</v>
      </c>
      <c r="O34" s="28" t="n">
        <v>1</v>
      </c>
      <c r="P34" s="18" t="s">
        <v>96</v>
      </c>
      <c r="Q34" s="18"/>
    </row>
    <row r="35" customFormat="false" ht="15" hidden="false" customHeight="false" outlineLevel="0" collapsed="false">
      <c r="A35" s="13" t="s">
        <v>43</v>
      </c>
      <c r="B35" s="13" t="s">
        <v>129</v>
      </c>
      <c r="C35" s="13" t="s">
        <v>75</v>
      </c>
      <c r="D35" s="23" t="n">
        <v>13</v>
      </c>
      <c r="E35" s="13" t="s">
        <v>73</v>
      </c>
      <c r="F35" s="13" t="s">
        <v>130</v>
      </c>
      <c r="G35" s="24"/>
      <c r="H35" s="14" t="n">
        <v>315</v>
      </c>
      <c r="I35" s="16" t="n">
        <v>0.381491545468271</v>
      </c>
      <c r="J35" s="16" t="n">
        <v>0.232769768667082</v>
      </c>
      <c r="K35" s="16" t="n">
        <v>0.240963855421687</v>
      </c>
      <c r="L35" s="15" t="n">
        <v>0.140527690046584</v>
      </c>
      <c r="M35" s="15" t="n">
        <v>0.583189913693324</v>
      </c>
      <c r="N35" s="16" t="n">
        <v>0</v>
      </c>
      <c r="O35" s="25" t="n">
        <v>1</v>
      </c>
      <c r="P35" s="13" t="s">
        <v>96</v>
      </c>
      <c r="Q35" s="13"/>
    </row>
    <row r="36" customFormat="false" ht="15" hidden="false" customHeight="false" outlineLevel="0" collapsed="false">
      <c r="A36" s="18" t="s">
        <v>43</v>
      </c>
      <c r="B36" s="18" t="s">
        <v>131</v>
      </c>
      <c r="C36" s="18" t="s">
        <v>59</v>
      </c>
      <c r="D36" s="26" t="n">
        <v>10</v>
      </c>
      <c r="E36" s="18" t="s">
        <v>73</v>
      </c>
      <c r="F36" s="18" t="s">
        <v>132</v>
      </c>
      <c r="G36" s="27"/>
      <c r="H36" s="19" t="n">
        <v>313</v>
      </c>
      <c r="I36" s="21" t="n">
        <v>0.382116264661526</v>
      </c>
      <c r="J36" s="21" t="n">
        <v>0.234019207053591</v>
      </c>
      <c r="K36" s="21" t="n">
        <v>0.242130750605327</v>
      </c>
      <c r="L36" s="20" t="n">
        <v>0.139985514056199</v>
      </c>
      <c r="M36" s="20" t="n">
        <v>0.578140173052101</v>
      </c>
      <c r="N36" s="21" t="n">
        <v>0</v>
      </c>
      <c r="O36" s="28" t="n">
        <v>1</v>
      </c>
      <c r="P36" s="18" t="s">
        <v>96</v>
      </c>
      <c r="Q36" s="18"/>
    </row>
    <row r="37" customFormat="false" ht="15" hidden="false" customHeight="false" outlineLevel="0" collapsed="false">
      <c r="A37" s="13" t="s">
        <v>43</v>
      </c>
      <c r="B37" s="13" t="s">
        <v>133</v>
      </c>
      <c r="C37" s="13" t="s">
        <v>71</v>
      </c>
      <c r="D37" s="23" t="n">
        <v>11</v>
      </c>
      <c r="E37" s="13" t="s">
        <v>73</v>
      </c>
      <c r="F37" s="13" t="s">
        <v>134</v>
      </c>
      <c r="G37" s="24"/>
      <c r="H37" s="14" t="n">
        <v>458</v>
      </c>
      <c r="I37" s="16" t="n">
        <v>0.318605613920052</v>
      </c>
      <c r="J37" s="16" t="n">
        <v>0.173166014482976</v>
      </c>
      <c r="K37" s="16" t="n">
        <v>0.17921146953405</v>
      </c>
      <c r="L37" s="15" t="n">
        <v>0.139394144386002</v>
      </c>
      <c r="M37" s="15" t="n">
        <v>0.77781932567389</v>
      </c>
      <c r="N37" s="16" t="n">
        <v>0</v>
      </c>
      <c r="O37" s="25" t="n">
        <v>1</v>
      </c>
      <c r="P37" s="13" t="s">
        <v>96</v>
      </c>
      <c r="Q37" s="13"/>
    </row>
    <row r="38" customFormat="false" ht="15" hidden="false" customHeight="false" outlineLevel="0" collapsed="false">
      <c r="A38" s="18" t="s">
        <v>43</v>
      </c>
      <c r="B38" s="18" t="s">
        <v>135</v>
      </c>
      <c r="C38" s="18" t="s">
        <v>136</v>
      </c>
      <c r="D38" s="26" t="n">
        <v>12</v>
      </c>
      <c r="E38" s="18" t="s">
        <v>49</v>
      </c>
      <c r="F38" s="18" t="s">
        <v>137</v>
      </c>
      <c r="G38" s="27" t="n">
        <v>46.5</v>
      </c>
      <c r="H38" s="19" t="n">
        <v>-110</v>
      </c>
      <c r="I38" s="21" t="n">
        <v>0.656683345308685</v>
      </c>
      <c r="J38" s="21" t="n">
        <v>0.5</v>
      </c>
      <c r="K38" s="21" t="n">
        <v>0.523809523809524</v>
      </c>
      <c r="L38" s="20" t="n">
        <v>0.132873821499161</v>
      </c>
      <c r="M38" s="20" t="n">
        <v>0.253668204680217</v>
      </c>
      <c r="N38" s="21" t="n">
        <v>0</v>
      </c>
      <c r="O38" s="28" t="n">
        <v>1</v>
      </c>
      <c r="P38" s="18" t="s">
        <v>96</v>
      </c>
      <c r="Q38" s="18"/>
    </row>
    <row r="39" customFormat="false" ht="15" hidden="false" customHeight="false" outlineLevel="0" collapsed="false">
      <c r="A39" s="13" t="s">
        <v>43</v>
      </c>
      <c r="B39" s="13" t="s">
        <v>138</v>
      </c>
      <c r="C39" s="13" t="s">
        <v>62</v>
      </c>
      <c r="D39" s="23" t="n">
        <v>10</v>
      </c>
      <c r="E39" s="13" t="s">
        <v>45</v>
      </c>
      <c r="F39" s="13" t="s">
        <v>139</v>
      </c>
      <c r="G39" s="24" t="n">
        <v>-15.5</v>
      </c>
      <c r="H39" s="14" t="n">
        <v>-110</v>
      </c>
      <c r="I39" s="16" t="n">
        <v>0.65623511581771</v>
      </c>
      <c r="J39" s="16" t="n">
        <v>0.5</v>
      </c>
      <c r="K39" s="16" t="n">
        <v>0.523809523809524</v>
      </c>
      <c r="L39" s="15" t="n">
        <v>0.132425592008186</v>
      </c>
      <c r="M39" s="15" t="n">
        <v>0.25281249383381</v>
      </c>
      <c r="N39" s="16" t="n">
        <v>0</v>
      </c>
      <c r="O39" s="25" t="n">
        <v>1</v>
      </c>
      <c r="P39" s="13" t="s">
        <v>96</v>
      </c>
      <c r="Q39" s="13"/>
    </row>
    <row r="40" customFormat="false" ht="15" hidden="false" customHeight="false" outlineLevel="0" collapsed="false">
      <c r="A40" s="18" t="s">
        <v>43</v>
      </c>
      <c r="B40" s="18" t="s">
        <v>140</v>
      </c>
      <c r="C40" s="18" t="s">
        <v>114</v>
      </c>
      <c r="D40" s="26" t="n">
        <v>13</v>
      </c>
      <c r="E40" s="18" t="s">
        <v>45</v>
      </c>
      <c r="F40" s="18" t="s">
        <v>141</v>
      </c>
      <c r="G40" s="27" t="n">
        <v>-19</v>
      </c>
      <c r="H40" s="19" t="n">
        <v>-110</v>
      </c>
      <c r="I40" s="21" t="n">
        <v>0.656146255656891</v>
      </c>
      <c r="J40" s="21" t="n">
        <v>0.5</v>
      </c>
      <c r="K40" s="21" t="n">
        <v>0.523809523809524</v>
      </c>
      <c r="L40" s="20" t="n">
        <v>0.132336731847367</v>
      </c>
      <c r="M40" s="20" t="n">
        <v>0.248383522645608</v>
      </c>
      <c r="N40" s="21" t="n">
        <v>0.0169</v>
      </c>
      <c r="O40" s="28" t="n">
        <v>1</v>
      </c>
      <c r="P40" s="18" t="s">
        <v>96</v>
      </c>
      <c r="Q40" s="18"/>
    </row>
    <row r="41" customFormat="false" ht="15" hidden="false" customHeight="false" outlineLevel="0" collapsed="false">
      <c r="A41" s="13" t="s">
        <v>43</v>
      </c>
      <c r="B41" s="13" t="s">
        <v>142</v>
      </c>
      <c r="C41" s="13" t="s">
        <v>136</v>
      </c>
      <c r="D41" s="23" t="n">
        <v>12</v>
      </c>
      <c r="E41" s="13" t="s">
        <v>45</v>
      </c>
      <c r="F41" s="13" t="s">
        <v>143</v>
      </c>
      <c r="G41" s="24" t="n">
        <v>-15.5</v>
      </c>
      <c r="H41" s="14" t="n">
        <v>-110</v>
      </c>
      <c r="I41" s="16" t="n">
        <v>0.654316790679186</v>
      </c>
      <c r="J41" s="16" t="n">
        <v>0.5</v>
      </c>
      <c r="K41" s="16" t="n">
        <v>0.523809523809524</v>
      </c>
      <c r="L41" s="15" t="n">
        <v>0.130507266869663</v>
      </c>
      <c r="M41" s="15" t="n">
        <v>0.249150236751174</v>
      </c>
      <c r="N41" s="16" t="n">
        <v>0</v>
      </c>
      <c r="O41" s="25" t="n">
        <v>1</v>
      </c>
      <c r="P41" s="13" t="s">
        <v>96</v>
      </c>
      <c r="Q41" s="13"/>
    </row>
    <row r="42" customFormat="false" ht="15" hidden="false" customHeight="false" outlineLevel="0" collapsed="false">
      <c r="A42" s="18" t="s">
        <v>43</v>
      </c>
      <c r="B42" s="18" t="s">
        <v>144</v>
      </c>
      <c r="C42" s="18" t="s">
        <v>145</v>
      </c>
      <c r="D42" s="26" t="n">
        <v>12</v>
      </c>
      <c r="E42" s="18" t="s">
        <v>45</v>
      </c>
      <c r="F42" s="18" t="s">
        <v>146</v>
      </c>
      <c r="G42" s="27" t="n">
        <v>-19.5</v>
      </c>
      <c r="H42" s="19" t="n">
        <v>-110</v>
      </c>
      <c r="I42" s="21" t="n">
        <v>0.653815784662625</v>
      </c>
      <c r="J42" s="21" t="n">
        <v>0.5</v>
      </c>
      <c r="K42" s="21" t="n">
        <v>0.523809523809524</v>
      </c>
      <c r="L42" s="20" t="n">
        <v>0.130006260853102</v>
      </c>
      <c r="M42" s="20" t="n">
        <v>0.248193770719558</v>
      </c>
      <c r="N42" s="21" t="n">
        <v>0</v>
      </c>
      <c r="O42" s="28" t="n">
        <v>1</v>
      </c>
      <c r="P42" s="18" t="s">
        <v>96</v>
      </c>
      <c r="Q42" s="18"/>
    </row>
    <row r="43" customFormat="false" ht="15" hidden="false" customHeight="false" outlineLevel="0" collapsed="false">
      <c r="A43" s="13" t="s">
        <v>43</v>
      </c>
      <c r="B43" s="13" t="s">
        <v>147</v>
      </c>
      <c r="C43" s="13" t="s">
        <v>136</v>
      </c>
      <c r="D43" s="23" t="n">
        <v>12</v>
      </c>
      <c r="E43" s="13" t="s">
        <v>45</v>
      </c>
      <c r="F43" s="13" t="s">
        <v>148</v>
      </c>
      <c r="G43" s="24" t="n">
        <v>8</v>
      </c>
      <c r="H43" s="14" t="n">
        <v>-110</v>
      </c>
      <c r="I43" s="16" t="n">
        <v>0.648490100582701</v>
      </c>
      <c r="J43" s="16" t="n">
        <v>0.5</v>
      </c>
      <c r="K43" s="16" t="n">
        <v>0.523809523809524</v>
      </c>
      <c r="L43" s="15" t="n">
        <v>0.124680576773177</v>
      </c>
      <c r="M43" s="15" t="n">
        <v>0.233091618852354</v>
      </c>
      <c r="N43" s="16" t="n">
        <v>0.0207</v>
      </c>
      <c r="O43" s="25" t="n">
        <v>1</v>
      </c>
      <c r="P43" s="13" t="s">
        <v>96</v>
      </c>
      <c r="Q43" s="13"/>
    </row>
    <row r="44" customFormat="false" ht="15" hidden="false" customHeight="false" outlineLevel="0" collapsed="false">
      <c r="A44" s="18" t="s">
        <v>43</v>
      </c>
      <c r="B44" s="18" t="s">
        <v>149</v>
      </c>
      <c r="C44" s="18" t="s">
        <v>62</v>
      </c>
      <c r="D44" s="26" t="n">
        <v>10</v>
      </c>
      <c r="E44" s="18" t="s">
        <v>45</v>
      </c>
      <c r="F44" s="18" t="s">
        <v>150</v>
      </c>
      <c r="G44" s="27" t="n">
        <v>-11.5</v>
      </c>
      <c r="H44" s="19" t="n">
        <v>-110</v>
      </c>
      <c r="I44" s="21" t="n">
        <v>0.647694191626883</v>
      </c>
      <c r="J44" s="21" t="n">
        <v>0.5</v>
      </c>
      <c r="K44" s="21" t="n">
        <v>0.523809523809524</v>
      </c>
      <c r="L44" s="20" t="n">
        <v>0.123884667817359</v>
      </c>
      <c r="M44" s="20" t="n">
        <v>0.236507093105868</v>
      </c>
      <c r="N44" s="21" t="n">
        <v>0</v>
      </c>
      <c r="O44" s="28" t="n">
        <v>1</v>
      </c>
      <c r="P44" s="18" t="s">
        <v>96</v>
      </c>
      <c r="Q44" s="18"/>
    </row>
    <row r="45" customFormat="false" ht="15" hidden="false" customHeight="false" outlineLevel="0" collapsed="false">
      <c r="A45" s="13" t="s">
        <v>43</v>
      </c>
      <c r="B45" s="13" t="s">
        <v>151</v>
      </c>
      <c r="C45" s="13" t="s">
        <v>102</v>
      </c>
      <c r="D45" s="23" t="n">
        <v>13</v>
      </c>
      <c r="E45" s="13" t="s">
        <v>73</v>
      </c>
      <c r="F45" s="13" t="s">
        <v>152</v>
      </c>
      <c r="G45" s="24"/>
      <c r="H45" s="14" t="n">
        <v>341</v>
      </c>
      <c r="I45" s="16" t="n">
        <v>0.350638469302904</v>
      </c>
      <c r="J45" s="16" t="n">
        <v>0.2191276113408</v>
      </c>
      <c r="K45" s="16" t="n">
        <v>0.226757369614513</v>
      </c>
      <c r="L45" s="15" t="n">
        <v>0.123881099688391</v>
      </c>
      <c r="M45" s="15" t="n">
        <v>0.546315649625805</v>
      </c>
      <c r="N45" s="16" t="n">
        <v>0</v>
      </c>
      <c r="O45" s="25" t="n">
        <v>1</v>
      </c>
      <c r="P45" s="13" t="s">
        <v>96</v>
      </c>
      <c r="Q45" s="13"/>
    </row>
    <row r="46" customFormat="false" ht="15" hidden="false" customHeight="false" outlineLevel="0" collapsed="false">
      <c r="A46" s="18" t="s">
        <v>43</v>
      </c>
      <c r="B46" s="18" t="s">
        <v>153</v>
      </c>
      <c r="C46" s="18" t="s">
        <v>109</v>
      </c>
      <c r="D46" s="26" t="n">
        <v>12</v>
      </c>
      <c r="E46" s="18" t="s">
        <v>45</v>
      </c>
      <c r="F46" s="18" t="s">
        <v>154</v>
      </c>
      <c r="G46" s="27" t="n">
        <v>9.5</v>
      </c>
      <c r="H46" s="19" t="n">
        <v>-110</v>
      </c>
      <c r="I46" s="21" t="n">
        <v>0.642136278091366</v>
      </c>
      <c r="J46" s="21" t="n">
        <v>0.5</v>
      </c>
      <c r="K46" s="21" t="n">
        <v>0.523809523809524</v>
      </c>
      <c r="L46" s="20" t="n">
        <v>0.118326754281842</v>
      </c>
      <c r="M46" s="20" t="n">
        <v>0.225896530901698</v>
      </c>
      <c r="N46" s="21" t="n">
        <v>0</v>
      </c>
      <c r="O46" s="28" t="n">
        <v>1</v>
      </c>
      <c r="P46" s="18" t="s">
        <v>96</v>
      </c>
      <c r="Q46" s="18"/>
    </row>
    <row r="47" customFormat="false" ht="15" hidden="false" customHeight="false" outlineLevel="0" collapsed="false">
      <c r="A47" s="13" t="s">
        <v>43</v>
      </c>
      <c r="B47" s="13" t="s">
        <v>155</v>
      </c>
      <c r="C47" s="13" t="s">
        <v>145</v>
      </c>
      <c r="D47" s="23" t="n">
        <v>12</v>
      </c>
      <c r="E47" s="13" t="s">
        <v>73</v>
      </c>
      <c r="F47" s="13" t="s">
        <v>156</v>
      </c>
      <c r="G47" s="24"/>
      <c r="H47" s="14" t="n">
        <v>338</v>
      </c>
      <c r="I47" s="16" t="n">
        <v>0.342433260420124</v>
      </c>
      <c r="J47" s="16" t="n">
        <v>0.220534391444287</v>
      </c>
      <c r="K47" s="16" t="n">
        <v>0.228310502283105</v>
      </c>
      <c r="L47" s="15" t="n">
        <v>0.114122758137019</v>
      </c>
      <c r="M47" s="15" t="n">
        <v>0.499857680640142</v>
      </c>
      <c r="N47" s="16" t="n">
        <v>0</v>
      </c>
      <c r="O47" s="25" t="n">
        <v>1</v>
      </c>
      <c r="P47" s="13" t="s">
        <v>96</v>
      </c>
      <c r="Q47" s="13"/>
    </row>
    <row r="48" customFormat="false" ht="15" hidden="false" customHeight="false" outlineLevel="0" collapsed="false">
      <c r="A48" s="18" t="s">
        <v>43</v>
      </c>
      <c r="B48" s="18" t="s">
        <v>157</v>
      </c>
      <c r="C48" s="18" t="s">
        <v>75</v>
      </c>
      <c r="D48" s="26" t="n">
        <v>13</v>
      </c>
      <c r="E48" s="18" t="s">
        <v>45</v>
      </c>
      <c r="F48" s="18" t="s">
        <v>158</v>
      </c>
      <c r="G48" s="27" t="n">
        <v>-14</v>
      </c>
      <c r="H48" s="19" t="n">
        <v>-110</v>
      </c>
      <c r="I48" s="21" t="n">
        <v>0.635306827075614</v>
      </c>
      <c r="J48" s="21" t="n">
        <v>0.5</v>
      </c>
      <c r="K48" s="21" t="n">
        <v>0.523809523809524</v>
      </c>
      <c r="L48" s="20" t="n">
        <v>0.111497303266091</v>
      </c>
      <c r="M48" s="20" t="n">
        <v>0.205443945473538</v>
      </c>
      <c r="N48" s="21" t="n">
        <v>0.0348</v>
      </c>
      <c r="O48" s="28" t="n">
        <v>1</v>
      </c>
      <c r="P48" s="18" t="s">
        <v>96</v>
      </c>
      <c r="Q48" s="18"/>
    </row>
    <row r="49" customFormat="false" ht="15" hidden="false" customHeight="false" outlineLevel="0" collapsed="false">
      <c r="A49" s="13" t="s">
        <v>43</v>
      </c>
      <c r="B49" s="13" t="s">
        <v>159</v>
      </c>
      <c r="C49" s="13" t="s">
        <v>54</v>
      </c>
      <c r="D49" s="23" t="n">
        <v>10</v>
      </c>
      <c r="E49" s="13" t="s">
        <v>45</v>
      </c>
      <c r="F49" s="13" t="s">
        <v>160</v>
      </c>
      <c r="G49" s="24" t="n">
        <v>8</v>
      </c>
      <c r="H49" s="14" t="n">
        <v>-110</v>
      </c>
      <c r="I49" s="16" t="n">
        <v>0.62883877701642</v>
      </c>
      <c r="J49" s="16" t="n">
        <v>0.5</v>
      </c>
      <c r="K49" s="16" t="n">
        <v>0.523809523809524</v>
      </c>
      <c r="L49" s="15" t="n">
        <v>0.105029253206896</v>
      </c>
      <c r="M49" s="15" t="n">
        <v>0.195955393751432</v>
      </c>
      <c r="N49" s="16" t="n">
        <v>0.0227</v>
      </c>
      <c r="O49" s="25" t="n">
        <v>1</v>
      </c>
      <c r="P49" s="13" t="s">
        <v>96</v>
      </c>
      <c r="Q49" s="13"/>
    </row>
    <row r="50" customFormat="false" ht="15" hidden="false" customHeight="false" outlineLevel="0" collapsed="false">
      <c r="A50" s="18" t="s">
        <v>43</v>
      </c>
      <c r="B50" s="18" t="s">
        <v>161</v>
      </c>
      <c r="C50" s="18" t="s">
        <v>76</v>
      </c>
      <c r="D50" s="26" t="n">
        <v>14</v>
      </c>
      <c r="E50" s="18" t="s">
        <v>49</v>
      </c>
      <c r="F50" s="18" t="s">
        <v>162</v>
      </c>
      <c r="G50" s="27" t="n">
        <v>53</v>
      </c>
      <c r="H50" s="19" t="n">
        <v>-110</v>
      </c>
      <c r="I50" s="21" t="n">
        <v>0.621722385276579</v>
      </c>
      <c r="J50" s="21" t="n">
        <v>0.5</v>
      </c>
      <c r="K50" s="21" t="n">
        <v>0.523809523809524</v>
      </c>
      <c r="L50" s="20" t="n">
        <v>0.0979128614670554</v>
      </c>
      <c r="M50" s="20" t="n">
        <v>0.180809635129849</v>
      </c>
      <c r="N50" s="21" t="n">
        <v>0.0327</v>
      </c>
      <c r="O50" s="28" t="n">
        <v>1</v>
      </c>
      <c r="P50" s="18" t="s">
        <v>96</v>
      </c>
      <c r="Q50" s="18"/>
    </row>
    <row r="51" customFormat="false" ht="15" hidden="false" customHeight="false" outlineLevel="0" collapsed="false">
      <c r="A51" s="13" t="s">
        <v>43</v>
      </c>
      <c r="B51" s="13" t="s">
        <v>163</v>
      </c>
      <c r="C51" s="13" t="s">
        <v>75</v>
      </c>
      <c r="D51" s="23" t="n">
        <v>13</v>
      </c>
      <c r="E51" s="13" t="s">
        <v>45</v>
      </c>
      <c r="F51" s="13" t="s">
        <v>164</v>
      </c>
      <c r="G51" s="24" t="n">
        <v>11.5</v>
      </c>
      <c r="H51" s="14" t="n">
        <v>-110</v>
      </c>
      <c r="I51" s="16" t="n">
        <v>0.620942715733544</v>
      </c>
      <c r="J51" s="16" t="n">
        <v>0.5</v>
      </c>
      <c r="K51" s="16" t="n">
        <v>0.523809523809524</v>
      </c>
      <c r="L51" s="15" t="n">
        <v>0.0971331919240203</v>
      </c>
      <c r="M51" s="15" t="n">
        <v>0.18543609367313</v>
      </c>
      <c r="N51" s="16" t="n">
        <v>0</v>
      </c>
      <c r="O51" s="25" t="n">
        <v>1</v>
      </c>
      <c r="P51" s="13" t="s">
        <v>96</v>
      </c>
      <c r="Q51" s="13"/>
    </row>
    <row r="52" customFormat="false" ht="15" hidden="false" customHeight="false" outlineLevel="0" collapsed="false">
      <c r="A52" s="18" t="s">
        <v>165</v>
      </c>
      <c r="B52" s="18" t="s">
        <v>166</v>
      </c>
      <c r="C52" s="18" t="s">
        <v>47</v>
      </c>
      <c r="D52" s="26" t="n">
        <v>14</v>
      </c>
      <c r="E52" s="18" t="s">
        <v>73</v>
      </c>
      <c r="F52" s="18" t="s">
        <v>167</v>
      </c>
      <c r="G52" s="27"/>
      <c r="H52" s="19" t="n">
        <v>222</v>
      </c>
      <c r="I52" s="21" t="n">
        <v>0.399551725438207</v>
      </c>
      <c r="J52" s="21" t="n">
        <v>0.300255465976577</v>
      </c>
      <c r="K52" s="21" t="n">
        <v>0.31055900621118</v>
      </c>
      <c r="L52" s="20" t="n">
        <v>0.0889927192270267</v>
      </c>
      <c r="M52" s="20" t="n">
        <v>0.286556555911026</v>
      </c>
      <c r="N52" s="21" t="n">
        <v>0</v>
      </c>
      <c r="O52" s="28" t="n">
        <v>1</v>
      </c>
      <c r="P52" s="18" t="s">
        <v>96</v>
      </c>
      <c r="Q52" s="18"/>
    </row>
    <row r="53" customFormat="false" ht="15" hidden="false" customHeight="false" outlineLevel="0" collapsed="false">
      <c r="A53" s="13" t="s">
        <v>165</v>
      </c>
      <c r="B53" s="13" t="s">
        <v>168</v>
      </c>
      <c r="C53" s="13" t="s">
        <v>51</v>
      </c>
      <c r="D53" s="23" t="n">
        <v>14</v>
      </c>
      <c r="E53" s="13" t="s">
        <v>45</v>
      </c>
      <c r="F53" s="13" t="s">
        <v>169</v>
      </c>
      <c r="G53" s="24" t="n">
        <v>-7.5</v>
      </c>
      <c r="H53" s="14" t="n">
        <v>-110</v>
      </c>
      <c r="I53" s="16" t="n">
        <v>0.609981591451594</v>
      </c>
      <c r="J53" s="16" t="n">
        <v>0.5</v>
      </c>
      <c r="K53" s="16" t="n">
        <v>0.523809523809524</v>
      </c>
      <c r="L53" s="15" t="n">
        <v>0.0861720676420702</v>
      </c>
      <c r="M53" s="15" t="n">
        <v>0.164510310953043</v>
      </c>
      <c r="N53" s="16" t="n">
        <v>0</v>
      </c>
      <c r="O53" s="25" t="n">
        <v>1</v>
      </c>
      <c r="P53" s="13" t="s">
        <v>96</v>
      </c>
      <c r="Q53" s="13"/>
    </row>
    <row r="54" customFormat="false" ht="15" hidden="false" customHeight="false" outlineLevel="0" collapsed="false">
      <c r="A54" s="18" t="s">
        <v>165</v>
      </c>
      <c r="B54" s="18" t="s">
        <v>170</v>
      </c>
      <c r="C54" s="18" t="s">
        <v>76</v>
      </c>
      <c r="D54" s="26" t="n">
        <v>14</v>
      </c>
      <c r="E54" s="18" t="s">
        <v>45</v>
      </c>
      <c r="F54" s="18" t="s">
        <v>171</v>
      </c>
      <c r="G54" s="27" t="n">
        <v>-4</v>
      </c>
      <c r="H54" s="19" t="n">
        <v>-110</v>
      </c>
      <c r="I54" s="21" t="n">
        <v>0.586244780661105</v>
      </c>
      <c r="J54" s="21" t="n">
        <v>0.5</v>
      </c>
      <c r="K54" s="21" t="n">
        <v>0.523809523809524</v>
      </c>
      <c r="L54" s="20" t="n">
        <v>0.0624352568515816</v>
      </c>
      <c r="M54" s="20" t="n">
        <v>0.115763283429146</v>
      </c>
      <c r="N54" s="21" t="n">
        <v>0.0288</v>
      </c>
      <c r="O54" s="28" t="n">
        <v>1</v>
      </c>
      <c r="P54" s="18" t="s">
        <v>96</v>
      </c>
      <c r="Q54" s="18"/>
    </row>
    <row r="55" customFormat="false" ht="15" hidden="false" customHeight="false" outlineLevel="0" collapsed="false">
      <c r="A55" s="13" t="s">
        <v>172</v>
      </c>
      <c r="B55" s="13" t="s">
        <v>66</v>
      </c>
      <c r="C55" s="13" t="s">
        <v>68</v>
      </c>
      <c r="D55" s="23" t="n">
        <v>11</v>
      </c>
      <c r="E55" s="13" t="s">
        <v>73</v>
      </c>
      <c r="F55" s="13" t="s">
        <v>173</v>
      </c>
      <c r="G55" s="24"/>
      <c r="H55" s="14" t="n">
        <v>1002</v>
      </c>
      <c r="I55" s="16" t="n">
        <v>0.274714194668617</v>
      </c>
      <c r="J55" s="16" t="n">
        <v>0.087677861853333</v>
      </c>
      <c r="K55" s="16" t="n">
        <v>0.0907441016333938</v>
      </c>
      <c r="L55" s="15" t="n">
        <v>0.183970093035224</v>
      </c>
      <c r="M55" s="15" t="n">
        <v>2.02735042524816</v>
      </c>
      <c r="N55" s="16" t="n">
        <v>0</v>
      </c>
      <c r="O55" s="25" t="n">
        <v>1</v>
      </c>
      <c r="P55" s="13" t="s">
        <v>96</v>
      </c>
      <c r="Q55" s="13" t="s">
        <v>174</v>
      </c>
    </row>
    <row r="56" customFormat="false" ht="15" hidden="false" customHeight="false" outlineLevel="0" collapsed="false">
      <c r="A56" s="18" t="s">
        <v>172</v>
      </c>
      <c r="B56" s="18" t="s">
        <v>48</v>
      </c>
      <c r="C56" s="18" t="s">
        <v>51</v>
      </c>
      <c r="D56" s="26" t="n">
        <v>14</v>
      </c>
      <c r="E56" s="18" t="s">
        <v>73</v>
      </c>
      <c r="F56" s="18" t="s">
        <v>134</v>
      </c>
      <c r="G56" s="27"/>
      <c r="H56" s="19" t="n">
        <v>1308</v>
      </c>
      <c r="I56" s="21" t="n">
        <v>0.244715592491463</v>
      </c>
      <c r="J56" s="21" t="n">
        <v>0.0695603784084586</v>
      </c>
      <c r="K56" s="21" t="n">
        <v>0.0710227272727273</v>
      </c>
      <c r="L56" s="20" t="n">
        <v>0.173692865218736</v>
      </c>
      <c r="M56" s="20" t="n">
        <v>2.4455955422798</v>
      </c>
      <c r="N56" s="21" t="n">
        <v>0</v>
      </c>
      <c r="O56" s="28" t="n">
        <v>1</v>
      </c>
      <c r="P56" s="18" t="s">
        <v>96</v>
      </c>
      <c r="Q56" s="18" t="s">
        <v>174</v>
      </c>
    </row>
    <row r="57" customFormat="false" ht="15" hidden="false" customHeight="false" outlineLevel="0" collapsed="false">
      <c r="A57" s="13" t="s">
        <v>172</v>
      </c>
      <c r="B57" s="13" t="s">
        <v>101</v>
      </c>
      <c r="C57" s="13" t="s">
        <v>102</v>
      </c>
      <c r="D57" s="23" t="n">
        <v>13</v>
      </c>
      <c r="E57" s="13" t="s">
        <v>73</v>
      </c>
      <c r="F57" s="13" t="s">
        <v>175</v>
      </c>
      <c r="G57" s="24"/>
      <c r="H57" s="14" t="n">
        <v>612</v>
      </c>
      <c r="I57" s="16" t="n">
        <v>0.304476848278511</v>
      </c>
      <c r="J57" s="16" t="n">
        <v>0.13571924031621</v>
      </c>
      <c r="K57" s="16" t="n">
        <v>0.140449438202247</v>
      </c>
      <c r="L57" s="15" t="n">
        <v>0.164027410076263</v>
      </c>
      <c r="M57" s="15" t="n">
        <v>1.167875159743</v>
      </c>
      <c r="N57" s="16" t="n">
        <v>0</v>
      </c>
      <c r="O57" s="25" t="n">
        <v>1</v>
      </c>
      <c r="P57" s="13" t="s">
        <v>96</v>
      </c>
      <c r="Q57" s="13" t="s">
        <v>174</v>
      </c>
    </row>
    <row r="58" customFormat="false" ht="15" hidden="false" customHeight="false" outlineLevel="0" collapsed="false">
      <c r="A58" s="18" t="s">
        <v>172</v>
      </c>
      <c r="B58" s="18" t="s">
        <v>79</v>
      </c>
      <c r="C58" s="18" t="s">
        <v>68</v>
      </c>
      <c r="D58" s="26" t="n">
        <v>11</v>
      </c>
      <c r="E58" s="18" t="s">
        <v>73</v>
      </c>
      <c r="F58" s="18" t="s">
        <v>176</v>
      </c>
      <c r="G58" s="27"/>
      <c r="H58" s="19" t="n">
        <v>1435</v>
      </c>
      <c r="I58" s="21" t="n">
        <v>0.22730901108229</v>
      </c>
      <c r="J58" s="21" t="n">
        <v>0.0641745547890262</v>
      </c>
      <c r="K58" s="21" t="n">
        <v>0.0651465798045603</v>
      </c>
      <c r="L58" s="20" t="n">
        <v>0.16216243127773</v>
      </c>
      <c r="M58" s="20" t="n">
        <v>2.48919332011315</v>
      </c>
      <c r="N58" s="21" t="n">
        <v>0</v>
      </c>
      <c r="O58" s="28" t="n">
        <v>1</v>
      </c>
      <c r="P58" s="18" t="s">
        <v>96</v>
      </c>
      <c r="Q58" s="18" t="s">
        <v>174</v>
      </c>
    </row>
    <row r="59" customFormat="false" ht="15" hidden="false" customHeight="false" outlineLevel="0" collapsed="false">
      <c r="A59" s="13" t="s">
        <v>172</v>
      </c>
      <c r="B59" s="13" t="s">
        <v>44</v>
      </c>
      <c r="C59" s="13" t="s">
        <v>47</v>
      </c>
      <c r="D59" s="23" t="n">
        <v>14</v>
      </c>
      <c r="E59" s="13" t="s">
        <v>49</v>
      </c>
      <c r="F59" s="13" t="s">
        <v>177</v>
      </c>
      <c r="G59" s="24" t="n">
        <v>72.5</v>
      </c>
      <c r="H59" s="14" t="n">
        <v>-110</v>
      </c>
      <c r="I59" s="16" t="n">
        <v>0.681121755695716</v>
      </c>
      <c r="J59" s="16" t="n">
        <v>0.5</v>
      </c>
      <c r="K59" s="16" t="n">
        <v>0.523809523809524</v>
      </c>
      <c r="L59" s="15" t="n">
        <v>0.157312231886192</v>
      </c>
      <c r="M59" s="15" t="n">
        <v>0.30032335178273</v>
      </c>
      <c r="N59" s="16" t="n">
        <v>0</v>
      </c>
      <c r="O59" s="25" t="n">
        <v>1</v>
      </c>
      <c r="P59" s="13" t="s">
        <v>96</v>
      </c>
      <c r="Q59" s="13" t="s">
        <v>178</v>
      </c>
    </row>
    <row r="60" customFormat="false" ht="15" hidden="false" customHeight="false" outlineLevel="0" collapsed="false">
      <c r="A60" s="18" t="s">
        <v>172</v>
      </c>
      <c r="B60" s="18" t="s">
        <v>72</v>
      </c>
      <c r="C60" s="18" t="s">
        <v>76</v>
      </c>
      <c r="D60" s="26" t="n">
        <v>14</v>
      </c>
      <c r="E60" s="18" t="s">
        <v>45</v>
      </c>
      <c r="F60" s="18" t="s">
        <v>179</v>
      </c>
      <c r="G60" s="27" t="n">
        <v>12</v>
      </c>
      <c r="H60" s="19" t="n">
        <v>-110</v>
      </c>
      <c r="I60" s="21" t="n">
        <v>0.679150254822909</v>
      </c>
      <c r="J60" s="21" t="n">
        <v>0.5</v>
      </c>
      <c r="K60" s="21" t="n">
        <v>0.523809523809524</v>
      </c>
      <c r="L60" s="20" t="n">
        <v>0.155340731013385</v>
      </c>
      <c r="M60" s="20" t="n">
        <v>0.292481302367645</v>
      </c>
      <c r="N60" s="21" t="n">
        <v>0.0138</v>
      </c>
      <c r="O60" s="28" t="n">
        <v>1</v>
      </c>
      <c r="P60" s="18" t="s">
        <v>96</v>
      </c>
      <c r="Q60" s="18" t="s">
        <v>178</v>
      </c>
    </row>
    <row r="61" customFormat="false" ht="15" hidden="false" customHeight="false" outlineLevel="0" collapsed="false">
      <c r="A61" s="13" t="s">
        <v>172</v>
      </c>
      <c r="B61" s="13" t="s">
        <v>48</v>
      </c>
      <c r="C61" s="13" t="s">
        <v>51</v>
      </c>
      <c r="D61" s="23" t="n">
        <v>14</v>
      </c>
      <c r="E61" s="13" t="s">
        <v>45</v>
      </c>
      <c r="F61" s="13" t="s">
        <v>180</v>
      </c>
      <c r="G61" s="24" t="n">
        <v>15</v>
      </c>
      <c r="H61" s="14" t="n">
        <v>-110</v>
      </c>
      <c r="I61" s="16" t="n">
        <v>0.678395994267609</v>
      </c>
      <c r="J61" s="16" t="n">
        <v>0.5</v>
      </c>
      <c r="K61" s="16" t="n">
        <v>0.523809523809524</v>
      </c>
      <c r="L61" s="15" t="n">
        <v>0.154586470458085</v>
      </c>
      <c r="M61" s="15" t="n">
        <v>0.29067739466675</v>
      </c>
      <c r="N61" s="16" t="n">
        <v>0.0151</v>
      </c>
      <c r="O61" s="25" t="n">
        <v>1</v>
      </c>
      <c r="P61" s="13" t="s">
        <v>96</v>
      </c>
      <c r="Q61" s="13" t="s">
        <v>178</v>
      </c>
    </row>
    <row r="62" customFormat="false" ht="15" hidden="false" customHeight="false" outlineLevel="0" collapsed="false">
      <c r="A62" s="18" t="s">
        <v>172</v>
      </c>
      <c r="B62" s="18" t="s">
        <v>99</v>
      </c>
      <c r="C62" s="18" t="s">
        <v>75</v>
      </c>
      <c r="D62" s="26" t="n">
        <v>13</v>
      </c>
      <c r="E62" s="18" t="s">
        <v>49</v>
      </c>
      <c r="F62" s="18" t="s">
        <v>181</v>
      </c>
      <c r="G62" s="27" t="n">
        <v>70</v>
      </c>
      <c r="H62" s="19" t="n">
        <v>-110</v>
      </c>
      <c r="I62" s="21" t="n">
        <v>0.678332442525492</v>
      </c>
      <c r="J62" s="21" t="n">
        <v>0.5</v>
      </c>
      <c r="K62" s="21" t="n">
        <v>0.523809523809524</v>
      </c>
      <c r="L62" s="20" t="n">
        <v>0.154522918715969</v>
      </c>
      <c r="M62" s="20" t="n">
        <v>0.288074283242133</v>
      </c>
      <c r="N62" s="21" t="n">
        <v>0.0235</v>
      </c>
      <c r="O62" s="28" t="n">
        <v>1</v>
      </c>
      <c r="P62" s="18" t="s">
        <v>96</v>
      </c>
      <c r="Q62" s="18" t="s">
        <v>178</v>
      </c>
    </row>
    <row r="63" customFormat="false" ht="15" hidden="false" customHeight="false" outlineLevel="0" collapsed="false">
      <c r="A63" s="13" t="s">
        <v>172</v>
      </c>
      <c r="B63" s="13" t="s">
        <v>113</v>
      </c>
      <c r="C63" s="13" t="s">
        <v>114</v>
      </c>
      <c r="D63" s="23" t="n">
        <v>13</v>
      </c>
      <c r="E63" s="13" t="s">
        <v>73</v>
      </c>
      <c r="F63" s="13" t="s">
        <v>110</v>
      </c>
      <c r="G63" s="24"/>
      <c r="H63" s="14" t="n">
        <v>1136</v>
      </c>
      <c r="I63" s="16" t="n">
        <v>0.235156726313928</v>
      </c>
      <c r="J63" s="16" t="n">
        <v>0.0784806152880239</v>
      </c>
      <c r="K63" s="16" t="n">
        <v>0.0809061488673139</v>
      </c>
      <c r="L63" s="15" t="n">
        <v>0.154250577446614</v>
      </c>
      <c r="M63" s="15" t="n">
        <v>1.90653713724015</v>
      </c>
      <c r="N63" s="16" t="n">
        <v>0</v>
      </c>
      <c r="O63" s="25" t="n">
        <v>1</v>
      </c>
      <c r="P63" s="13" t="s">
        <v>96</v>
      </c>
      <c r="Q63" s="13" t="s">
        <v>174</v>
      </c>
    </row>
    <row r="64" customFormat="false" ht="15" hidden="false" customHeight="false" outlineLevel="0" collapsed="false">
      <c r="A64" s="18" t="s">
        <v>172</v>
      </c>
      <c r="B64" s="18" t="s">
        <v>72</v>
      </c>
      <c r="C64" s="18" t="s">
        <v>75</v>
      </c>
      <c r="D64" s="26" t="n">
        <v>13</v>
      </c>
      <c r="E64" s="18" t="s">
        <v>45</v>
      </c>
      <c r="F64" s="18" t="s">
        <v>182</v>
      </c>
      <c r="G64" s="27" t="n">
        <v>11</v>
      </c>
      <c r="H64" s="19" t="n">
        <v>-110</v>
      </c>
      <c r="I64" s="21" t="n">
        <v>0.67175251928375</v>
      </c>
      <c r="J64" s="21" t="n">
        <v>0.5</v>
      </c>
      <c r="K64" s="21" t="n">
        <v>0.523809523809524</v>
      </c>
      <c r="L64" s="20" t="n">
        <v>0.147942995474226</v>
      </c>
      <c r="M64" s="20" t="n">
        <v>0.277036485662651</v>
      </c>
      <c r="N64" s="21" t="n">
        <v>0.0191</v>
      </c>
      <c r="O64" s="28" t="n">
        <v>1</v>
      </c>
      <c r="P64" s="18" t="s">
        <v>96</v>
      </c>
      <c r="Q64" s="18" t="s">
        <v>178</v>
      </c>
    </row>
    <row r="65" customFormat="false" ht="15" hidden="false" customHeight="false" outlineLevel="0" collapsed="false">
      <c r="A65" s="13" t="s">
        <v>172</v>
      </c>
      <c r="B65" s="13" t="s">
        <v>116</v>
      </c>
      <c r="C65" s="13" t="s">
        <v>109</v>
      </c>
      <c r="D65" s="23" t="n">
        <v>12</v>
      </c>
      <c r="E65" s="13" t="s">
        <v>73</v>
      </c>
      <c r="F65" s="13" t="s">
        <v>175</v>
      </c>
      <c r="G65" s="24"/>
      <c r="H65" s="14" t="n">
        <v>751</v>
      </c>
      <c r="I65" s="16" t="n">
        <v>0.260510531336782</v>
      </c>
      <c r="J65" s="16" t="n">
        <v>0.113542497803689</v>
      </c>
      <c r="K65" s="16" t="n">
        <v>0.117508813160987</v>
      </c>
      <c r="L65" s="15" t="n">
        <v>0.143001718175795</v>
      </c>
      <c r="M65" s="15" t="n">
        <v>1.21694462167601</v>
      </c>
      <c r="N65" s="16" t="n">
        <v>0</v>
      </c>
      <c r="O65" s="25" t="n">
        <v>1</v>
      </c>
      <c r="P65" s="13" t="s">
        <v>96</v>
      </c>
      <c r="Q65" s="13" t="s">
        <v>174</v>
      </c>
    </row>
    <row r="66" customFormat="false" ht="15" hidden="false" customHeight="false" outlineLevel="0" collapsed="false">
      <c r="A66" s="18" t="s">
        <v>172</v>
      </c>
      <c r="B66" s="18" t="s">
        <v>108</v>
      </c>
      <c r="C66" s="18" t="s">
        <v>109</v>
      </c>
      <c r="D66" s="26" t="n">
        <v>12</v>
      </c>
      <c r="E66" s="18" t="s">
        <v>45</v>
      </c>
      <c r="F66" s="18" t="s">
        <v>183</v>
      </c>
      <c r="G66" s="27" t="n">
        <v>10.5</v>
      </c>
      <c r="H66" s="19" t="n">
        <v>-110</v>
      </c>
      <c r="I66" s="21" t="n">
        <v>0.665071996573523</v>
      </c>
      <c r="J66" s="21" t="n">
        <v>0.5</v>
      </c>
      <c r="K66" s="21" t="n">
        <v>0.523809523809524</v>
      </c>
      <c r="L66" s="20" t="n">
        <v>0.141262472763999</v>
      </c>
      <c r="M66" s="20" t="n">
        <v>0.269682902549453</v>
      </c>
      <c r="N66" s="21" t="n">
        <v>0</v>
      </c>
      <c r="O66" s="28" t="n">
        <v>1</v>
      </c>
      <c r="P66" s="18" t="s">
        <v>96</v>
      </c>
      <c r="Q66" s="18" t="s">
        <v>178</v>
      </c>
    </row>
    <row r="67" customFormat="false" ht="15" hidden="false" customHeight="false" outlineLevel="0" collapsed="false">
      <c r="A67" s="13" t="s">
        <v>172</v>
      </c>
      <c r="B67" s="13" t="s">
        <v>104</v>
      </c>
      <c r="C67" s="13" t="s">
        <v>65</v>
      </c>
      <c r="D67" s="23" t="n">
        <v>11</v>
      </c>
      <c r="E67" s="13" t="s">
        <v>73</v>
      </c>
      <c r="F67" s="13" t="s">
        <v>110</v>
      </c>
      <c r="G67" s="24"/>
      <c r="H67" s="14" t="n">
        <v>295</v>
      </c>
      <c r="I67" s="16" t="n">
        <v>0.392394495561698</v>
      </c>
      <c r="J67" s="16" t="n">
        <v>0.244532644308889</v>
      </c>
      <c r="K67" s="16" t="n">
        <v>0.253164556962025</v>
      </c>
      <c r="L67" s="15" t="n">
        <v>0.139229938599672</v>
      </c>
      <c r="M67" s="15" t="n">
        <v>0.549958257468705</v>
      </c>
      <c r="N67" s="16" t="n">
        <v>0</v>
      </c>
      <c r="O67" s="25" t="n">
        <v>1</v>
      </c>
      <c r="P67" s="13" t="s">
        <v>96</v>
      </c>
      <c r="Q67" s="13" t="s">
        <v>178</v>
      </c>
    </row>
    <row r="68" customFormat="false" ht="15" hidden="false" customHeight="false" outlineLevel="0" collapsed="false">
      <c r="A68" s="18" t="s">
        <v>172</v>
      </c>
      <c r="B68" s="18" t="s">
        <v>77</v>
      </c>
      <c r="C68" s="18" t="s">
        <v>65</v>
      </c>
      <c r="D68" s="26" t="n">
        <v>11</v>
      </c>
      <c r="E68" s="18" t="s">
        <v>45</v>
      </c>
      <c r="F68" s="18" t="s">
        <v>184</v>
      </c>
      <c r="G68" s="27" t="n">
        <v>-17.5</v>
      </c>
      <c r="H68" s="19" t="n">
        <v>-110</v>
      </c>
      <c r="I68" s="21" t="n">
        <v>0.661615335024857</v>
      </c>
      <c r="J68" s="21" t="n">
        <v>0.5</v>
      </c>
      <c r="K68" s="21" t="n">
        <v>0.523809523809524</v>
      </c>
      <c r="L68" s="20" t="n">
        <v>0.137805811215333</v>
      </c>
      <c r="M68" s="20" t="n">
        <v>0.26308382141109</v>
      </c>
      <c r="N68" s="21" t="n">
        <v>0</v>
      </c>
      <c r="O68" s="28" t="n">
        <v>1</v>
      </c>
      <c r="P68" s="18" t="s">
        <v>96</v>
      </c>
      <c r="Q68" s="18" t="s">
        <v>178</v>
      </c>
    </row>
    <row r="69" customFormat="false" ht="15" hidden="false" customHeight="false" outlineLevel="0" collapsed="false">
      <c r="A69" s="13" t="s">
        <v>172</v>
      </c>
      <c r="B69" s="13" t="s">
        <v>118</v>
      </c>
      <c r="C69" s="13" t="s">
        <v>76</v>
      </c>
      <c r="D69" s="23" t="n">
        <v>14</v>
      </c>
      <c r="E69" s="13" t="s">
        <v>45</v>
      </c>
      <c r="F69" s="13" t="s">
        <v>185</v>
      </c>
      <c r="G69" s="24" t="n">
        <v>12.5</v>
      </c>
      <c r="H69" s="14" t="n">
        <v>-110</v>
      </c>
      <c r="I69" s="16" t="n">
        <v>0.660409366523051</v>
      </c>
      <c r="J69" s="16" t="n">
        <v>0.5</v>
      </c>
      <c r="K69" s="16" t="n">
        <v>0.523809523809524</v>
      </c>
      <c r="L69" s="15" t="n">
        <v>0.136599842713527</v>
      </c>
      <c r="M69" s="15" t="n">
        <v>0.260781517907643</v>
      </c>
      <c r="N69" s="16" t="n">
        <v>0</v>
      </c>
      <c r="O69" s="25" t="n">
        <v>1</v>
      </c>
      <c r="P69" s="13" t="s">
        <v>96</v>
      </c>
      <c r="Q69" s="13" t="s">
        <v>178</v>
      </c>
    </row>
    <row r="70" customFormat="false" ht="15" hidden="false" customHeight="false" outlineLevel="0" collapsed="false">
      <c r="A70" s="18" t="s">
        <v>172</v>
      </c>
      <c r="B70" s="18" t="s">
        <v>69</v>
      </c>
      <c r="C70" s="18" t="s">
        <v>71</v>
      </c>
      <c r="D70" s="26" t="n">
        <v>11</v>
      </c>
      <c r="E70" s="18" t="s">
        <v>73</v>
      </c>
      <c r="F70" s="18" t="s">
        <v>175</v>
      </c>
      <c r="G70" s="27"/>
      <c r="H70" s="19" t="n">
        <v>1900</v>
      </c>
      <c r="I70" s="21" t="n">
        <v>0.185572058241123</v>
      </c>
      <c r="J70" s="21" t="n">
        <v>0.05</v>
      </c>
      <c r="K70" s="21" t="n">
        <v>0.05</v>
      </c>
      <c r="L70" s="20" t="n">
        <v>0.135572058241123</v>
      </c>
      <c r="M70" s="20" t="n">
        <v>2.71144116482247</v>
      </c>
      <c r="N70" s="21" t="n">
        <v>0</v>
      </c>
      <c r="O70" s="28" t="n">
        <v>1</v>
      </c>
      <c r="P70" s="18" t="s">
        <v>96</v>
      </c>
      <c r="Q70" s="18" t="s">
        <v>174</v>
      </c>
    </row>
    <row r="71" customFormat="false" ht="15" hidden="false" customHeight="false" outlineLevel="0" collapsed="false">
      <c r="A71" s="13" t="s">
        <v>172</v>
      </c>
      <c r="B71" s="13" t="s">
        <v>63</v>
      </c>
      <c r="C71" s="13" t="s">
        <v>65</v>
      </c>
      <c r="D71" s="23" t="n">
        <v>11</v>
      </c>
      <c r="E71" s="13" t="s">
        <v>45</v>
      </c>
      <c r="F71" s="13" t="s">
        <v>186</v>
      </c>
      <c r="G71" s="24" t="n">
        <v>-16</v>
      </c>
      <c r="H71" s="14" t="n">
        <v>-110</v>
      </c>
      <c r="I71" s="16" t="n">
        <v>0.659030854129012</v>
      </c>
      <c r="J71" s="16" t="n">
        <v>0.5</v>
      </c>
      <c r="K71" s="16" t="n">
        <v>0.523809523809524</v>
      </c>
      <c r="L71" s="15" t="n">
        <v>0.135221330319488</v>
      </c>
      <c r="M71" s="15" t="n">
        <v>0.253948128633566</v>
      </c>
      <c r="N71" s="16" t="n">
        <v>0.0163</v>
      </c>
      <c r="O71" s="25" t="n">
        <v>1</v>
      </c>
      <c r="P71" s="13" t="s">
        <v>96</v>
      </c>
      <c r="Q71" s="13" t="s">
        <v>178</v>
      </c>
    </row>
    <row r="72" customFormat="false" ht="15" hidden="false" customHeight="false" outlineLevel="0" collapsed="false">
      <c r="A72" s="18" t="s">
        <v>172</v>
      </c>
      <c r="B72" s="18" t="s">
        <v>142</v>
      </c>
      <c r="C72" s="18" t="s">
        <v>136</v>
      </c>
      <c r="D72" s="26" t="n">
        <v>12</v>
      </c>
      <c r="E72" s="18" t="s">
        <v>73</v>
      </c>
      <c r="F72" s="18" t="s">
        <v>173</v>
      </c>
      <c r="G72" s="27"/>
      <c r="H72" s="19" t="n">
        <v>1059</v>
      </c>
      <c r="I72" s="21" t="n">
        <v>0.213992611281488</v>
      </c>
      <c r="J72" s="21" t="n">
        <v>0.0833636149883505</v>
      </c>
      <c r="K72" s="21" t="n">
        <v>0.0862812769628991</v>
      </c>
      <c r="L72" s="20" t="n">
        <v>0.127711334318589</v>
      </c>
      <c r="M72" s="20" t="n">
        <v>1.48017436475245</v>
      </c>
      <c r="N72" s="21" t="n">
        <v>0</v>
      </c>
      <c r="O72" s="28" t="n">
        <v>1</v>
      </c>
      <c r="P72" s="18" t="s">
        <v>96</v>
      </c>
      <c r="Q72" s="18" t="s">
        <v>174</v>
      </c>
    </row>
    <row r="73" customFormat="false" ht="15" hidden="false" customHeight="false" outlineLevel="0" collapsed="false">
      <c r="A73" s="13" t="s">
        <v>172</v>
      </c>
      <c r="B73" s="13" t="s">
        <v>123</v>
      </c>
      <c r="C73" s="13" t="s">
        <v>102</v>
      </c>
      <c r="D73" s="23" t="n">
        <v>13</v>
      </c>
      <c r="E73" s="13" t="s">
        <v>45</v>
      </c>
      <c r="F73" s="13" t="s">
        <v>187</v>
      </c>
      <c r="G73" s="24" t="n">
        <v>10.5</v>
      </c>
      <c r="H73" s="14" t="n">
        <v>-110</v>
      </c>
      <c r="I73" s="16" t="n">
        <v>0.649362362525336</v>
      </c>
      <c r="J73" s="16" t="n">
        <v>0.5</v>
      </c>
      <c r="K73" s="16" t="n">
        <v>0.523809523809524</v>
      </c>
      <c r="L73" s="15" t="n">
        <v>0.125552838715812</v>
      </c>
      <c r="M73" s="15" t="n">
        <v>0.239691783002914</v>
      </c>
      <c r="N73" s="16" t="n">
        <v>0</v>
      </c>
      <c r="O73" s="25" t="n">
        <v>1</v>
      </c>
      <c r="P73" s="13" t="s">
        <v>96</v>
      </c>
      <c r="Q73" s="13" t="s">
        <v>178</v>
      </c>
    </row>
    <row r="74" customFormat="false" ht="15" hidden="false" customHeight="false" outlineLevel="0" collapsed="false">
      <c r="A74" s="18" t="s">
        <v>172</v>
      </c>
      <c r="B74" s="18" t="s">
        <v>188</v>
      </c>
      <c r="C74" s="18" t="s">
        <v>65</v>
      </c>
      <c r="D74" s="26" t="n">
        <v>11</v>
      </c>
      <c r="E74" s="18" t="s">
        <v>73</v>
      </c>
      <c r="F74" s="18" t="s">
        <v>74</v>
      </c>
      <c r="G74" s="27"/>
      <c r="H74" s="19" t="n">
        <v>830</v>
      </c>
      <c r="I74" s="21" t="n">
        <v>0.232877584829038</v>
      </c>
      <c r="J74" s="21" t="n">
        <v>0.10388964644372</v>
      </c>
      <c r="K74" s="21" t="n">
        <v>0.10752688172043</v>
      </c>
      <c r="L74" s="20" t="n">
        <v>0.125350703108608</v>
      </c>
      <c r="M74" s="20" t="n">
        <v>1.16576153891005</v>
      </c>
      <c r="N74" s="21" t="n">
        <v>0</v>
      </c>
      <c r="O74" s="28" t="n">
        <v>1</v>
      </c>
      <c r="P74" s="18" t="s">
        <v>96</v>
      </c>
      <c r="Q74" s="18" t="s">
        <v>174</v>
      </c>
    </row>
    <row r="75" customFormat="false" ht="15" hidden="false" customHeight="false" outlineLevel="0" collapsed="false">
      <c r="A75" s="13" t="s">
        <v>172</v>
      </c>
      <c r="B75" s="13" t="s">
        <v>52</v>
      </c>
      <c r="C75" s="13" t="s">
        <v>54</v>
      </c>
      <c r="D75" s="23" t="n">
        <v>10</v>
      </c>
      <c r="E75" s="13" t="s">
        <v>73</v>
      </c>
      <c r="F75" s="13" t="s">
        <v>74</v>
      </c>
      <c r="G75" s="24"/>
      <c r="H75" s="14" t="n">
        <v>1900</v>
      </c>
      <c r="I75" s="16" t="n">
        <v>0.173277953313195</v>
      </c>
      <c r="J75" s="16" t="n">
        <v>0.05</v>
      </c>
      <c r="K75" s="16" t="n">
        <v>0.05</v>
      </c>
      <c r="L75" s="15" t="n">
        <v>0.123277953313195</v>
      </c>
      <c r="M75" s="15" t="n">
        <v>2.4655590662639</v>
      </c>
      <c r="N75" s="16" t="n">
        <v>0</v>
      </c>
      <c r="O75" s="25" t="n">
        <v>1</v>
      </c>
      <c r="P75" s="13" t="s">
        <v>96</v>
      </c>
      <c r="Q75" s="13" t="s">
        <v>174</v>
      </c>
    </row>
    <row r="76" customFormat="false" ht="15" hidden="false" customHeight="false" outlineLevel="0" collapsed="false">
      <c r="A76" s="18" t="s">
        <v>172</v>
      </c>
      <c r="B76" s="18" t="s">
        <v>189</v>
      </c>
      <c r="C76" s="18" t="s">
        <v>68</v>
      </c>
      <c r="D76" s="26" t="n">
        <v>11</v>
      </c>
      <c r="E76" s="18" t="s">
        <v>49</v>
      </c>
      <c r="F76" s="18" t="s">
        <v>190</v>
      </c>
      <c r="G76" s="27" t="n">
        <v>47</v>
      </c>
      <c r="H76" s="19" t="n">
        <v>-110</v>
      </c>
      <c r="I76" s="21" t="n">
        <v>0.646808779687776</v>
      </c>
      <c r="J76" s="21" t="n">
        <v>0.5</v>
      </c>
      <c r="K76" s="21" t="n">
        <v>0.523809523809524</v>
      </c>
      <c r="L76" s="20" t="n">
        <v>0.122999255878253</v>
      </c>
      <c r="M76" s="20" t="n">
        <v>0.227960022942411</v>
      </c>
      <c r="N76" s="21" t="n">
        <v>0.0292</v>
      </c>
      <c r="O76" s="28" t="n">
        <v>1</v>
      </c>
      <c r="P76" s="18" t="s">
        <v>96</v>
      </c>
      <c r="Q76" s="18" t="s">
        <v>191</v>
      </c>
    </row>
    <row r="77" customFormat="false" ht="15" hidden="false" customHeight="false" outlineLevel="0" collapsed="false">
      <c r="A77" s="13" t="s">
        <v>172</v>
      </c>
      <c r="B77" s="13" t="s">
        <v>133</v>
      </c>
      <c r="C77" s="13" t="s">
        <v>71</v>
      </c>
      <c r="D77" s="23" t="n">
        <v>11</v>
      </c>
      <c r="E77" s="13" t="s">
        <v>45</v>
      </c>
      <c r="F77" s="13" t="s">
        <v>192</v>
      </c>
      <c r="G77" s="24" t="n">
        <v>10.5</v>
      </c>
      <c r="H77" s="14" t="n">
        <v>-110</v>
      </c>
      <c r="I77" s="16" t="n">
        <v>0.645223529391372</v>
      </c>
      <c r="J77" s="16" t="n">
        <v>0.5</v>
      </c>
      <c r="K77" s="16" t="n">
        <v>0.523809523809524</v>
      </c>
      <c r="L77" s="15" t="n">
        <v>0.121414005581848</v>
      </c>
      <c r="M77" s="15" t="n">
        <v>0.231790374292619</v>
      </c>
      <c r="N77" s="16" t="n">
        <v>0</v>
      </c>
      <c r="O77" s="25" t="n">
        <v>1</v>
      </c>
      <c r="P77" s="13" t="s">
        <v>96</v>
      </c>
      <c r="Q77" s="13" t="s">
        <v>178</v>
      </c>
    </row>
    <row r="78" customFormat="false" ht="15" hidden="false" customHeight="false" outlineLevel="0" collapsed="false">
      <c r="A78" s="18" t="s">
        <v>172</v>
      </c>
      <c r="B78" s="18" t="s">
        <v>72</v>
      </c>
      <c r="C78" s="18" t="s">
        <v>76</v>
      </c>
      <c r="D78" s="26" t="n">
        <v>14</v>
      </c>
      <c r="E78" s="18" t="s">
        <v>49</v>
      </c>
      <c r="F78" s="18" t="s">
        <v>193</v>
      </c>
      <c r="G78" s="27" t="n">
        <v>49.5</v>
      </c>
      <c r="H78" s="19" t="n">
        <v>-110</v>
      </c>
      <c r="I78" s="21" t="n">
        <v>0.642666151573081</v>
      </c>
      <c r="J78" s="21" t="n">
        <v>0.5</v>
      </c>
      <c r="K78" s="21" t="n">
        <v>0.523809523809524</v>
      </c>
      <c r="L78" s="20" t="n">
        <v>0.118856627763557</v>
      </c>
      <c r="M78" s="20" t="n">
        <v>0.226908107548609</v>
      </c>
      <c r="N78" s="21" t="n">
        <v>0</v>
      </c>
      <c r="O78" s="28" t="n">
        <v>1</v>
      </c>
      <c r="P78" s="18" t="s">
        <v>96</v>
      </c>
      <c r="Q78" s="18" t="s">
        <v>178</v>
      </c>
    </row>
    <row r="79" customFormat="false" ht="15" hidden="false" customHeight="false" outlineLevel="0" collapsed="false">
      <c r="A79" s="13" t="s">
        <v>172</v>
      </c>
      <c r="B79" s="13" t="s">
        <v>44</v>
      </c>
      <c r="C79" s="13" t="s">
        <v>47</v>
      </c>
      <c r="D79" s="23" t="n">
        <v>14</v>
      </c>
      <c r="E79" s="13" t="s">
        <v>73</v>
      </c>
      <c r="F79" s="13" t="s">
        <v>175</v>
      </c>
      <c r="G79" s="24"/>
      <c r="H79" s="14" t="n">
        <v>1900</v>
      </c>
      <c r="I79" s="16" t="n">
        <v>0.168650843382463</v>
      </c>
      <c r="J79" s="16" t="n">
        <v>0.05</v>
      </c>
      <c r="K79" s="16" t="n">
        <v>0.05</v>
      </c>
      <c r="L79" s="15" t="n">
        <v>0.118650843382463</v>
      </c>
      <c r="M79" s="15" t="n">
        <v>2.37301686764925</v>
      </c>
      <c r="N79" s="16" t="n">
        <v>0</v>
      </c>
      <c r="O79" s="25" t="n">
        <v>1</v>
      </c>
      <c r="P79" s="13" t="s">
        <v>96</v>
      </c>
      <c r="Q79" s="13" t="s">
        <v>174</v>
      </c>
    </row>
    <row r="80" customFormat="false" ht="15" hidden="false" customHeight="false" outlineLevel="0" collapsed="false">
      <c r="A80" s="18" t="s">
        <v>172</v>
      </c>
      <c r="B80" s="18" t="s">
        <v>138</v>
      </c>
      <c r="C80" s="18" t="s">
        <v>62</v>
      </c>
      <c r="D80" s="26" t="n">
        <v>10</v>
      </c>
      <c r="E80" s="18" t="s">
        <v>73</v>
      </c>
      <c r="F80" s="18" t="s">
        <v>194</v>
      </c>
      <c r="G80" s="27"/>
      <c r="H80" s="19" t="n">
        <v>802</v>
      </c>
      <c r="I80" s="21" t="n">
        <v>0.228410831219664</v>
      </c>
      <c r="J80" s="21" t="n">
        <v>0.107110548805543</v>
      </c>
      <c r="K80" s="21" t="n">
        <v>0.110864745011087</v>
      </c>
      <c r="L80" s="20" t="n">
        <v>0.117546086208577</v>
      </c>
      <c r="M80" s="20" t="n">
        <v>1.06026569760137</v>
      </c>
      <c r="N80" s="21" t="n">
        <v>0</v>
      </c>
      <c r="O80" s="28" t="n">
        <v>1</v>
      </c>
      <c r="P80" s="18" t="s">
        <v>96</v>
      </c>
      <c r="Q80" s="18" t="s">
        <v>174</v>
      </c>
    </row>
    <row r="81" customFormat="false" ht="15" hidden="false" customHeight="false" outlineLevel="0" collapsed="false">
      <c r="A81" s="13" t="s">
        <v>172</v>
      </c>
      <c r="B81" s="13" t="s">
        <v>119</v>
      </c>
      <c r="C81" s="13" t="s">
        <v>109</v>
      </c>
      <c r="D81" s="23" t="n">
        <v>12</v>
      </c>
      <c r="E81" s="13" t="s">
        <v>73</v>
      </c>
      <c r="F81" s="13" t="s">
        <v>124</v>
      </c>
      <c r="G81" s="24"/>
      <c r="H81" s="14" t="n">
        <v>869</v>
      </c>
      <c r="I81" s="16" t="n">
        <v>0.220035613961132</v>
      </c>
      <c r="J81" s="16" t="n">
        <v>0.0997151481944071</v>
      </c>
      <c r="K81" s="16" t="n">
        <v>0.103199174406605</v>
      </c>
      <c r="L81" s="15" t="n">
        <v>0.116836439554527</v>
      </c>
      <c r="M81" s="15" t="n">
        <v>1.13214509928337</v>
      </c>
      <c r="N81" s="16" t="n">
        <v>0</v>
      </c>
      <c r="O81" s="25" t="n">
        <v>1</v>
      </c>
      <c r="P81" s="13" t="s">
        <v>96</v>
      </c>
      <c r="Q81" s="13" t="s">
        <v>174</v>
      </c>
    </row>
    <row r="82" customFormat="false" ht="15" hidden="false" customHeight="false" outlineLevel="0" collapsed="false">
      <c r="A82" s="18" t="s">
        <v>172</v>
      </c>
      <c r="B82" s="18" t="s">
        <v>99</v>
      </c>
      <c r="C82" s="18" t="s">
        <v>75</v>
      </c>
      <c r="D82" s="26" t="n">
        <v>13</v>
      </c>
      <c r="E82" s="18" t="s">
        <v>73</v>
      </c>
      <c r="F82" s="18" t="s">
        <v>195</v>
      </c>
      <c r="G82" s="27"/>
      <c r="H82" s="19" t="n">
        <v>903</v>
      </c>
      <c r="I82" s="21" t="n">
        <v>0.213973520094481</v>
      </c>
      <c r="J82" s="21" t="n">
        <v>0.0963277086093045</v>
      </c>
      <c r="K82" s="21" t="n">
        <v>0.0997008973080758</v>
      </c>
      <c r="L82" s="20" t="n">
        <v>0.114272622786405</v>
      </c>
      <c r="M82" s="20" t="n">
        <v>1.14615440654764</v>
      </c>
      <c r="N82" s="21" t="n">
        <v>0</v>
      </c>
      <c r="O82" s="28" t="n">
        <v>1</v>
      </c>
      <c r="P82" s="18" t="s">
        <v>96</v>
      </c>
      <c r="Q82" s="18" t="s">
        <v>174</v>
      </c>
    </row>
    <row r="83" customFormat="false" ht="15" hidden="false" customHeight="false" outlineLevel="0" collapsed="false">
      <c r="A83" s="13" t="s">
        <v>172</v>
      </c>
      <c r="B83" s="13" t="s">
        <v>153</v>
      </c>
      <c r="C83" s="13" t="s">
        <v>109</v>
      </c>
      <c r="D83" s="23" t="n">
        <v>12</v>
      </c>
      <c r="E83" s="13" t="s">
        <v>73</v>
      </c>
      <c r="F83" s="13" t="s">
        <v>74</v>
      </c>
      <c r="G83" s="24"/>
      <c r="H83" s="14" t="n">
        <v>283</v>
      </c>
      <c r="I83" s="16" t="n">
        <v>0.375081396276505</v>
      </c>
      <c r="J83" s="16" t="n">
        <v>0.252178813564146</v>
      </c>
      <c r="K83" s="16" t="n">
        <v>0.261096605744125</v>
      </c>
      <c r="L83" s="15" t="n">
        <v>0.11398479053238</v>
      </c>
      <c r="M83" s="15" t="n">
        <v>0.436561747739016</v>
      </c>
      <c r="N83" s="16" t="n">
        <v>0</v>
      </c>
      <c r="O83" s="25" t="n">
        <v>1</v>
      </c>
      <c r="P83" s="13" t="s">
        <v>96</v>
      </c>
      <c r="Q83" s="13" t="s">
        <v>178</v>
      </c>
    </row>
    <row r="84" customFormat="false" ht="15" hidden="false" customHeight="false" outlineLevel="0" collapsed="false">
      <c r="A84" s="18" t="s">
        <v>172</v>
      </c>
      <c r="B84" s="18" t="s">
        <v>149</v>
      </c>
      <c r="C84" s="18" t="s">
        <v>62</v>
      </c>
      <c r="D84" s="26" t="n">
        <v>10</v>
      </c>
      <c r="E84" s="18" t="s">
        <v>73</v>
      </c>
      <c r="F84" s="18" t="s">
        <v>176</v>
      </c>
      <c r="G84" s="27"/>
      <c r="H84" s="19" t="n">
        <v>383</v>
      </c>
      <c r="I84" s="21" t="n">
        <v>0.320293172033683</v>
      </c>
      <c r="J84" s="21" t="n">
        <v>0.199995876373683</v>
      </c>
      <c r="K84" s="21" t="n">
        <v>0.20703933747412</v>
      </c>
      <c r="L84" s="20" t="n">
        <v>0.113253834559563</v>
      </c>
      <c r="M84" s="20" t="n">
        <v>0.547016020922689</v>
      </c>
      <c r="N84" s="21" t="n">
        <v>0</v>
      </c>
      <c r="O84" s="28" t="n">
        <v>1</v>
      </c>
      <c r="P84" s="18" t="s">
        <v>96</v>
      </c>
      <c r="Q84" s="18" t="s">
        <v>178</v>
      </c>
    </row>
    <row r="85" customFormat="false" ht="15" hidden="false" customHeight="false" outlineLevel="0" collapsed="false">
      <c r="A85" s="13" t="s">
        <v>172</v>
      </c>
      <c r="B85" s="13" t="s">
        <v>77</v>
      </c>
      <c r="C85" s="13" t="s">
        <v>65</v>
      </c>
      <c r="D85" s="23" t="n">
        <v>11</v>
      </c>
      <c r="E85" s="13" t="s">
        <v>73</v>
      </c>
      <c r="F85" s="13" t="s">
        <v>196</v>
      </c>
      <c r="G85" s="24"/>
      <c r="H85" s="14" t="n">
        <v>1166</v>
      </c>
      <c r="I85" s="16" t="n">
        <v>0.191477722211208</v>
      </c>
      <c r="J85" s="16" t="n">
        <v>0.0767636447378522</v>
      </c>
      <c r="K85" s="16" t="n">
        <v>0.0789889415481833</v>
      </c>
      <c r="L85" s="15" t="n">
        <v>0.112488780663024</v>
      </c>
      <c r="M85" s="15" t="n">
        <v>1.42410796319389</v>
      </c>
      <c r="N85" s="16" t="n">
        <v>0</v>
      </c>
      <c r="O85" s="25" t="n">
        <v>1</v>
      </c>
      <c r="P85" s="13" t="s">
        <v>96</v>
      </c>
      <c r="Q85" s="13" t="s">
        <v>174</v>
      </c>
    </row>
    <row r="86" customFormat="false" ht="15" hidden="false" customHeight="false" outlineLevel="0" collapsed="false">
      <c r="A86" s="18" t="s">
        <v>172</v>
      </c>
      <c r="B86" s="18" t="s">
        <v>155</v>
      </c>
      <c r="C86" s="18" t="s">
        <v>145</v>
      </c>
      <c r="D86" s="26" t="n">
        <v>12</v>
      </c>
      <c r="E86" s="18" t="s">
        <v>49</v>
      </c>
      <c r="F86" s="18" t="s">
        <v>197</v>
      </c>
      <c r="G86" s="27" t="n">
        <v>50</v>
      </c>
      <c r="H86" s="19" t="n">
        <v>-110</v>
      </c>
      <c r="I86" s="21" t="n">
        <v>0.636219905981938</v>
      </c>
      <c r="J86" s="21" t="n">
        <v>0.5</v>
      </c>
      <c r="K86" s="21" t="n">
        <v>0.523809523809524</v>
      </c>
      <c r="L86" s="20" t="n">
        <v>0.112410382172414</v>
      </c>
      <c r="M86" s="20" t="n">
        <v>0.207995100169927</v>
      </c>
      <c r="N86" s="21" t="n">
        <v>0.0308</v>
      </c>
      <c r="O86" s="28" t="n">
        <v>1</v>
      </c>
      <c r="P86" s="18" t="s">
        <v>96</v>
      </c>
      <c r="Q86" s="18" t="s">
        <v>178</v>
      </c>
    </row>
    <row r="87" customFormat="false" ht="15" hidden="false" customHeight="false" outlineLevel="0" collapsed="false">
      <c r="A87" s="13" t="s">
        <v>172</v>
      </c>
      <c r="B87" s="13" t="s">
        <v>79</v>
      </c>
      <c r="C87" s="13" t="s">
        <v>68</v>
      </c>
      <c r="D87" s="23" t="n">
        <v>11</v>
      </c>
      <c r="E87" s="13" t="s">
        <v>49</v>
      </c>
      <c r="F87" s="13" t="s">
        <v>198</v>
      </c>
      <c r="G87" s="24" t="n">
        <v>54</v>
      </c>
      <c r="H87" s="14" t="n">
        <v>-110</v>
      </c>
      <c r="I87" s="16" t="n">
        <v>0.636219904558251</v>
      </c>
      <c r="J87" s="16" t="n">
        <v>0.5</v>
      </c>
      <c r="K87" s="16" t="n">
        <v>0.523809523809524</v>
      </c>
      <c r="L87" s="15" t="n">
        <v>0.112410380748727</v>
      </c>
      <c r="M87" s="15" t="n">
        <v>0.207995097559221</v>
      </c>
      <c r="N87" s="16" t="n">
        <v>0.0308</v>
      </c>
      <c r="O87" s="25" t="n">
        <v>1</v>
      </c>
      <c r="P87" s="13" t="s">
        <v>96</v>
      </c>
      <c r="Q87" s="13" t="s">
        <v>178</v>
      </c>
    </row>
    <row r="88" customFormat="false" ht="15" hidden="false" customHeight="false" outlineLevel="0" collapsed="false">
      <c r="A88" s="18" t="s">
        <v>172</v>
      </c>
      <c r="B88" s="18" t="s">
        <v>111</v>
      </c>
      <c r="C88" s="18" t="s">
        <v>59</v>
      </c>
      <c r="D88" s="26" t="n">
        <v>10</v>
      </c>
      <c r="E88" s="18" t="s">
        <v>49</v>
      </c>
      <c r="F88" s="18" t="s">
        <v>199</v>
      </c>
      <c r="G88" s="27" t="n">
        <v>67</v>
      </c>
      <c r="H88" s="19" t="n">
        <v>-110</v>
      </c>
      <c r="I88" s="21" t="n">
        <v>0.636219904330727</v>
      </c>
      <c r="J88" s="21" t="n">
        <v>0.5</v>
      </c>
      <c r="K88" s="21" t="n">
        <v>0.523809523809524</v>
      </c>
      <c r="L88" s="20" t="n">
        <v>0.112410380521203</v>
      </c>
      <c r="M88" s="20" t="n">
        <v>0.207995097135133</v>
      </c>
      <c r="N88" s="21" t="n">
        <v>0.0308</v>
      </c>
      <c r="O88" s="28" t="n">
        <v>1</v>
      </c>
      <c r="P88" s="18" t="s">
        <v>96</v>
      </c>
      <c r="Q88" s="18" t="s">
        <v>178</v>
      </c>
    </row>
    <row r="89" customFormat="false" ht="15" hidden="false" customHeight="false" outlineLevel="0" collapsed="false">
      <c r="A89" s="13" t="s">
        <v>172</v>
      </c>
      <c r="B89" s="13" t="s">
        <v>63</v>
      </c>
      <c r="C89" s="13" t="s">
        <v>65</v>
      </c>
      <c r="D89" s="23" t="n">
        <v>11</v>
      </c>
      <c r="E89" s="13" t="s">
        <v>73</v>
      </c>
      <c r="F89" s="13" t="s">
        <v>200</v>
      </c>
      <c r="G89" s="24"/>
      <c r="H89" s="14" t="n">
        <v>777</v>
      </c>
      <c r="I89" s="16" t="n">
        <v>0.224868514948718</v>
      </c>
      <c r="J89" s="16" t="n">
        <v>0.110178621860694</v>
      </c>
      <c r="K89" s="16" t="n">
        <v>0.114025085518814</v>
      </c>
      <c r="L89" s="15" t="n">
        <v>0.110843429429904</v>
      </c>
      <c r="M89" s="15" t="n">
        <v>0.972096876100253</v>
      </c>
      <c r="N89" s="16" t="n">
        <v>0</v>
      </c>
      <c r="O89" s="25" t="n">
        <v>1</v>
      </c>
      <c r="P89" s="13" t="s">
        <v>96</v>
      </c>
      <c r="Q89" s="13" t="s">
        <v>174</v>
      </c>
    </row>
    <row r="90" customFormat="false" ht="15" hidden="false" customHeight="false" outlineLevel="0" collapsed="false">
      <c r="A90" s="18" t="s">
        <v>172</v>
      </c>
      <c r="B90" s="18" t="s">
        <v>131</v>
      </c>
      <c r="C90" s="18" t="s">
        <v>59</v>
      </c>
      <c r="D90" s="26" t="n">
        <v>10</v>
      </c>
      <c r="E90" s="18" t="s">
        <v>45</v>
      </c>
      <c r="F90" s="18" t="s">
        <v>201</v>
      </c>
      <c r="G90" s="27" t="n">
        <v>7.5</v>
      </c>
      <c r="H90" s="19" t="n">
        <v>-110</v>
      </c>
      <c r="I90" s="21" t="n">
        <v>0.634283406063372</v>
      </c>
      <c r="J90" s="21" t="n">
        <v>0.5</v>
      </c>
      <c r="K90" s="21" t="n">
        <v>0.523809523809524</v>
      </c>
      <c r="L90" s="20" t="n">
        <v>0.110473882253848</v>
      </c>
      <c r="M90" s="20" t="n">
        <v>0.210904684302801</v>
      </c>
      <c r="N90" s="21" t="n">
        <v>0</v>
      </c>
      <c r="O90" s="28" t="n">
        <v>1</v>
      </c>
      <c r="P90" s="18" t="s">
        <v>96</v>
      </c>
      <c r="Q90" s="18" t="s">
        <v>178</v>
      </c>
    </row>
    <row r="91" customFormat="false" ht="15" hidden="false" customHeight="false" outlineLevel="0" collapsed="false">
      <c r="A91" s="13" t="s">
        <v>172</v>
      </c>
      <c r="B91" s="13" t="s">
        <v>129</v>
      </c>
      <c r="C91" s="13" t="s">
        <v>75</v>
      </c>
      <c r="D91" s="23" t="n">
        <v>13</v>
      </c>
      <c r="E91" s="13" t="s">
        <v>45</v>
      </c>
      <c r="F91" s="13" t="s">
        <v>202</v>
      </c>
      <c r="G91" s="24" t="n">
        <v>7.5</v>
      </c>
      <c r="H91" s="14" t="n">
        <v>-110</v>
      </c>
      <c r="I91" s="16" t="n">
        <v>0.634283406063372</v>
      </c>
      <c r="J91" s="16" t="n">
        <v>0.5</v>
      </c>
      <c r="K91" s="16" t="n">
        <v>0.523809523809524</v>
      </c>
      <c r="L91" s="15" t="n">
        <v>0.110473882253848</v>
      </c>
      <c r="M91" s="15" t="n">
        <v>0.210904684302801</v>
      </c>
      <c r="N91" s="16" t="n">
        <v>0</v>
      </c>
      <c r="O91" s="25" t="n">
        <v>1</v>
      </c>
      <c r="P91" s="13" t="s">
        <v>96</v>
      </c>
      <c r="Q91" s="13" t="s">
        <v>178</v>
      </c>
    </row>
    <row r="92" customFormat="false" ht="15" hidden="false" customHeight="false" outlineLevel="0" collapsed="false">
      <c r="A92" s="18" t="s">
        <v>172</v>
      </c>
      <c r="B92" s="18" t="s">
        <v>147</v>
      </c>
      <c r="C92" s="18" t="s">
        <v>136</v>
      </c>
      <c r="D92" s="26" t="n">
        <v>12</v>
      </c>
      <c r="E92" s="18" t="s">
        <v>73</v>
      </c>
      <c r="F92" s="18" t="s">
        <v>134</v>
      </c>
      <c r="G92" s="27"/>
      <c r="H92" s="19" t="n">
        <v>207</v>
      </c>
      <c r="I92" s="21" t="n">
        <v>0.430217947515134</v>
      </c>
      <c r="J92" s="21" t="n">
        <v>0.314451077792462</v>
      </c>
      <c r="K92" s="21" t="n">
        <v>0.325732899022801</v>
      </c>
      <c r="L92" s="20" t="n">
        <v>0.104485048492333</v>
      </c>
      <c r="M92" s="20" t="n">
        <v>0.320769098871461</v>
      </c>
      <c r="N92" s="21" t="n">
        <v>0</v>
      </c>
      <c r="O92" s="28" t="n">
        <v>1</v>
      </c>
      <c r="P92" s="18" t="s">
        <v>96</v>
      </c>
      <c r="Q92" s="18" t="s">
        <v>178</v>
      </c>
    </row>
    <row r="93" customFormat="false" ht="15" hidden="false" customHeight="false" outlineLevel="0" collapsed="false">
      <c r="A93" s="13" t="s">
        <v>172</v>
      </c>
      <c r="B93" s="13" t="s">
        <v>81</v>
      </c>
      <c r="C93" s="13" t="s">
        <v>47</v>
      </c>
      <c r="D93" s="23" t="n">
        <v>14</v>
      </c>
      <c r="E93" s="13" t="s">
        <v>73</v>
      </c>
      <c r="F93" s="13" t="s">
        <v>194</v>
      </c>
      <c r="G93" s="24"/>
      <c r="H93" s="14" t="n">
        <v>1900</v>
      </c>
      <c r="I93" s="16" t="n">
        <v>0.154106695024952</v>
      </c>
      <c r="J93" s="16" t="n">
        <v>0.05</v>
      </c>
      <c r="K93" s="16" t="n">
        <v>0.05</v>
      </c>
      <c r="L93" s="15" t="n">
        <v>0.104106695024952</v>
      </c>
      <c r="M93" s="15" t="n">
        <v>2.08213390049905</v>
      </c>
      <c r="N93" s="16" t="n">
        <v>0</v>
      </c>
      <c r="O93" s="25" t="n">
        <v>1</v>
      </c>
      <c r="P93" s="13" t="s">
        <v>96</v>
      </c>
      <c r="Q93" s="13" t="s">
        <v>174</v>
      </c>
    </row>
    <row r="94" customFormat="false" ht="15" hidden="false" customHeight="false" outlineLevel="0" collapsed="false">
      <c r="A94" s="18" t="s">
        <v>172</v>
      </c>
      <c r="B94" s="18" t="s">
        <v>153</v>
      </c>
      <c r="C94" s="18" t="s">
        <v>109</v>
      </c>
      <c r="D94" s="26" t="n">
        <v>12</v>
      </c>
      <c r="E94" s="18" t="s">
        <v>49</v>
      </c>
      <c r="F94" s="18" t="s">
        <v>203</v>
      </c>
      <c r="G94" s="27" t="n">
        <v>52.5</v>
      </c>
      <c r="H94" s="19" t="n">
        <v>-110</v>
      </c>
      <c r="I94" s="21" t="n">
        <v>0.627496686412959</v>
      </c>
      <c r="J94" s="21" t="n">
        <v>0.5</v>
      </c>
      <c r="K94" s="21" t="n">
        <v>0.523809523809524</v>
      </c>
      <c r="L94" s="20" t="n">
        <v>0.103687162603435</v>
      </c>
      <c r="M94" s="20" t="n">
        <v>0.197948219515648</v>
      </c>
      <c r="N94" s="21" t="n">
        <v>0</v>
      </c>
      <c r="O94" s="28" t="n">
        <v>1</v>
      </c>
      <c r="P94" s="18" t="s">
        <v>96</v>
      </c>
      <c r="Q94" s="18" t="s">
        <v>178</v>
      </c>
    </row>
    <row r="95" customFormat="false" ht="15" hidden="false" customHeight="false" outlineLevel="0" collapsed="false">
      <c r="A95" s="13" t="s">
        <v>172</v>
      </c>
      <c r="B95" s="13" t="s">
        <v>111</v>
      </c>
      <c r="C95" s="13" t="s">
        <v>59</v>
      </c>
      <c r="D95" s="23" t="n">
        <v>10</v>
      </c>
      <c r="E95" s="13" t="s">
        <v>73</v>
      </c>
      <c r="F95" s="13" t="s">
        <v>173</v>
      </c>
      <c r="G95" s="24"/>
      <c r="H95" s="14" t="n">
        <v>916</v>
      </c>
      <c r="I95" s="16" t="n">
        <v>0.201924155079249</v>
      </c>
      <c r="J95" s="16" t="n">
        <v>0.0950992507916892</v>
      </c>
      <c r="K95" s="16" t="n">
        <v>0.0984251968503937</v>
      </c>
      <c r="L95" s="15" t="n">
        <v>0.103498958228855</v>
      </c>
      <c r="M95" s="15" t="n">
        <v>1.05154941560517</v>
      </c>
      <c r="N95" s="16" t="n">
        <v>0</v>
      </c>
      <c r="O95" s="25" t="n">
        <v>1</v>
      </c>
      <c r="P95" s="13" t="s">
        <v>96</v>
      </c>
      <c r="Q95" s="13" t="s">
        <v>174</v>
      </c>
    </row>
    <row r="96" customFormat="false" ht="15" hidden="false" customHeight="false" outlineLevel="0" collapsed="false">
      <c r="A96" s="18" t="s">
        <v>172</v>
      </c>
      <c r="B96" s="18" t="s">
        <v>113</v>
      </c>
      <c r="C96" s="18" t="s">
        <v>114</v>
      </c>
      <c r="D96" s="26" t="n">
        <v>13</v>
      </c>
      <c r="E96" s="18" t="s">
        <v>49</v>
      </c>
      <c r="F96" s="18" t="s">
        <v>190</v>
      </c>
      <c r="G96" s="27" t="n">
        <v>47</v>
      </c>
      <c r="H96" s="19" t="n">
        <v>-110</v>
      </c>
      <c r="I96" s="21" t="n">
        <v>0.626662417599418</v>
      </c>
      <c r="J96" s="21" t="n">
        <v>0.5</v>
      </c>
      <c r="K96" s="21" t="n">
        <v>0.523809523809524</v>
      </c>
      <c r="L96" s="20" t="n">
        <v>0.102852893789894</v>
      </c>
      <c r="M96" s="20" t="n">
        <v>0.190055186263409</v>
      </c>
      <c r="N96" s="21" t="n">
        <v>0.0321</v>
      </c>
      <c r="O96" s="28" t="n">
        <v>1</v>
      </c>
      <c r="P96" s="18" t="s">
        <v>96</v>
      </c>
      <c r="Q96" s="18" t="s">
        <v>178</v>
      </c>
    </row>
    <row r="97" customFormat="false" ht="15" hidden="false" customHeight="false" outlineLevel="0" collapsed="false">
      <c r="A97" s="13" t="s">
        <v>172</v>
      </c>
      <c r="B97" s="13" t="s">
        <v>57</v>
      </c>
      <c r="C97" s="13" t="s">
        <v>59</v>
      </c>
      <c r="D97" s="23" t="n">
        <v>10</v>
      </c>
      <c r="E97" s="13" t="s">
        <v>73</v>
      </c>
      <c r="F97" s="13" t="s">
        <v>195</v>
      </c>
      <c r="G97" s="24"/>
      <c r="H97" s="14" t="n">
        <v>466</v>
      </c>
      <c r="I97" s="16" t="n">
        <v>0.278507204197618</v>
      </c>
      <c r="J97" s="16" t="n">
        <v>0.170731116654155</v>
      </c>
      <c r="K97" s="16" t="n">
        <v>0.176678445229682</v>
      </c>
      <c r="L97" s="15" t="n">
        <v>0.101828758967936</v>
      </c>
      <c r="M97" s="15" t="n">
        <v>0.576350775758517</v>
      </c>
      <c r="N97" s="16" t="n">
        <v>0</v>
      </c>
      <c r="O97" s="25" t="n">
        <v>1</v>
      </c>
      <c r="P97" s="13" t="s">
        <v>96</v>
      </c>
      <c r="Q97" s="13" t="s">
        <v>178</v>
      </c>
    </row>
    <row r="98" customFormat="false" ht="15" hidden="false" customHeight="false" outlineLevel="0" collapsed="false">
      <c r="A98" s="18" t="s">
        <v>172</v>
      </c>
      <c r="B98" s="18" t="s">
        <v>97</v>
      </c>
      <c r="C98" s="18" t="s">
        <v>62</v>
      </c>
      <c r="D98" s="26" t="n">
        <v>10</v>
      </c>
      <c r="E98" s="18" t="s">
        <v>73</v>
      </c>
      <c r="F98" s="18" t="s">
        <v>204</v>
      </c>
      <c r="G98" s="27"/>
      <c r="H98" s="19" t="n">
        <v>1900</v>
      </c>
      <c r="I98" s="21" t="n">
        <v>0.148036904268014</v>
      </c>
      <c r="J98" s="21" t="n">
        <v>0.05</v>
      </c>
      <c r="K98" s="21" t="n">
        <v>0.05</v>
      </c>
      <c r="L98" s="20" t="n">
        <v>0.0980369042680136</v>
      </c>
      <c r="M98" s="20" t="n">
        <v>1.96073808536027</v>
      </c>
      <c r="N98" s="21" t="n">
        <v>0</v>
      </c>
      <c r="O98" s="28" t="n">
        <v>1</v>
      </c>
      <c r="P98" s="18" t="s">
        <v>96</v>
      </c>
      <c r="Q98" s="18" t="s">
        <v>174</v>
      </c>
    </row>
    <row r="99" customFormat="false" ht="15" hidden="false" customHeight="false" outlineLevel="0" collapsed="false">
      <c r="A99" s="13" t="s">
        <v>172</v>
      </c>
      <c r="B99" s="13" t="s">
        <v>157</v>
      </c>
      <c r="C99" s="13" t="s">
        <v>75</v>
      </c>
      <c r="D99" s="23" t="n">
        <v>13</v>
      </c>
      <c r="E99" s="13" t="s">
        <v>73</v>
      </c>
      <c r="F99" s="13" t="s">
        <v>156</v>
      </c>
      <c r="G99" s="24"/>
      <c r="H99" s="14" t="n">
        <v>662</v>
      </c>
      <c r="I99" s="16" t="n">
        <v>0.228412930242336</v>
      </c>
      <c r="J99" s="16" t="n">
        <v>0.126785975520554</v>
      </c>
      <c r="K99" s="16" t="n">
        <v>0.131233595800525</v>
      </c>
      <c r="L99" s="15" t="n">
        <v>0.0971793344418112</v>
      </c>
      <c r="M99" s="15" t="n">
        <v>0.740506528446601</v>
      </c>
      <c r="N99" s="16" t="n">
        <v>0</v>
      </c>
      <c r="O99" s="25" t="n">
        <v>1</v>
      </c>
      <c r="P99" s="13" t="s">
        <v>96</v>
      </c>
      <c r="Q99" s="13" t="s">
        <v>174</v>
      </c>
    </row>
    <row r="100" customFormat="false" ht="15" hidden="false" customHeight="false" outlineLevel="0" collapsed="false">
      <c r="A100" s="18" t="s">
        <v>172</v>
      </c>
      <c r="B100" s="18" t="s">
        <v>205</v>
      </c>
      <c r="C100" s="18" t="s">
        <v>54</v>
      </c>
      <c r="D100" s="26" t="n">
        <v>10</v>
      </c>
      <c r="E100" s="18" t="s">
        <v>73</v>
      </c>
      <c r="F100" s="18" t="s">
        <v>130</v>
      </c>
      <c r="G100" s="27"/>
      <c r="H100" s="19" t="n">
        <v>238</v>
      </c>
      <c r="I100" s="21" t="n">
        <v>0.390273677757981</v>
      </c>
      <c r="J100" s="21" t="n">
        <v>0.285731293529377</v>
      </c>
      <c r="K100" s="21" t="n">
        <v>0.295857988165681</v>
      </c>
      <c r="L100" s="20" t="n">
        <v>0.0944156895923002</v>
      </c>
      <c r="M100" s="20" t="n">
        <v>0.319125030821975</v>
      </c>
      <c r="N100" s="21" t="n">
        <v>0</v>
      </c>
      <c r="O100" s="28" t="n">
        <v>1</v>
      </c>
      <c r="P100" s="18" t="s">
        <v>96</v>
      </c>
      <c r="Q100" s="18" t="s">
        <v>191</v>
      </c>
    </row>
    <row r="101" customFormat="false" ht="15" hidden="false" customHeight="false" outlineLevel="0" collapsed="false">
      <c r="A101" s="13" t="s">
        <v>172</v>
      </c>
      <c r="B101" s="13" t="s">
        <v>140</v>
      </c>
      <c r="C101" s="13" t="s">
        <v>114</v>
      </c>
      <c r="D101" s="23" t="n">
        <v>13</v>
      </c>
      <c r="E101" s="13" t="s">
        <v>73</v>
      </c>
      <c r="F101" s="13" t="s">
        <v>194</v>
      </c>
      <c r="G101" s="24"/>
      <c r="H101" s="14" t="n">
        <v>1391</v>
      </c>
      <c r="I101" s="16" t="n">
        <v>0.160664816820456</v>
      </c>
      <c r="J101" s="16" t="n">
        <v>0.0659434864321277</v>
      </c>
      <c r="K101" s="16" t="n">
        <v>0.0670690811535882</v>
      </c>
      <c r="L101" s="15" t="n">
        <v>0.093595735666868</v>
      </c>
      <c r="M101" s="15" t="n">
        <v>1.395512418793</v>
      </c>
      <c r="N101" s="16" t="n">
        <v>0</v>
      </c>
      <c r="O101" s="25" t="n">
        <v>1</v>
      </c>
      <c r="P101" s="13" t="s">
        <v>96</v>
      </c>
      <c r="Q101" s="13" t="s">
        <v>174</v>
      </c>
    </row>
    <row r="102" customFormat="false" ht="15" hidden="false" customHeight="false" outlineLevel="0" collapsed="false">
      <c r="A102" s="18" t="s">
        <v>172</v>
      </c>
      <c r="B102" s="18" t="s">
        <v>206</v>
      </c>
      <c r="C102" s="18" t="s">
        <v>65</v>
      </c>
      <c r="D102" s="26" t="n">
        <v>11</v>
      </c>
      <c r="E102" s="18" t="s">
        <v>73</v>
      </c>
      <c r="F102" s="18" t="s">
        <v>207</v>
      </c>
      <c r="G102" s="27"/>
      <c r="H102" s="19" t="n">
        <v>337</v>
      </c>
      <c r="I102" s="21" t="n">
        <v>0.322317139529596</v>
      </c>
      <c r="J102" s="21" t="n">
        <v>0.221087269486529</v>
      </c>
      <c r="K102" s="21" t="n">
        <v>0.22883295194508</v>
      </c>
      <c r="L102" s="20" t="n">
        <v>0.0934841875845162</v>
      </c>
      <c r="M102" s="20" t="n">
        <v>0.408525899744336</v>
      </c>
      <c r="N102" s="21" t="n">
        <v>0</v>
      </c>
      <c r="O102" s="28" t="n">
        <v>1</v>
      </c>
      <c r="P102" s="18" t="s">
        <v>96</v>
      </c>
      <c r="Q102" s="18" t="s">
        <v>191</v>
      </c>
    </row>
    <row r="103" customFormat="false" ht="15" hidden="false" customHeight="false" outlineLevel="0" collapsed="false">
      <c r="A103" s="13" t="s">
        <v>172</v>
      </c>
      <c r="B103" s="13" t="s">
        <v>155</v>
      </c>
      <c r="C103" s="13" t="s">
        <v>145</v>
      </c>
      <c r="D103" s="23" t="n">
        <v>12</v>
      </c>
      <c r="E103" s="13" t="s">
        <v>45</v>
      </c>
      <c r="F103" s="13" t="s">
        <v>208</v>
      </c>
      <c r="G103" s="24" t="n">
        <v>8</v>
      </c>
      <c r="H103" s="14" t="n">
        <v>-110</v>
      </c>
      <c r="I103" s="16" t="n">
        <v>0.616375720803306</v>
      </c>
      <c r="J103" s="16" t="n">
        <v>0.5</v>
      </c>
      <c r="K103" s="16" t="n">
        <v>0.523809523809524</v>
      </c>
      <c r="L103" s="15" t="n">
        <v>0.092566196993782</v>
      </c>
      <c r="M103" s="15" t="n">
        <v>0.17251491728309</v>
      </c>
      <c r="N103" s="16" t="n">
        <v>0.0238</v>
      </c>
      <c r="O103" s="25" t="n">
        <v>1</v>
      </c>
      <c r="P103" s="13" t="s">
        <v>96</v>
      </c>
      <c r="Q103" s="13" t="s">
        <v>178</v>
      </c>
    </row>
    <row r="104" customFormat="false" ht="15" hidden="false" customHeight="false" outlineLevel="0" collapsed="false">
      <c r="A104" s="18" t="s">
        <v>172</v>
      </c>
      <c r="B104" s="18" t="s">
        <v>188</v>
      </c>
      <c r="C104" s="18" t="s">
        <v>65</v>
      </c>
      <c r="D104" s="26" t="n">
        <v>11</v>
      </c>
      <c r="E104" s="18" t="s">
        <v>45</v>
      </c>
      <c r="F104" s="18" t="s">
        <v>209</v>
      </c>
      <c r="G104" s="27" t="n">
        <v>-11.5</v>
      </c>
      <c r="H104" s="19" t="n">
        <v>-110</v>
      </c>
      <c r="I104" s="21" t="n">
        <v>0.615895032054886</v>
      </c>
      <c r="J104" s="21" t="n">
        <v>0.5</v>
      </c>
      <c r="K104" s="21" t="n">
        <v>0.523809523809524</v>
      </c>
      <c r="L104" s="20" t="n">
        <v>0.0920855082453626</v>
      </c>
      <c r="M104" s="20" t="n">
        <v>0.175799606650238</v>
      </c>
      <c r="N104" s="21" t="n">
        <v>0</v>
      </c>
      <c r="O104" s="28" t="n">
        <v>1</v>
      </c>
      <c r="P104" s="18" t="s">
        <v>96</v>
      </c>
      <c r="Q104" s="18" t="s">
        <v>191</v>
      </c>
    </row>
    <row r="105" customFormat="false" ht="15" hidden="false" customHeight="false" outlineLevel="0" collapsed="false">
      <c r="A105" s="13" t="s">
        <v>172</v>
      </c>
      <c r="B105" s="13" t="s">
        <v>151</v>
      </c>
      <c r="C105" s="13" t="s">
        <v>102</v>
      </c>
      <c r="D105" s="23" t="n">
        <v>13</v>
      </c>
      <c r="E105" s="13" t="s">
        <v>45</v>
      </c>
      <c r="F105" s="13" t="s">
        <v>169</v>
      </c>
      <c r="G105" s="24" t="n">
        <v>-7.5</v>
      </c>
      <c r="H105" s="14" t="n">
        <v>-110</v>
      </c>
      <c r="I105" s="16" t="n">
        <v>0.615157436464384</v>
      </c>
      <c r="J105" s="16" t="n">
        <v>0.5</v>
      </c>
      <c r="K105" s="16" t="n">
        <v>0.523809523809524</v>
      </c>
      <c r="L105" s="15" t="n">
        <v>0.0913479126548602</v>
      </c>
      <c r="M105" s="15" t="n">
        <v>0.174391469613824</v>
      </c>
      <c r="N105" s="16" t="n">
        <v>0</v>
      </c>
      <c r="O105" s="25" t="n">
        <v>1</v>
      </c>
      <c r="P105" s="13" t="s">
        <v>96</v>
      </c>
      <c r="Q105" s="13" t="s">
        <v>178</v>
      </c>
    </row>
    <row r="106" customFormat="false" ht="15" hidden="false" customHeight="false" outlineLevel="0" collapsed="false">
      <c r="A106" s="18" t="s">
        <v>172</v>
      </c>
      <c r="B106" s="18" t="s">
        <v>83</v>
      </c>
      <c r="C106" s="18" t="s">
        <v>62</v>
      </c>
      <c r="D106" s="26" t="n">
        <v>10</v>
      </c>
      <c r="E106" s="18" t="s">
        <v>45</v>
      </c>
      <c r="F106" s="18" t="s">
        <v>210</v>
      </c>
      <c r="G106" s="27" t="n">
        <v>7</v>
      </c>
      <c r="H106" s="19" t="n">
        <v>-110</v>
      </c>
      <c r="I106" s="21" t="n">
        <v>0.615124295902025</v>
      </c>
      <c r="J106" s="21" t="n">
        <v>0.5</v>
      </c>
      <c r="K106" s="21" t="n">
        <v>0.523809523809524</v>
      </c>
      <c r="L106" s="20" t="n">
        <v>0.0913147720925008</v>
      </c>
      <c r="M106" s="20" t="n">
        <v>0.166670204252448</v>
      </c>
      <c r="N106" s="21" t="n">
        <v>0.0439</v>
      </c>
      <c r="O106" s="28" t="n">
        <v>1</v>
      </c>
      <c r="P106" s="18" t="s">
        <v>96</v>
      </c>
      <c r="Q106" s="18" t="s">
        <v>178</v>
      </c>
    </row>
    <row r="107" customFormat="false" ht="15" hidden="false" customHeight="false" outlineLevel="0" collapsed="false">
      <c r="A107" s="13" t="s">
        <v>172</v>
      </c>
      <c r="B107" s="13" t="s">
        <v>138</v>
      </c>
      <c r="C107" s="13" t="s">
        <v>62</v>
      </c>
      <c r="D107" s="23" t="n">
        <v>10</v>
      </c>
      <c r="E107" s="13" t="s">
        <v>49</v>
      </c>
      <c r="F107" s="13" t="s">
        <v>211</v>
      </c>
      <c r="G107" s="24" t="n">
        <v>64.5</v>
      </c>
      <c r="H107" s="14" t="n">
        <v>-110</v>
      </c>
      <c r="I107" s="16" t="n">
        <v>0.614576672015854</v>
      </c>
      <c r="J107" s="16" t="n">
        <v>0.5</v>
      </c>
      <c r="K107" s="16" t="n">
        <v>0.523809523809524</v>
      </c>
      <c r="L107" s="15" t="n">
        <v>0.0907671482063303</v>
      </c>
      <c r="M107" s="15" t="n">
        <v>0.173282737484812</v>
      </c>
      <c r="N107" s="16" t="n">
        <v>0</v>
      </c>
      <c r="O107" s="25" t="n">
        <v>1</v>
      </c>
      <c r="P107" s="13" t="s">
        <v>96</v>
      </c>
      <c r="Q107" s="13" t="s">
        <v>178</v>
      </c>
    </row>
    <row r="108" customFormat="false" ht="15" hidden="false" customHeight="false" outlineLevel="0" collapsed="false">
      <c r="A108" s="18" t="s">
        <v>172</v>
      </c>
      <c r="B108" s="18" t="s">
        <v>205</v>
      </c>
      <c r="C108" s="18" t="s">
        <v>54</v>
      </c>
      <c r="D108" s="26" t="n">
        <v>10</v>
      </c>
      <c r="E108" s="18" t="s">
        <v>45</v>
      </c>
      <c r="F108" s="18" t="s">
        <v>212</v>
      </c>
      <c r="G108" s="27" t="n">
        <v>7</v>
      </c>
      <c r="H108" s="19" t="n">
        <v>-110</v>
      </c>
      <c r="I108" s="21" t="n">
        <v>0.614377239419416</v>
      </c>
      <c r="J108" s="21" t="n">
        <v>0.5</v>
      </c>
      <c r="K108" s="21" t="n">
        <v>0.523809523809524</v>
      </c>
      <c r="L108" s="20" t="n">
        <v>0.0905677156098922</v>
      </c>
      <c r="M108" s="20" t="n">
        <v>0.165288118954129</v>
      </c>
      <c r="N108" s="21" t="n">
        <v>0.044</v>
      </c>
      <c r="O108" s="28" t="n">
        <v>1</v>
      </c>
      <c r="P108" s="18" t="s">
        <v>96</v>
      </c>
      <c r="Q108" s="18" t="s">
        <v>178</v>
      </c>
    </row>
    <row r="109" customFormat="false" ht="15" hidden="false" customHeight="false" outlineLevel="0" collapsed="false">
      <c r="A109" s="13" t="s">
        <v>172</v>
      </c>
      <c r="B109" s="13" t="s">
        <v>213</v>
      </c>
      <c r="C109" s="13" t="s">
        <v>68</v>
      </c>
      <c r="D109" s="23" t="n">
        <v>11</v>
      </c>
      <c r="E109" s="13" t="s">
        <v>45</v>
      </c>
      <c r="F109" s="13" t="s">
        <v>214</v>
      </c>
      <c r="G109" s="24" t="n">
        <v>-9.5</v>
      </c>
      <c r="H109" s="14" t="n">
        <v>-110</v>
      </c>
      <c r="I109" s="16" t="n">
        <v>0.614118196102496</v>
      </c>
      <c r="J109" s="16" t="n">
        <v>0.5</v>
      </c>
      <c r="K109" s="16" t="n">
        <v>0.523809523809524</v>
      </c>
      <c r="L109" s="15" t="n">
        <v>0.0903086722929724</v>
      </c>
      <c r="M109" s="15" t="n">
        <v>0.172407465286584</v>
      </c>
      <c r="N109" s="16" t="n">
        <v>0</v>
      </c>
      <c r="O109" s="25" t="n">
        <v>1</v>
      </c>
      <c r="P109" s="13" t="s">
        <v>96</v>
      </c>
      <c r="Q109" s="13" t="s">
        <v>191</v>
      </c>
    </row>
    <row r="110" customFormat="false" ht="15" hidden="false" customHeight="false" outlineLevel="0" collapsed="false">
      <c r="A110" s="18" t="s">
        <v>172</v>
      </c>
      <c r="B110" s="18" t="s">
        <v>147</v>
      </c>
      <c r="C110" s="18" t="s">
        <v>136</v>
      </c>
      <c r="D110" s="26" t="n">
        <v>12</v>
      </c>
      <c r="E110" s="18" t="s">
        <v>49</v>
      </c>
      <c r="F110" s="18" t="s">
        <v>215</v>
      </c>
      <c r="G110" s="27" t="n">
        <v>51.5</v>
      </c>
      <c r="H110" s="19" t="n">
        <v>-110</v>
      </c>
      <c r="I110" s="21" t="n">
        <v>0.612915127496279</v>
      </c>
      <c r="J110" s="21" t="n">
        <v>0.5</v>
      </c>
      <c r="K110" s="21" t="n">
        <v>0.523809523809524</v>
      </c>
      <c r="L110" s="20" t="n">
        <v>0.0891056036867556</v>
      </c>
      <c r="M110" s="20" t="n">
        <v>0.170110697947443</v>
      </c>
      <c r="N110" s="21" t="n">
        <v>0</v>
      </c>
      <c r="O110" s="28" t="n">
        <v>1</v>
      </c>
      <c r="P110" s="18" t="s">
        <v>96</v>
      </c>
      <c r="Q110" s="18" t="s">
        <v>178</v>
      </c>
    </row>
    <row r="111" customFormat="false" ht="15" hidden="false" customHeight="false" outlineLevel="0" collapsed="false">
      <c r="A111" s="13" t="s">
        <v>172</v>
      </c>
      <c r="B111" s="13" t="s">
        <v>206</v>
      </c>
      <c r="C111" s="13" t="s">
        <v>65</v>
      </c>
      <c r="D111" s="23" t="n">
        <v>11</v>
      </c>
      <c r="E111" s="13" t="s">
        <v>45</v>
      </c>
      <c r="F111" s="13" t="s">
        <v>216</v>
      </c>
      <c r="G111" s="24" t="n">
        <v>9.5</v>
      </c>
      <c r="H111" s="14" t="n">
        <v>-110</v>
      </c>
      <c r="I111" s="16" t="n">
        <v>0.612545314477586</v>
      </c>
      <c r="J111" s="16" t="n">
        <v>0.5</v>
      </c>
      <c r="K111" s="16" t="n">
        <v>0.523809523809524</v>
      </c>
      <c r="L111" s="15" t="n">
        <v>0.0887357906680621</v>
      </c>
      <c r="M111" s="15" t="n">
        <v>0.169404691275392</v>
      </c>
      <c r="N111" s="16" t="n">
        <v>0</v>
      </c>
      <c r="O111" s="25" t="n">
        <v>1</v>
      </c>
      <c r="P111" s="13" t="s">
        <v>96</v>
      </c>
      <c r="Q111" s="13" t="s">
        <v>178</v>
      </c>
    </row>
    <row r="112" customFormat="false" ht="15" hidden="false" customHeight="false" outlineLevel="0" collapsed="false">
      <c r="A112" s="18" t="s">
        <v>172</v>
      </c>
      <c r="B112" s="18" t="s">
        <v>189</v>
      </c>
      <c r="C112" s="18" t="s">
        <v>68</v>
      </c>
      <c r="D112" s="26" t="n">
        <v>11</v>
      </c>
      <c r="E112" s="18" t="s">
        <v>45</v>
      </c>
      <c r="F112" s="18" t="s">
        <v>217</v>
      </c>
      <c r="G112" s="27" t="n">
        <v>9.5</v>
      </c>
      <c r="H112" s="19" t="n">
        <v>-110</v>
      </c>
      <c r="I112" s="21" t="n">
        <v>0.612181008171744</v>
      </c>
      <c r="J112" s="21" t="n">
        <v>0.5</v>
      </c>
      <c r="K112" s="21" t="n">
        <v>0.523809523809524</v>
      </c>
      <c r="L112" s="20" t="n">
        <v>0.08837148436222</v>
      </c>
      <c r="M112" s="20" t="n">
        <v>0.168709197418784</v>
      </c>
      <c r="N112" s="21" t="n">
        <v>0</v>
      </c>
      <c r="O112" s="28" t="n">
        <v>1</v>
      </c>
      <c r="P112" s="18" t="s">
        <v>96</v>
      </c>
      <c r="Q112" s="18" t="s">
        <v>178</v>
      </c>
    </row>
    <row r="113" customFormat="false" ht="15" hidden="false" customHeight="false" outlineLevel="0" collapsed="false">
      <c r="A113" s="13" t="s">
        <v>172</v>
      </c>
      <c r="B113" s="13" t="s">
        <v>83</v>
      </c>
      <c r="C113" s="13" t="s">
        <v>62</v>
      </c>
      <c r="D113" s="23" t="n">
        <v>10</v>
      </c>
      <c r="E113" s="13" t="s">
        <v>73</v>
      </c>
      <c r="F113" s="13" t="s">
        <v>134</v>
      </c>
      <c r="G113" s="24"/>
      <c r="H113" s="14" t="n">
        <v>223</v>
      </c>
      <c r="I113" s="16" t="n">
        <v>0.397854479405429</v>
      </c>
      <c r="J113" s="16" t="n">
        <v>0.299164968110987</v>
      </c>
      <c r="K113" s="16" t="n">
        <v>0.309597523219814</v>
      </c>
      <c r="L113" s="15" t="n">
        <v>0.0882569561856146</v>
      </c>
      <c r="M113" s="15" t="n">
        <v>0.285069968479535</v>
      </c>
      <c r="N113" s="16" t="n">
        <v>0</v>
      </c>
      <c r="O113" s="25" t="n">
        <v>1</v>
      </c>
      <c r="P113" s="13" t="s">
        <v>96</v>
      </c>
      <c r="Q113" s="13" t="s">
        <v>178</v>
      </c>
    </row>
    <row r="114" customFormat="false" ht="15" hidden="false" customHeight="false" outlineLevel="0" collapsed="false">
      <c r="A114" s="18" t="s">
        <v>172</v>
      </c>
      <c r="B114" s="18" t="s">
        <v>144</v>
      </c>
      <c r="C114" s="18" t="s">
        <v>145</v>
      </c>
      <c r="D114" s="26" t="n">
        <v>12</v>
      </c>
      <c r="E114" s="18" t="s">
        <v>73</v>
      </c>
      <c r="F114" s="18" t="s">
        <v>167</v>
      </c>
      <c r="G114" s="27"/>
      <c r="H114" s="19" t="n">
        <v>1282</v>
      </c>
      <c r="I114" s="21" t="n">
        <v>0.158655855720646</v>
      </c>
      <c r="J114" s="21" t="n">
        <v>0.0707764172977564</v>
      </c>
      <c r="K114" s="21" t="n">
        <v>0.0723589001447178</v>
      </c>
      <c r="L114" s="20" t="n">
        <v>0.0862969555759285</v>
      </c>
      <c r="M114" s="20" t="n">
        <v>1.19262392605933</v>
      </c>
      <c r="N114" s="21" t="n">
        <v>0</v>
      </c>
      <c r="O114" s="28" t="n">
        <v>1</v>
      </c>
      <c r="P114" s="18" t="s">
        <v>96</v>
      </c>
      <c r="Q114" s="18" t="s">
        <v>174</v>
      </c>
    </row>
    <row r="115" customFormat="false" ht="15" hidden="false" customHeight="false" outlineLevel="0" collapsed="false">
      <c r="A115" s="13" t="s">
        <v>172</v>
      </c>
      <c r="B115" s="13" t="s">
        <v>72</v>
      </c>
      <c r="C115" s="13" t="s">
        <v>75</v>
      </c>
      <c r="D115" s="23" t="n">
        <v>13</v>
      </c>
      <c r="E115" s="13" t="s">
        <v>49</v>
      </c>
      <c r="F115" s="13" t="s">
        <v>218</v>
      </c>
      <c r="G115" s="24" t="n">
        <v>63</v>
      </c>
      <c r="H115" s="14" t="n">
        <v>-110</v>
      </c>
      <c r="I115" s="16" t="n">
        <v>0.609795040695403</v>
      </c>
      <c r="J115" s="16" t="n">
        <v>0.5</v>
      </c>
      <c r="K115" s="16" t="n">
        <v>0.523809523809524</v>
      </c>
      <c r="L115" s="15" t="n">
        <v>0.0859855168858793</v>
      </c>
      <c r="M115" s="15" t="n">
        <v>0.158555759792166</v>
      </c>
      <c r="N115" s="16" t="n">
        <v>0.0341</v>
      </c>
      <c r="O115" s="25" t="n">
        <v>1</v>
      </c>
      <c r="P115" s="13" t="s">
        <v>96</v>
      </c>
      <c r="Q115" s="13" t="s">
        <v>178</v>
      </c>
    </row>
    <row r="116" customFormat="false" ht="15" hidden="false" customHeight="false" outlineLevel="0" collapsed="false">
      <c r="A116" s="18" t="s">
        <v>172</v>
      </c>
      <c r="B116" s="18" t="s">
        <v>219</v>
      </c>
      <c r="C116" s="18" t="s">
        <v>145</v>
      </c>
      <c r="D116" s="26" t="n">
        <v>12</v>
      </c>
      <c r="E116" s="18" t="s">
        <v>73</v>
      </c>
      <c r="F116" s="18" t="s">
        <v>194</v>
      </c>
      <c r="G116" s="27"/>
      <c r="H116" s="19" t="n">
        <v>254</v>
      </c>
      <c r="I116" s="21" t="n">
        <v>0.367920595686097</v>
      </c>
      <c r="J116" s="21" t="n">
        <v>0.27294346557129</v>
      </c>
      <c r="K116" s="21" t="n">
        <v>0.282485875706215</v>
      </c>
      <c r="L116" s="20" t="n">
        <v>0.0854347199798823</v>
      </c>
      <c r="M116" s="20" t="n">
        <v>0.302438908728783</v>
      </c>
      <c r="N116" s="21" t="n">
        <v>0</v>
      </c>
      <c r="O116" s="28" t="n">
        <v>1</v>
      </c>
      <c r="P116" s="18" t="s">
        <v>96</v>
      </c>
      <c r="Q116" s="18" t="s">
        <v>191</v>
      </c>
    </row>
    <row r="117" customFormat="false" ht="15" hidden="false" customHeight="false" outlineLevel="0" collapsed="false">
      <c r="A117" s="13" t="s">
        <v>172</v>
      </c>
      <c r="B117" s="13" t="s">
        <v>159</v>
      </c>
      <c r="C117" s="13" t="s">
        <v>54</v>
      </c>
      <c r="D117" s="23" t="n">
        <v>10</v>
      </c>
      <c r="E117" s="13" t="s">
        <v>73</v>
      </c>
      <c r="F117" s="13" t="s">
        <v>196</v>
      </c>
      <c r="G117" s="24"/>
      <c r="H117" s="14" t="n">
        <v>217</v>
      </c>
      <c r="I117" s="16" t="n">
        <v>0.399723955986807</v>
      </c>
      <c r="J117" s="16" t="n">
        <v>0.304919830067151</v>
      </c>
      <c r="K117" s="16" t="n">
        <v>0.315457413249211</v>
      </c>
      <c r="L117" s="15" t="n">
        <v>0.0842665427375961</v>
      </c>
      <c r="M117" s="15" t="n">
        <v>0.26712494047818</v>
      </c>
      <c r="N117" s="16" t="n">
        <v>0</v>
      </c>
      <c r="O117" s="25" t="n">
        <v>1</v>
      </c>
      <c r="P117" s="13" t="s">
        <v>96</v>
      </c>
      <c r="Q117" s="13" t="s">
        <v>178</v>
      </c>
    </row>
    <row r="118" customFormat="false" ht="15" hidden="false" customHeight="false" outlineLevel="0" collapsed="false">
      <c r="A118" s="18" t="s">
        <v>172</v>
      </c>
      <c r="B118" s="18" t="s">
        <v>219</v>
      </c>
      <c r="C118" s="18" t="s">
        <v>145</v>
      </c>
      <c r="D118" s="26" t="n">
        <v>12</v>
      </c>
      <c r="E118" s="18" t="s">
        <v>45</v>
      </c>
      <c r="F118" s="18" t="s">
        <v>220</v>
      </c>
      <c r="G118" s="27" t="n">
        <v>7.5</v>
      </c>
      <c r="H118" s="19" t="n">
        <v>-110</v>
      </c>
      <c r="I118" s="21" t="n">
        <v>0.607050004754188</v>
      </c>
      <c r="J118" s="21" t="n">
        <v>0.5</v>
      </c>
      <c r="K118" s="21" t="n">
        <v>0.523809523809524</v>
      </c>
      <c r="L118" s="20" t="n">
        <v>0.0832404809446639</v>
      </c>
      <c r="M118" s="20" t="n">
        <v>0.158913645439813</v>
      </c>
      <c r="N118" s="21" t="n">
        <v>0</v>
      </c>
      <c r="O118" s="28" t="n">
        <v>1</v>
      </c>
      <c r="P118" s="18" t="s">
        <v>96</v>
      </c>
      <c r="Q118" s="18" t="s">
        <v>178</v>
      </c>
    </row>
    <row r="119" customFormat="false" ht="15" hidden="false" customHeight="false" outlineLevel="0" collapsed="false">
      <c r="A119" s="13" t="s">
        <v>172</v>
      </c>
      <c r="B119" s="13" t="s">
        <v>163</v>
      </c>
      <c r="C119" s="13" t="s">
        <v>75</v>
      </c>
      <c r="D119" s="23" t="n">
        <v>13</v>
      </c>
      <c r="E119" s="13" t="s">
        <v>73</v>
      </c>
      <c r="F119" s="13" t="s">
        <v>134</v>
      </c>
      <c r="G119" s="24"/>
      <c r="H119" s="14" t="n">
        <v>397</v>
      </c>
      <c r="I119" s="16" t="n">
        <v>0.283857342056582</v>
      </c>
      <c r="J119" s="16" t="n">
        <v>0.19438542561367</v>
      </c>
      <c r="K119" s="16" t="n">
        <v>0.201207243460765</v>
      </c>
      <c r="L119" s="15" t="n">
        <v>0.0826500985958175</v>
      </c>
      <c r="M119" s="15" t="n">
        <v>0.410770990021214</v>
      </c>
      <c r="N119" s="16" t="n">
        <v>0</v>
      </c>
      <c r="O119" s="25" t="n">
        <v>1</v>
      </c>
      <c r="P119" s="13" t="s">
        <v>96</v>
      </c>
      <c r="Q119" s="13" t="s">
        <v>178</v>
      </c>
    </row>
    <row r="120" customFormat="false" ht="15" hidden="false" customHeight="false" outlineLevel="0" collapsed="false">
      <c r="A120" s="18" t="s">
        <v>172</v>
      </c>
      <c r="B120" s="18" t="s">
        <v>213</v>
      </c>
      <c r="C120" s="18" t="s">
        <v>68</v>
      </c>
      <c r="D120" s="26" t="n">
        <v>11</v>
      </c>
      <c r="E120" s="18" t="s">
        <v>73</v>
      </c>
      <c r="F120" s="18" t="s">
        <v>221</v>
      </c>
      <c r="G120" s="27"/>
      <c r="H120" s="19" t="n">
        <v>294</v>
      </c>
      <c r="I120" s="21" t="n">
        <v>0.336228196027296</v>
      </c>
      <c r="J120" s="21" t="n">
        <v>0.245226928814432</v>
      </c>
      <c r="K120" s="21" t="n">
        <v>0.253807106598985</v>
      </c>
      <c r="L120" s="20" t="n">
        <v>0.0824210894283107</v>
      </c>
      <c r="M120" s="20" t="n">
        <v>0.324739092347544</v>
      </c>
      <c r="N120" s="21" t="n">
        <v>0</v>
      </c>
      <c r="O120" s="28" t="n">
        <v>1</v>
      </c>
      <c r="P120" s="18" t="s">
        <v>96</v>
      </c>
      <c r="Q120" s="18" t="s">
        <v>178</v>
      </c>
    </row>
    <row r="121" customFormat="false" ht="15" hidden="false" customHeight="false" outlineLevel="0" collapsed="false">
      <c r="A121" s="13" t="s">
        <v>172</v>
      </c>
      <c r="B121" s="13" t="s">
        <v>222</v>
      </c>
      <c r="C121" s="13" t="s">
        <v>145</v>
      </c>
      <c r="D121" s="23" t="n">
        <v>12</v>
      </c>
      <c r="E121" s="13" t="s">
        <v>45</v>
      </c>
      <c r="F121" s="13" t="s">
        <v>223</v>
      </c>
      <c r="G121" s="24" t="n">
        <v>4.5</v>
      </c>
      <c r="H121" s="14" t="n">
        <v>-110</v>
      </c>
      <c r="I121" s="16" t="n">
        <v>0.605762337880053</v>
      </c>
      <c r="J121" s="16" t="n">
        <v>0.5</v>
      </c>
      <c r="K121" s="16" t="n">
        <v>0.523809523809524</v>
      </c>
      <c r="L121" s="15" t="n">
        <v>0.0819528140705287</v>
      </c>
      <c r="M121" s="15" t="n">
        <v>0.156455372316464</v>
      </c>
      <c r="N121" s="16" t="n">
        <v>0</v>
      </c>
      <c r="O121" s="25" t="n">
        <v>1</v>
      </c>
      <c r="P121" s="13" t="s">
        <v>96</v>
      </c>
      <c r="Q121" s="13" t="s">
        <v>191</v>
      </c>
    </row>
    <row r="122" customFormat="false" ht="15" hidden="false" customHeight="false" outlineLevel="0" collapsed="false">
      <c r="A122" s="18" t="s">
        <v>172</v>
      </c>
      <c r="B122" s="18" t="s">
        <v>224</v>
      </c>
      <c r="C122" s="18" t="s">
        <v>59</v>
      </c>
      <c r="D122" s="26" t="n">
        <v>10</v>
      </c>
      <c r="E122" s="18" t="s">
        <v>45</v>
      </c>
      <c r="F122" s="18" t="s">
        <v>225</v>
      </c>
      <c r="G122" s="27" t="n">
        <v>-8.5</v>
      </c>
      <c r="H122" s="19" t="n">
        <v>-110</v>
      </c>
      <c r="I122" s="21" t="n">
        <v>0.601536683368626</v>
      </c>
      <c r="J122" s="21" t="n">
        <v>0.5</v>
      </c>
      <c r="K122" s="21" t="n">
        <v>0.523809523809524</v>
      </c>
      <c r="L122" s="20" t="n">
        <v>0.0777271595591024</v>
      </c>
      <c r="M122" s="20" t="n">
        <v>0.148388213703741</v>
      </c>
      <c r="N122" s="21" t="n">
        <v>0</v>
      </c>
      <c r="O122" s="28" t="n">
        <v>1</v>
      </c>
      <c r="P122" s="18" t="s">
        <v>96</v>
      </c>
      <c r="Q122" s="18" t="s">
        <v>191</v>
      </c>
    </row>
    <row r="123" customFormat="false" ht="15" hidden="false" customHeight="false" outlineLevel="0" collapsed="false">
      <c r="A123" s="13" t="s">
        <v>172</v>
      </c>
      <c r="B123" s="13" t="s">
        <v>226</v>
      </c>
      <c r="C123" s="13" t="s">
        <v>114</v>
      </c>
      <c r="D123" s="23" t="n">
        <v>13</v>
      </c>
      <c r="E123" s="13" t="s">
        <v>45</v>
      </c>
      <c r="F123" s="13" t="s">
        <v>227</v>
      </c>
      <c r="G123" s="24" t="n">
        <v>4</v>
      </c>
      <c r="H123" s="14" t="n">
        <v>-110</v>
      </c>
      <c r="I123" s="16" t="n">
        <v>0.601270282728331</v>
      </c>
      <c r="J123" s="16" t="n">
        <v>0.5</v>
      </c>
      <c r="K123" s="16" t="n">
        <v>0.523809523809524</v>
      </c>
      <c r="L123" s="15" t="n">
        <v>0.0774607589188069</v>
      </c>
      <c r="M123" s="15" t="n">
        <v>0.143779340782316</v>
      </c>
      <c r="N123" s="16" t="n">
        <v>0.0277</v>
      </c>
      <c r="O123" s="25" t="n">
        <v>1</v>
      </c>
      <c r="P123" s="13" t="s">
        <v>96</v>
      </c>
      <c r="Q123" s="13" t="s">
        <v>191</v>
      </c>
    </row>
    <row r="124" customFormat="false" ht="15" hidden="false" customHeight="false" outlineLevel="0" collapsed="false">
      <c r="A124" s="18" t="s">
        <v>172</v>
      </c>
      <c r="B124" s="18" t="s">
        <v>129</v>
      </c>
      <c r="C124" s="18" t="s">
        <v>75</v>
      </c>
      <c r="D124" s="26" t="n">
        <v>13</v>
      </c>
      <c r="E124" s="18" t="s">
        <v>49</v>
      </c>
      <c r="F124" s="18" t="s">
        <v>228</v>
      </c>
      <c r="G124" s="27" t="n">
        <v>50.5</v>
      </c>
      <c r="H124" s="19" t="n">
        <v>-110</v>
      </c>
      <c r="I124" s="21" t="n">
        <v>0.601010328710144</v>
      </c>
      <c r="J124" s="21" t="n">
        <v>0.5</v>
      </c>
      <c r="K124" s="21" t="n">
        <v>0.523809523809524</v>
      </c>
      <c r="L124" s="20" t="n">
        <v>0.0772008049006197</v>
      </c>
      <c r="M124" s="20" t="n">
        <v>0.147383354810274</v>
      </c>
      <c r="N124" s="21" t="n">
        <v>0</v>
      </c>
      <c r="O124" s="28" t="n">
        <v>1</v>
      </c>
      <c r="P124" s="18" t="s">
        <v>96</v>
      </c>
      <c r="Q124" s="18" t="s">
        <v>178</v>
      </c>
    </row>
    <row r="125" customFormat="false" ht="15" hidden="false" customHeight="false" outlineLevel="0" collapsed="false">
      <c r="A125" s="13" t="s">
        <v>172</v>
      </c>
      <c r="B125" s="13" t="s">
        <v>229</v>
      </c>
      <c r="C125" s="13" t="s">
        <v>71</v>
      </c>
      <c r="D125" s="23" t="n">
        <v>11</v>
      </c>
      <c r="E125" s="13" t="s">
        <v>49</v>
      </c>
      <c r="F125" s="13" t="s">
        <v>230</v>
      </c>
      <c r="G125" s="24" t="n">
        <v>49</v>
      </c>
      <c r="H125" s="14" t="n">
        <v>-110</v>
      </c>
      <c r="I125" s="16" t="n">
        <v>0.600948827178583</v>
      </c>
      <c r="J125" s="16" t="n">
        <v>0.5</v>
      </c>
      <c r="K125" s="16" t="n">
        <v>0.523809523809524</v>
      </c>
      <c r="L125" s="15" t="n">
        <v>0.0771393033690596</v>
      </c>
      <c r="M125" s="15" t="n">
        <v>0.142107336298818</v>
      </c>
      <c r="N125" s="16" t="n">
        <v>0.035</v>
      </c>
      <c r="O125" s="25" t="n">
        <v>1</v>
      </c>
      <c r="P125" s="13" t="s">
        <v>96</v>
      </c>
      <c r="Q125" s="13" t="s">
        <v>191</v>
      </c>
    </row>
    <row r="126" customFormat="false" ht="15" hidden="false" customHeight="false" outlineLevel="0" collapsed="false">
      <c r="A126" s="18" t="s">
        <v>172</v>
      </c>
      <c r="B126" s="18" t="s">
        <v>231</v>
      </c>
      <c r="C126" s="18" t="s">
        <v>59</v>
      </c>
      <c r="D126" s="26" t="n">
        <v>10</v>
      </c>
      <c r="E126" s="18" t="s">
        <v>45</v>
      </c>
      <c r="F126" s="18" t="s">
        <v>232</v>
      </c>
      <c r="G126" s="27" t="n">
        <v>6</v>
      </c>
      <c r="H126" s="19" t="n">
        <v>-110</v>
      </c>
      <c r="I126" s="21" t="n">
        <v>0.600392134776158</v>
      </c>
      <c r="J126" s="21" t="n">
        <v>0.5</v>
      </c>
      <c r="K126" s="21" t="n">
        <v>0.523809523809524</v>
      </c>
      <c r="L126" s="20" t="n">
        <v>0.0765826109666344</v>
      </c>
      <c r="M126" s="20" t="n">
        <v>0.142495880982655</v>
      </c>
      <c r="N126" s="21" t="n">
        <v>0.0254</v>
      </c>
      <c r="O126" s="28" t="n">
        <v>1</v>
      </c>
      <c r="P126" s="18" t="s">
        <v>96</v>
      </c>
      <c r="Q126" s="18" t="s">
        <v>191</v>
      </c>
    </row>
    <row r="127" customFormat="false" ht="15" hidden="false" customHeight="false" outlineLevel="0" collapsed="false">
      <c r="A127" s="13" t="s">
        <v>172</v>
      </c>
      <c r="B127" s="13" t="s">
        <v>226</v>
      </c>
      <c r="C127" s="13" t="s">
        <v>114</v>
      </c>
      <c r="D127" s="23" t="n">
        <v>13</v>
      </c>
      <c r="E127" s="13" t="s">
        <v>73</v>
      </c>
      <c r="F127" s="13" t="s">
        <v>173</v>
      </c>
      <c r="G127" s="24"/>
      <c r="H127" s="14" t="n">
        <v>151</v>
      </c>
      <c r="I127" s="16" t="n">
        <v>0.474816662500161</v>
      </c>
      <c r="J127" s="16" t="n">
        <v>0.384529647793134</v>
      </c>
      <c r="K127" s="16" t="n">
        <v>0.398406374501992</v>
      </c>
      <c r="L127" s="15" t="n">
        <v>0.0764102879981691</v>
      </c>
      <c r="M127" s="15" t="n">
        <v>0.191789822875404</v>
      </c>
      <c r="N127" s="16" t="n">
        <v>0</v>
      </c>
      <c r="O127" s="25" t="n">
        <v>1</v>
      </c>
      <c r="P127" s="13" t="s">
        <v>96</v>
      </c>
      <c r="Q127" s="13" t="s">
        <v>178</v>
      </c>
    </row>
    <row r="128" customFormat="false" ht="15" hidden="false" customHeight="false" outlineLevel="0" collapsed="false">
      <c r="A128" s="18" t="s">
        <v>172</v>
      </c>
      <c r="B128" s="18" t="s">
        <v>166</v>
      </c>
      <c r="C128" s="18" t="s">
        <v>47</v>
      </c>
      <c r="D128" s="26" t="n">
        <v>14</v>
      </c>
      <c r="E128" s="18" t="s">
        <v>45</v>
      </c>
      <c r="F128" s="18" t="s">
        <v>233</v>
      </c>
      <c r="G128" s="27" t="n">
        <v>6.5</v>
      </c>
      <c r="H128" s="19" t="n">
        <v>-110</v>
      </c>
      <c r="I128" s="21" t="n">
        <v>0.600086607263702</v>
      </c>
      <c r="J128" s="21" t="n">
        <v>0.5</v>
      </c>
      <c r="K128" s="21" t="n">
        <v>0.523809523809524</v>
      </c>
      <c r="L128" s="20" t="n">
        <v>0.0762770834541778</v>
      </c>
      <c r="M128" s="20" t="n">
        <v>0.14561988659434</v>
      </c>
      <c r="N128" s="21" t="n">
        <v>0</v>
      </c>
      <c r="O128" s="28" t="n">
        <v>1</v>
      </c>
      <c r="P128" s="18" t="s">
        <v>96</v>
      </c>
      <c r="Q128" s="18" t="s">
        <v>178</v>
      </c>
    </row>
    <row r="129" customFormat="false" ht="15" hidden="false" customHeight="false" outlineLevel="0" collapsed="false">
      <c r="A129" s="13" t="s">
        <v>172</v>
      </c>
      <c r="B129" s="13" t="s">
        <v>151</v>
      </c>
      <c r="C129" s="13" t="s">
        <v>102</v>
      </c>
      <c r="D129" s="23" t="n">
        <v>13</v>
      </c>
      <c r="E129" s="13" t="s">
        <v>49</v>
      </c>
      <c r="F129" s="13" t="s">
        <v>234</v>
      </c>
      <c r="G129" s="24" t="n">
        <v>51</v>
      </c>
      <c r="H129" s="14" t="n">
        <v>-110</v>
      </c>
      <c r="I129" s="16" t="n">
        <v>0.599148528719081</v>
      </c>
      <c r="J129" s="16" t="n">
        <v>0.5</v>
      </c>
      <c r="K129" s="16" t="n">
        <v>0.523809523809524</v>
      </c>
      <c r="L129" s="15" t="n">
        <v>0.075339004909557</v>
      </c>
      <c r="M129" s="15" t="n">
        <v>0.138765288614417</v>
      </c>
      <c r="N129" s="16" t="n">
        <v>0.0352</v>
      </c>
      <c r="O129" s="25" t="n">
        <v>1</v>
      </c>
      <c r="P129" s="13" t="s">
        <v>96</v>
      </c>
      <c r="Q129" s="13" t="s">
        <v>178</v>
      </c>
    </row>
    <row r="130" customFormat="false" ht="15" hidden="false" customHeight="false" outlineLevel="0" collapsed="false">
      <c r="A130" s="18" t="s">
        <v>172</v>
      </c>
      <c r="B130" s="18" t="s">
        <v>222</v>
      </c>
      <c r="C130" s="18" t="s">
        <v>145</v>
      </c>
      <c r="D130" s="26" t="n">
        <v>12</v>
      </c>
      <c r="E130" s="18" t="s">
        <v>73</v>
      </c>
      <c r="F130" s="18" t="s">
        <v>221</v>
      </c>
      <c r="G130" s="27"/>
      <c r="H130" s="19" t="n">
        <v>149</v>
      </c>
      <c r="I130" s="21" t="n">
        <v>0.476933779651638</v>
      </c>
      <c r="J130" s="21" t="n">
        <v>0.387910823138241</v>
      </c>
      <c r="K130" s="21" t="n">
        <v>0.401606425702811</v>
      </c>
      <c r="L130" s="20" t="n">
        <v>0.0753273539488263</v>
      </c>
      <c r="M130" s="20" t="n">
        <v>0.187565111332578</v>
      </c>
      <c r="N130" s="21" t="n">
        <v>0</v>
      </c>
      <c r="O130" s="28" t="n">
        <v>1</v>
      </c>
      <c r="P130" s="18" t="s">
        <v>96</v>
      </c>
      <c r="Q130" s="18" t="s">
        <v>178</v>
      </c>
    </row>
    <row r="131" customFormat="false" ht="15" hidden="false" customHeight="false" outlineLevel="0" collapsed="false">
      <c r="A131" s="13" t="s">
        <v>172</v>
      </c>
      <c r="B131" s="13" t="s">
        <v>52</v>
      </c>
      <c r="C131" s="13" t="s">
        <v>54</v>
      </c>
      <c r="D131" s="23" t="n">
        <v>10</v>
      </c>
      <c r="E131" s="13" t="s">
        <v>49</v>
      </c>
      <c r="F131" s="13" t="s">
        <v>235</v>
      </c>
      <c r="G131" s="24" t="n">
        <v>53.5</v>
      </c>
      <c r="H131" s="14" t="n">
        <v>-110</v>
      </c>
      <c r="I131" s="16" t="n">
        <v>0.597524383427331</v>
      </c>
      <c r="J131" s="16" t="n">
        <v>0.5</v>
      </c>
      <c r="K131" s="16" t="n">
        <v>0.523809523809524</v>
      </c>
      <c r="L131" s="15" t="n">
        <v>0.0737148596178067</v>
      </c>
      <c r="M131" s="15" t="n">
        <v>0.140728368361267</v>
      </c>
      <c r="N131" s="16" t="n">
        <v>0</v>
      </c>
      <c r="O131" s="25" t="n">
        <v>1</v>
      </c>
      <c r="P131" s="13" t="s">
        <v>96</v>
      </c>
      <c r="Q131" s="13" t="s">
        <v>178</v>
      </c>
    </row>
    <row r="132" customFormat="false" ht="15" hidden="false" customHeight="false" outlineLevel="0" collapsed="false">
      <c r="A132" s="18" t="s">
        <v>172</v>
      </c>
      <c r="B132" s="18" t="s">
        <v>57</v>
      </c>
      <c r="C132" s="18" t="s">
        <v>59</v>
      </c>
      <c r="D132" s="26" t="n">
        <v>10</v>
      </c>
      <c r="E132" s="18" t="s">
        <v>45</v>
      </c>
      <c r="F132" s="18" t="s">
        <v>236</v>
      </c>
      <c r="G132" s="27" t="n">
        <v>-9.5</v>
      </c>
      <c r="H132" s="19" t="n">
        <v>-110</v>
      </c>
      <c r="I132" s="21" t="n">
        <v>0.595929412511931</v>
      </c>
      <c r="J132" s="21" t="n">
        <v>0.5</v>
      </c>
      <c r="K132" s="21" t="n">
        <v>0.523809523809524</v>
      </c>
      <c r="L132" s="20" t="n">
        <v>0.0721198887024073</v>
      </c>
      <c r="M132" s="20" t="n">
        <v>0.137683423886414</v>
      </c>
      <c r="N132" s="21" t="n">
        <v>0</v>
      </c>
      <c r="O132" s="28" t="n">
        <v>1</v>
      </c>
      <c r="P132" s="18" t="s">
        <v>96</v>
      </c>
      <c r="Q132" s="18" t="s">
        <v>178</v>
      </c>
    </row>
    <row r="133" customFormat="false" ht="15" hidden="false" customHeight="false" outlineLevel="0" collapsed="false">
      <c r="A133" s="13" t="s">
        <v>172</v>
      </c>
      <c r="B133" s="13" t="s">
        <v>237</v>
      </c>
      <c r="C133" s="13" t="s">
        <v>71</v>
      </c>
      <c r="D133" s="23" t="n">
        <v>11</v>
      </c>
      <c r="E133" s="13" t="s">
        <v>49</v>
      </c>
      <c r="F133" s="13" t="s">
        <v>211</v>
      </c>
      <c r="G133" s="24" t="n">
        <v>64.5</v>
      </c>
      <c r="H133" s="14" t="n">
        <v>-110</v>
      </c>
      <c r="I133" s="16" t="n">
        <v>0.595767933409795</v>
      </c>
      <c r="J133" s="16" t="n">
        <v>0.5</v>
      </c>
      <c r="K133" s="16" t="n">
        <v>0.523809523809524</v>
      </c>
      <c r="L133" s="15" t="n">
        <v>0.0719584096002709</v>
      </c>
      <c r="M133" s="15" t="n">
        <v>0.137375145600517</v>
      </c>
      <c r="N133" s="16" t="n">
        <v>0</v>
      </c>
      <c r="O133" s="25" t="n">
        <v>1</v>
      </c>
      <c r="P133" s="13" t="s">
        <v>96</v>
      </c>
      <c r="Q133" s="13" t="s">
        <v>191</v>
      </c>
    </row>
    <row r="134" customFormat="false" ht="15" hidden="false" customHeight="false" outlineLevel="0" collapsed="false">
      <c r="A134" s="18" t="s">
        <v>172</v>
      </c>
      <c r="B134" s="18" t="s">
        <v>118</v>
      </c>
      <c r="C134" s="18" t="s">
        <v>76</v>
      </c>
      <c r="D134" s="26" t="n">
        <v>14</v>
      </c>
      <c r="E134" s="18" t="s">
        <v>49</v>
      </c>
      <c r="F134" s="18" t="s">
        <v>197</v>
      </c>
      <c r="G134" s="27" t="n">
        <v>50</v>
      </c>
      <c r="H134" s="19" t="n">
        <v>-110</v>
      </c>
      <c r="I134" s="21" t="n">
        <v>0.595517993201656</v>
      </c>
      <c r="J134" s="21" t="n">
        <v>0.5</v>
      </c>
      <c r="K134" s="21" t="n">
        <v>0.523809523809524</v>
      </c>
      <c r="L134" s="20" t="n">
        <v>0.0717084693921321</v>
      </c>
      <c r="M134" s="20" t="n">
        <v>0.13203081819712</v>
      </c>
      <c r="N134" s="21" t="n">
        <v>0.0356</v>
      </c>
      <c r="O134" s="28" t="n">
        <v>1</v>
      </c>
      <c r="P134" s="18" t="s">
        <v>96</v>
      </c>
      <c r="Q134" s="18" t="s">
        <v>178</v>
      </c>
    </row>
    <row r="135" customFormat="false" ht="15" hidden="false" customHeight="false" outlineLevel="0" collapsed="false">
      <c r="A135" s="13" t="s">
        <v>172</v>
      </c>
      <c r="B135" s="13" t="s">
        <v>168</v>
      </c>
      <c r="C135" s="13" t="s">
        <v>51</v>
      </c>
      <c r="D135" s="23" t="n">
        <v>14</v>
      </c>
      <c r="E135" s="13" t="s">
        <v>49</v>
      </c>
      <c r="F135" s="13" t="s">
        <v>234</v>
      </c>
      <c r="G135" s="24" t="n">
        <v>51</v>
      </c>
      <c r="H135" s="14" t="n">
        <v>-110</v>
      </c>
      <c r="I135" s="16" t="n">
        <v>0.595517990724688</v>
      </c>
      <c r="J135" s="16" t="n">
        <v>0.5</v>
      </c>
      <c r="K135" s="16" t="n">
        <v>0.523809523809524</v>
      </c>
      <c r="L135" s="15" t="n">
        <v>0.0717084669151642</v>
      </c>
      <c r="M135" s="15" t="n">
        <v>0.132030813670137</v>
      </c>
      <c r="N135" s="16" t="n">
        <v>0.0356</v>
      </c>
      <c r="O135" s="25" t="n">
        <v>1</v>
      </c>
      <c r="P135" s="13" t="s">
        <v>96</v>
      </c>
      <c r="Q135" s="13" t="s">
        <v>178</v>
      </c>
    </row>
    <row r="136" customFormat="false" ht="15" hidden="false" customHeight="false" outlineLevel="0" collapsed="false">
      <c r="A136" s="18" t="s">
        <v>172</v>
      </c>
      <c r="B136" s="18" t="s">
        <v>238</v>
      </c>
      <c r="C136" s="18" t="s">
        <v>62</v>
      </c>
      <c r="D136" s="26" t="n">
        <v>10</v>
      </c>
      <c r="E136" s="18" t="s">
        <v>73</v>
      </c>
      <c r="F136" s="18" t="s">
        <v>167</v>
      </c>
      <c r="G136" s="27"/>
      <c r="H136" s="19" t="n">
        <v>333</v>
      </c>
      <c r="I136" s="21" t="n">
        <v>0.301229898689224</v>
      </c>
      <c r="J136" s="21" t="n">
        <v>0.223082732697991</v>
      </c>
      <c r="K136" s="21" t="n">
        <v>0.23094688221709</v>
      </c>
      <c r="L136" s="20" t="n">
        <v>0.0702830164721336</v>
      </c>
      <c r="M136" s="20" t="n">
        <v>0.304325461324339</v>
      </c>
      <c r="N136" s="21" t="n">
        <v>0</v>
      </c>
      <c r="O136" s="28" t="n">
        <v>1</v>
      </c>
      <c r="P136" s="18" t="s">
        <v>96</v>
      </c>
      <c r="Q136" s="18" t="s">
        <v>191</v>
      </c>
    </row>
    <row r="137" customFormat="false" ht="15" hidden="false" customHeight="false" outlineLevel="0" collapsed="false">
      <c r="A137" s="13" t="s">
        <v>172</v>
      </c>
      <c r="B137" s="13" t="s">
        <v>125</v>
      </c>
      <c r="C137" s="13" t="s">
        <v>109</v>
      </c>
      <c r="D137" s="23" t="n">
        <v>12</v>
      </c>
      <c r="E137" s="13" t="s">
        <v>45</v>
      </c>
      <c r="F137" s="13" t="s">
        <v>239</v>
      </c>
      <c r="G137" s="24" t="n">
        <v>-10.5</v>
      </c>
      <c r="H137" s="14" t="n">
        <v>-110</v>
      </c>
      <c r="I137" s="16" t="n">
        <v>0.593012733093617</v>
      </c>
      <c r="J137" s="16" t="n">
        <v>0.5</v>
      </c>
      <c r="K137" s="16" t="n">
        <v>0.523809523809524</v>
      </c>
      <c r="L137" s="15" t="n">
        <v>0.0692032092840931</v>
      </c>
      <c r="M137" s="15" t="n">
        <v>0.132115217724178</v>
      </c>
      <c r="N137" s="16" t="n">
        <v>0</v>
      </c>
      <c r="O137" s="25" t="n">
        <v>1</v>
      </c>
      <c r="P137" s="13" t="s">
        <v>96</v>
      </c>
      <c r="Q137" s="13" t="s">
        <v>178</v>
      </c>
    </row>
    <row r="138" customFormat="false" ht="15" hidden="false" customHeight="false" outlineLevel="0" collapsed="false">
      <c r="A138" s="18" t="s">
        <v>172</v>
      </c>
      <c r="B138" s="18" t="s">
        <v>222</v>
      </c>
      <c r="C138" s="18" t="s">
        <v>145</v>
      </c>
      <c r="D138" s="26" t="n">
        <v>12</v>
      </c>
      <c r="E138" s="18" t="s">
        <v>49</v>
      </c>
      <c r="F138" s="18" t="s">
        <v>240</v>
      </c>
      <c r="G138" s="27" t="n">
        <v>52</v>
      </c>
      <c r="H138" s="19" t="n">
        <v>-110</v>
      </c>
      <c r="I138" s="21" t="n">
        <v>0.59184848025102</v>
      </c>
      <c r="J138" s="21" t="n">
        <v>0.5</v>
      </c>
      <c r="K138" s="21" t="n">
        <v>0.523809523809524</v>
      </c>
      <c r="L138" s="20" t="n">
        <v>0.0680389564414959</v>
      </c>
      <c r="M138" s="20" t="n">
        <v>0.125230835558187</v>
      </c>
      <c r="N138" s="21" t="n">
        <v>0.0359</v>
      </c>
      <c r="O138" s="28" t="n">
        <v>1</v>
      </c>
      <c r="P138" s="18" t="s">
        <v>96</v>
      </c>
      <c r="Q138" s="18" t="s">
        <v>178</v>
      </c>
    </row>
    <row r="139" customFormat="false" ht="15" hidden="false" customHeight="false" outlineLevel="0" collapsed="false">
      <c r="A139" s="13" t="s">
        <v>172</v>
      </c>
      <c r="B139" s="13" t="s">
        <v>241</v>
      </c>
      <c r="C139" s="13" t="s">
        <v>54</v>
      </c>
      <c r="D139" s="23" t="n">
        <v>10</v>
      </c>
      <c r="E139" s="13" t="s">
        <v>45</v>
      </c>
      <c r="F139" s="13" t="s">
        <v>242</v>
      </c>
      <c r="G139" s="24" t="n">
        <v>-12</v>
      </c>
      <c r="H139" s="14" t="n">
        <v>-110</v>
      </c>
      <c r="I139" s="16" t="n">
        <v>0.590560642147475</v>
      </c>
      <c r="J139" s="16" t="n">
        <v>0.5</v>
      </c>
      <c r="K139" s="16" t="n">
        <v>0.523809523809524</v>
      </c>
      <c r="L139" s="15" t="n">
        <v>0.0667511183379516</v>
      </c>
      <c r="M139" s="15" t="n">
        <v>0.124751525857152</v>
      </c>
      <c r="N139" s="16" t="n">
        <v>0.021</v>
      </c>
      <c r="O139" s="25" t="n">
        <v>1</v>
      </c>
      <c r="P139" s="13" t="s">
        <v>96</v>
      </c>
      <c r="Q139" s="13" t="s">
        <v>191</v>
      </c>
    </row>
    <row r="140" customFormat="false" ht="15" hidden="false" customHeight="false" outlineLevel="0" collapsed="false">
      <c r="A140" s="18" t="s">
        <v>172</v>
      </c>
      <c r="B140" s="18" t="s">
        <v>243</v>
      </c>
      <c r="C140" s="18" t="s">
        <v>145</v>
      </c>
      <c r="D140" s="26" t="n">
        <v>12</v>
      </c>
      <c r="E140" s="18" t="s">
        <v>49</v>
      </c>
      <c r="F140" s="18" t="s">
        <v>215</v>
      </c>
      <c r="G140" s="27" t="n">
        <v>51.5</v>
      </c>
      <c r="H140" s="19" t="n">
        <v>-110</v>
      </c>
      <c r="I140" s="21" t="n">
        <v>0.590446254706296</v>
      </c>
      <c r="J140" s="21" t="n">
        <v>0.5</v>
      </c>
      <c r="K140" s="21" t="n">
        <v>0.523809523809524</v>
      </c>
      <c r="L140" s="20" t="n">
        <v>0.0666367308967717</v>
      </c>
      <c r="M140" s="20" t="n">
        <v>0.127215577166564</v>
      </c>
      <c r="N140" s="21" t="n">
        <v>0</v>
      </c>
      <c r="O140" s="28" t="n">
        <v>1</v>
      </c>
      <c r="P140" s="18" t="s">
        <v>96</v>
      </c>
      <c r="Q140" s="18" t="s">
        <v>191</v>
      </c>
    </row>
    <row r="141" customFormat="false" ht="15" hidden="false" customHeight="false" outlineLevel="0" collapsed="false">
      <c r="A141" s="13" t="s">
        <v>172</v>
      </c>
      <c r="B141" s="13" t="s">
        <v>135</v>
      </c>
      <c r="C141" s="13" t="s">
        <v>136</v>
      </c>
      <c r="D141" s="23" t="n">
        <v>12</v>
      </c>
      <c r="E141" s="13" t="s">
        <v>45</v>
      </c>
      <c r="F141" s="13" t="s">
        <v>244</v>
      </c>
      <c r="G141" s="24" t="n">
        <v>-7</v>
      </c>
      <c r="H141" s="14" t="n">
        <v>-110</v>
      </c>
      <c r="I141" s="16" t="n">
        <v>0.588416434429302</v>
      </c>
      <c r="J141" s="16" t="n">
        <v>0.5</v>
      </c>
      <c r="K141" s="16" t="n">
        <v>0.523809523809524</v>
      </c>
      <c r="L141" s="15" t="n">
        <v>0.0646069106197776</v>
      </c>
      <c r="M141" s="15" t="n">
        <v>0.117514844863599</v>
      </c>
      <c r="N141" s="16" t="n">
        <v>0.0472</v>
      </c>
      <c r="O141" s="25" t="n">
        <v>1</v>
      </c>
      <c r="P141" s="13" t="s">
        <v>96</v>
      </c>
      <c r="Q141" s="13" t="s">
        <v>178</v>
      </c>
    </row>
    <row r="142" customFormat="false" ht="15" hidden="false" customHeight="false" outlineLevel="0" collapsed="false">
      <c r="A142" s="18" t="s">
        <v>172</v>
      </c>
      <c r="B142" s="18" t="s">
        <v>241</v>
      </c>
      <c r="C142" s="18" t="s">
        <v>54</v>
      </c>
      <c r="D142" s="26" t="n">
        <v>10</v>
      </c>
      <c r="E142" s="18" t="s">
        <v>73</v>
      </c>
      <c r="F142" s="18" t="s">
        <v>245</v>
      </c>
      <c r="G142" s="27"/>
      <c r="H142" s="19" t="n">
        <v>513</v>
      </c>
      <c r="I142" s="21" t="n">
        <v>0.226575489285157</v>
      </c>
      <c r="J142" s="21" t="n">
        <v>0.157601709605229</v>
      </c>
      <c r="K142" s="21" t="n">
        <v>0.163132137030995</v>
      </c>
      <c r="L142" s="20" t="n">
        <v>0.0634433522541623</v>
      </c>
      <c r="M142" s="20" t="n">
        <v>0.388907749318015</v>
      </c>
      <c r="N142" s="21" t="n">
        <v>0</v>
      </c>
      <c r="O142" s="28" t="n">
        <v>1</v>
      </c>
      <c r="P142" s="18" t="s">
        <v>96</v>
      </c>
      <c r="Q142" s="18" t="s">
        <v>178</v>
      </c>
    </row>
    <row r="143" customFormat="false" ht="15" hidden="false" customHeight="false" outlineLevel="0" collapsed="false">
      <c r="A143" s="13" t="s">
        <v>172</v>
      </c>
      <c r="B143" s="13" t="s">
        <v>125</v>
      </c>
      <c r="C143" s="13" t="s">
        <v>109</v>
      </c>
      <c r="D143" s="23" t="n">
        <v>12</v>
      </c>
      <c r="E143" s="13" t="s">
        <v>73</v>
      </c>
      <c r="F143" s="13" t="s">
        <v>195</v>
      </c>
      <c r="G143" s="24"/>
      <c r="H143" s="14" t="n">
        <v>376</v>
      </c>
      <c r="I143" s="16" t="n">
        <v>0.271938628377377</v>
      </c>
      <c r="J143" s="16" t="n">
        <v>0.202989022239918</v>
      </c>
      <c r="K143" s="16" t="n">
        <v>0.210084033613445</v>
      </c>
      <c r="L143" s="15" t="n">
        <v>0.0618545947639313</v>
      </c>
      <c r="M143" s="15" t="n">
        <v>0.294427871076313</v>
      </c>
      <c r="N143" s="16" t="n">
        <v>0</v>
      </c>
      <c r="O143" s="25" t="n">
        <v>1</v>
      </c>
      <c r="P143" s="13" t="s">
        <v>96</v>
      </c>
      <c r="Q143" s="13" t="s">
        <v>178</v>
      </c>
    </row>
    <row r="144" customFormat="false" ht="15" hidden="false" customHeight="false" outlineLevel="0" collapsed="false">
      <c r="A144" s="18" t="s">
        <v>172</v>
      </c>
      <c r="B144" s="18" t="s">
        <v>246</v>
      </c>
      <c r="C144" s="18" t="s">
        <v>51</v>
      </c>
      <c r="D144" s="26" t="n">
        <v>14</v>
      </c>
      <c r="E144" s="18" t="s">
        <v>49</v>
      </c>
      <c r="F144" s="18" t="s">
        <v>247</v>
      </c>
      <c r="G144" s="27" t="n">
        <v>60.5</v>
      </c>
      <c r="H144" s="19" t="n">
        <v>-110</v>
      </c>
      <c r="I144" s="21" t="n">
        <v>0.58323369799037</v>
      </c>
      <c r="J144" s="21" t="n">
        <v>0.5</v>
      </c>
      <c r="K144" s="21" t="n">
        <v>0.523809523809524</v>
      </c>
      <c r="L144" s="20" t="n">
        <v>0.0594241741808459</v>
      </c>
      <c r="M144" s="20" t="n">
        <v>0.113446150708888</v>
      </c>
      <c r="N144" s="21" t="n">
        <v>0</v>
      </c>
      <c r="O144" s="28" t="n">
        <v>1</v>
      </c>
      <c r="P144" s="18" t="s">
        <v>96</v>
      </c>
      <c r="Q144" s="18" t="s">
        <v>191</v>
      </c>
    </row>
    <row r="145" customFormat="false" ht="15" hidden="false" customHeight="false" outlineLevel="0" collapsed="false">
      <c r="A145" s="13" t="s">
        <v>172</v>
      </c>
      <c r="B145" s="13" t="s">
        <v>248</v>
      </c>
      <c r="C145" s="13" t="s">
        <v>47</v>
      </c>
      <c r="D145" s="23" t="n">
        <v>14</v>
      </c>
      <c r="E145" s="13" t="s">
        <v>49</v>
      </c>
      <c r="F145" s="13" t="s">
        <v>234</v>
      </c>
      <c r="G145" s="24" t="n">
        <v>51</v>
      </c>
      <c r="H145" s="14" t="n">
        <v>-110</v>
      </c>
      <c r="I145" s="16" t="n">
        <v>0.582512226561897</v>
      </c>
      <c r="J145" s="16" t="n">
        <v>0.5</v>
      </c>
      <c r="K145" s="16" t="n">
        <v>0.523809523809524</v>
      </c>
      <c r="L145" s="15" t="n">
        <v>0.0587027027523733</v>
      </c>
      <c r="M145" s="15" t="n">
        <v>0.107958318172482</v>
      </c>
      <c r="N145" s="16" t="n">
        <v>0.0367</v>
      </c>
      <c r="O145" s="25" t="n">
        <v>1</v>
      </c>
      <c r="P145" s="13" t="s">
        <v>96</v>
      </c>
      <c r="Q145" s="13" t="s">
        <v>191</v>
      </c>
    </row>
    <row r="146" customFormat="false" ht="15" hidden="false" customHeight="false" outlineLevel="0" collapsed="false">
      <c r="A146" s="18" t="s">
        <v>172</v>
      </c>
      <c r="B146" s="18" t="s">
        <v>170</v>
      </c>
      <c r="C146" s="18" t="s">
        <v>76</v>
      </c>
      <c r="D146" s="26" t="n">
        <v>14</v>
      </c>
      <c r="E146" s="18" t="s">
        <v>49</v>
      </c>
      <c r="F146" s="18" t="s">
        <v>249</v>
      </c>
      <c r="G146" s="27" t="n">
        <v>61</v>
      </c>
      <c r="H146" s="19" t="n">
        <v>-110</v>
      </c>
      <c r="I146" s="21" t="n">
        <v>0.582512221155811</v>
      </c>
      <c r="J146" s="21" t="n">
        <v>0.5</v>
      </c>
      <c r="K146" s="21" t="n">
        <v>0.523809523809524</v>
      </c>
      <c r="L146" s="20" t="n">
        <v>0.0587026973462868</v>
      </c>
      <c r="M146" s="20" t="n">
        <v>0.107958308265845</v>
      </c>
      <c r="N146" s="21" t="n">
        <v>0.0367</v>
      </c>
      <c r="O146" s="28" t="n">
        <v>1</v>
      </c>
      <c r="P146" s="18" t="s">
        <v>96</v>
      </c>
      <c r="Q146" s="18" t="s">
        <v>178</v>
      </c>
    </row>
    <row r="147" customFormat="false" ht="15" hidden="false" customHeight="false" outlineLevel="0" collapsed="false">
      <c r="A147" s="13" t="s">
        <v>172</v>
      </c>
      <c r="B147" s="13" t="s">
        <v>101</v>
      </c>
      <c r="C147" s="13" t="s">
        <v>102</v>
      </c>
      <c r="D147" s="23" t="n">
        <v>13</v>
      </c>
      <c r="E147" s="13" t="s">
        <v>49</v>
      </c>
      <c r="F147" s="13" t="s">
        <v>250</v>
      </c>
      <c r="G147" s="24" t="n">
        <v>60</v>
      </c>
      <c r="H147" s="14" t="n">
        <v>-110</v>
      </c>
      <c r="I147" s="16" t="n">
        <v>0.58251222050902</v>
      </c>
      <c r="J147" s="16" t="n">
        <v>0.5</v>
      </c>
      <c r="K147" s="16" t="n">
        <v>0.523809523809524</v>
      </c>
      <c r="L147" s="15" t="n">
        <v>0.0587026966994957</v>
      </c>
      <c r="M147" s="15" t="n">
        <v>0.107958307061061</v>
      </c>
      <c r="N147" s="16" t="n">
        <v>0.0367</v>
      </c>
      <c r="O147" s="25" t="n">
        <v>1</v>
      </c>
      <c r="P147" s="13" t="s">
        <v>96</v>
      </c>
      <c r="Q147" s="13" t="s">
        <v>178</v>
      </c>
    </row>
    <row r="148" customFormat="false" ht="15" hidden="false" customHeight="false" outlineLevel="0" collapsed="false">
      <c r="A148" s="18" t="s">
        <v>172</v>
      </c>
      <c r="B148" s="18" t="s">
        <v>251</v>
      </c>
      <c r="C148" s="18" t="s">
        <v>76</v>
      </c>
      <c r="D148" s="26" t="n">
        <v>14</v>
      </c>
      <c r="E148" s="18" t="s">
        <v>49</v>
      </c>
      <c r="F148" s="18" t="s">
        <v>228</v>
      </c>
      <c r="G148" s="27" t="n">
        <v>50.5</v>
      </c>
      <c r="H148" s="19" t="n">
        <v>-110</v>
      </c>
      <c r="I148" s="21" t="n">
        <v>0.5814106289579</v>
      </c>
      <c r="J148" s="21" t="n">
        <v>0.5</v>
      </c>
      <c r="K148" s="21" t="n">
        <v>0.523809523809524</v>
      </c>
      <c r="L148" s="20" t="n">
        <v>0.0576011051483764</v>
      </c>
      <c r="M148" s="20" t="n">
        <v>0.109965746192355</v>
      </c>
      <c r="N148" s="21" t="n">
        <v>0</v>
      </c>
      <c r="O148" s="28" t="n">
        <v>1</v>
      </c>
      <c r="P148" s="18" t="s">
        <v>96</v>
      </c>
      <c r="Q148" s="18" t="s">
        <v>191</v>
      </c>
    </row>
    <row r="149" customFormat="false" ht="15" hidden="false" customHeight="false" outlineLevel="0" collapsed="false">
      <c r="A149" s="13" t="s">
        <v>172</v>
      </c>
      <c r="B149" s="13" t="s">
        <v>159</v>
      </c>
      <c r="C149" s="13" t="s">
        <v>54</v>
      </c>
      <c r="D149" s="23" t="n">
        <v>10</v>
      </c>
      <c r="E149" s="13" t="s">
        <v>49</v>
      </c>
      <c r="F149" s="13" t="s">
        <v>235</v>
      </c>
      <c r="G149" s="24" t="n">
        <v>53.5</v>
      </c>
      <c r="H149" s="14" t="n">
        <v>-110</v>
      </c>
      <c r="I149" s="16" t="n">
        <v>0.5814106243745</v>
      </c>
      <c r="J149" s="16" t="n">
        <v>0.5</v>
      </c>
      <c r="K149" s="16" t="n">
        <v>0.523809523809524</v>
      </c>
      <c r="L149" s="15" t="n">
        <v>0.057601100564976</v>
      </c>
      <c r="M149" s="15" t="n">
        <v>0.109965737442227</v>
      </c>
      <c r="N149" s="16" t="n">
        <v>0</v>
      </c>
      <c r="O149" s="25" t="n">
        <v>1</v>
      </c>
      <c r="P149" s="13" t="s">
        <v>96</v>
      </c>
      <c r="Q149" s="13" t="s">
        <v>178</v>
      </c>
    </row>
    <row r="150" customFormat="false" ht="15" hidden="false" customHeight="false" outlineLevel="0" collapsed="false">
      <c r="A150" s="18" t="s">
        <v>172</v>
      </c>
      <c r="B150" s="18" t="s">
        <v>116</v>
      </c>
      <c r="C150" s="18" t="s">
        <v>109</v>
      </c>
      <c r="D150" s="26" t="n">
        <v>12</v>
      </c>
      <c r="E150" s="18" t="s">
        <v>49</v>
      </c>
      <c r="F150" s="18" t="s">
        <v>252</v>
      </c>
      <c r="G150" s="27" t="n">
        <v>62.5</v>
      </c>
      <c r="H150" s="19" t="n">
        <v>-110</v>
      </c>
      <c r="I150" s="21" t="n">
        <v>0.581410623072856</v>
      </c>
      <c r="J150" s="21" t="n">
        <v>0.5</v>
      </c>
      <c r="K150" s="21" t="n">
        <v>0.523809523809524</v>
      </c>
      <c r="L150" s="20" t="n">
        <v>0.0576010992633326</v>
      </c>
      <c r="M150" s="20" t="n">
        <v>0.109965734957271</v>
      </c>
      <c r="N150" s="21" t="n">
        <v>0</v>
      </c>
      <c r="O150" s="28" t="n">
        <v>1</v>
      </c>
      <c r="P150" s="18" t="s">
        <v>96</v>
      </c>
      <c r="Q150" s="18" t="s">
        <v>178</v>
      </c>
    </row>
    <row r="151" customFormat="false" ht="15" hidden="false" customHeight="false" outlineLevel="0" collapsed="false">
      <c r="A151" s="13" t="s">
        <v>172</v>
      </c>
      <c r="B151" s="13" t="s">
        <v>253</v>
      </c>
      <c r="C151" s="13" t="s">
        <v>102</v>
      </c>
      <c r="D151" s="23" t="n">
        <v>13</v>
      </c>
      <c r="E151" s="13" t="s">
        <v>73</v>
      </c>
      <c r="F151" s="13" t="s">
        <v>254</v>
      </c>
      <c r="G151" s="24"/>
      <c r="H151" s="14" t="n">
        <v>503</v>
      </c>
      <c r="I151" s="16" t="n">
        <v>0.222653952575091</v>
      </c>
      <c r="J151" s="16" t="n">
        <v>0.160237587878991</v>
      </c>
      <c r="K151" s="16" t="n">
        <v>0.165837479270315</v>
      </c>
      <c r="L151" s="15" t="n">
        <v>0.056816473304776</v>
      </c>
      <c r="M151" s="15" t="n">
        <v>0.3426033340278</v>
      </c>
      <c r="N151" s="16" t="n">
        <v>0</v>
      </c>
      <c r="O151" s="25" t="n">
        <v>1</v>
      </c>
      <c r="P151" s="13" t="s">
        <v>96</v>
      </c>
      <c r="Q151" s="13" t="s">
        <v>191</v>
      </c>
    </row>
    <row r="152" customFormat="false" ht="15" hidden="false" customHeight="false" outlineLevel="0" collapsed="false">
      <c r="A152" s="18" t="s">
        <v>172</v>
      </c>
      <c r="B152" s="18" t="s">
        <v>131</v>
      </c>
      <c r="C152" s="18" t="s">
        <v>59</v>
      </c>
      <c r="D152" s="26" t="n">
        <v>10</v>
      </c>
      <c r="E152" s="18" t="s">
        <v>49</v>
      </c>
      <c r="F152" s="18" t="s">
        <v>240</v>
      </c>
      <c r="G152" s="27" t="n">
        <v>52</v>
      </c>
      <c r="H152" s="19" t="n">
        <v>-110</v>
      </c>
      <c r="I152" s="21" t="n">
        <v>0.580618400962949</v>
      </c>
      <c r="J152" s="21" t="n">
        <v>0.5</v>
      </c>
      <c r="K152" s="21" t="n">
        <v>0.523809523809524</v>
      </c>
      <c r="L152" s="20" t="n">
        <v>0.0568088771534246</v>
      </c>
      <c r="M152" s="20" t="n">
        <v>0.10445929929443</v>
      </c>
      <c r="N152" s="21" t="n">
        <v>0.0368</v>
      </c>
      <c r="O152" s="28" t="n">
        <v>1</v>
      </c>
      <c r="P152" s="18" t="s">
        <v>96</v>
      </c>
      <c r="Q152" s="18" t="s">
        <v>178</v>
      </c>
    </row>
    <row r="153" customFormat="false" ht="15" hidden="false" customHeight="false" outlineLevel="0" collapsed="false">
      <c r="A153" s="13" t="s">
        <v>172</v>
      </c>
      <c r="B153" s="13" t="s">
        <v>255</v>
      </c>
      <c r="C153" s="13" t="s">
        <v>62</v>
      </c>
      <c r="D153" s="23" t="n">
        <v>10</v>
      </c>
      <c r="E153" s="13" t="s">
        <v>45</v>
      </c>
      <c r="F153" s="13" t="s">
        <v>256</v>
      </c>
      <c r="G153" s="24" t="n">
        <v>-0.5</v>
      </c>
      <c r="H153" s="14" t="n">
        <v>-110</v>
      </c>
      <c r="I153" s="16" t="n">
        <v>0.580156221236777</v>
      </c>
      <c r="J153" s="16" t="n">
        <v>0.5</v>
      </c>
      <c r="K153" s="16" t="n">
        <v>0.523809523809524</v>
      </c>
      <c r="L153" s="15" t="n">
        <v>0.0563466974272534</v>
      </c>
      <c r="M153" s="15" t="n">
        <v>0.107570967815666</v>
      </c>
      <c r="N153" s="16" t="n">
        <v>0</v>
      </c>
      <c r="O153" s="25" t="n">
        <v>1</v>
      </c>
      <c r="P153" s="13" t="s">
        <v>96</v>
      </c>
      <c r="Q153" s="13" t="s">
        <v>191</v>
      </c>
    </row>
    <row r="154" customFormat="false" ht="15" hidden="false" customHeight="false" outlineLevel="0" collapsed="false">
      <c r="A154" s="18" t="s">
        <v>172</v>
      </c>
      <c r="B154" s="18" t="s">
        <v>188</v>
      </c>
      <c r="C154" s="18" t="s">
        <v>65</v>
      </c>
      <c r="D154" s="26" t="n">
        <v>11</v>
      </c>
      <c r="E154" s="18" t="s">
        <v>49</v>
      </c>
      <c r="F154" s="18" t="s">
        <v>203</v>
      </c>
      <c r="G154" s="27" t="n">
        <v>52.5</v>
      </c>
      <c r="H154" s="19" t="n">
        <v>-110</v>
      </c>
      <c r="I154" s="21" t="n">
        <v>0.579579870126009</v>
      </c>
      <c r="J154" s="21" t="n">
        <v>0.5</v>
      </c>
      <c r="K154" s="21" t="n">
        <v>0.523809523809524</v>
      </c>
      <c r="L154" s="20" t="n">
        <v>0.0557703463164853</v>
      </c>
      <c r="M154" s="20" t="n">
        <v>0.106470661149654</v>
      </c>
      <c r="N154" s="21" t="n">
        <v>0</v>
      </c>
      <c r="O154" s="28" t="n">
        <v>1</v>
      </c>
      <c r="P154" s="18" t="s">
        <v>96</v>
      </c>
      <c r="Q154" s="18" t="s">
        <v>178</v>
      </c>
    </row>
    <row r="155" customFormat="false" ht="15" hidden="false" customHeight="false" outlineLevel="0" collapsed="false">
      <c r="A155" s="13" t="s">
        <v>172</v>
      </c>
      <c r="B155" s="13" t="s">
        <v>166</v>
      </c>
      <c r="C155" s="13" t="s">
        <v>47</v>
      </c>
      <c r="D155" s="23" t="n">
        <v>14</v>
      </c>
      <c r="E155" s="13" t="s">
        <v>49</v>
      </c>
      <c r="F155" s="13" t="s">
        <v>257</v>
      </c>
      <c r="G155" s="24" t="n">
        <v>59</v>
      </c>
      <c r="H155" s="14" t="n">
        <v>-110</v>
      </c>
      <c r="I155" s="16" t="n">
        <v>0.576805516546179</v>
      </c>
      <c r="J155" s="16" t="n">
        <v>0.5</v>
      </c>
      <c r="K155" s="16" t="n">
        <v>0.523809523809524</v>
      </c>
      <c r="L155" s="15" t="n">
        <v>0.052995992736655</v>
      </c>
      <c r="M155" s="15" t="n">
        <v>0.0974190494119714</v>
      </c>
      <c r="N155" s="16" t="n">
        <v>0.0371</v>
      </c>
      <c r="O155" s="25" t="n">
        <v>1</v>
      </c>
      <c r="P155" s="13" t="s">
        <v>96</v>
      </c>
      <c r="Q155" s="13" t="s">
        <v>178</v>
      </c>
    </row>
    <row r="156" customFormat="false" ht="15" hidden="false" customHeight="false" outlineLevel="0" collapsed="false">
      <c r="A156" s="18" t="s">
        <v>172</v>
      </c>
      <c r="B156" s="18" t="s">
        <v>224</v>
      </c>
      <c r="C156" s="18" t="s">
        <v>59</v>
      </c>
      <c r="D156" s="26" t="n">
        <v>10</v>
      </c>
      <c r="E156" s="18" t="s">
        <v>73</v>
      </c>
      <c r="F156" s="18" t="s">
        <v>207</v>
      </c>
      <c r="G156" s="27"/>
      <c r="H156" s="19" t="n">
        <v>226</v>
      </c>
      <c r="I156" s="21" t="n">
        <v>0.359252492952302</v>
      </c>
      <c r="J156" s="21" t="n">
        <v>0.296372656401005</v>
      </c>
      <c r="K156" s="21" t="n">
        <v>0.306748466257669</v>
      </c>
      <c r="L156" s="20" t="n">
        <v>0.0525040266946335</v>
      </c>
      <c r="M156" s="20" t="n">
        <v>0.171163127024505</v>
      </c>
      <c r="N156" s="21" t="n">
        <v>0</v>
      </c>
      <c r="O156" s="28" t="n">
        <v>1</v>
      </c>
      <c r="P156" s="18" t="s">
        <v>96</v>
      </c>
      <c r="Q156" s="18" t="s">
        <v>178</v>
      </c>
    </row>
    <row r="157" customFormat="false" ht="15" hidden="false" customHeight="false" outlineLevel="0" collapsed="false">
      <c r="A157" s="13" t="s">
        <v>172</v>
      </c>
      <c r="B157" s="13" t="s">
        <v>133</v>
      </c>
      <c r="C157" s="13" t="s">
        <v>71</v>
      </c>
      <c r="D157" s="23" t="n">
        <v>11</v>
      </c>
      <c r="E157" s="13" t="s">
        <v>49</v>
      </c>
      <c r="F157" s="13" t="s">
        <v>258</v>
      </c>
      <c r="G157" s="24" t="n">
        <v>54.5</v>
      </c>
      <c r="H157" s="14" t="n">
        <v>-110</v>
      </c>
      <c r="I157" s="16" t="n">
        <v>0.570316284142316</v>
      </c>
      <c r="J157" s="16" t="n">
        <v>0.5</v>
      </c>
      <c r="K157" s="16" t="n">
        <v>0.523809523809524</v>
      </c>
      <c r="L157" s="15" t="n">
        <v>0.0465067603327923</v>
      </c>
      <c r="M157" s="15" t="n">
        <v>0.0887856333626036</v>
      </c>
      <c r="N157" s="16" t="n">
        <v>0</v>
      </c>
      <c r="O157" s="25" t="n">
        <v>1</v>
      </c>
      <c r="P157" s="13" t="s">
        <v>96</v>
      </c>
      <c r="Q157" s="13" t="s">
        <v>178</v>
      </c>
    </row>
    <row r="158" customFormat="false" ht="15" hidden="false" customHeight="false" outlineLevel="0" collapsed="false">
      <c r="A158" s="18" t="s">
        <v>172</v>
      </c>
      <c r="B158" s="18" t="s">
        <v>106</v>
      </c>
      <c r="C158" s="18" t="s">
        <v>68</v>
      </c>
      <c r="D158" s="26" t="n">
        <v>11</v>
      </c>
      <c r="E158" s="18" t="s">
        <v>45</v>
      </c>
      <c r="F158" s="18" t="s">
        <v>259</v>
      </c>
      <c r="G158" s="27" t="n">
        <v>1.5</v>
      </c>
      <c r="H158" s="19" t="n">
        <v>-110</v>
      </c>
      <c r="I158" s="21" t="n">
        <v>0.569606242323266</v>
      </c>
      <c r="J158" s="21" t="n">
        <v>0.5</v>
      </c>
      <c r="K158" s="21" t="n">
        <v>0.523809523809524</v>
      </c>
      <c r="L158" s="20" t="n">
        <v>0.0457967185137425</v>
      </c>
      <c r="M158" s="20" t="n">
        <v>0.0874300989807811</v>
      </c>
      <c r="N158" s="21" t="n">
        <v>0</v>
      </c>
      <c r="O158" s="28" t="n">
        <v>1</v>
      </c>
      <c r="P158" s="18" t="s">
        <v>96</v>
      </c>
      <c r="Q158" s="18" t="s">
        <v>178</v>
      </c>
    </row>
    <row r="159" customFormat="false" ht="15" hidden="false" customHeight="false" outlineLevel="0" collapsed="false">
      <c r="A159" s="13" t="s">
        <v>172</v>
      </c>
      <c r="B159" s="13" t="s">
        <v>238</v>
      </c>
      <c r="C159" s="13" t="s">
        <v>62</v>
      </c>
      <c r="D159" s="23" t="n">
        <v>10</v>
      </c>
      <c r="E159" s="13" t="s">
        <v>45</v>
      </c>
      <c r="F159" s="13" t="s">
        <v>260</v>
      </c>
      <c r="G159" s="24" t="n">
        <v>-7.5</v>
      </c>
      <c r="H159" s="14" t="n">
        <v>-110</v>
      </c>
      <c r="I159" s="16" t="n">
        <v>0.568609775353101</v>
      </c>
      <c r="J159" s="16" t="n">
        <v>0.5</v>
      </c>
      <c r="K159" s="16" t="n">
        <v>0.523809523809524</v>
      </c>
      <c r="L159" s="15" t="n">
        <v>0.0448002515435776</v>
      </c>
      <c r="M159" s="15" t="n">
        <v>0.08552775294683</v>
      </c>
      <c r="N159" s="16" t="n">
        <v>0</v>
      </c>
      <c r="O159" s="25" t="n">
        <v>1</v>
      </c>
      <c r="P159" s="13" t="s">
        <v>96</v>
      </c>
      <c r="Q159" s="13" t="s">
        <v>178</v>
      </c>
    </row>
    <row r="160" customFormat="false" ht="15" hidden="false" customHeight="false" outlineLevel="0" collapsed="false">
      <c r="A160" s="18" t="s">
        <v>172</v>
      </c>
      <c r="B160" s="18" t="s">
        <v>149</v>
      </c>
      <c r="C160" s="18" t="s">
        <v>62</v>
      </c>
      <c r="D160" s="26" t="n">
        <v>10</v>
      </c>
      <c r="E160" s="18" t="s">
        <v>49</v>
      </c>
      <c r="F160" s="18" t="s">
        <v>261</v>
      </c>
      <c r="G160" s="27" t="n">
        <v>58.5</v>
      </c>
      <c r="H160" s="19" t="n">
        <v>-110</v>
      </c>
      <c r="I160" s="21" t="n">
        <v>0.566562559425221</v>
      </c>
      <c r="J160" s="21" t="n">
        <v>0.5</v>
      </c>
      <c r="K160" s="21" t="n">
        <v>0.523809523809524</v>
      </c>
      <c r="L160" s="20" t="n">
        <v>0.042753035615697</v>
      </c>
      <c r="M160" s="20" t="n">
        <v>0.0816194316299671</v>
      </c>
      <c r="N160" s="21" t="n">
        <v>0</v>
      </c>
      <c r="O160" s="28" t="n">
        <v>1</v>
      </c>
      <c r="P160" s="18" t="s">
        <v>96</v>
      </c>
      <c r="Q160" s="18" t="s">
        <v>178</v>
      </c>
    </row>
    <row r="161" customFormat="false" ht="15" hidden="false" customHeight="false" outlineLevel="0" collapsed="false">
      <c r="A161" s="13" t="s">
        <v>172</v>
      </c>
      <c r="B161" s="13" t="s">
        <v>106</v>
      </c>
      <c r="C161" s="13" t="s">
        <v>68</v>
      </c>
      <c r="D161" s="23" t="n">
        <v>11</v>
      </c>
      <c r="E161" s="13" t="s">
        <v>73</v>
      </c>
      <c r="F161" s="13" t="s">
        <v>132</v>
      </c>
      <c r="G161" s="24"/>
      <c r="H161" s="14" t="n">
        <v>-101</v>
      </c>
      <c r="I161" s="16" t="n">
        <v>0.544836263917121</v>
      </c>
      <c r="J161" s="16" t="n">
        <v>0.485402443406396</v>
      </c>
      <c r="K161" s="16" t="n">
        <v>0.502487562189055</v>
      </c>
      <c r="L161" s="15" t="n">
        <v>0.0423487017280662</v>
      </c>
      <c r="M161" s="15" t="n">
        <v>0.0842781093796169</v>
      </c>
      <c r="N161" s="16" t="n">
        <v>0</v>
      </c>
      <c r="O161" s="25" t="n">
        <v>1</v>
      </c>
      <c r="P161" s="13" t="s">
        <v>96</v>
      </c>
      <c r="Q161" s="13" t="s">
        <v>178</v>
      </c>
    </row>
    <row r="162" customFormat="false" ht="15" hidden="false" customHeight="false" outlineLevel="0" collapsed="false">
      <c r="A162" s="18" t="s">
        <v>172</v>
      </c>
      <c r="B162" s="18" t="s">
        <v>170</v>
      </c>
      <c r="C162" s="18" t="s">
        <v>76</v>
      </c>
      <c r="D162" s="26" t="n">
        <v>14</v>
      </c>
      <c r="E162" s="18" t="s">
        <v>73</v>
      </c>
      <c r="F162" s="18" t="s">
        <v>262</v>
      </c>
      <c r="G162" s="27"/>
      <c r="H162" s="19" t="n">
        <v>129</v>
      </c>
      <c r="I162" s="21" t="n">
        <v>0.477053649265599</v>
      </c>
      <c r="J162" s="21" t="n">
        <v>0.42188373629725</v>
      </c>
      <c r="K162" s="21" t="n">
        <v>0.436681222707424</v>
      </c>
      <c r="L162" s="20" t="n">
        <v>0.0403724265581754</v>
      </c>
      <c r="M162" s="20" t="n">
        <v>0.0924528568182218</v>
      </c>
      <c r="N162" s="21" t="n">
        <v>0</v>
      </c>
      <c r="O162" s="28" t="n">
        <v>1</v>
      </c>
      <c r="P162" s="18" t="s">
        <v>96</v>
      </c>
      <c r="Q162" s="18" t="s">
        <v>178</v>
      </c>
    </row>
    <row r="163" customFormat="false" ht="15" hidden="false" customHeight="false" outlineLevel="0" collapsed="false">
      <c r="A163" s="13" t="s">
        <v>172</v>
      </c>
      <c r="B163" s="13" t="s">
        <v>253</v>
      </c>
      <c r="C163" s="13" t="s">
        <v>102</v>
      </c>
      <c r="D163" s="23" t="n">
        <v>13</v>
      </c>
      <c r="E163" s="13" t="s">
        <v>45</v>
      </c>
      <c r="F163" s="13" t="s">
        <v>263</v>
      </c>
      <c r="G163" s="24" t="n">
        <v>-10.5</v>
      </c>
      <c r="H163" s="14" t="n">
        <v>-110</v>
      </c>
      <c r="I163" s="16" t="n">
        <v>0.563582089939719</v>
      </c>
      <c r="J163" s="16" t="n">
        <v>0.5</v>
      </c>
      <c r="K163" s="16" t="n">
        <v>0.523809523809524</v>
      </c>
      <c r="L163" s="15" t="n">
        <v>0.0397725661301949</v>
      </c>
      <c r="M163" s="15" t="n">
        <v>0.0759294444303721</v>
      </c>
      <c r="N163" s="16" t="n">
        <v>0</v>
      </c>
      <c r="O163" s="25" t="n">
        <v>1</v>
      </c>
      <c r="P163" s="13" t="s">
        <v>96</v>
      </c>
      <c r="Q163" s="13"/>
    </row>
    <row r="164" customFormat="false" ht="15" hidden="false" customHeight="false" outlineLevel="0" collapsed="false">
      <c r="A164" s="18" t="s">
        <v>172</v>
      </c>
      <c r="B164" s="18" t="s">
        <v>60</v>
      </c>
      <c r="C164" s="18" t="s">
        <v>62</v>
      </c>
      <c r="D164" s="26" t="n">
        <v>10</v>
      </c>
      <c r="E164" s="18" t="s">
        <v>73</v>
      </c>
      <c r="F164" s="18" t="s">
        <v>264</v>
      </c>
      <c r="G164" s="27"/>
      <c r="H164" s="19" t="n">
        <v>181</v>
      </c>
      <c r="I164" s="21" t="n">
        <v>0.395178476927661</v>
      </c>
      <c r="J164" s="21" t="n">
        <v>0.344060802513525</v>
      </c>
      <c r="K164" s="21" t="n">
        <v>0.355871886120997</v>
      </c>
      <c r="L164" s="20" t="n">
        <v>0.0393065908066644</v>
      </c>
      <c r="M164" s="20" t="n">
        <v>0.110451520166727</v>
      </c>
      <c r="N164" s="21" t="n">
        <v>0</v>
      </c>
      <c r="O164" s="28" t="n">
        <v>1</v>
      </c>
      <c r="P164" s="18" t="s">
        <v>96</v>
      </c>
      <c r="Q164" s="18"/>
    </row>
    <row r="165" customFormat="false" ht="15" hidden="false" customHeight="false" outlineLevel="0" collapsed="false">
      <c r="A165" s="13" t="s">
        <v>172</v>
      </c>
      <c r="B165" s="13" t="s">
        <v>241</v>
      </c>
      <c r="C165" s="13" t="s">
        <v>54</v>
      </c>
      <c r="D165" s="23" t="n">
        <v>10</v>
      </c>
      <c r="E165" s="13" t="s">
        <v>49</v>
      </c>
      <c r="F165" s="13" t="s">
        <v>228</v>
      </c>
      <c r="G165" s="24" t="n">
        <v>50.5</v>
      </c>
      <c r="H165" s="14" t="n">
        <v>-110</v>
      </c>
      <c r="I165" s="16" t="n">
        <v>0.562783216649988</v>
      </c>
      <c r="J165" s="16" t="n">
        <v>0.5</v>
      </c>
      <c r="K165" s="16" t="n">
        <v>0.523809523809524</v>
      </c>
      <c r="L165" s="15" t="n">
        <v>0.0389736928404645</v>
      </c>
      <c r="M165" s="15" t="n">
        <v>0.0744043226954323</v>
      </c>
      <c r="N165" s="16" t="n">
        <v>0</v>
      </c>
      <c r="O165" s="25" t="n">
        <v>1</v>
      </c>
      <c r="P165" s="13" t="s">
        <v>96</v>
      </c>
      <c r="Q165" s="13"/>
    </row>
    <row r="166" customFormat="false" ht="15" hidden="false" customHeight="false" outlineLevel="0" collapsed="false">
      <c r="A166" s="18" t="s">
        <v>172</v>
      </c>
      <c r="B166" s="18" t="s">
        <v>231</v>
      </c>
      <c r="C166" s="18" t="s">
        <v>59</v>
      </c>
      <c r="D166" s="26" t="n">
        <v>10</v>
      </c>
      <c r="E166" s="18" t="s">
        <v>73</v>
      </c>
      <c r="F166" s="18" t="s">
        <v>175</v>
      </c>
      <c r="G166" s="27"/>
      <c r="H166" s="19" t="n">
        <v>140</v>
      </c>
      <c r="I166" s="21" t="n">
        <v>0.455466493491486</v>
      </c>
      <c r="J166" s="21" t="n">
        <v>0.402581438229871</v>
      </c>
      <c r="K166" s="21" t="n">
        <v>0.416666666666667</v>
      </c>
      <c r="L166" s="20" t="n">
        <v>0.0387998268248193</v>
      </c>
      <c r="M166" s="20" t="n">
        <v>0.0931195843795662</v>
      </c>
      <c r="N166" s="21" t="n">
        <v>0</v>
      </c>
      <c r="O166" s="28" t="n">
        <v>1</v>
      </c>
      <c r="P166" s="18" t="s">
        <v>96</v>
      </c>
      <c r="Q166" s="18"/>
    </row>
    <row r="167" customFormat="false" ht="15" hidden="false" customHeight="false" outlineLevel="0" collapsed="false">
      <c r="A167" s="13" t="s">
        <v>172</v>
      </c>
      <c r="B167" s="13" t="s">
        <v>243</v>
      </c>
      <c r="C167" s="13" t="s">
        <v>145</v>
      </c>
      <c r="D167" s="23" t="n">
        <v>12</v>
      </c>
      <c r="E167" s="13" t="s">
        <v>45</v>
      </c>
      <c r="F167" s="13" t="s">
        <v>265</v>
      </c>
      <c r="G167" s="24" t="n">
        <v>-7</v>
      </c>
      <c r="H167" s="14" t="n">
        <v>-110</v>
      </c>
      <c r="I167" s="16" t="n">
        <v>0.559414953623107</v>
      </c>
      <c r="J167" s="16" t="n">
        <v>0.5</v>
      </c>
      <c r="K167" s="16" t="n">
        <v>0.523809523809524</v>
      </c>
      <c r="L167" s="15" t="n">
        <v>0.0356054298135831</v>
      </c>
      <c r="M167" s="15" t="n">
        <v>0.0645974083538826</v>
      </c>
      <c r="N167" s="16" t="n">
        <v>0.0497</v>
      </c>
      <c r="O167" s="25" t="n">
        <v>1</v>
      </c>
      <c r="P167" s="13" t="s">
        <v>96</v>
      </c>
      <c r="Q167" s="13"/>
    </row>
    <row r="168" customFormat="false" ht="15" hidden="false" customHeight="false" outlineLevel="0" collapsed="false">
      <c r="A168" s="18" t="s">
        <v>172</v>
      </c>
      <c r="B168" s="18" t="s">
        <v>266</v>
      </c>
      <c r="C168" s="18" t="s">
        <v>114</v>
      </c>
      <c r="D168" s="26" t="n">
        <v>13</v>
      </c>
      <c r="E168" s="18" t="s">
        <v>49</v>
      </c>
      <c r="F168" s="18" t="s">
        <v>267</v>
      </c>
      <c r="G168" s="27" t="n">
        <v>57.5</v>
      </c>
      <c r="H168" s="19" t="n">
        <v>-110</v>
      </c>
      <c r="I168" s="21" t="n">
        <v>0.557069067117857</v>
      </c>
      <c r="J168" s="21" t="n">
        <v>0.5</v>
      </c>
      <c r="K168" s="21" t="n">
        <v>0.523809523809524</v>
      </c>
      <c r="L168" s="20" t="n">
        <v>0.0332595433083328</v>
      </c>
      <c r="M168" s="20" t="n">
        <v>0.0634954917704537</v>
      </c>
      <c r="N168" s="21" t="n">
        <v>0</v>
      </c>
      <c r="O168" s="28" t="n">
        <v>1</v>
      </c>
      <c r="P168" s="18" t="s">
        <v>96</v>
      </c>
      <c r="Q168" s="18"/>
    </row>
    <row r="169" customFormat="false" ht="15" hidden="false" customHeight="false" outlineLevel="0" collapsed="false">
      <c r="A169" s="13" t="s">
        <v>172</v>
      </c>
      <c r="B169" s="13" t="s">
        <v>268</v>
      </c>
      <c r="C169" s="13" t="s">
        <v>76</v>
      </c>
      <c r="D169" s="23" t="n">
        <v>14</v>
      </c>
      <c r="E169" s="13" t="s">
        <v>73</v>
      </c>
      <c r="F169" s="13" t="s">
        <v>132</v>
      </c>
      <c r="G169" s="24"/>
      <c r="H169" s="14" t="n">
        <v>138</v>
      </c>
      <c r="I169" s="16" t="n">
        <v>0.45215140182633</v>
      </c>
      <c r="J169" s="16" t="n">
        <v>0.405742821473159</v>
      </c>
      <c r="K169" s="16" t="n">
        <v>0.420168067226891</v>
      </c>
      <c r="L169" s="15" t="n">
        <v>0.0319833345994396</v>
      </c>
      <c r="M169" s="15" t="n">
        <v>0.0761203363466663</v>
      </c>
      <c r="N169" s="16" t="n">
        <v>0</v>
      </c>
      <c r="O169" s="25" t="n">
        <v>1</v>
      </c>
      <c r="P169" s="13" t="s">
        <v>96</v>
      </c>
      <c r="Q169" s="13"/>
    </row>
    <row r="170" customFormat="false" ht="15" hidden="false" customHeight="false" outlineLevel="0" collapsed="false">
      <c r="A170" s="18" t="s">
        <v>172</v>
      </c>
      <c r="B170" s="18" t="s">
        <v>135</v>
      </c>
      <c r="C170" s="18" t="s">
        <v>136</v>
      </c>
      <c r="D170" s="26" t="n">
        <v>12</v>
      </c>
      <c r="E170" s="18" t="s">
        <v>73</v>
      </c>
      <c r="F170" s="18" t="s">
        <v>200</v>
      </c>
      <c r="G170" s="27"/>
      <c r="H170" s="19" t="n">
        <v>176</v>
      </c>
      <c r="I170" s="21" t="n">
        <v>0.393997262888264</v>
      </c>
      <c r="J170" s="21" t="n">
        <v>0.350252641249426</v>
      </c>
      <c r="K170" s="21" t="n">
        <v>0.36231884057971</v>
      </c>
      <c r="L170" s="20" t="n">
        <v>0.0316784223085541</v>
      </c>
      <c r="M170" s="20" t="n">
        <v>0.0874324455716091</v>
      </c>
      <c r="N170" s="21" t="n">
        <v>0</v>
      </c>
      <c r="O170" s="28" t="n">
        <v>1</v>
      </c>
      <c r="P170" s="18" t="s">
        <v>96</v>
      </c>
      <c r="Q170" s="18"/>
    </row>
    <row r="171" customFormat="false" ht="15" hidden="false" customHeight="false" outlineLevel="0" collapsed="false">
      <c r="A171" s="13" t="s">
        <v>172</v>
      </c>
      <c r="B171" s="13" t="s">
        <v>269</v>
      </c>
      <c r="C171" s="13" t="s">
        <v>136</v>
      </c>
      <c r="D171" s="23" t="n">
        <v>12</v>
      </c>
      <c r="E171" s="13" t="s">
        <v>73</v>
      </c>
      <c r="F171" s="13" t="s">
        <v>207</v>
      </c>
      <c r="G171" s="24"/>
      <c r="H171" s="14" t="n">
        <v>173</v>
      </c>
      <c r="I171" s="16" t="n">
        <v>0.396937120368785</v>
      </c>
      <c r="J171" s="16" t="n">
        <v>0.353853724837719</v>
      </c>
      <c r="K171" s="16" t="n">
        <v>0.366300366300366</v>
      </c>
      <c r="L171" s="15" t="n">
        <v>0.0306367540684189</v>
      </c>
      <c r="M171" s="15" t="n">
        <v>0.0836383386067835</v>
      </c>
      <c r="N171" s="16" t="n">
        <v>0</v>
      </c>
      <c r="O171" s="25" t="n">
        <v>1</v>
      </c>
      <c r="P171" s="13" t="s">
        <v>96</v>
      </c>
      <c r="Q171" s="13"/>
    </row>
    <row r="172" customFormat="false" ht="15" hidden="false" customHeight="false" outlineLevel="0" collapsed="false">
      <c r="A172" s="18" t="s">
        <v>172</v>
      </c>
      <c r="B172" s="18" t="s">
        <v>168</v>
      </c>
      <c r="C172" s="18" t="s">
        <v>51</v>
      </c>
      <c r="D172" s="26" t="n">
        <v>14</v>
      </c>
      <c r="E172" s="18" t="s">
        <v>73</v>
      </c>
      <c r="F172" s="18" t="s">
        <v>152</v>
      </c>
      <c r="G172" s="27"/>
      <c r="H172" s="19" t="n">
        <v>152</v>
      </c>
      <c r="I172" s="21" t="n">
        <v>0.426445673452568</v>
      </c>
      <c r="J172" s="21" t="n">
        <v>0.383104669174596</v>
      </c>
      <c r="K172" s="21" t="n">
        <v>0.396825396825397</v>
      </c>
      <c r="L172" s="20" t="n">
        <v>0.0296202766271712</v>
      </c>
      <c r="M172" s="20" t="n">
        <v>0.0746430971004714</v>
      </c>
      <c r="N172" s="21" t="n">
        <v>0</v>
      </c>
      <c r="O172" s="28" t="n">
        <v>1</v>
      </c>
      <c r="P172" s="18" t="s">
        <v>96</v>
      </c>
      <c r="Q172" s="18"/>
    </row>
    <row r="173" customFormat="false" ht="15" hidden="false" customHeight="false" outlineLevel="0" collapsed="false">
      <c r="A173" s="13" t="s">
        <v>172</v>
      </c>
      <c r="B173" s="13" t="s">
        <v>189</v>
      </c>
      <c r="C173" s="13" t="s">
        <v>68</v>
      </c>
      <c r="D173" s="23" t="n">
        <v>11</v>
      </c>
      <c r="E173" s="13" t="s">
        <v>73</v>
      </c>
      <c r="F173" s="13" t="s">
        <v>245</v>
      </c>
      <c r="G173" s="24"/>
      <c r="H173" s="14" t="n">
        <v>181</v>
      </c>
      <c r="I173" s="16" t="n">
        <v>0.383379446004963</v>
      </c>
      <c r="J173" s="16" t="n">
        <v>0.344060802513525</v>
      </c>
      <c r="K173" s="16" t="n">
        <v>0.355871886120997</v>
      </c>
      <c r="L173" s="15" t="n">
        <v>0.027507559883967</v>
      </c>
      <c r="M173" s="15" t="n">
        <v>0.0772962432739472</v>
      </c>
      <c r="N173" s="16" t="n">
        <v>0</v>
      </c>
      <c r="O173" s="25" t="n">
        <v>1</v>
      </c>
      <c r="P173" s="13" t="s">
        <v>96</v>
      </c>
      <c r="Q173" s="13"/>
    </row>
    <row r="174" customFormat="false" ht="15" hidden="false" customHeight="false" outlineLevel="0" collapsed="false">
      <c r="A174" s="18" t="s">
        <v>172</v>
      </c>
      <c r="B174" s="18" t="s">
        <v>144</v>
      </c>
      <c r="C174" s="18" t="s">
        <v>145</v>
      </c>
      <c r="D174" s="26" t="n">
        <v>12</v>
      </c>
      <c r="E174" s="18" t="s">
        <v>49</v>
      </c>
      <c r="F174" s="18" t="s">
        <v>162</v>
      </c>
      <c r="G174" s="27" t="n">
        <v>53</v>
      </c>
      <c r="H174" s="19" t="n">
        <v>-110</v>
      </c>
      <c r="I174" s="21" t="n">
        <v>0.551296334044646</v>
      </c>
      <c r="J174" s="21" t="n">
        <v>0.5</v>
      </c>
      <c r="K174" s="21" t="n">
        <v>0.523809523809524</v>
      </c>
      <c r="L174" s="20" t="n">
        <v>0.0274868102351226</v>
      </c>
      <c r="M174" s="20" t="n">
        <v>0.0504457855532217</v>
      </c>
      <c r="N174" s="21" t="n">
        <v>0.0387</v>
      </c>
      <c r="O174" s="28" t="n">
        <v>1</v>
      </c>
      <c r="P174" s="18" t="s">
        <v>96</v>
      </c>
      <c r="Q174" s="18"/>
    </row>
    <row r="175" customFormat="false" ht="15" hidden="false" customHeight="false" outlineLevel="0" collapsed="false">
      <c r="A175" s="13" t="s">
        <v>172</v>
      </c>
      <c r="B175" s="13" t="s">
        <v>246</v>
      </c>
      <c r="C175" s="13" t="s">
        <v>51</v>
      </c>
      <c r="D175" s="23" t="n">
        <v>14</v>
      </c>
      <c r="E175" s="13" t="s">
        <v>73</v>
      </c>
      <c r="F175" s="13" t="s">
        <v>130</v>
      </c>
      <c r="G175" s="24"/>
      <c r="H175" s="14" t="n">
        <v>103</v>
      </c>
      <c r="I175" s="16" t="n">
        <v>0.518877934128745</v>
      </c>
      <c r="J175" s="16" t="n">
        <v>0.475497752784593</v>
      </c>
      <c r="K175" s="16" t="n">
        <v>0.492610837438424</v>
      </c>
      <c r="L175" s="15" t="n">
        <v>0.0262670966903215</v>
      </c>
      <c r="M175" s="15" t="n">
        <v>0.0533222062813529</v>
      </c>
      <c r="N175" s="16" t="n">
        <v>0</v>
      </c>
      <c r="O175" s="25" t="n">
        <v>1</v>
      </c>
      <c r="P175" s="13" t="s">
        <v>96</v>
      </c>
      <c r="Q175" s="13"/>
    </row>
    <row r="176" customFormat="false" ht="15" hidden="false" customHeight="false" outlineLevel="0" collapsed="false">
      <c r="A176" s="18" t="s">
        <v>172</v>
      </c>
      <c r="B176" s="18" t="s">
        <v>237</v>
      </c>
      <c r="C176" s="18" t="s">
        <v>71</v>
      </c>
      <c r="D176" s="26" t="n">
        <v>11</v>
      </c>
      <c r="E176" s="18" t="s">
        <v>45</v>
      </c>
      <c r="F176" s="18" t="s">
        <v>270</v>
      </c>
      <c r="G176" s="27" t="n">
        <v>-8</v>
      </c>
      <c r="H176" s="19" t="n">
        <v>-110</v>
      </c>
      <c r="I176" s="21" t="n">
        <v>0.549557014465813</v>
      </c>
      <c r="J176" s="21" t="n">
        <v>0.5</v>
      </c>
      <c r="K176" s="21" t="n">
        <v>0.523809523809524</v>
      </c>
      <c r="L176" s="20" t="n">
        <v>0.0257474906562895</v>
      </c>
      <c r="M176" s="20" t="n">
        <v>0.0478138567587871</v>
      </c>
      <c r="N176" s="21" t="n">
        <v>0.0273</v>
      </c>
      <c r="O176" s="28" t="n">
        <v>1</v>
      </c>
      <c r="P176" s="18" t="s">
        <v>96</v>
      </c>
      <c r="Q176" s="18"/>
    </row>
    <row r="177" customFormat="false" ht="15" hidden="false" customHeight="false" outlineLevel="0" collapsed="false">
      <c r="A177" s="13" t="s">
        <v>172</v>
      </c>
      <c r="B177" s="13" t="s">
        <v>205</v>
      </c>
      <c r="C177" s="13" t="s">
        <v>54</v>
      </c>
      <c r="D177" s="23" t="n">
        <v>10</v>
      </c>
      <c r="E177" s="13" t="s">
        <v>49</v>
      </c>
      <c r="F177" s="13" t="s">
        <v>203</v>
      </c>
      <c r="G177" s="24" t="n">
        <v>52.5</v>
      </c>
      <c r="H177" s="14" t="n">
        <v>-110</v>
      </c>
      <c r="I177" s="16" t="n">
        <v>0.549373323302636</v>
      </c>
      <c r="J177" s="16" t="n">
        <v>0.5</v>
      </c>
      <c r="K177" s="16" t="n">
        <v>0.523809523809524</v>
      </c>
      <c r="L177" s="15" t="n">
        <v>0.0255637994931126</v>
      </c>
      <c r="M177" s="15" t="n">
        <v>0.0488036172141242</v>
      </c>
      <c r="N177" s="16" t="n">
        <v>0</v>
      </c>
      <c r="O177" s="25" t="n">
        <v>1</v>
      </c>
      <c r="P177" s="13" t="s">
        <v>96</v>
      </c>
      <c r="Q177" s="13"/>
    </row>
    <row r="178" customFormat="false" ht="15" hidden="false" customHeight="false" outlineLevel="0" collapsed="false">
      <c r="A178" s="18" t="s">
        <v>172</v>
      </c>
      <c r="B178" s="18" t="s">
        <v>66</v>
      </c>
      <c r="C178" s="18" t="s">
        <v>68</v>
      </c>
      <c r="D178" s="26" t="n">
        <v>11</v>
      </c>
      <c r="E178" s="18" t="s">
        <v>49</v>
      </c>
      <c r="F178" s="18" t="s">
        <v>271</v>
      </c>
      <c r="G178" s="27" t="n">
        <v>57</v>
      </c>
      <c r="H178" s="19" t="n">
        <v>-110</v>
      </c>
      <c r="I178" s="21" t="n">
        <v>0.549289186217848</v>
      </c>
      <c r="J178" s="21" t="n">
        <v>0.5</v>
      </c>
      <c r="K178" s="21" t="n">
        <v>0.523809523809524</v>
      </c>
      <c r="L178" s="20" t="n">
        <v>0.0254796624083243</v>
      </c>
      <c r="M178" s="20" t="n">
        <v>0.0467575086826498</v>
      </c>
      <c r="N178" s="21" t="n">
        <v>0.0388</v>
      </c>
      <c r="O178" s="28" t="n">
        <v>1</v>
      </c>
      <c r="P178" s="18" t="s">
        <v>96</v>
      </c>
      <c r="Q178" s="18"/>
    </row>
    <row r="179" customFormat="false" ht="15" hidden="false" customHeight="false" outlineLevel="0" collapsed="false">
      <c r="A179" s="13" t="s">
        <v>172</v>
      </c>
      <c r="B179" s="13" t="s">
        <v>272</v>
      </c>
      <c r="C179" s="13" t="s">
        <v>47</v>
      </c>
      <c r="D179" s="23" t="n">
        <v>14</v>
      </c>
      <c r="E179" s="13" t="s">
        <v>73</v>
      </c>
      <c r="F179" s="13" t="s">
        <v>124</v>
      </c>
      <c r="G179" s="24"/>
      <c r="H179" s="14" t="n">
        <v>117</v>
      </c>
      <c r="I179" s="16" t="n">
        <v>0.485941726326039</v>
      </c>
      <c r="J179" s="16" t="n">
        <v>0.445117908892888</v>
      </c>
      <c r="K179" s="16" t="n">
        <v>0.460829493087558</v>
      </c>
      <c r="L179" s="15" t="n">
        <v>0.0251122332384809</v>
      </c>
      <c r="M179" s="15" t="n">
        <v>0.0544935461275035</v>
      </c>
      <c r="N179" s="16" t="n">
        <v>0</v>
      </c>
      <c r="O179" s="25" t="n">
        <v>1</v>
      </c>
      <c r="P179" s="13" t="s">
        <v>96</v>
      </c>
      <c r="Q179" s="13"/>
    </row>
    <row r="180" customFormat="false" ht="15" hidden="false" customHeight="false" outlineLevel="0" collapsed="false">
      <c r="A180" s="18" t="s">
        <v>172</v>
      </c>
      <c r="B180" s="18" t="s">
        <v>161</v>
      </c>
      <c r="C180" s="18" t="s">
        <v>76</v>
      </c>
      <c r="D180" s="26" t="n">
        <v>14</v>
      </c>
      <c r="E180" s="18" t="s">
        <v>45</v>
      </c>
      <c r="F180" s="18" t="s">
        <v>273</v>
      </c>
      <c r="G180" s="27" t="n">
        <v>4</v>
      </c>
      <c r="H180" s="19" t="n">
        <v>-110</v>
      </c>
      <c r="I180" s="21" t="n">
        <v>0.548769143372602</v>
      </c>
      <c r="J180" s="21" t="n">
        <v>0.5</v>
      </c>
      <c r="K180" s="21" t="n">
        <v>0.523809523809524</v>
      </c>
      <c r="L180" s="20" t="n">
        <v>0.0249596195630778</v>
      </c>
      <c r="M180" s="20" t="n">
        <v>0.0461927282241069</v>
      </c>
      <c r="N180" s="21" t="n">
        <v>0.0306</v>
      </c>
      <c r="O180" s="28" t="n">
        <v>1</v>
      </c>
      <c r="P180" s="18" t="s">
        <v>96</v>
      </c>
      <c r="Q180" s="18"/>
    </row>
    <row r="181" customFormat="false" ht="15" hidden="false" customHeight="false" outlineLevel="0" collapsed="false">
      <c r="A181" s="13" t="s">
        <v>172</v>
      </c>
      <c r="B181" s="13" t="s">
        <v>269</v>
      </c>
      <c r="C181" s="13" t="s">
        <v>136</v>
      </c>
      <c r="D181" s="23" t="n">
        <v>12</v>
      </c>
      <c r="E181" s="13" t="s">
        <v>45</v>
      </c>
      <c r="F181" s="13" t="s">
        <v>274</v>
      </c>
      <c r="G181" s="24" t="n">
        <v>-4.5</v>
      </c>
      <c r="H181" s="14" t="n">
        <v>-110</v>
      </c>
      <c r="I181" s="16" t="n">
        <v>0.547843160741602</v>
      </c>
      <c r="J181" s="16" t="n">
        <v>0.5</v>
      </c>
      <c r="K181" s="16" t="n">
        <v>0.523809523809524</v>
      </c>
      <c r="L181" s="15" t="n">
        <v>0.0240336369320777</v>
      </c>
      <c r="M181" s="15" t="n">
        <v>0.0458823977794212</v>
      </c>
      <c r="N181" s="16" t="n">
        <v>0</v>
      </c>
      <c r="O181" s="25" t="n">
        <v>1</v>
      </c>
      <c r="P181" s="13" t="s">
        <v>96</v>
      </c>
      <c r="Q181" s="13"/>
    </row>
    <row r="182" customFormat="false" ht="15" hidden="false" customHeight="false" outlineLevel="0" collapsed="false">
      <c r="A182" s="18" t="s">
        <v>172</v>
      </c>
      <c r="B182" s="18" t="s">
        <v>275</v>
      </c>
      <c r="C182" s="18" t="s">
        <v>114</v>
      </c>
      <c r="D182" s="26" t="n">
        <v>13</v>
      </c>
      <c r="E182" s="18" t="s">
        <v>73</v>
      </c>
      <c r="F182" s="18" t="s">
        <v>264</v>
      </c>
      <c r="G182" s="27"/>
      <c r="H182" s="19" t="n">
        <v>-107</v>
      </c>
      <c r="I182" s="21" t="n">
        <v>0.538232017291242</v>
      </c>
      <c r="J182" s="21" t="n">
        <v>0.498879225320542</v>
      </c>
      <c r="K182" s="21" t="n">
        <v>0.516908212560386</v>
      </c>
      <c r="L182" s="20" t="n">
        <v>0.0213238047308554</v>
      </c>
      <c r="M182" s="20" t="n">
        <v>0.0412525941989445</v>
      </c>
      <c r="N182" s="21" t="n">
        <v>0</v>
      </c>
      <c r="O182" s="28" t="n">
        <v>1</v>
      </c>
      <c r="P182" s="18" t="s">
        <v>96</v>
      </c>
      <c r="Q182" s="18"/>
    </row>
    <row r="183" customFormat="false" ht="15" hidden="false" customHeight="false" outlineLevel="0" collapsed="false">
      <c r="A183" s="13" t="s">
        <v>172</v>
      </c>
      <c r="B183" s="13" t="s">
        <v>60</v>
      </c>
      <c r="C183" s="13" t="s">
        <v>62</v>
      </c>
      <c r="D183" s="23" t="n">
        <v>10</v>
      </c>
      <c r="E183" s="13" t="s">
        <v>45</v>
      </c>
      <c r="F183" s="13" t="s">
        <v>276</v>
      </c>
      <c r="G183" s="24" t="n">
        <v>4</v>
      </c>
      <c r="H183" s="14" t="n">
        <v>-110</v>
      </c>
      <c r="I183" s="16" t="n">
        <v>0.544597399222533</v>
      </c>
      <c r="J183" s="16" t="n">
        <v>0.5</v>
      </c>
      <c r="K183" s="16" t="n">
        <v>0.523809523809524</v>
      </c>
      <c r="L183" s="15" t="n">
        <v>0.0207878754130089</v>
      </c>
      <c r="M183" s="15" t="n">
        <v>0.0384669549024714</v>
      </c>
      <c r="N183" s="16" t="n">
        <v>0.0307</v>
      </c>
      <c r="O183" s="25" t="n">
        <v>1</v>
      </c>
      <c r="P183" s="13" t="s">
        <v>96</v>
      </c>
      <c r="Q183" s="13"/>
    </row>
    <row r="184" customFormat="false" ht="15" hidden="false" customHeight="false" outlineLevel="0" collapsed="false">
      <c r="A184" s="18" t="s">
        <v>172</v>
      </c>
      <c r="B184" s="18" t="s">
        <v>255</v>
      </c>
      <c r="C184" s="18" t="s">
        <v>62</v>
      </c>
      <c r="D184" s="26" t="n">
        <v>10</v>
      </c>
      <c r="E184" s="18" t="s">
        <v>73</v>
      </c>
      <c r="F184" s="18" t="s">
        <v>262</v>
      </c>
      <c r="G184" s="27"/>
      <c r="H184" s="19" t="n">
        <v>-155</v>
      </c>
      <c r="I184" s="21" t="n">
        <v>0.626988321126639</v>
      </c>
      <c r="J184" s="21" t="n">
        <v>0.587178241864983</v>
      </c>
      <c r="K184" s="21" t="n">
        <v>0.607843137254902</v>
      </c>
      <c r="L184" s="20" t="n">
        <v>0.0191451838717374</v>
      </c>
      <c r="M184" s="20" t="n">
        <v>0.0314969154018903</v>
      </c>
      <c r="N184" s="21" t="n">
        <v>0</v>
      </c>
      <c r="O184" s="28" t="n">
        <v>1</v>
      </c>
      <c r="P184" s="18" t="s">
        <v>96</v>
      </c>
      <c r="Q184" s="18"/>
    </row>
    <row r="185" customFormat="false" ht="15" hidden="false" customHeight="false" outlineLevel="0" collapsed="false">
      <c r="A185" s="13" t="s">
        <v>172</v>
      </c>
      <c r="B185" s="13" t="s">
        <v>229</v>
      </c>
      <c r="C185" s="13" t="s">
        <v>71</v>
      </c>
      <c r="D185" s="23" t="n">
        <v>11</v>
      </c>
      <c r="E185" s="13" t="s">
        <v>45</v>
      </c>
      <c r="F185" s="13" t="s">
        <v>277</v>
      </c>
      <c r="G185" s="24" t="n">
        <v>-9</v>
      </c>
      <c r="H185" s="14" t="n">
        <v>-110</v>
      </c>
      <c r="I185" s="16" t="n">
        <v>0.541052867100704</v>
      </c>
      <c r="J185" s="16" t="n">
        <v>0.5</v>
      </c>
      <c r="K185" s="16" t="n">
        <v>0.523809523809524</v>
      </c>
      <c r="L185" s="15" t="n">
        <v>0.0172433432911798</v>
      </c>
      <c r="M185" s="15" t="n">
        <v>0.0321417670514391</v>
      </c>
      <c r="N185" s="16" t="n">
        <v>0.0236</v>
      </c>
      <c r="O185" s="25" t="n">
        <v>1</v>
      </c>
      <c r="P185" s="13" t="s">
        <v>96</v>
      </c>
      <c r="Q185" s="13"/>
    </row>
    <row r="186" customFormat="false" ht="15" hidden="false" customHeight="false" outlineLevel="0" collapsed="false">
      <c r="A186" s="18" t="s">
        <v>172</v>
      </c>
      <c r="B186" s="18" t="s">
        <v>243</v>
      </c>
      <c r="C186" s="18" t="s">
        <v>145</v>
      </c>
      <c r="D186" s="26" t="n">
        <v>12</v>
      </c>
      <c r="E186" s="18" t="s">
        <v>73</v>
      </c>
      <c r="F186" s="18" t="s">
        <v>204</v>
      </c>
      <c r="G186" s="27"/>
      <c r="H186" s="19" t="n">
        <v>198</v>
      </c>
      <c r="I186" s="21" t="n">
        <v>0.35217488959649</v>
      </c>
      <c r="J186" s="21" t="n">
        <v>0.324421513445904</v>
      </c>
      <c r="K186" s="21" t="n">
        <v>0.335570469798658</v>
      </c>
      <c r="L186" s="20" t="n">
        <v>0.0166044197978323</v>
      </c>
      <c r="M186" s="20" t="n">
        <v>0.0494811709975402</v>
      </c>
      <c r="N186" s="21" t="n">
        <v>0</v>
      </c>
      <c r="O186" s="28" t="n">
        <v>1</v>
      </c>
      <c r="P186" s="18" t="s">
        <v>96</v>
      </c>
      <c r="Q186" s="18"/>
    </row>
    <row r="187" customFormat="false" ht="15" hidden="false" customHeight="false" outlineLevel="0" collapsed="false">
      <c r="A187" s="13" t="s">
        <v>172</v>
      </c>
      <c r="B187" s="13" t="s">
        <v>272</v>
      </c>
      <c r="C187" s="13" t="s">
        <v>47</v>
      </c>
      <c r="D187" s="23" t="n">
        <v>14</v>
      </c>
      <c r="E187" s="13" t="s">
        <v>45</v>
      </c>
      <c r="F187" s="13" t="s">
        <v>278</v>
      </c>
      <c r="G187" s="24" t="n">
        <v>2</v>
      </c>
      <c r="H187" s="14" t="n">
        <v>-110</v>
      </c>
      <c r="I187" s="16" t="n">
        <v>0.539356836224703</v>
      </c>
      <c r="J187" s="16" t="n">
        <v>0.5</v>
      </c>
      <c r="K187" s="16" t="n">
        <v>0.523809523809524</v>
      </c>
      <c r="L187" s="15" t="n">
        <v>0.0155473124151788</v>
      </c>
      <c r="M187" s="15" t="n">
        <v>0.0288936606393749</v>
      </c>
      <c r="N187" s="16" t="n">
        <v>0.0265</v>
      </c>
      <c r="O187" s="25" t="n">
        <v>1</v>
      </c>
      <c r="P187" s="13" t="s">
        <v>96</v>
      </c>
      <c r="Q187" s="13"/>
    </row>
    <row r="188" customFormat="false" ht="15" hidden="false" customHeight="false" outlineLevel="0" collapsed="false">
      <c r="A188" s="18" t="s">
        <v>172</v>
      </c>
      <c r="B188" s="18" t="s">
        <v>206</v>
      </c>
      <c r="C188" s="18" t="s">
        <v>65</v>
      </c>
      <c r="D188" s="26" t="n">
        <v>11</v>
      </c>
      <c r="E188" s="18" t="s">
        <v>49</v>
      </c>
      <c r="F188" s="18" t="s">
        <v>234</v>
      </c>
      <c r="G188" s="27" t="n">
        <v>51</v>
      </c>
      <c r="H188" s="19" t="n">
        <v>-110</v>
      </c>
      <c r="I188" s="21" t="n">
        <v>0.539176662353653</v>
      </c>
      <c r="J188" s="21" t="n">
        <v>0.5</v>
      </c>
      <c r="K188" s="21" t="n">
        <v>0.523809523809524</v>
      </c>
      <c r="L188" s="20" t="n">
        <v>0.0153671385441292</v>
      </c>
      <c r="M188" s="20" t="n">
        <v>0.0281878128999058</v>
      </c>
      <c r="N188" s="21" t="n">
        <v>0.0392</v>
      </c>
      <c r="O188" s="28" t="n">
        <v>1</v>
      </c>
      <c r="P188" s="18" t="s">
        <v>96</v>
      </c>
      <c r="Q188" s="18"/>
    </row>
    <row r="189" customFormat="false" ht="15" hidden="false" customHeight="false" outlineLevel="0" collapsed="false">
      <c r="A189" s="13" t="s">
        <v>172</v>
      </c>
      <c r="B189" s="13" t="s">
        <v>279</v>
      </c>
      <c r="C189" s="13" t="s">
        <v>75</v>
      </c>
      <c r="D189" s="23" t="n">
        <v>13</v>
      </c>
      <c r="E189" s="13" t="s">
        <v>49</v>
      </c>
      <c r="F189" s="13" t="s">
        <v>198</v>
      </c>
      <c r="G189" s="24" t="n">
        <v>54</v>
      </c>
      <c r="H189" s="14" t="n">
        <v>-110</v>
      </c>
      <c r="I189" s="16" t="n">
        <v>0.539176651061374</v>
      </c>
      <c r="J189" s="16" t="n">
        <v>0.5</v>
      </c>
      <c r="K189" s="16" t="n">
        <v>0.523809523809524</v>
      </c>
      <c r="L189" s="15" t="n">
        <v>0.0153671272518504</v>
      </c>
      <c r="M189" s="15" t="n">
        <v>0.0281877922297006</v>
      </c>
      <c r="N189" s="16" t="n">
        <v>0.0392</v>
      </c>
      <c r="O189" s="25" t="n">
        <v>1</v>
      </c>
      <c r="P189" s="13" t="s">
        <v>96</v>
      </c>
      <c r="Q189" s="13"/>
    </row>
    <row r="190" customFormat="false" ht="15" hidden="false" customHeight="false" outlineLevel="0" collapsed="false">
      <c r="A190" s="18" t="s">
        <v>172</v>
      </c>
      <c r="B190" s="18" t="s">
        <v>253</v>
      </c>
      <c r="C190" s="18" t="s">
        <v>102</v>
      </c>
      <c r="D190" s="26" t="n">
        <v>13</v>
      </c>
      <c r="E190" s="18" t="s">
        <v>49</v>
      </c>
      <c r="F190" s="18" t="s">
        <v>280</v>
      </c>
      <c r="G190" s="27" t="n">
        <v>56</v>
      </c>
      <c r="H190" s="19" t="n">
        <v>-110</v>
      </c>
      <c r="I190" s="21" t="n">
        <v>0.539176643379779</v>
      </c>
      <c r="J190" s="21" t="n">
        <v>0.5</v>
      </c>
      <c r="K190" s="21" t="n">
        <v>0.523809523809524</v>
      </c>
      <c r="L190" s="20" t="n">
        <v>0.0153671195702551</v>
      </c>
      <c r="M190" s="20" t="n">
        <v>0.0281877781220393</v>
      </c>
      <c r="N190" s="21" t="n">
        <v>0.0392</v>
      </c>
      <c r="O190" s="28" t="n">
        <v>1</v>
      </c>
      <c r="P190" s="18" t="s">
        <v>96</v>
      </c>
      <c r="Q190" s="18"/>
    </row>
    <row r="191" customFormat="false" ht="15" hidden="false" customHeight="false" outlineLevel="0" collapsed="false">
      <c r="A191" s="13" t="s">
        <v>172</v>
      </c>
      <c r="B191" s="13" t="s">
        <v>121</v>
      </c>
      <c r="C191" s="13" t="s">
        <v>65</v>
      </c>
      <c r="D191" s="23" t="n">
        <v>11</v>
      </c>
      <c r="E191" s="13" t="s">
        <v>45</v>
      </c>
      <c r="F191" s="13" t="s">
        <v>233</v>
      </c>
      <c r="G191" s="24" t="n">
        <v>-6.5</v>
      </c>
      <c r="H191" s="14" t="n">
        <v>-110</v>
      </c>
      <c r="I191" s="16" t="n">
        <v>0.538104851604463</v>
      </c>
      <c r="J191" s="16" t="n">
        <v>0.5</v>
      </c>
      <c r="K191" s="16" t="n">
        <v>0.523809523809524</v>
      </c>
      <c r="L191" s="15" t="n">
        <v>0.0142953277949395</v>
      </c>
      <c r="M191" s="15" t="n">
        <v>0.0272910803357936</v>
      </c>
      <c r="N191" s="16" t="n">
        <v>0</v>
      </c>
      <c r="O191" s="25" t="n">
        <v>1</v>
      </c>
      <c r="P191" s="13" t="s">
        <v>96</v>
      </c>
      <c r="Q191" s="13"/>
    </row>
    <row r="192" customFormat="false" ht="15" hidden="false" customHeight="false" outlineLevel="0" collapsed="false">
      <c r="A192" s="18" t="s">
        <v>172</v>
      </c>
      <c r="B192" s="18" t="s">
        <v>163</v>
      </c>
      <c r="C192" s="18" t="s">
        <v>75</v>
      </c>
      <c r="D192" s="26" t="n">
        <v>13</v>
      </c>
      <c r="E192" s="18" t="s">
        <v>49</v>
      </c>
      <c r="F192" s="18" t="s">
        <v>235</v>
      </c>
      <c r="G192" s="27" t="n">
        <v>53.5</v>
      </c>
      <c r="H192" s="19" t="n">
        <v>-110</v>
      </c>
      <c r="I192" s="21" t="n">
        <v>0.537688243001108</v>
      </c>
      <c r="J192" s="21" t="n">
        <v>0.5</v>
      </c>
      <c r="K192" s="21" t="n">
        <v>0.523809523809524</v>
      </c>
      <c r="L192" s="20" t="n">
        <v>0.013878719191584</v>
      </c>
      <c r="M192" s="20" t="n">
        <v>0.0264957366384787</v>
      </c>
      <c r="N192" s="21" t="n">
        <v>0</v>
      </c>
      <c r="O192" s="28" t="n">
        <v>1</v>
      </c>
      <c r="P192" s="18" t="s">
        <v>96</v>
      </c>
      <c r="Q192" s="18"/>
    </row>
    <row r="193" customFormat="false" ht="15" hidden="false" customHeight="false" outlineLevel="0" collapsed="false">
      <c r="A193" s="13" t="s">
        <v>172</v>
      </c>
      <c r="B193" s="13" t="s">
        <v>55</v>
      </c>
      <c r="C193" s="13" t="s">
        <v>51</v>
      </c>
      <c r="D193" s="23" t="n">
        <v>14</v>
      </c>
      <c r="E193" s="13" t="s">
        <v>45</v>
      </c>
      <c r="F193" s="13" t="s">
        <v>281</v>
      </c>
      <c r="G193" s="24" t="n">
        <v>-1</v>
      </c>
      <c r="H193" s="14" t="n">
        <v>-110</v>
      </c>
      <c r="I193" s="16" t="n">
        <v>0.537381191718322</v>
      </c>
      <c r="J193" s="16" t="n">
        <v>0.5</v>
      </c>
      <c r="K193" s="16" t="n">
        <v>0.523809523809524</v>
      </c>
      <c r="L193" s="15" t="n">
        <v>0.0135716679087977</v>
      </c>
      <c r="M193" s="15" t="n">
        <v>0.0251468040132249</v>
      </c>
      <c r="N193" s="16" t="n">
        <v>0.0294</v>
      </c>
      <c r="O193" s="25" t="n">
        <v>1</v>
      </c>
      <c r="P193" s="13" t="s">
        <v>96</v>
      </c>
      <c r="Q193" s="13"/>
    </row>
    <row r="194" customFormat="false" ht="15" hidden="false" customHeight="false" outlineLevel="0" collapsed="false">
      <c r="A194" s="18" t="s">
        <v>172</v>
      </c>
      <c r="B194" s="18" t="s">
        <v>229</v>
      </c>
      <c r="C194" s="18" t="s">
        <v>71</v>
      </c>
      <c r="D194" s="26" t="n">
        <v>11</v>
      </c>
      <c r="E194" s="18" t="s">
        <v>73</v>
      </c>
      <c r="F194" s="18" t="s">
        <v>204</v>
      </c>
      <c r="G194" s="27"/>
      <c r="H194" s="19" t="n">
        <v>291</v>
      </c>
      <c r="I194" s="21" t="n">
        <v>0.268322827374837</v>
      </c>
      <c r="J194" s="21" t="n">
        <v>0.247104836818075</v>
      </c>
      <c r="K194" s="21" t="n">
        <v>0.255754475703325</v>
      </c>
      <c r="L194" s="20" t="n">
        <v>0.0125683516715124</v>
      </c>
      <c r="M194" s="20" t="n">
        <v>0.0491422550356138</v>
      </c>
      <c r="N194" s="21" t="n">
        <v>0</v>
      </c>
      <c r="O194" s="28" t="n">
        <v>1</v>
      </c>
      <c r="P194" s="18" t="s">
        <v>96</v>
      </c>
      <c r="Q194" s="18"/>
    </row>
    <row r="195" customFormat="false" ht="15" hidden="false" customHeight="false" outlineLevel="0" collapsed="false">
      <c r="A195" s="13" t="s">
        <v>172</v>
      </c>
      <c r="B195" s="13" t="s">
        <v>127</v>
      </c>
      <c r="C195" s="13" t="s">
        <v>65</v>
      </c>
      <c r="D195" s="23" t="n">
        <v>11</v>
      </c>
      <c r="E195" s="13" t="s">
        <v>45</v>
      </c>
      <c r="F195" s="13" t="s">
        <v>282</v>
      </c>
      <c r="G195" s="24" t="n">
        <v>-3</v>
      </c>
      <c r="H195" s="14" t="n">
        <v>-110</v>
      </c>
      <c r="I195" s="16" t="n">
        <v>0.536129868655356</v>
      </c>
      <c r="J195" s="16" t="n">
        <v>0.5</v>
      </c>
      <c r="K195" s="16" t="n">
        <v>0.523809523809524</v>
      </c>
      <c r="L195" s="15" t="n">
        <v>0.0123203448458318</v>
      </c>
      <c r="M195" s="15" t="n">
        <v>0.022106332316668</v>
      </c>
      <c r="N195" s="16" t="n">
        <v>0.0601</v>
      </c>
      <c r="O195" s="25" t="n">
        <v>1</v>
      </c>
      <c r="P195" s="13" t="s">
        <v>96</v>
      </c>
      <c r="Q195" s="13"/>
    </row>
    <row r="196" customFormat="false" ht="15" hidden="false" customHeight="false" outlineLevel="0" collapsed="false">
      <c r="A196" s="18" t="s">
        <v>172</v>
      </c>
      <c r="B196" s="18" t="s">
        <v>123</v>
      </c>
      <c r="C196" s="18" t="s">
        <v>102</v>
      </c>
      <c r="D196" s="26" t="n">
        <v>13</v>
      </c>
      <c r="E196" s="18" t="s">
        <v>49</v>
      </c>
      <c r="F196" s="18" t="s">
        <v>247</v>
      </c>
      <c r="G196" s="27" t="n">
        <v>60.5</v>
      </c>
      <c r="H196" s="19" t="n">
        <v>-110</v>
      </c>
      <c r="I196" s="21" t="n">
        <v>0.535726590298953</v>
      </c>
      <c r="J196" s="21" t="n">
        <v>0.5</v>
      </c>
      <c r="K196" s="21" t="n">
        <v>0.523809523809524</v>
      </c>
      <c r="L196" s="20" t="n">
        <v>0.0119170664894287</v>
      </c>
      <c r="M196" s="20" t="n">
        <v>0.0227507632980004</v>
      </c>
      <c r="N196" s="21" t="n">
        <v>0</v>
      </c>
      <c r="O196" s="28" t="n">
        <v>1</v>
      </c>
      <c r="P196" s="18" t="s">
        <v>96</v>
      </c>
      <c r="Q196" s="18"/>
    </row>
    <row r="197" customFormat="false" ht="15" hidden="false" customHeight="false" outlineLevel="0" collapsed="false">
      <c r="A197" s="13" t="s">
        <v>172</v>
      </c>
      <c r="B197" s="13" t="s">
        <v>275</v>
      </c>
      <c r="C197" s="13" t="s">
        <v>114</v>
      </c>
      <c r="D197" s="23" t="n">
        <v>13</v>
      </c>
      <c r="E197" s="13" t="s">
        <v>45</v>
      </c>
      <c r="F197" s="13" t="s">
        <v>283</v>
      </c>
      <c r="G197" s="24" t="n">
        <v>-0.5</v>
      </c>
      <c r="H197" s="14" t="n">
        <v>-110</v>
      </c>
      <c r="I197" s="16" t="n">
        <v>0.535297759455552</v>
      </c>
      <c r="J197" s="16" t="n">
        <v>0.5</v>
      </c>
      <c r="K197" s="16" t="n">
        <v>0.523809523809524</v>
      </c>
      <c r="L197" s="15" t="n">
        <v>0.0114882356460276</v>
      </c>
      <c r="M197" s="15" t="n">
        <v>0.0219320862333256</v>
      </c>
      <c r="N197" s="16" t="n">
        <v>0</v>
      </c>
      <c r="O197" s="25" t="n">
        <v>1</v>
      </c>
      <c r="P197" s="13" t="s">
        <v>96</v>
      </c>
      <c r="Q197" s="13"/>
    </row>
    <row r="198" customFormat="false" ht="15" hidden="false" customHeight="false" outlineLevel="0" collapsed="false">
      <c r="A198" s="18" t="s">
        <v>172</v>
      </c>
      <c r="B198" s="18" t="s">
        <v>231</v>
      </c>
      <c r="C198" s="18" t="s">
        <v>59</v>
      </c>
      <c r="D198" s="26" t="n">
        <v>10</v>
      </c>
      <c r="E198" s="18" t="s">
        <v>49</v>
      </c>
      <c r="F198" s="18" t="s">
        <v>198</v>
      </c>
      <c r="G198" s="27" t="n">
        <v>54</v>
      </c>
      <c r="H198" s="19" t="n">
        <v>-110</v>
      </c>
      <c r="I198" s="21" t="n">
        <v>0.535099792274009</v>
      </c>
      <c r="J198" s="21" t="n">
        <v>0.5</v>
      </c>
      <c r="K198" s="21" t="n">
        <v>0.523809523809524</v>
      </c>
      <c r="L198" s="20" t="n">
        <v>0.0112902684644849</v>
      </c>
      <c r="M198" s="20" t="n">
        <v>0.0207065987601161</v>
      </c>
      <c r="N198" s="21" t="n">
        <v>0.0393</v>
      </c>
      <c r="O198" s="28" t="n">
        <v>1</v>
      </c>
      <c r="P198" s="18" t="s">
        <v>96</v>
      </c>
      <c r="Q198" s="18"/>
    </row>
    <row r="199" customFormat="false" ht="15" hidden="false" customHeight="false" outlineLevel="0" collapsed="false">
      <c r="A199" s="13" t="s">
        <v>172</v>
      </c>
      <c r="B199" s="13" t="s">
        <v>269</v>
      </c>
      <c r="C199" s="13" t="s">
        <v>136</v>
      </c>
      <c r="D199" s="23" t="n">
        <v>12</v>
      </c>
      <c r="E199" s="13" t="s">
        <v>49</v>
      </c>
      <c r="F199" s="13" t="s">
        <v>280</v>
      </c>
      <c r="G199" s="24" t="n">
        <v>56</v>
      </c>
      <c r="H199" s="14" t="n">
        <v>-110</v>
      </c>
      <c r="I199" s="16" t="n">
        <v>0.535099784782325</v>
      </c>
      <c r="J199" s="16" t="n">
        <v>0.5</v>
      </c>
      <c r="K199" s="16" t="n">
        <v>0.523809523809524</v>
      </c>
      <c r="L199" s="15" t="n">
        <v>0.0112902609728006</v>
      </c>
      <c r="M199" s="15" t="n">
        <v>0.0207065850103935</v>
      </c>
      <c r="N199" s="16" t="n">
        <v>0.0393</v>
      </c>
      <c r="O199" s="25" t="n">
        <v>1</v>
      </c>
      <c r="P199" s="13" t="s">
        <v>96</v>
      </c>
      <c r="Q199" s="13"/>
    </row>
    <row r="200" customFormat="false" ht="15" hidden="false" customHeight="false" outlineLevel="0" collapsed="false">
      <c r="A200" s="18" t="s">
        <v>172</v>
      </c>
      <c r="B200" s="18" t="s">
        <v>284</v>
      </c>
      <c r="C200" s="18" t="s">
        <v>145</v>
      </c>
      <c r="D200" s="26" t="n">
        <v>12</v>
      </c>
      <c r="E200" s="18" t="s">
        <v>45</v>
      </c>
      <c r="F200" s="18" t="s">
        <v>285</v>
      </c>
      <c r="G200" s="27" t="n">
        <v>0.5</v>
      </c>
      <c r="H200" s="19" t="n">
        <v>-110</v>
      </c>
      <c r="I200" s="21" t="n">
        <v>0.534364204608731</v>
      </c>
      <c r="J200" s="21" t="n">
        <v>0.5</v>
      </c>
      <c r="K200" s="21" t="n">
        <v>0.523809523809524</v>
      </c>
      <c r="L200" s="20" t="n">
        <v>0.0105546807992067</v>
      </c>
      <c r="M200" s="20" t="n">
        <v>0.020149845162122</v>
      </c>
      <c r="N200" s="21" t="n">
        <v>0</v>
      </c>
      <c r="O200" s="28" t="n">
        <v>1</v>
      </c>
      <c r="P200" s="18" t="s">
        <v>96</v>
      </c>
      <c r="Q200" s="18"/>
    </row>
    <row r="201" customFormat="false" ht="15" hidden="false" customHeight="false" outlineLevel="0" collapsed="false">
      <c r="A201" s="13" t="s">
        <v>172</v>
      </c>
      <c r="B201" s="13" t="s">
        <v>266</v>
      </c>
      <c r="C201" s="13" t="s">
        <v>114</v>
      </c>
      <c r="D201" s="23" t="n">
        <v>13</v>
      </c>
      <c r="E201" s="13" t="s">
        <v>73</v>
      </c>
      <c r="F201" s="13" t="s">
        <v>286</v>
      </c>
      <c r="G201" s="24"/>
      <c r="H201" s="14" t="n">
        <v>201</v>
      </c>
      <c r="I201" s="16" t="n">
        <v>0.342712091997597</v>
      </c>
      <c r="J201" s="16" t="n">
        <v>0.32083932328608</v>
      </c>
      <c r="K201" s="16" t="n">
        <v>0.332225913621263</v>
      </c>
      <c r="L201" s="15" t="n">
        <v>0.0104861783763345</v>
      </c>
      <c r="M201" s="15" t="n">
        <v>0.0315633969127669</v>
      </c>
      <c r="N201" s="16" t="n">
        <v>0</v>
      </c>
      <c r="O201" s="25" t="n">
        <v>1</v>
      </c>
      <c r="P201" s="13" t="s">
        <v>96</v>
      </c>
      <c r="Q201" s="13"/>
    </row>
    <row r="202" customFormat="false" ht="15" hidden="false" customHeight="false" outlineLevel="0" collapsed="false">
      <c r="A202" s="18" t="s">
        <v>172</v>
      </c>
      <c r="B202" s="18" t="s">
        <v>69</v>
      </c>
      <c r="C202" s="18" t="s">
        <v>71</v>
      </c>
      <c r="D202" s="26" t="n">
        <v>11</v>
      </c>
      <c r="E202" s="18" t="s">
        <v>49</v>
      </c>
      <c r="F202" s="18" t="s">
        <v>287</v>
      </c>
      <c r="G202" s="27" t="n">
        <v>57.5</v>
      </c>
      <c r="H202" s="19" t="n">
        <v>-110</v>
      </c>
      <c r="I202" s="21" t="n">
        <v>0.533761404759687</v>
      </c>
      <c r="J202" s="21" t="n">
        <v>0.5</v>
      </c>
      <c r="K202" s="21" t="n">
        <v>0.523809523809524</v>
      </c>
      <c r="L202" s="20" t="n">
        <v>0.00995188095016342</v>
      </c>
      <c r="M202" s="20" t="n">
        <v>0.0189990454503121</v>
      </c>
      <c r="N202" s="21" t="n">
        <v>0</v>
      </c>
      <c r="O202" s="28" t="n">
        <v>1</v>
      </c>
      <c r="P202" s="18" t="s">
        <v>96</v>
      </c>
      <c r="Q202" s="18"/>
    </row>
    <row r="203" customFormat="false" ht="15" hidden="false" customHeight="false" outlineLevel="0" collapsed="false">
      <c r="A203" s="13" t="s">
        <v>172</v>
      </c>
      <c r="B203" s="13" t="s">
        <v>213</v>
      </c>
      <c r="C203" s="13" t="s">
        <v>68</v>
      </c>
      <c r="D203" s="23" t="n">
        <v>11</v>
      </c>
      <c r="E203" s="13" t="s">
        <v>49</v>
      </c>
      <c r="F203" s="13" t="s">
        <v>288</v>
      </c>
      <c r="G203" s="24" t="n">
        <v>55</v>
      </c>
      <c r="H203" s="14" t="n">
        <v>-110</v>
      </c>
      <c r="I203" s="16" t="n">
        <v>0.533055410121947</v>
      </c>
      <c r="J203" s="16" t="n">
        <v>0.5</v>
      </c>
      <c r="K203" s="16" t="n">
        <v>0.523809523809524</v>
      </c>
      <c r="L203" s="15" t="n">
        <v>0.00924588631242262</v>
      </c>
      <c r="M203" s="15" t="n">
        <v>0.0169560111020651</v>
      </c>
      <c r="N203" s="16" t="n">
        <v>0.0394</v>
      </c>
      <c r="O203" s="25" t="n">
        <v>1</v>
      </c>
      <c r="P203" s="13" t="s">
        <v>96</v>
      </c>
      <c r="Q203" s="13"/>
    </row>
    <row r="204" customFormat="false" ht="15" hidden="false" customHeight="false" outlineLevel="0" collapsed="false">
      <c r="A204" s="18" t="s">
        <v>172</v>
      </c>
      <c r="B204" s="18" t="s">
        <v>219</v>
      </c>
      <c r="C204" s="18" t="s">
        <v>145</v>
      </c>
      <c r="D204" s="26" t="n">
        <v>12</v>
      </c>
      <c r="E204" s="18" t="s">
        <v>49</v>
      </c>
      <c r="F204" s="18" t="s">
        <v>289</v>
      </c>
      <c r="G204" s="27" t="n">
        <v>56</v>
      </c>
      <c r="H204" s="19" t="n">
        <v>-110</v>
      </c>
      <c r="I204" s="21" t="n">
        <v>0.533055409387719</v>
      </c>
      <c r="J204" s="21" t="n">
        <v>0.5</v>
      </c>
      <c r="K204" s="21" t="n">
        <v>0.523809523809524</v>
      </c>
      <c r="L204" s="20" t="n">
        <v>0.00924588557819495</v>
      </c>
      <c r="M204" s="20" t="n">
        <v>0.0169560097572986</v>
      </c>
      <c r="N204" s="21" t="n">
        <v>0.0394</v>
      </c>
      <c r="O204" s="28" t="n">
        <v>1</v>
      </c>
      <c r="P204" s="18" t="s">
        <v>96</v>
      </c>
      <c r="Q204" s="18"/>
    </row>
    <row r="205" customFormat="false" ht="15" hidden="false" customHeight="false" outlineLevel="0" collapsed="false">
      <c r="A205" s="13" t="s">
        <v>172</v>
      </c>
      <c r="B205" s="13" t="s">
        <v>142</v>
      </c>
      <c r="C205" s="13" t="s">
        <v>136</v>
      </c>
      <c r="D205" s="23" t="n">
        <v>12</v>
      </c>
      <c r="E205" s="13" t="s">
        <v>49</v>
      </c>
      <c r="F205" s="13" t="s">
        <v>261</v>
      </c>
      <c r="G205" s="24" t="n">
        <v>58.5</v>
      </c>
      <c r="H205" s="14" t="n">
        <v>-110</v>
      </c>
      <c r="I205" s="16" t="n">
        <v>0.53179287077737</v>
      </c>
      <c r="J205" s="16" t="n">
        <v>0.5</v>
      </c>
      <c r="K205" s="16" t="n">
        <v>0.523809523809524</v>
      </c>
      <c r="L205" s="15" t="n">
        <v>0.00798334696784597</v>
      </c>
      <c r="M205" s="15" t="n">
        <v>0.0152409351204333</v>
      </c>
      <c r="N205" s="16" t="n">
        <v>0</v>
      </c>
      <c r="O205" s="25" t="n">
        <v>1</v>
      </c>
      <c r="P205" s="13" t="s">
        <v>96</v>
      </c>
      <c r="Q205" s="13"/>
    </row>
    <row r="206" customFormat="false" ht="15" hidden="false" customHeight="false" outlineLevel="0" collapsed="false">
      <c r="A206" s="18" t="s">
        <v>172</v>
      </c>
      <c r="B206" s="18" t="s">
        <v>237</v>
      </c>
      <c r="C206" s="18" t="s">
        <v>71</v>
      </c>
      <c r="D206" s="26" t="n">
        <v>11</v>
      </c>
      <c r="E206" s="18" t="s">
        <v>73</v>
      </c>
      <c r="F206" s="18" t="s">
        <v>290</v>
      </c>
      <c r="G206" s="27"/>
      <c r="H206" s="19" t="n">
        <v>232</v>
      </c>
      <c r="I206" s="21" t="n">
        <v>0.308919580277473</v>
      </c>
      <c r="J206" s="21" t="n">
        <v>0.290949610003714</v>
      </c>
      <c r="K206" s="21" t="n">
        <v>0.301204819277109</v>
      </c>
      <c r="L206" s="20" t="n">
        <v>0.00771476100036489</v>
      </c>
      <c r="M206" s="20" t="n">
        <v>0.0256130065212115</v>
      </c>
      <c r="N206" s="21" t="n">
        <v>0</v>
      </c>
      <c r="O206" s="28" t="n">
        <v>1</v>
      </c>
      <c r="P206" s="18" t="s">
        <v>96</v>
      </c>
      <c r="Q206" s="18"/>
    </row>
    <row r="207" customFormat="false" ht="15" hidden="false" customHeight="false" outlineLevel="0" collapsed="false">
      <c r="A207" s="13" t="s">
        <v>172</v>
      </c>
      <c r="B207" s="13" t="s">
        <v>291</v>
      </c>
      <c r="C207" s="13" t="s">
        <v>47</v>
      </c>
      <c r="D207" s="23" t="n">
        <v>14</v>
      </c>
      <c r="E207" s="13" t="s">
        <v>49</v>
      </c>
      <c r="F207" s="13" t="s">
        <v>292</v>
      </c>
      <c r="G207" s="24" t="n">
        <v>55.5</v>
      </c>
      <c r="H207" s="14" t="n">
        <v>-110</v>
      </c>
      <c r="I207" s="16" t="n">
        <v>0.529821185614912</v>
      </c>
      <c r="J207" s="16" t="n">
        <v>0.5</v>
      </c>
      <c r="K207" s="16" t="n">
        <v>0.523809523809524</v>
      </c>
      <c r="L207" s="15" t="n">
        <v>0.00601166180538859</v>
      </c>
      <c r="M207" s="15" t="n">
        <v>0.0114768089011965</v>
      </c>
      <c r="N207" s="16" t="n">
        <v>0</v>
      </c>
      <c r="O207" s="25" t="n">
        <v>1</v>
      </c>
      <c r="P207" s="13" t="s">
        <v>96</v>
      </c>
      <c r="Q207" s="13"/>
    </row>
    <row r="208" customFormat="false" ht="15" hidden="false" customHeight="false" outlineLevel="0" collapsed="false">
      <c r="A208" s="18" t="s">
        <v>172</v>
      </c>
      <c r="B208" s="18" t="s">
        <v>284</v>
      </c>
      <c r="C208" s="18" t="s">
        <v>145</v>
      </c>
      <c r="D208" s="26" t="n">
        <v>12</v>
      </c>
      <c r="E208" s="18" t="s">
        <v>49</v>
      </c>
      <c r="F208" s="18" t="s">
        <v>293</v>
      </c>
      <c r="G208" s="27" t="n">
        <v>58</v>
      </c>
      <c r="H208" s="19" t="n">
        <v>-110</v>
      </c>
      <c r="I208" s="21" t="n">
        <v>0.528955850959029</v>
      </c>
      <c r="J208" s="21" t="n">
        <v>0.5</v>
      </c>
      <c r="K208" s="21" t="n">
        <v>0.523809523809524</v>
      </c>
      <c r="L208" s="20" t="n">
        <v>0.00514632714950525</v>
      </c>
      <c r="M208" s="20" t="n">
        <v>0.00943667568793294</v>
      </c>
      <c r="N208" s="21" t="n">
        <v>0.0395</v>
      </c>
      <c r="O208" s="28" t="n">
        <v>1</v>
      </c>
      <c r="P208" s="18" t="s">
        <v>96</v>
      </c>
      <c r="Q208" s="18"/>
    </row>
    <row r="209" customFormat="false" ht="15" hidden="false" customHeight="false" outlineLevel="0" collapsed="false">
      <c r="A209" s="13" t="s">
        <v>172</v>
      </c>
      <c r="B209" s="13" t="s">
        <v>121</v>
      </c>
      <c r="C209" s="13" t="s">
        <v>65</v>
      </c>
      <c r="D209" s="23" t="n">
        <v>11</v>
      </c>
      <c r="E209" s="13" t="s">
        <v>73</v>
      </c>
      <c r="F209" s="13" t="s">
        <v>167</v>
      </c>
      <c r="G209" s="24"/>
      <c r="H209" s="14" t="n">
        <v>187</v>
      </c>
      <c r="I209" s="16" t="n">
        <v>0.352533743668842</v>
      </c>
      <c r="J209" s="16" t="n">
        <v>0.336664802169852</v>
      </c>
      <c r="K209" s="16" t="n">
        <v>0.348432055749129</v>
      </c>
      <c r="L209" s="15" t="n">
        <v>0.0041016879197131</v>
      </c>
      <c r="M209" s="15" t="n">
        <v>0.0117718443295767</v>
      </c>
      <c r="N209" s="16" t="n">
        <v>0</v>
      </c>
      <c r="O209" s="25" t="n">
        <v>1</v>
      </c>
      <c r="P209" s="13" t="s">
        <v>96</v>
      </c>
      <c r="Q209" s="13"/>
    </row>
    <row r="210" customFormat="false" ht="15" hidden="false" customHeight="false" outlineLevel="0" collapsed="false">
      <c r="A210" s="18" t="s">
        <v>172</v>
      </c>
      <c r="B210" s="18" t="s">
        <v>255</v>
      </c>
      <c r="C210" s="18" t="s">
        <v>62</v>
      </c>
      <c r="D210" s="26" t="n">
        <v>10</v>
      </c>
      <c r="E210" s="18" t="s">
        <v>49</v>
      </c>
      <c r="F210" s="18" t="s">
        <v>292</v>
      </c>
      <c r="G210" s="27" t="n">
        <v>55.5</v>
      </c>
      <c r="H210" s="19" t="n">
        <v>-110</v>
      </c>
      <c r="I210" s="21" t="n">
        <v>0.527846536071535</v>
      </c>
      <c r="J210" s="21" t="n">
        <v>0.5</v>
      </c>
      <c r="K210" s="21" t="n">
        <v>0.523809523809524</v>
      </c>
      <c r="L210" s="20" t="n">
        <v>0.0040370122620107</v>
      </c>
      <c r="M210" s="20" t="n">
        <v>0.00770702340929325</v>
      </c>
      <c r="N210" s="21" t="n">
        <v>0</v>
      </c>
      <c r="O210" s="28" t="n">
        <v>1</v>
      </c>
      <c r="P210" s="18" t="s">
        <v>96</v>
      </c>
      <c r="Q210" s="18"/>
    </row>
    <row r="211" customFormat="false" ht="15" hidden="false" customHeight="false" outlineLevel="0" collapsed="false">
      <c r="A211" s="13" t="s">
        <v>172</v>
      </c>
      <c r="B211" s="13" t="s">
        <v>224</v>
      </c>
      <c r="C211" s="13" t="s">
        <v>59</v>
      </c>
      <c r="D211" s="23" t="n">
        <v>10</v>
      </c>
      <c r="E211" s="13" t="s">
        <v>49</v>
      </c>
      <c r="F211" s="13" t="s">
        <v>294</v>
      </c>
      <c r="G211" s="24" t="n">
        <v>54.5</v>
      </c>
      <c r="H211" s="14" t="n">
        <v>-110</v>
      </c>
      <c r="I211" s="16" t="n">
        <v>0.527846525644119</v>
      </c>
      <c r="J211" s="16" t="n">
        <v>0.5</v>
      </c>
      <c r="K211" s="16" t="n">
        <v>0.523809523809524</v>
      </c>
      <c r="L211" s="15" t="n">
        <v>0.00403700183459477</v>
      </c>
      <c r="M211" s="15" t="n">
        <v>0.00770700350240827</v>
      </c>
      <c r="N211" s="16" t="n">
        <v>0</v>
      </c>
      <c r="O211" s="25" t="n">
        <v>1</v>
      </c>
      <c r="P211" s="13" t="s">
        <v>96</v>
      </c>
      <c r="Q211" s="13"/>
    </row>
    <row r="212" customFormat="false" ht="15" hidden="false" customHeight="false" outlineLevel="0" collapsed="false">
      <c r="A212" s="18" t="s">
        <v>172</v>
      </c>
      <c r="B212" s="18" t="s">
        <v>279</v>
      </c>
      <c r="C212" s="18" t="s">
        <v>75</v>
      </c>
      <c r="D212" s="26" t="n">
        <v>13</v>
      </c>
      <c r="E212" s="18" t="s">
        <v>73</v>
      </c>
      <c r="F212" s="18" t="s">
        <v>207</v>
      </c>
      <c r="G212" s="27"/>
      <c r="H212" s="19" t="n">
        <v>150</v>
      </c>
      <c r="I212" s="21" t="n">
        <v>0.404013261340818</v>
      </c>
      <c r="J212" s="21" t="n">
        <v>0.386459802538787</v>
      </c>
      <c r="K212" s="21" t="n">
        <v>0.4</v>
      </c>
      <c r="L212" s="20" t="n">
        <v>0.00401326134081803</v>
      </c>
      <c r="M212" s="20" t="n">
        <v>0.0100331533520451</v>
      </c>
      <c r="N212" s="21" t="n">
        <v>0</v>
      </c>
      <c r="O212" s="28" t="n">
        <v>1</v>
      </c>
      <c r="P212" s="18" t="s">
        <v>96</v>
      </c>
      <c r="Q212" s="18"/>
    </row>
    <row r="213" customFormat="false" ht="15" hidden="false" customHeight="false" outlineLevel="0" collapsed="false">
      <c r="A213" s="13" t="s">
        <v>172</v>
      </c>
      <c r="B213" s="13" t="s">
        <v>246</v>
      </c>
      <c r="C213" s="13" t="s">
        <v>51</v>
      </c>
      <c r="D213" s="23" t="n">
        <v>14</v>
      </c>
      <c r="E213" s="13" t="s">
        <v>45</v>
      </c>
      <c r="F213" s="13" t="s">
        <v>295</v>
      </c>
      <c r="G213" s="24" t="n">
        <v>-0.5</v>
      </c>
      <c r="H213" s="14" t="n">
        <v>-110</v>
      </c>
      <c r="I213" s="16" t="n">
        <v>0.52760997511602</v>
      </c>
      <c r="J213" s="16" t="n">
        <v>0.5</v>
      </c>
      <c r="K213" s="16" t="n">
        <v>0.523809523809524</v>
      </c>
      <c r="L213" s="15" t="n">
        <v>0.00380045130649653</v>
      </c>
      <c r="M213" s="15" t="n">
        <v>0.00725540703967531</v>
      </c>
      <c r="N213" s="16" t="n">
        <v>0</v>
      </c>
      <c r="O213" s="25" t="n">
        <v>1</v>
      </c>
      <c r="P213" s="13" t="s">
        <v>96</v>
      </c>
      <c r="Q213" s="13"/>
    </row>
    <row r="214" customFormat="false" ht="15" hidden="false" customHeight="false" outlineLevel="0" collapsed="false">
      <c r="A214" s="18" t="s">
        <v>172</v>
      </c>
      <c r="B214" s="18" t="s">
        <v>296</v>
      </c>
      <c r="C214" s="18" t="s">
        <v>102</v>
      </c>
      <c r="D214" s="26" t="n">
        <v>13</v>
      </c>
      <c r="E214" s="18" t="s">
        <v>45</v>
      </c>
      <c r="F214" s="18" t="s">
        <v>297</v>
      </c>
      <c r="G214" s="27" t="n">
        <v>-2.5</v>
      </c>
      <c r="H214" s="19" t="n">
        <v>-110</v>
      </c>
      <c r="I214" s="21" t="n">
        <v>0.527345415039355</v>
      </c>
      <c r="J214" s="21" t="n">
        <v>0.5</v>
      </c>
      <c r="K214" s="21" t="n">
        <v>0.523809523809524</v>
      </c>
      <c r="L214" s="20" t="n">
        <v>0.00353589122983133</v>
      </c>
      <c r="M214" s="20" t="n">
        <v>0.00675033780240536</v>
      </c>
      <c r="N214" s="21" t="n">
        <v>0</v>
      </c>
      <c r="O214" s="28" t="n">
        <v>1</v>
      </c>
      <c r="P214" s="18" t="s">
        <v>96</v>
      </c>
      <c r="Q214" s="18"/>
    </row>
    <row r="215" customFormat="false" ht="15" hidden="false" customHeight="false" outlineLevel="0" collapsed="false">
      <c r="A215" s="13" t="s">
        <v>172</v>
      </c>
      <c r="B215" s="13" t="s">
        <v>291</v>
      </c>
      <c r="C215" s="13" t="s">
        <v>47</v>
      </c>
      <c r="D215" s="23" t="n">
        <v>14</v>
      </c>
      <c r="E215" s="13" t="s">
        <v>45</v>
      </c>
      <c r="F215" s="13" t="s">
        <v>298</v>
      </c>
      <c r="G215" s="24" t="n">
        <v>1</v>
      </c>
      <c r="H215" s="14" t="n">
        <v>-110</v>
      </c>
      <c r="I215" s="16" t="n">
        <v>0.52548767353758</v>
      </c>
      <c r="J215" s="16" t="n">
        <v>0.5</v>
      </c>
      <c r="K215" s="16" t="n">
        <v>0.523809523809524</v>
      </c>
      <c r="L215" s="15" t="n">
        <v>0.00167814972805658</v>
      </c>
      <c r="M215" s="15" t="n">
        <v>0.00310931762341249</v>
      </c>
      <c r="N215" s="16" t="n">
        <v>0.0295</v>
      </c>
      <c r="O215" s="25" t="n">
        <v>1</v>
      </c>
      <c r="P215" s="13" t="s">
        <v>96</v>
      </c>
      <c r="Q215" s="13"/>
    </row>
    <row r="216" customFormat="false" ht="15" hidden="false" customHeight="false" outlineLevel="0" collapsed="false">
      <c r="A216" s="18" t="s">
        <v>172</v>
      </c>
      <c r="B216" s="18" t="s">
        <v>251</v>
      </c>
      <c r="C216" s="18" t="s">
        <v>76</v>
      </c>
      <c r="D216" s="26" t="n">
        <v>14</v>
      </c>
      <c r="E216" s="18" t="s">
        <v>73</v>
      </c>
      <c r="F216" s="18" t="s">
        <v>299</v>
      </c>
      <c r="G216" s="27"/>
      <c r="H216" s="19" t="n">
        <v>180</v>
      </c>
      <c r="I216" s="21" t="n">
        <v>0.3577638952635</v>
      </c>
      <c r="J216" s="21" t="n">
        <v>0.34521158129176</v>
      </c>
      <c r="K216" s="21" t="n">
        <v>0.357142857142857</v>
      </c>
      <c r="L216" s="20" t="n">
        <v>0.000621038120642681</v>
      </c>
      <c r="M216" s="20" t="n">
        <v>0.00173890673779942</v>
      </c>
      <c r="N216" s="21" t="n">
        <v>0</v>
      </c>
      <c r="O216" s="28" t="n">
        <v>1</v>
      </c>
      <c r="P216" s="18" t="s">
        <v>96</v>
      </c>
      <c r="Q216" s="18"/>
    </row>
    <row r="217" customFormat="false" ht="15" hidden="false" customHeight="false" outlineLevel="0" collapsed="false">
      <c r="A217" s="13" t="s">
        <v>172</v>
      </c>
      <c r="B217" s="13" t="s">
        <v>140</v>
      </c>
      <c r="C217" s="13" t="s">
        <v>114</v>
      </c>
      <c r="D217" s="23" t="n">
        <v>13</v>
      </c>
      <c r="E217" s="13" t="s">
        <v>49</v>
      </c>
      <c r="F217" s="13" t="s">
        <v>258</v>
      </c>
      <c r="G217" s="24" t="n">
        <v>54.5</v>
      </c>
      <c r="H217" s="14" t="n">
        <v>-110</v>
      </c>
      <c r="I217" s="16" t="n">
        <v>0.523889126229474</v>
      </c>
      <c r="J217" s="16" t="n">
        <v>0.5</v>
      </c>
      <c r="K217" s="16" t="n">
        <v>0.523809523809524</v>
      </c>
      <c r="L217" s="15" t="n">
        <v>7.96024199501977E-005</v>
      </c>
      <c r="M217" s="15" t="n">
        <v>0.000151968256268675</v>
      </c>
      <c r="N217" s="16" t="n">
        <v>0</v>
      </c>
      <c r="O217" s="25" t="n">
        <v>1</v>
      </c>
      <c r="P217" s="13" t="s">
        <v>96</v>
      </c>
      <c r="Q217" s="13"/>
    </row>
    <row r="218" customFormat="false" ht="15" hidden="false" customHeight="false" outlineLevel="0" collapsed="false">
      <c r="A218" s="18" t="s">
        <v>172</v>
      </c>
      <c r="B218" s="18" t="s">
        <v>55</v>
      </c>
      <c r="C218" s="18" t="s">
        <v>51</v>
      </c>
      <c r="D218" s="26" t="n">
        <v>14</v>
      </c>
      <c r="E218" s="18" t="s">
        <v>73</v>
      </c>
      <c r="F218" s="18" t="s">
        <v>173</v>
      </c>
      <c r="G218" s="27"/>
      <c r="H218" s="19" t="n">
        <v>-135</v>
      </c>
      <c r="I218" s="21" t="n">
        <v>0.574543471827364</v>
      </c>
      <c r="J218" s="21" t="n">
        <v>0.554882091107112</v>
      </c>
      <c r="K218" s="21" t="n">
        <v>0.574468085106383</v>
      </c>
      <c r="L218" s="20" t="n">
        <v>7.53867209806192E-005</v>
      </c>
      <c r="M218" s="20" t="n">
        <v>0.000131228736521882</v>
      </c>
      <c r="N218" s="21" t="n">
        <v>0</v>
      </c>
      <c r="O218" s="28" t="n">
        <v>1</v>
      </c>
      <c r="P218" s="18" t="s">
        <v>96</v>
      </c>
      <c r="Q218" s="18"/>
    </row>
    <row r="219" customFormat="false" ht="15" hidden="false" customHeight="false" outlineLevel="0" collapsed="false">
      <c r="A219" s="13" t="s">
        <v>172</v>
      </c>
      <c r="B219" s="13" t="s">
        <v>97</v>
      </c>
      <c r="C219" s="13" t="s">
        <v>62</v>
      </c>
      <c r="D219" s="23" t="n">
        <v>10</v>
      </c>
      <c r="E219" s="13" t="s">
        <v>49</v>
      </c>
      <c r="F219" s="13" t="s">
        <v>249</v>
      </c>
      <c r="G219" s="24" t="n">
        <v>61</v>
      </c>
      <c r="H219" s="14" t="n">
        <v>-110</v>
      </c>
      <c r="I219" s="16" t="n">
        <v>0.522782896250126</v>
      </c>
      <c r="J219" s="16" t="n">
        <v>0.5</v>
      </c>
      <c r="K219" s="16" t="n">
        <v>0.523809523809524</v>
      </c>
      <c r="L219" s="15" t="n">
        <v>-0.00102662755939775</v>
      </c>
      <c r="M219" s="15" t="n">
        <v>-0.00188220725177546</v>
      </c>
      <c r="N219" s="16" t="n">
        <v>0.0397</v>
      </c>
      <c r="O219" s="25" t="n">
        <v>1</v>
      </c>
      <c r="P219" s="13" t="s">
        <v>96</v>
      </c>
      <c r="Q219" s="13"/>
    </row>
    <row r="220" customFormat="false" ht="15" hidden="false" customHeight="false" outlineLevel="0" collapsed="false">
      <c r="A220" s="18" t="s">
        <v>172</v>
      </c>
      <c r="B220" s="18" t="s">
        <v>291</v>
      </c>
      <c r="C220" s="18" t="s">
        <v>47</v>
      </c>
      <c r="D220" s="26" t="n">
        <v>14</v>
      </c>
      <c r="E220" s="18" t="s">
        <v>73</v>
      </c>
      <c r="F220" s="18" t="s">
        <v>290</v>
      </c>
      <c r="G220" s="27"/>
      <c r="H220" s="19" t="n">
        <v>-105</v>
      </c>
      <c r="I220" s="21" t="n">
        <v>0.511011146447293</v>
      </c>
      <c r="J220" s="21" t="n">
        <v>0.494394618834081</v>
      </c>
      <c r="K220" s="21" t="n">
        <v>0.51219512195122</v>
      </c>
      <c r="L220" s="20" t="n">
        <v>-0.0011839755039269</v>
      </c>
      <c r="M220" s="20" t="n">
        <v>-0.00231157122195252</v>
      </c>
      <c r="N220" s="21" t="n">
        <v>0</v>
      </c>
      <c r="O220" s="28" t="n">
        <v>1</v>
      </c>
      <c r="P220" s="18" t="s">
        <v>96</v>
      </c>
      <c r="Q220" s="18"/>
    </row>
    <row r="221" customFormat="false" ht="15" hidden="false" customHeight="false" outlineLevel="0" collapsed="false">
      <c r="A221" s="13" t="s">
        <v>172</v>
      </c>
      <c r="B221" s="13" t="s">
        <v>81</v>
      </c>
      <c r="C221" s="13" t="s">
        <v>47</v>
      </c>
      <c r="D221" s="23" t="n">
        <v>14</v>
      </c>
      <c r="E221" s="13" t="s">
        <v>49</v>
      </c>
      <c r="F221" s="13" t="s">
        <v>235</v>
      </c>
      <c r="G221" s="24" t="n">
        <v>53.5</v>
      </c>
      <c r="H221" s="14" t="n">
        <v>-110</v>
      </c>
      <c r="I221" s="16" t="n">
        <v>0.521906756298763</v>
      </c>
      <c r="J221" s="16" t="n">
        <v>0.5</v>
      </c>
      <c r="K221" s="16" t="n">
        <v>0.523809523809524</v>
      </c>
      <c r="L221" s="15" t="n">
        <v>-0.00190276751076135</v>
      </c>
      <c r="M221" s="15" t="n">
        <v>-0.00363255615690794</v>
      </c>
      <c r="N221" s="16" t="n">
        <v>0</v>
      </c>
      <c r="O221" s="25" t="n">
        <v>1</v>
      </c>
      <c r="P221" s="13" t="s">
        <v>96</v>
      </c>
      <c r="Q221" s="13"/>
    </row>
    <row r="222" customFormat="false" ht="15" hidden="false" customHeight="false" outlineLevel="0" collapsed="false">
      <c r="A222" s="18" t="s">
        <v>172</v>
      </c>
      <c r="B222" s="18" t="s">
        <v>279</v>
      </c>
      <c r="C222" s="18" t="s">
        <v>75</v>
      </c>
      <c r="D222" s="26" t="n">
        <v>13</v>
      </c>
      <c r="E222" s="18" t="s">
        <v>45</v>
      </c>
      <c r="F222" s="18" t="s">
        <v>300</v>
      </c>
      <c r="G222" s="27" t="n">
        <v>-1.5</v>
      </c>
      <c r="H222" s="19" t="n">
        <v>-110</v>
      </c>
      <c r="I222" s="21" t="n">
        <v>0.520920948874522</v>
      </c>
      <c r="J222" s="21" t="n">
        <v>0.5</v>
      </c>
      <c r="K222" s="21" t="n">
        <v>0.523809523809524</v>
      </c>
      <c r="L222" s="20" t="n">
        <v>-0.00288857493500228</v>
      </c>
      <c r="M222" s="20" t="n">
        <v>-0.00551455214864061</v>
      </c>
      <c r="N222" s="21" t="n">
        <v>0</v>
      </c>
      <c r="O222" s="28" t="n">
        <v>1</v>
      </c>
      <c r="P222" s="18" t="s">
        <v>96</v>
      </c>
      <c r="Q222" s="18"/>
    </row>
    <row r="223" customFormat="false" ht="15" hidden="false" customHeight="false" outlineLevel="0" collapsed="false">
      <c r="A223" s="13" t="s">
        <v>172</v>
      </c>
      <c r="B223" s="13" t="s">
        <v>284</v>
      </c>
      <c r="C223" s="13" t="s">
        <v>145</v>
      </c>
      <c r="D223" s="23" t="n">
        <v>12</v>
      </c>
      <c r="E223" s="13" t="s">
        <v>73</v>
      </c>
      <c r="F223" s="13" t="s">
        <v>176</v>
      </c>
      <c r="G223" s="24"/>
      <c r="H223" s="14" t="n">
        <v>132</v>
      </c>
      <c r="I223" s="16" t="n">
        <v>0.427228581439564</v>
      </c>
      <c r="J223" s="16" t="n">
        <v>0.416145799065728</v>
      </c>
      <c r="K223" s="16" t="n">
        <v>0.431034482758621</v>
      </c>
      <c r="L223" s="15" t="n">
        <v>-0.00380590131905634</v>
      </c>
      <c r="M223" s="15" t="n">
        <v>-0.0088296910602107</v>
      </c>
      <c r="N223" s="16" t="n">
        <v>0</v>
      </c>
      <c r="O223" s="25" t="n">
        <v>1</v>
      </c>
      <c r="P223" s="13" t="s">
        <v>96</v>
      </c>
      <c r="Q223" s="13"/>
    </row>
    <row r="224" customFormat="false" ht="15" hidden="false" customHeight="false" outlineLevel="0" collapsed="false">
      <c r="A224" s="18" t="s">
        <v>172</v>
      </c>
      <c r="B224" s="18" t="s">
        <v>238</v>
      </c>
      <c r="C224" s="18" t="s">
        <v>62</v>
      </c>
      <c r="D224" s="26" t="n">
        <v>10</v>
      </c>
      <c r="E224" s="18" t="s">
        <v>49</v>
      </c>
      <c r="F224" s="18" t="s">
        <v>292</v>
      </c>
      <c r="G224" s="27" t="n">
        <v>55.5</v>
      </c>
      <c r="H224" s="19" t="n">
        <v>-110</v>
      </c>
      <c r="I224" s="21" t="n">
        <v>0.517935654415041</v>
      </c>
      <c r="J224" s="21" t="n">
        <v>0.5</v>
      </c>
      <c r="K224" s="21" t="n">
        <v>0.523809523809524</v>
      </c>
      <c r="L224" s="20" t="n">
        <v>-0.00587386939448298</v>
      </c>
      <c r="M224" s="20" t="n">
        <v>-0.0112137506621947</v>
      </c>
      <c r="N224" s="21" t="n">
        <v>0</v>
      </c>
      <c r="O224" s="28" t="n">
        <v>1</v>
      </c>
      <c r="P224" s="18" t="s">
        <v>96</v>
      </c>
      <c r="Q224" s="18"/>
    </row>
    <row r="225" customFormat="false" ht="15" hidden="false" customHeight="false" outlineLevel="0" collapsed="false">
      <c r="A225" s="13" t="s">
        <v>172</v>
      </c>
      <c r="B225" s="13" t="s">
        <v>226</v>
      </c>
      <c r="C225" s="13" t="s">
        <v>114</v>
      </c>
      <c r="D225" s="23" t="n">
        <v>13</v>
      </c>
      <c r="E225" s="13" t="s">
        <v>49</v>
      </c>
      <c r="F225" s="13" t="s">
        <v>250</v>
      </c>
      <c r="G225" s="24" t="n">
        <v>60</v>
      </c>
      <c r="H225" s="14" t="n">
        <v>-110</v>
      </c>
      <c r="I225" s="16" t="n">
        <v>0.516587036393218</v>
      </c>
      <c r="J225" s="16" t="n">
        <v>0.5</v>
      </c>
      <c r="K225" s="16" t="n">
        <v>0.523809523809524</v>
      </c>
      <c r="L225" s="15" t="n">
        <v>-0.00722248741630627</v>
      </c>
      <c r="M225" s="15" t="n">
        <v>-0.0132400655216025</v>
      </c>
      <c r="N225" s="16" t="n">
        <v>0.0398</v>
      </c>
      <c r="O225" s="25" t="n">
        <v>1</v>
      </c>
      <c r="P225" s="13" t="s">
        <v>96</v>
      </c>
      <c r="Q225" s="13"/>
    </row>
    <row r="226" customFormat="false" ht="15" hidden="false" customHeight="false" outlineLevel="0" collapsed="false">
      <c r="A226" s="18" t="s">
        <v>172</v>
      </c>
      <c r="B226" s="18" t="s">
        <v>157</v>
      </c>
      <c r="C226" s="18" t="s">
        <v>75</v>
      </c>
      <c r="D226" s="26" t="n">
        <v>13</v>
      </c>
      <c r="E226" s="18" t="s">
        <v>49</v>
      </c>
      <c r="F226" s="18" t="s">
        <v>293</v>
      </c>
      <c r="G226" s="27" t="n">
        <v>58</v>
      </c>
      <c r="H226" s="19" t="n">
        <v>-110</v>
      </c>
      <c r="I226" s="21" t="n">
        <v>0.516587035727166</v>
      </c>
      <c r="J226" s="21" t="n">
        <v>0.5</v>
      </c>
      <c r="K226" s="21" t="n">
        <v>0.523809523809524</v>
      </c>
      <c r="L226" s="20" t="n">
        <v>-0.00722248808235804</v>
      </c>
      <c r="M226" s="20" t="n">
        <v>-0.0132400667410887</v>
      </c>
      <c r="N226" s="21" t="n">
        <v>0.0398</v>
      </c>
      <c r="O226" s="28" t="n">
        <v>1</v>
      </c>
      <c r="P226" s="18" t="s">
        <v>96</v>
      </c>
      <c r="Q226" s="18"/>
    </row>
    <row r="227" customFormat="false" ht="15" hidden="false" customHeight="false" outlineLevel="0" collapsed="false">
      <c r="A227" s="13" t="s">
        <v>172</v>
      </c>
      <c r="B227" s="13" t="s">
        <v>108</v>
      </c>
      <c r="C227" s="13" t="s">
        <v>109</v>
      </c>
      <c r="D227" s="23" t="n">
        <v>12</v>
      </c>
      <c r="E227" s="13" t="s">
        <v>49</v>
      </c>
      <c r="F227" s="13" t="s">
        <v>301</v>
      </c>
      <c r="G227" s="24" t="n">
        <v>54</v>
      </c>
      <c r="H227" s="14" t="n">
        <v>-110</v>
      </c>
      <c r="I227" s="16" t="n">
        <v>0.516587027225155</v>
      </c>
      <c r="J227" s="16" t="n">
        <v>0.5</v>
      </c>
      <c r="K227" s="16" t="n">
        <v>0.523809523809524</v>
      </c>
      <c r="L227" s="15" t="n">
        <v>-0.00722249658436913</v>
      </c>
      <c r="M227" s="15" t="n">
        <v>-0.0132400823075639</v>
      </c>
      <c r="N227" s="16" t="n">
        <v>0.0398</v>
      </c>
      <c r="O227" s="25" t="n">
        <v>1</v>
      </c>
      <c r="P227" s="13" t="s">
        <v>96</v>
      </c>
      <c r="Q227" s="13"/>
    </row>
    <row r="228" customFormat="false" ht="15" hidden="false" customHeight="false" outlineLevel="0" collapsed="false">
      <c r="A228" s="18" t="s">
        <v>172</v>
      </c>
      <c r="B228" s="18" t="s">
        <v>302</v>
      </c>
      <c r="C228" s="18" t="s">
        <v>109</v>
      </c>
      <c r="D228" s="26" t="n">
        <v>12</v>
      </c>
      <c r="E228" s="18" t="s">
        <v>73</v>
      </c>
      <c r="F228" s="18" t="s">
        <v>299</v>
      </c>
      <c r="G228" s="27"/>
      <c r="H228" s="19" t="n">
        <v>128</v>
      </c>
      <c r="I228" s="21" t="n">
        <v>0.43096218641613</v>
      </c>
      <c r="J228" s="21" t="n">
        <v>0.423613009018858</v>
      </c>
      <c r="K228" s="21" t="n">
        <v>0.43859649122807</v>
      </c>
      <c r="L228" s="20" t="n">
        <v>-0.00763430481194066</v>
      </c>
      <c r="M228" s="20" t="n">
        <v>-0.0174062149712246</v>
      </c>
      <c r="N228" s="21" t="n">
        <v>0</v>
      </c>
      <c r="O228" s="28" t="n">
        <v>1</v>
      </c>
      <c r="P228" s="18" t="s">
        <v>96</v>
      </c>
      <c r="Q228" s="18"/>
    </row>
    <row r="229" customFormat="false" ht="15" hidden="false" customHeight="false" outlineLevel="0" collapsed="false">
      <c r="A229" s="13" t="s">
        <v>172</v>
      </c>
      <c r="B229" s="13" t="s">
        <v>296</v>
      </c>
      <c r="C229" s="13" t="s">
        <v>102</v>
      </c>
      <c r="D229" s="23" t="n">
        <v>13</v>
      </c>
      <c r="E229" s="13" t="s">
        <v>49</v>
      </c>
      <c r="F229" s="13" t="s">
        <v>303</v>
      </c>
      <c r="G229" s="24" t="n">
        <v>59.5</v>
      </c>
      <c r="H229" s="14" t="n">
        <v>-110</v>
      </c>
      <c r="I229" s="16" t="n">
        <v>0.515947319225689</v>
      </c>
      <c r="J229" s="16" t="n">
        <v>0.5</v>
      </c>
      <c r="K229" s="16" t="n">
        <v>0.523809523809524</v>
      </c>
      <c r="L229" s="15" t="n">
        <v>-0.00786220458383535</v>
      </c>
      <c r="M229" s="15" t="n">
        <v>-0.0150096632964129</v>
      </c>
      <c r="N229" s="16" t="n">
        <v>0</v>
      </c>
      <c r="O229" s="25" t="n">
        <v>1</v>
      </c>
      <c r="P229" s="13" t="s">
        <v>96</v>
      </c>
      <c r="Q229" s="13"/>
    </row>
    <row r="230" customFormat="false" ht="15" hidden="false" customHeight="false" outlineLevel="0" collapsed="false">
      <c r="A230" s="18" t="s">
        <v>172</v>
      </c>
      <c r="B230" s="18" t="s">
        <v>272</v>
      </c>
      <c r="C230" s="18" t="s">
        <v>47</v>
      </c>
      <c r="D230" s="26" t="n">
        <v>14</v>
      </c>
      <c r="E230" s="18" t="s">
        <v>49</v>
      </c>
      <c r="F230" s="18" t="s">
        <v>240</v>
      </c>
      <c r="G230" s="27" t="n">
        <v>52</v>
      </c>
      <c r="H230" s="19" t="n">
        <v>-110</v>
      </c>
      <c r="I230" s="21" t="n">
        <v>0.512446807730054</v>
      </c>
      <c r="J230" s="21" t="n">
        <v>0.5</v>
      </c>
      <c r="K230" s="21" t="n">
        <v>0.523809523809524</v>
      </c>
      <c r="L230" s="20" t="n">
        <v>-0.0113627160794698</v>
      </c>
      <c r="M230" s="20" t="n">
        <v>-0.020828610383959</v>
      </c>
      <c r="N230" s="21" t="n">
        <v>0.0398</v>
      </c>
      <c r="O230" s="28" t="n">
        <v>1</v>
      </c>
      <c r="P230" s="18" t="s">
        <v>96</v>
      </c>
      <c r="Q230" s="18"/>
    </row>
    <row r="231" customFormat="false" ht="15" hidden="false" customHeight="false" outlineLevel="0" collapsed="false">
      <c r="A231" s="13" t="s">
        <v>172</v>
      </c>
      <c r="B231" s="13" t="s">
        <v>161</v>
      </c>
      <c r="C231" s="13" t="s">
        <v>76</v>
      </c>
      <c r="D231" s="23" t="n">
        <v>14</v>
      </c>
      <c r="E231" s="13" t="s">
        <v>73</v>
      </c>
      <c r="F231" s="13" t="s">
        <v>156</v>
      </c>
      <c r="G231" s="24"/>
      <c r="H231" s="14" t="n">
        <v>116</v>
      </c>
      <c r="I231" s="16" t="n">
        <v>0.451211712995714</v>
      </c>
      <c r="J231" s="16" t="n">
        <v>0.447835780733451</v>
      </c>
      <c r="K231" s="16" t="n">
        <v>0.462962962962963</v>
      </c>
      <c r="L231" s="15" t="n">
        <v>-0.011751249967249</v>
      </c>
      <c r="M231" s="15" t="n">
        <v>-0.0253826999292578</v>
      </c>
      <c r="N231" s="16" t="n">
        <v>0</v>
      </c>
      <c r="O231" s="25" t="n">
        <v>1</v>
      </c>
      <c r="P231" s="13" t="s">
        <v>96</v>
      </c>
      <c r="Q231" s="13"/>
    </row>
    <row r="232" customFormat="false" ht="15" hidden="false" customHeight="false" outlineLevel="0" collapsed="false">
      <c r="A232" s="18" t="s">
        <v>172</v>
      </c>
      <c r="B232" s="18" t="s">
        <v>248</v>
      </c>
      <c r="C232" s="18" t="s">
        <v>47</v>
      </c>
      <c r="D232" s="26" t="n">
        <v>14</v>
      </c>
      <c r="E232" s="18" t="s">
        <v>73</v>
      </c>
      <c r="F232" s="18" t="s">
        <v>207</v>
      </c>
      <c r="G232" s="27"/>
      <c r="H232" s="19" t="n">
        <v>129</v>
      </c>
      <c r="I232" s="21" t="n">
        <v>0.424556599768704</v>
      </c>
      <c r="J232" s="21" t="n">
        <v>0.42188373629725</v>
      </c>
      <c r="K232" s="21" t="n">
        <v>0.436681222707424</v>
      </c>
      <c r="L232" s="20" t="n">
        <v>-0.0121246229387192</v>
      </c>
      <c r="M232" s="20" t="n">
        <v>-0.0277653865296669</v>
      </c>
      <c r="N232" s="21" t="n">
        <v>0</v>
      </c>
      <c r="O232" s="28" t="n">
        <v>1</v>
      </c>
      <c r="P232" s="18" t="s">
        <v>96</v>
      </c>
      <c r="Q232" s="18"/>
    </row>
    <row r="233" customFormat="false" ht="15" hidden="false" customHeight="false" outlineLevel="0" collapsed="false">
      <c r="A233" s="13" t="s">
        <v>172</v>
      </c>
      <c r="B233" s="13" t="s">
        <v>248</v>
      </c>
      <c r="C233" s="13" t="s">
        <v>47</v>
      </c>
      <c r="D233" s="23" t="n">
        <v>14</v>
      </c>
      <c r="E233" s="13" t="s">
        <v>45</v>
      </c>
      <c r="F233" s="13" t="s">
        <v>304</v>
      </c>
      <c r="G233" s="24" t="n">
        <v>-2</v>
      </c>
      <c r="H233" s="14" t="n">
        <v>-110</v>
      </c>
      <c r="I233" s="16" t="n">
        <v>0.511560531707657</v>
      </c>
      <c r="J233" s="16" t="n">
        <v>0.5</v>
      </c>
      <c r="K233" s="16" t="n">
        <v>0.523809523809524</v>
      </c>
      <c r="L233" s="15" t="n">
        <v>-0.012248992101867</v>
      </c>
      <c r="M233" s="15" t="n">
        <v>-0.0227474140386084</v>
      </c>
      <c r="N233" s="16" t="n">
        <v>0.0272</v>
      </c>
      <c r="O233" s="25" t="n">
        <v>1</v>
      </c>
      <c r="P233" s="13" t="s">
        <v>96</v>
      </c>
      <c r="Q233" s="13"/>
    </row>
    <row r="234" customFormat="false" ht="15" hidden="false" customHeight="false" outlineLevel="0" collapsed="false">
      <c r="A234" s="18" t="s">
        <v>172</v>
      </c>
      <c r="B234" s="18" t="s">
        <v>296</v>
      </c>
      <c r="C234" s="18" t="s">
        <v>102</v>
      </c>
      <c r="D234" s="26" t="n">
        <v>13</v>
      </c>
      <c r="E234" s="18" t="s">
        <v>73</v>
      </c>
      <c r="F234" s="18" t="s">
        <v>200</v>
      </c>
      <c r="G234" s="27"/>
      <c r="H234" s="19" t="n">
        <v>-164</v>
      </c>
      <c r="I234" s="21" t="n">
        <v>0.608563685893543</v>
      </c>
      <c r="J234" s="21" t="n">
        <v>0.599538862933075</v>
      </c>
      <c r="K234" s="21" t="n">
        <v>0.621212121212121</v>
      </c>
      <c r="L234" s="20" t="n">
        <v>-0.0126484353185785</v>
      </c>
      <c r="M234" s="20" t="n">
        <v>-0.0203608958786873</v>
      </c>
      <c r="N234" s="21" t="n">
        <v>0</v>
      </c>
      <c r="O234" s="28" t="n">
        <v>1</v>
      </c>
      <c r="P234" s="18" t="s">
        <v>96</v>
      </c>
      <c r="Q234" s="18"/>
    </row>
    <row r="235" customFormat="false" ht="15" hidden="false" customHeight="false" outlineLevel="0" collapsed="false">
      <c r="A235" s="13" t="s">
        <v>172</v>
      </c>
      <c r="B235" s="13" t="s">
        <v>104</v>
      </c>
      <c r="C235" s="13" t="s">
        <v>65</v>
      </c>
      <c r="D235" s="23" t="n">
        <v>11</v>
      </c>
      <c r="E235" s="13" t="s">
        <v>49</v>
      </c>
      <c r="F235" s="13" t="s">
        <v>198</v>
      </c>
      <c r="G235" s="24" t="n">
        <v>54</v>
      </c>
      <c r="H235" s="14" t="n">
        <v>-110</v>
      </c>
      <c r="I235" s="16" t="n">
        <v>0.510374467059175</v>
      </c>
      <c r="J235" s="16" t="n">
        <v>0.5</v>
      </c>
      <c r="K235" s="16" t="n">
        <v>0.523809523809524</v>
      </c>
      <c r="L235" s="15" t="n">
        <v>-0.0134350567503491</v>
      </c>
      <c r="M235" s="15" t="n">
        <v>-0.0246267860628592</v>
      </c>
      <c r="N235" s="16" t="n">
        <v>0.0398</v>
      </c>
      <c r="O235" s="25" t="n">
        <v>1</v>
      </c>
      <c r="P235" s="13" t="s">
        <v>96</v>
      </c>
      <c r="Q235" s="13"/>
    </row>
    <row r="236" customFormat="false" ht="15" hidden="false" customHeight="false" outlineLevel="0" collapsed="false">
      <c r="A236" s="18" t="s">
        <v>172</v>
      </c>
      <c r="B236" s="18" t="s">
        <v>268</v>
      </c>
      <c r="C236" s="18" t="s">
        <v>76</v>
      </c>
      <c r="D236" s="26" t="n">
        <v>14</v>
      </c>
      <c r="E236" s="18" t="s">
        <v>49</v>
      </c>
      <c r="F236" s="18" t="s">
        <v>293</v>
      </c>
      <c r="G236" s="27" t="n">
        <v>58</v>
      </c>
      <c r="H236" s="19" t="n">
        <v>-110</v>
      </c>
      <c r="I236" s="21" t="n">
        <v>0.508300966463874</v>
      </c>
      <c r="J236" s="21" t="n">
        <v>0.5</v>
      </c>
      <c r="K236" s="21" t="n">
        <v>0.523809523809524</v>
      </c>
      <c r="L236" s="20" t="n">
        <v>-0.0155085573456504</v>
      </c>
      <c r="M236" s="20" t="n">
        <v>-0.0284270321695168</v>
      </c>
      <c r="N236" s="21" t="n">
        <v>0.0399</v>
      </c>
      <c r="O236" s="28" t="n">
        <v>1</v>
      </c>
      <c r="P236" s="18" t="s">
        <v>96</v>
      </c>
      <c r="Q236" s="18"/>
    </row>
    <row r="237" customFormat="false" ht="15" hidden="false" customHeight="false" outlineLevel="0" collapsed="false">
      <c r="A237" s="13" t="s">
        <v>172</v>
      </c>
      <c r="B237" s="13" t="s">
        <v>302</v>
      </c>
      <c r="C237" s="13" t="s">
        <v>109</v>
      </c>
      <c r="D237" s="23" t="n">
        <v>12</v>
      </c>
      <c r="E237" s="13" t="s">
        <v>49</v>
      </c>
      <c r="F237" s="13" t="s">
        <v>305</v>
      </c>
      <c r="G237" s="24" t="n">
        <v>57</v>
      </c>
      <c r="H237" s="14" t="n">
        <v>-110</v>
      </c>
      <c r="I237" s="16" t="n">
        <v>0.508300965836599</v>
      </c>
      <c r="J237" s="16" t="n">
        <v>0.5</v>
      </c>
      <c r="K237" s="16" t="n">
        <v>0.523809523809524</v>
      </c>
      <c r="L237" s="15" t="n">
        <v>-0.0155085579729254</v>
      </c>
      <c r="M237" s="15" t="n">
        <v>-0.028427033316365</v>
      </c>
      <c r="N237" s="16" t="n">
        <v>0.0399</v>
      </c>
      <c r="O237" s="25" t="n">
        <v>1</v>
      </c>
      <c r="P237" s="13" t="s">
        <v>96</v>
      </c>
      <c r="Q237" s="13"/>
    </row>
    <row r="238" customFormat="false" ht="15" hidden="false" customHeight="false" outlineLevel="0" collapsed="false">
      <c r="A238" s="18" t="s">
        <v>172</v>
      </c>
      <c r="B238" s="18" t="s">
        <v>127</v>
      </c>
      <c r="C238" s="18" t="s">
        <v>65</v>
      </c>
      <c r="D238" s="26" t="n">
        <v>11</v>
      </c>
      <c r="E238" s="18" t="s">
        <v>73</v>
      </c>
      <c r="F238" s="18" t="s">
        <v>195</v>
      </c>
      <c r="G238" s="27"/>
      <c r="H238" s="19" t="n">
        <v>-118</v>
      </c>
      <c r="I238" s="21" t="n">
        <v>0.524864825138732</v>
      </c>
      <c r="J238" s="21" t="n">
        <v>0.523538925558421</v>
      </c>
      <c r="K238" s="21" t="n">
        <v>0.541284403669725</v>
      </c>
      <c r="L238" s="20" t="n">
        <v>-0.016419578530993</v>
      </c>
      <c r="M238" s="20" t="n">
        <v>-0.0303344755911565</v>
      </c>
      <c r="N238" s="21" t="n">
        <v>0</v>
      </c>
      <c r="O238" s="28" t="n">
        <v>1</v>
      </c>
      <c r="P238" s="18" t="s">
        <v>96</v>
      </c>
      <c r="Q238" s="18"/>
    </row>
    <row r="239" customFormat="false" ht="15" hidden="false" customHeight="false" outlineLevel="0" collapsed="false">
      <c r="A239" s="13" t="s">
        <v>172</v>
      </c>
      <c r="B239" s="13" t="s">
        <v>127</v>
      </c>
      <c r="C239" s="13" t="s">
        <v>65</v>
      </c>
      <c r="D239" s="23" t="n">
        <v>11</v>
      </c>
      <c r="E239" s="13" t="s">
        <v>73</v>
      </c>
      <c r="F239" s="13" t="s">
        <v>194</v>
      </c>
      <c r="G239" s="24"/>
      <c r="H239" s="14" t="n">
        <v>103</v>
      </c>
      <c r="I239" s="16" t="n">
        <v>0.475135174861268</v>
      </c>
      <c r="J239" s="16" t="n">
        <v>0.476461074441579</v>
      </c>
      <c r="K239" s="16" t="n">
        <v>0.492610837438424</v>
      </c>
      <c r="L239" s="15" t="n">
        <v>-0.0174756625771554</v>
      </c>
      <c r="M239" s="15" t="n">
        <v>-0.0354755950316254</v>
      </c>
      <c r="N239" s="16" t="n">
        <v>0</v>
      </c>
      <c r="O239" s="25" t="n">
        <v>1</v>
      </c>
      <c r="P239" s="13" t="s">
        <v>96</v>
      </c>
      <c r="Q239" s="13"/>
    </row>
    <row r="240" customFormat="false" ht="15" hidden="false" customHeight="false" outlineLevel="0" collapsed="false">
      <c r="A240" s="18" t="s">
        <v>172</v>
      </c>
      <c r="B240" s="18" t="s">
        <v>275</v>
      </c>
      <c r="C240" s="18" t="s">
        <v>114</v>
      </c>
      <c r="D240" s="26" t="n">
        <v>13</v>
      </c>
      <c r="E240" s="18" t="s">
        <v>49</v>
      </c>
      <c r="F240" s="18" t="s">
        <v>305</v>
      </c>
      <c r="G240" s="27" t="n">
        <v>57</v>
      </c>
      <c r="H240" s="19" t="n">
        <v>-110</v>
      </c>
      <c r="I240" s="21" t="n">
        <v>0.506226539633144</v>
      </c>
      <c r="J240" s="21" t="n">
        <v>0.5</v>
      </c>
      <c r="K240" s="21" t="n">
        <v>0.523809523809524</v>
      </c>
      <c r="L240" s="20" t="n">
        <v>-0.0175829841763803</v>
      </c>
      <c r="M240" s="20" t="n">
        <v>-0.0322289676128088</v>
      </c>
      <c r="N240" s="21" t="n">
        <v>0.0399</v>
      </c>
      <c r="O240" s="28" t="n">
        <v>1</v>
      </c>
      <c r="P240" s="18" t="s">
        <v>96</v>
      </c>
      <c r="Q240" s="18"/>
    </row>
    <row r="241" customFormat="false" ht="15" hidden="false" customHeight="false" outlineLevel="0" collapsed="false">
      <c r="A241" s="13" t="s">
        <v>172</v>
      </c>
      <c r="B241" s="13" t="s">
        <v>266</v>
      </c>
      <c r="C241" s="13" t="s">
        <v>114</v>
      </c>
      <c r="D241" s="23" t="n">
        <v>13</v>
      </c>
      <c r="E241" s="13" t="s">
        <v>45</v>
      </c>
      <c r="F241" s="13" t="s">
        <v>306</v>
      </c>
      <c r="G241" s="24" t="n">
        <v>-3.5</v>
      </c>
      <c r="H241" s="14" t="n">
        <v>-110</v>
      </c>
      <c r="I241" s="16" t="n">
        <v>0.506203639484226</v>
      </c>
      <c r="J241" s="16" t="n">
        <v>0.5</v>
      </c>
      <c r="K241" s="16" t="n">
        <v>0.523809523809524</v>
      </c>
      <c r="L241" s="15" t="n">
        <v>-0.0176058843252975</v>
      </c>
      <c r="M241" s="15" t="n">
        <v>-0.0336112337119315</v>
      </c>
      <c r="N241" s="16" t="n">
        <v>0</v>
      </c>
      <c r="O241" s="25" t="n">
        <v>1</v>
      </c>
      <c r="P241" s="13" t="s">
        <v>96</v>
      </c>
      <c r="Q241" s="13"/>
    </row>
    <row r="242" customFormat="false" ht="15" hidden="false" customHeight="false" outlineLevel="0" collapsed="false">
      <c r="A242" s="18" t="s">
        <v>172</v>
      </c>
      <c r="B242" s="18" t="s">
        <v>119</v>
      </c>
      <c r="C242" s="18" t="s">
        <v>109</v>
      </c>
      <c r="D242" s="26" t="n">
        <v>12</v>
      </c>
      <c r="E242" s="18" t="s">
        <v>49</v>
      </c>
      <c r="F242" s="18" t="s">
        <v>307</v>
      </c>
      <c r="G242" s="27" t="n">
        <v>58.5</v>
      </c>
      <c r="H242" s="19" t="n">
        <v>-110</v>
      </c>
      <c r="I242" s="21" t="n">
        <v>0.503990820644048</v>
      </c>
      <c r="J242" s="21" t="n">
        <v>0.5</v>
      </c>
      <c r="K242" s="21" t="n">
        <v>0.523809523809524</v>
      </c>
      <c r="L242" s="20" t="n">
        <v>-0.0198187031654756</v>
      </c>
      <c r="M242" s="20" t="n">
        <v>-0.0378357060431807</v>
      </c>
      <c r="N242" s="21" t="n">
        <v>0</v>
      </c>
      <c r="O242" s="28" t="n">
        <v>1</v>
      </c>
      <c r="P242" s="18" t="s">
        <v>96</v>
      </c>
      <c r="Q242" s="18"/>
    </row>
    <row r="243" customFormat="false" ht="15" hidden="false" customHeight="false" outlineLevel="0" collapsed="false">
      <c r="A243" s="13" t="s">
        <v>172</v>
      </c>
      <c r="B243" s="13" t="s">
        <v>251</v>
      </c>
      <c r="C243" s="13" t="s">
        <v>76</v>
      </c>
      <c r="D243" s="23" t="n">
        <v>14</v>
      </c>
      <c r="E243" s="13" t="s">
        <v>45</v>
      </c>
      <c r="F243" s="13" t="s">
        <v>308</v>
      </c>
      <c r="G243" s="24" t="n">
        <v>-3.5</v>
      </c>
      <c r="H243" s="14" t="n">
        <v>-110</v>
      </c>
      <c r="I243" s="16" t="n">
        <v>0.503181074382892</v>
      </c>
      <c r="J243" s="16" t="n">
        <v>0.5</v>
      </c>
      <c r="K243" s="16" t="n">
        <v>0.523809523809524</v>
      </c>
      <c r="L243" s="15" t="n">
        <v>-0.0206284494266315</v>
      </c>
      <c r="M243" s="15" t="n">
        <v>-0.0393815852690236</v>
      </c>
      <c r="N243" s="16" t="n">
        <v>0</v>
      </c>
      <c r="O243" s="25" t="n">
        <v>1</v>
      </c>
      <c r="P243" s="13" t="s">
        <v>96</v>
      </c>
      <c r="Q243" s="13"/>
    </row>
    <row r="244" customFormat="false" ht="15" hidden="false" customHeight="false" outlineLevel="0" collapsed="false">
      <c r="A244" s="18" t="s">
        <v>172</v>
      </c>
      <c r="B244" s="18" t="s">
        <v>268</v>
      </c>
      <c r="C244" s="18" t="s">
        <v>76</v>
      </c>
      <c r="D244" s="26" t="n">
        <v>14</v>
      </c>
      <c r="E244" s="18" t="s">
        <v>45</v>
      </c>
      <c r="F244" s="18" t="s">
        <v>309</v>
      </c>
      <c r="G244" s="27" t="n">
        <v>-0.5</v>
      </c>
      <c r="H244" s="19" t="n">
        <v>-110</v>
      </c>
      <c r="I244" s="21" t="n">
        <v>0.502843111573085</v>
      </c>
      <c r="J244" s="21" t="n">
        <v>0.5</v>
      </c>
      <c r="K244" s="21" t="n">
        <v>0.523809523809524</v>
      </c>
      <c r="L244" s="20" t="n">
        <v>-0.0209664122364389</v>
      </c>
      <c r="M244" s="20" t="n">
        <v>-0.0400267869968378</v>
      </c>
      <c r="N244" s="21" t="n">
        <v>0</v>
      </c>
      <c r="O244" s="28" t="n">
        <v>1</v>
      </c>
      <c r="P244" s="18" t="s">
        <v>96</v>
      </c>
      <c r="Q244" s="18"/>
    </row>
    <row r="245" customFormat="false" ht="15" hidden="false" customHeight="false" outlineLevel="0" collapsed="false">
      <c r="A245" s="13" t="s">
        <v>172</v>
      </c>
      <c r="B245" s="13" t="s">
        <v>161</v>
      </c>
      <c r="C245" s="13" t="s">
        <v>76</v>
      </c>
      <c r="D245" s="23" t="n">
        <v>14</v>
      </c>
      <c r="E245" s="13" t="s">
        <v>73</v>
      </c>
      <c r="F245" s="13" t="s">
        <v>176</v>
      </c>
      <c r="G245" s="24"/>
      <c r="H245" s="14" t="n">
        <v>-133</v>
      </c>
      <c r="I245" s="16" t="n">
        <v>0.548788287004286</v>
      </c>
      <c r="J245" s="16" t="n">
        <v>0.552164219266549</v>
      </c>
      <c r="K245" s="16" t="n">
        <v>0.570815450643777</v>
      </c>
      <c r="L245" s="15" t="n">
        <v>-0.0220271636394908</v>
      </c>
      <c r="M245" s="15" t="n">
        <v>-0.0385889408120402</v>
      </c>
      <c r="N245" s="16" t="n">
        <v>0</v>
      </c>
      <c r="O245" s="25" t="n">
        <v>1</v>
      </c>
      <c r="P245" s="13" t="s">
        <v>96</v>
      </c>
      <c r="Q245" s="13"/>
    </row>
    <row r="246" customFormat="false" ht="15" hidden="false" customHeight="false" outlineLevel="0" collapsed="false">
      <c r="A246" s="18" t="s">
        <v>172</v>
      </c>
      <c r="B246" s="18" t="s">
        <v>302</v>
      </c>
      <c r="C246" s="18" t="s">
        <v>109</v>
      </c>
      <c r="D246" s="26" t="n">
        <v>12</v>
      </c>
      <c r="E246" s="18" t="s">
        <v>45</v>
      </c>
      <c r="F246" s="18" t="s">
        <v>310</v>
      </c>
      <c r="G246" s="27" t="n">
        <v>2.5</v>
      </c>
      <c r="H246" s="19" t="n">
        <v>-110</v>
      </c>
      <c r="I246" s="21" t="n">
        <v>0.501163231359916</v>
      </c>
      <c r="J246" s="21" t="n">
        <v>0.5</v>
      </c>
      <c r="K246" s="21" t="n">
        <v>0.523809523809524</v>
      </c>
      <c r="L246" s="20" t="n">
        <v>-0.0226462924496081</v>
      </c>
      <c r="M246" s="20" t="n">
        <v>-0.0432338310401609</v>
      </c>
      <c r="N246" s="21" t="n">
        <v>0</v>
      </c>
      <c r="O246" s="28" t="n">
        <v>1</v>
      </c>
      <c r="P246" s="18" t="s">
        <v>96</v>
      </c>
      <c r="Q246" s="18"/>
    </row>
    <row r="247" customFormat="false" ht="15" hidden="false" customHeight="false" outlineLevel="0" collapsed="false">
      <c r="A247" s="13" t="s">
        <v>172</v>
      </c>
      <c r="B247" s="13" t="s">
        <v>248</v>
      </c>
      <c r="C247" s="13" t="s">
        <v>47</v>
      </c>
      <c r="D247" s="23" t="n">
        <v>14</v>
      </c>
      <c r="E247" s="13" t="s">
        <v>73</v>
      </c>
      <c r="F247" s="13" t="s">
        <v>200</v>
      </c>
      <c r="G247" s="24"/>
      <c r="H247" s="14" t="n">
        <v>-149</v>
      </c>
      <c r="I247" s="16" t="n">
        <v>0.575443400231296</v>
      </c>
      <c r="J247" s="16" t="n">
        <v>0.57811626370275</v>
      </c>
      <c r="K247" s="16" t="n">
        <v>0.598393574297189</v>
      </c>
      <c r="L247" s="15" t="n">
        <v>-0.0229501740658932</v>
      </c>
      <c r="M247" s="15" t="n">
        <v>-0.0383529754523987</v>
      </c>
      <c r="N247" s="16" t="n">
        <v>0</v>
      </c>
      <c r="O247" s="25" t="n">
        <v>1</v>
      </c>
      <c r="P247" s="13" t="s">
        <v>96</v>
      </c>
      <c r="Q247" s="13"/>
    </row>
    <row r="248" customFormat="false" ht="15" hidden="false" customHeight="false" outlineLevel="0" collapsed="false">
      <c r="A248" s="18" t="s">
        <v>172</v>
      </c>
      <c r="B248" s="18" t="s">
        <v>296</v>
      </c>
      <c r="C248" s="18" t="s">
        <v>102</v>
      </c>
      <c r="D248" s="26" t="n">
        <v>13</v>
      </c>
      <c r="E248" s="18" t="s">
        <v>73</v>
      </c>
      <c r="F248" s="18" t="s">
        <v>290</v>
      </c>
      <c r="G248" s="27"/>
      <c r="H248" s="19" t="n">
        <v>141</v>
      </c>
      <c r="I248" s="21" t="n">
        <v>0.391436314106457</v>
      </c>
      <c r="J248" s="21" t="n">
        <v>0.400461137066926</v>
      </c>
      <c r="K248" s="21" t="n">
        <v>0.4149377593361</v>
      </c>
      <c r="L248" s="20" t="n">
        <v>-0.0235014452296423</v>
      </c>
      <c r="M248" s="20" t="n">
        <v>-0.0566384830034379</v>
      </c>
      <c r="N248" s="21" t="n">
        <v>0</v>
      </c>
      <c r="O248" s="28" t="n">
        <v>1</v>
      </c>
      <c r="P248" s="18" t="s">
        <v>96</v>
      </c>
      <c r="Q248" s="18"/>
    </row>
    <row r="249" customFormat="false" ht="15" hidden="false" customHeight="false" outlineLevel="0" collapsed="false">
      <c r="A249" s="13" t="s">
        <v>172</v>
      </c>
      <c r="B249" s="13" t="s">
        <v>302</v>
      </c>
      <c r="C249" s="13" t="s">
        <v>109</v>
      </c>
      <c r="D249" s="23" t="n">
        <v>12</v>
      </c>
      <c r="E249" s="13" t="s">
        <v>45</v>
      </c>
      <c r="F249" s="13" t="s">
        <v>311</v>
      </c>
      <c r="G249" s="24" t="n">
        <v>2.5</v>
      </c>
      <c r="H249" s="14" t="n">
        <v>-110</v>
      </c>
      <c r="I249" s="16" t="n">
        <v>0.498836768640084</v>
      </c>
      <c r="J249" s="16" t="n">
        <v>0.5</v>
      </c>
      <c r="K249" s="16" t="n">
        <v>0.523809523809524</v>
      </c>
      <c r="L249" s="15" t="n">
        <v>-0.0249727551694395</v>
      </c>
      <c r="M249" s="15" t="n">
        <v>-0.0476752598689299</v>
      </c>
      <c r="N249" s="16" t="n">
        <v>0</v>
      </c>
      <c r="O249" s="25" t="n">
        <v>1</v>
      </c>
      <c r="P249" s="13" t="s">
        <v>96</v>
      </c>
      <c r="Q249" s="13"/>
    </row>
    <row r="250" customFormat="false" ht="15" hidden="false" customHeight="false" outlineLevel="0" collapsed="false">
      <c r="A250" s="18" t="s">
        <v>172</v>
      </c>
      <c r="B250" s="18" t="s">
        <v>268</v>
      </c>
      <c r="C250" s="18" t="s">
        <v>76</v>
      </c>
      <c r="D250" s="26" t="n">
        <v>14</v>
      </c>
      <c r="E250" s="18" t="s">
        <v>45</v>
      </c>
      <c r="F250" s="18" t="s">
        <v>312</v>
      </c>
      <c r="G250" s="27" t="n">
        <v>-0.5</v>
      </c>
      <c r="H250" s="19" t="n">
        <v>-110</v>
      </c>
      <c r="I250" s="21" t="n">
        <v>0.497156888426915</v>
      </c>
      <c r="J250" s="21" t="n">
        <v>0.5</v>
      </c>
      <c r="K250" s="21" t="n">
        <v>0.523809523809524</v>
      </c>
      <c r="L250" s="20" t="n">
        <v>-0.0266526353826088</v>
      </c>
      <c r="M250" s="20" t="n">
        <v>-0.050882303912253</v>
      </c>
      <c r="N250" s="21" t="n">
        <v>0</v>
      </c>
      <c r="O250" s="28" t="n">
        <v>1</v>
      </c>
      <c r="P250" s="18" t="s">
        <v>96</v>
      </c>
      <c r="Q250" s="18"/>
    </row>
    <row r="251" customFormat="false" ht="15" hidden="false" customHeight="false" outlineLevel="0" collapsed="false">
      <c r="A251" s="13" t="s">
        <v>172</v>
      </c>
      <c r="B251" s="13" t="s">
        <v>251</v>
      </c>
      <c r="C251" s="13" t="s">
        <v>76</v>
      </c>
      <c r="D251" s="23" t="n">
        <v>14</v>
      </c>
      <c r="E251" s="13" t="s">
        <v>45</v>
      </c>
      <c r="F251" s="13" t="s">
        <v>313</v>
      </c>
      <c r="G251" s="24" t="n">
        <v>-3.5</v>
      </c>
      <c r="H251" s="14" t="n">
        <v>-110</v>
      </c>
      <c r="I251" s="16" t="n">
        <v>0.496818925617108</v>
      </c>
      <c r="J251" s="16" t="n">
        <v>0.5</v>
      </c>
      <c r="K251" s="16" t="n">
        <v>0.523809523809524</v>
      </c>
      <c r="L251" s="15" t="n">
        <v>-0.0269905981924162</v>
      </c>
      <c r="M251" s="15" t="n">
        <v>-0.0515275056400673</v>
      </c>
      <c r="N251" s="16" t="n">
        <v>0</v>
      </c>
      <c r="O251" s="25" t="n">
        <v>1</v>
      </c>
      <c r="P251" s="13" t="s">
        <v>96</v>
      </c>
      <c r="Q251" s="13"/>
    </row>
    <row r="252" customFormat="false" ht="15" hidden="false" customHeight="false" outlineLevel="0" collapsed="false">
      <c r="A252" s="18" t="s">
        <v>172</v>
      </c>
      <c r="B252" s="18" t="s">
        <v>302</v>
      </c>
      <c r="C252" s="18" t="s">
        <v>109</v>
      </c>
      <c r="D252" s="26" t="n">
        <v>12</v>
      </c>
      <c r="E252" s="18" t="s">
        <v>73</v>
      </c>
      <c r="F252" s="18" t="s">
        <v>314</v>
      </c>
      <c r="G252" s="27"/>
      <c r="H252" s="19" t="n">
        <v>-148</v>
      </c>
      <c r="I252" s="21" t="n">
        <v>0.569037813583871</v>
      </c>
      <c r="J252" s="21" t="n">
        <v>0.576386990981142</v>
      </c>
      <c r="K252" s="21" t="n">
        <v>0.596774193548387</v>
      </c>
      <c r="L252" s="20" t="n">
        <v>-0.0277363799645166</v>
      </c>
      <c r="M252" s="20" t="n">
        <v>-0.0464771772378386</v>
      </c>
      <c r="N252" s="21" t="n">
        <v>0</v>
      </c>
      <c r="O252" s="28" t="n">
        <v>1</v>
      </c>
      <c r="P252" s="18" t="s">
        <v>96</v>
      </c>
      <c r="Q252" s="18"/>
    </row>
    <row r="253" customFormat="false" ht="15" hidden="false" customHeight="false" outlineLevel="0" collapsed="false">
      <c r="A253" s="13" t="s">
        <v>172</v>
      </c>
      <c r="B253" s="13" t="s">
        <v>119</v>
      </c>
      <c r="C253" s="13" t="s">
        <v>109</v>
      </c>
      <c r="D253" s="23" t="n">
        <v>12</v>
      </c>
      <c r="E253" s="13" t="s">
        <v>49</v>
      </c>
      <c r="F253" s="13" t="s">
        <v>261</v>
      </c>
      <c r="G253" s="24" t="n">
        <v>58.5</v>
      </c>
      <c r="H253" s="14" t="n">
        <v>-110</v>
      </c>
      <c r="I253" s="16" t="n">
        <v>0.496009179355952</v>
      </c>
      <c r="J253" s="16" t="n">
        <v>0.5</v>
      </c>
      <c r="K253" s="16" t="n">
        <v>0.523809523809524</v>
      </c>
      <c r="L253" s="15" t="n">
        <v>-0.0278003444535721</v>
      </c>
      <c r="M253" s="15" t="n">
        <v>-0.0530733848659102</v>
      </c>
      <c r="N253" s="16" t="n">
        <v>0</v>
      </c>
      <c r="O253" s="25" t="n">
        <v>1</v>
      </c>
      <c r="P253" s="13" t="s">
        <v>96</v>
      </c>
      <c r="Q253" s="13"/>
    </row>
    <row r="254" customFormat="false" ht="15" hidden="false" customHeight="false" outlineLevel="0" collapsed="false">
      <c r="A254" s="18" t="s">
        <v>172</v>
      </c>
      <c r="B254" s="18" t="s">
        <v>266</v>
      </c>
      <c r="C254" s="18" t="s">
        <v>114</v>
      </c>
      <c r="D254" s="26" t="n">
        <v>13</v>
      </c>
      <c r="E254" s="18" t="s">
        <v>45</v>
      </c>
      <c r="F254" s="18" t="s">
        <v>315</v>
      </c>
      <c r="G254" s="27" t="n">
        <v>-3.5</v>
      </c>
      <c r="H254" s="19" t="n">
        <v>-110</v>
      </c>
      <c r="I254" s="21" t="n">
        <v>0.493796360515774</v>
      </c>
      <c r="J254" s="21" t="n">
        <v>0.5</v>
      </c>
      <c r="K254" s="21" t="n">
        <v>0.523809523809524</v>
      </c>
      <c r="L254" s="20" t="n">
        <v>-0.0300131632937501</v>
      </c>
      <c r="M254" s="20" t="n">
        <v>-0.0572978571971593</v>
      </c>
      <c r="N254" s="21" t="n">
        <v>0</v>
      </c>
      <c r="O254" s="28" t="n">
        <v>1</v>
      </c>
      <c r="P254" s="18" t="s">
        <v>96</v>
      </c>
      <c r="Q254" s="18"/>
    </row>
    <row r="255" customFormat="false" ht="15" hidden="false" customHeight="false" outlineLevel="0" collapsed="false">
      <c r="A255" s="13" t="s">
        <v>172</v>
      </c>
      <c r="B255" s="13" t="s">
        <v>275</v>
      </c>
      <c r="C255" s="13" t="s">
        <v>114</v>
      </c>
      <c r="D255" s="23" t="n">
        <v>13</v>
      </c>
      <c r="E255" s="13" t="s">
        <v>49</v>
      </c>
      <c r="F255" s="13" t="s">
        <v>271</v>
      </c>
      <c r="G255" s="24" t="n">
        <v>57</v>
      </c>
      <c r="H255" s="14" t="n">
        <v>-110</v>
      </c>
      <c r="I255" s="16" t="n">
        <v>0.493773460366856</v>
      </c>
      <c r="J255" s="16" t="n">
        <v>0.5</v>
      </c>
      <c r="K255" s="16" t="n">
        <v>0.523809523809524</v>
      </c>
      <c r="L255" s="15" t="n">
        <v>-0.0300360634426674</v>
      </c>
      <c r="M255" s="15" t="n">
        <v>-0.0550550069430412</v>
      </c>
      <c r="N255" s="16" t="n">
        <v>0.0399</v>
      </c>
      <c r="O255" s="25" t="n">
        <v>1</v>
      </c>
      <c r="P255" s="13" t="s">
        <v>96</v>
      </c>
      <c r="Q255" s="13"/>
    </row>
    <row r="256" customFormat="false" ht="15" hidden="false" customHeight="false" outlineLevel="0" collapsed="false">
      <c r="A256" s="18" t="s">
        <v>172</v>
      </c>
      <c r="B256" s="18" t="s">
        <v>284</v>
      </c>
      <c r="C256" s="18" t="s">
        <v>145</v>
      </c>
      <c r="D256" s="26" t="n">
        <v>12</v>
      </c>
      <c r="E256" s="18" t="s">
        <v>73</v>
      </c>
      <c r="F256" s="18" t="s">
        <v>262</v>
      </c>
      <c r="G256" s="27"/>
      <c r="H256" s="19" t="n">
        <v>-153</v>
      </c>
      <c r="I256" s="21" t="n">
        <v>0.572771418560436</v>
      </c>
      <c r="J256" s="21" t="n">
        <v>0.583854200934272</v>
      </c>
      <c r="K256" s="21" t="n">
        <v>0.604743083003953</v>
      </c>
      <c r="L256" s="20" t="n">
        <v>-0.0319716644435169</v>
      </c>
      <c r="M256" s="20" t="n">
        <v>-0.052868177151698</v>
      </c>
      <c r="N256" s="21" t="n">
        <v>0</v>
      </c>
      <c r="O256" s="28" t="n">
        <v>1</v>
      </c>
      <c r="P256" s="18" t="s">
        <v>96</v>
      </c>
      <c r="Q256" s="18"/>
    </row>
    <row r="257" customFormat="false" ht="15" hidden="false" customHeight="false" outlineLevel="0" collapsed="false">
      <c r="A257" s="13" t="s">
        <v>172</v>
      </c>
      <c r="B257" s="13" t="s">
        <v>302</v>
      </c>
      <c r="C257" s="13" t="s">
        <v>109</v>
      </c>
      <c r="D257" s="23" t="n">
        <v>12</v>
      </c>
      <c r="E257" s="13" t="s">
        <v>49</v>
      </c>
      <c r="F257" s="13" t="s">
        <v>271</v>
      </c>
      <c r="G257" s="24" t="n">
        <v>57</v>
      </c>
      <c r="H257" s="14" t="n">
        <v>-110</v>
      </c>
      <c r="I257" s="16" t="n">
        <v>0.491699034163402</v>
      </c>
      <c r="J257" s="16" t="n">
        <v>0.5</v>
      </c>
      <c r="K257" s="16" t="n">
        <v>0.523809523809524</v>
      </c>
      <c r="L257" s="15" t="n">
        <v>-0.0321104896461223</v>
      </c>
      <c r="M257" s="15" t="n">
        <v>-0.058858209807042</v>
      </c>
      <c r="N257" s="16" t="n">
        <v>0.0399</v>
      </c>
      <c r="O257" s="25" t="n">
        <v>1</v>
      </c>
      <c r="P257" s="13" t="s">
        <v>96</v>
      </c>
      <c r="Q257" s="13"/>
    </row>
    <row r="258" customFormat="false" ht="15" hidden="false" customHeight="false" outlineLevel="0" collapsed="false">
      <c r="A258" s="18" t="s">
        <v>172</v>
      </c>
      <c r="B258" s="18" t="s">
        <v>268</v>
      </c>
      <c r="C258" s="18" t="s">
        <v>76</v>
      </c>
      <c r="D258" s="26" t="n">
        <v>14</v>
      </c>
      <c r="E258" s="18" t="s">
        <v>49</v>
      </c>
      <c r="F258" s="18" t="s">
        <v>316</v>
      </c>
      <c r="G258" s="27" t="n">
        <v>58</v>
      </c>
      <c r="H258" s="19" t="n">
        <v>-110</v>
      </c>
      <c r="I258" s="21" t="n">
        <v>0.491699033536127</v>
      </c>
      <c r="J258" s="21" t="n">
        <v>0.5</v>
      </c>
      <c r="K258" s="21" t="n">
        <v>0.523809523809524</v>
      </c>
      <c r="L258" s="20" t="n">
        <v>-0.0321104902733973</v>
      </c>
      <c r="M258" s="20" t="n">
        <v>-0.0588582109629192</v>
      </c>
      <c r="N258" s="21" t="n">
        <v>0.0399</v>
      </c>
      <c r="O258" s="28" t="n">
        <v>1</v>
      </c>
      <c r="P258" s="18" t="s">
        <v>96</v>
      </c>
      <c r="Q258" s="18"/>
    </row>
    <row r="259" customFormat="false" ht="15" hidden="false" customHeight="false" outlineLevel="0" collapsed="false">
      <c r="A259" s="13" t="s">
        <v>172</v>
      </c>
      <c r="B259" s="13" t="s">
        <v>104</v>
      </c>
      <c r="C259" s="13" t="s">
        <v>65</v>
      </c>
      <c r="D259" s="23" t="n">
        <v>11</v>
      </c>
      <c r="E259" s="13" t="s">
        <v>49</v>
      </c>
      <c r="F259" s="13" t="s">
        <v>301</v>
      </c>
      <c r="G259" s="24" t="n">
        <v>54</v>
      </c>
      <c r="H259" s="14" t="n">
        <v>-110</v>
      </c>
      <c r="I259" s="16" t="n">
        <v>0.489625532940825</v>
      </c>
      <c r="J259" s="16" t="n">
        <v>0.5</v>
      </c>
      <c r="K259" s="16" t="n">
        <v>0.523809523809524</v>
      </c>
      <c r="L259" s="15" t="n">
        <v>-0.0341839908686986</v>
      </c>
      <c r="M259" s="15" t="n">
        <v>-0.0626600873774726</v>
      </c>
      <c r="N259" s="16" t="n">
        <v>0.0398</v>
      </c>
      <c r="O259" s="25" t="n">
        <v>1</v>
      </c>
      <c r="P259" s="13" t="s">
        <v>96</v>
      </c>
      <c r="Q259" s="13"/>
    </row>
    <row r="260" customFormat="false" ht="15" hidden="false" customHeight="false" outlineLevel="0" collapsed="false">
      <c r="A260" s="18" t="s">
        <v>172</v>
      </c>
      <c r="B260" s="18" t="s">
        <v>291</v>
      </c>
      <c r="C260" s="18" t="s">
        <v>47</v>
      </c>
      <c r="D260" s="26" t="n">
        <v>14</v>
      </c>
      <c r="E260" s="18" t="s">
        <v>73</v>
      </c>
      <c r="F260" s="18" t="s">
        <v>245</v>
      </c>
      <c r="G260" s="27"/>
      <c r="H260" s="19" t="n">
        <v>-110</v>
      </c>
      <c r="I260" s="21" t="n">
        <v>0.488988853552707</v>
      </c>
      <c r="J260" s="21" t="n">
        <v>0.505605381165919</v>
      </c>
      <c r="K260" s="21" t="n">
        <v>0.523809523809524</v>
      </c>
      <c r="L260" s="20" t="n">
        <v>-0.0348206702568165</v>
      </c>
      <c r="M260" s="20" t="n">
        <v>-0.0664758250357404</v>
      </c>
      <c r="N260" s="21" t="n">
        <v>0</v>
      </c>
      <c r="O260" s="28" t="n">
        <v>1</v>
      </c>
      <c r="P260" s="18" t="s">
        <v>96</v>
      </c>
      <c r="Q260" s="18"/>
    </row>
    <row r="261" customFormat="false" ht="15" hidden="false" customHeight="false" outlineLevel="0" collapsed="false">
      <c r="A261" s="13" t="s">
        <v>172</v>
      </c>
      <c r="B261" s="13" t="s">
        <v>251</v>
      </c>
      <c r="C261" s="13" t="s">
        <v>76</v>
      </c>
      <c r="D261" s="23" t="n">
        <v>14</v>
      </c>
      <c r="E261" s="13" t="s">
        <v>73</v>
      </c>
      <c r="F261" s="13" t="s">
        <v>314</v>
      </c>
      <c r="G261" s="24"/>
      <c r="H261" s="14" t="n">
        <v>-210</v>
      </c>
      <c r="I261" s="16" t="n">
        <v>0.6422361047365</v>
      </c>
      <c r="J261" s="16" t="n">
        <v>0.654788418708241</v>
      </c>
      <c r="K261" s="16" t="n">
        <v>0.67741935483871</v>
      </c>
      <c r="L261" s="15" t="n">
        <v>-0.0351832501022095</v>
      </c>
      <c r="M261" s="15" t="n">
        <v>-0.0519371787223092</v>
      </c>
      <c r="N261" s="16" t="n">
        <v>0</v>
      </c>
      <c r="O261" s="25" t="n">
        <v>1</v>
      </c>
      <c r="P261" s="13" t="s">
        <v>96</v>
      </c>
      <c r="Q261" s="13"/>
    </row>
    <row r="262" customFormat="false" ht="15" hidden="false" customHeight="false" outlineLevel="0" collapsed="false">
      <c r="A262" s="18" t="s">
        <v>172</v>
      </c>
      <c r="B262" s="18" t="s">
        <v>248</v>
      </c>
      <c r="C262" s="18" t="s">
        <v>47</v>
      </c>
      <c r="D262" s="26" t="n">
        <v>14</v>
      </c>
      <c r="E262" s="18" t="s">
        <v>45</v>
      </c>
      <c r="F262" s="18" t="s">
        <v>317</v>
      </c>
      <c r="G262" s="27" t="n">
        <v>-2</v>
      </c>
      <c r="H262" s="19" t="n">
        <v>-110</v>
      </c>
      <c r="I262" s="21" t="n">
        <v>0.488439468292343</v>
      </c>
      <c r="J262" s="21" t="n">
        <v>0.5</v>
      </c>
      <c r="K262" s="21" t="n">
        <v>0.523809523809524</v>
      </c>
      <c r="L262" s="20" t="n">
        <v>-0.0353700555171806</v>
      </c>
      <c r="M262" s="20" t="n">
        <v>-0.0656851837871005</v>
      </c>
      <c r="N262" s="21" t="n">
        <v>0.0272</v>
      </c>
      <c r="O262" s="28" t="n">
        <v>1</v>
      </c>
      <c r="P262" s="18" t="s">
        <v>96</v>
      </c>
      <c r="Q262" s="18"/>
    </row>
    <row r="263" customFormat="false" ht="15" hidden="false" customHeight="false" outlineLevel="0" collapsed="false">
      <c r="A263" s="13" t="s">
        <v>172</v>
      </c>
      <c r="B263" s="13" t="s">
        <v>55</v>
      </c>
      <c r="C263" s="13" t="s">
        <v>51</v>
      </c>
      <c r="D263" s="23" t="n">
        <v>14</v>
      </c>
      <c r="E263" s="13" t="s">
        <v>73</v>
      </c>
      <c r="F263" s="13" t="s">
        <v>195</v>
      </c>
      <c r="G263" s="24"/>
      <c r="H263" s="14" t="n">
        <v>117</v>
      </c>
      <c r="I263" s="16" t="n">
        <v>0.425456528172636</v>
      </c>
      <c r="J263" s="16" t="n">
        <v>0.445117908892888</v>
      </c>
      <c r="K263" s="16" t="n">
        <v>0.460829493087558</v>
      </c>
      <c r="L263" s="15" t="n">
        <v>-0.0353729649149213</v>
      </c>
      <c r="M263" s="15" t="n">
        <v>-0.0767593338653791</v>
      </c>
      <c r="N263" s="16" t="n">
        <v>0</v>
      </c>
      <c r="O263" s="25" t="n">
        <v>1</v>
      </c>
      <c r="P263" s="13" t="s">
        <v>96</v>
      </c>
      <c r="Q263" s="13"/>
    </row>
    <row r="264" customFormat="false" ht="15" hidden="false" customHeight="false" outlineLevel="0" collapsed="false">
      <c r="A264" s="18" t="s">
        <v>172</v>
      </c>
      <c r="B264" s="18" t="s">
        <v>272</v>
      </c>
      <c r="C264" s="18" t="s">
        <v>47</v>
      </c>
      <c r="D264" s="26" t="n">
        <v>14</v>
      </c>
      <c r="E264" s="18" t="s">
        <v>49</v>
      </c>
      <c r="F264" s="18" t="s">
        <v>318</v>
      </c>
      <c r="G264" s="27" t="n">
        <v>52</v>
      </c>
      <c r="H264" s="19" t="n">
        <v>-110</v>
      </c>
      <c r="I264" s="21" t="n">
        <v>0.487553192269946</v>
      </c>
      <c r="J264" s="21" t="n">
        <v>0.5</v>
      </c>
      <c r="K264" s="21" t="n">
        <v>0.523809523809524</v>
      </c>
      <c r="L264" s="20" t="n">
        <v>-0.0362563315395779</v>
      </c>
      <c r="M264" s="20" t="n">
        <v>-0.0664602546000382</v>
      </c>
      <c r="N264" s="21" t="n">
        <v>0.0398</v>
      </c>
      <c r="O264" s="28" t="n">
        <v>1</v>
      </c>
      <c r="P264" s="18" t="s">
        <v>96</v>
      </c>
      <c r="Q264" s="18"/>
    </row>
    <row r="265" customFormat="false" ht="15" hidden="false" customHeight="false" outlineLevel="0" collapsed="false">
      <c r="A265" s="13" t="s">
        <v>172</v>
      </c>
      <c r="B265" s="13" t="s">
        <v>279</v>
      </c>
      <c r="C265" s="13" t="s">
        <v>75</v>
      </c>
      <c r="D265" s="23" t="n">
        <v>13</v>
      </c>
      <c r="E265" s="13" t="s">
        <v>73</v>
      </c>
      <c r="F265" s="13" t="s">
        <v>196</v>
      </c>
      <c r="G265" s="24"/>
      <c r="H265" s="14" t="n">
        <v>-174</v>
      </c>
      <c r="I265" s="16" t="n">
        <v>0.595986738659182</v>
      </c>
      <c r="J265" s="16" t="n">
        <v>0.613540197461213</v>
      </c>
      <c r="K265" s="16" t="n">
        <v>0.635036496350365</v>
      </c>
      <c r="L265" s="15" t="n">
        <v>-0.039049757691183</v>
      </c>
      <c r="M265" s="15" t="n">
        <v>-0.0614921471688744</v>
      </c>
      <c r="N265" s="16" t="n">
        <v>0</v>
      </c>
      <c r="O265" s="25" t="n">
        <v>1</v>
      </c>
      <c r="P265" s="13" t="s">
        <v>96</v>
      </c>
      <c r="Q265" s="13"/>
    </row>
    <row r="266" customFormat="false" ht="15" hidden="false" customHeight="false" outlineLevel="0" collapsed="false">
      <c r="A266" s="18" t="s">
        <v>172</v>
      </c>
      <c r="B266" s="18" t="s">
        <v>121</v>
      </c>
      <c r="C266" s="18" t="s">
        <v>65</v>
      </c>
      <c r="D266" s="26" t="n">
        <v>11</v>
      </c>
      <c r="E266" s="18" t="s">
        <v>73</v>
      </c>
      <c r="F266" s="18" t="s">
        <v>130</v>
      </c>
      <c r="G266" s="27"/>
      <c r="H266" s="19" t="n">
        <v>-219</v>
      </c>
      <c r="I266" s="21" t="n">
        <v>0.647466256331158</v>
      </c>
      <c r="J266" s="21" t="n">
        <v>0.663335197830148</v>
      </c>
      <c r="K266" s="21" t="n">
        <v>0.686520376175549</v>
      </c>
      <c r="L266" s="20" t="n">
        <v>-0.0390541198443907</v>
      </c>
      <c r="M266" s="20" t="n">
        <v>-0.0568870512801855</v>
      </c>
      <c r="N266" s="21" t="n">
        <v>0</v>
      </c>
      <c r="O266" s="28" t="n">
        <v>1</v>
      </c>
      <c r="P266" s="18" t="s">
        <v>96</v>
      </c>
      <c r="Q266" s="18"/>
    </row>
    <row r="267" customFormat="false" ht="15" hidden="false" customHeight="false" outlineLevel="0" collapsed="false">
      <c r="A267" s="13" t="s">
        <v>172</v>
      </c>
      <c r="B267" s="13" t="s">
        <v>296</v>
      </c>
      <c r="C267" s="13" t="s">
        <v>102</v>
      </c>
      <c r="D267" s="23" t="n">
        <v>13</v>
      </c>
      <c r="E267" s="13" t="s">
        <v>49</v>
      </c>
      <c r="F267" s="13" t="s">
        <v>319</v>
      </c>
      <c r="G267" s="24" t="n">
        <v>59.5</v>
      </c>
      <c r="H267" s="14" t="n">
        <v>-110</v>
      </c>
      <c r="I267" s="16" t="n">
        <v>0.484052680774312</v>
      </c>
      <c r="J267" s="16" t="n">
        <v>0.5</v>
      </c>
      <c r="K267" s="16" t="n">
        <v>0.523809523809524</v>
      </c>
      <c r="L267" s="15" t="n">
        <v>-0.0397568430352124</v>
      </c>
      <c r="M267" s="15" t="n">
        <v>-0.075899427612678</v>
      </c>
      <c r="N267" s="16" t="n">
        <v>0</v>
      </c>
      <c r="O267" s="25" t="n">
        <v>1</v>
      </c>
      <c r="P267" s="13" t="s">
        <v>96</v>
      </c>
      <c r="Q267" s="13"/>
    </row>
    <row r="268" customFormat="false" ht="15" hidden="false" customHeight="false" outlineLevel="0" collapsed="false">
      <c r="A268" s="18" t="s">
        <v>172</v>
      </c>
      <c r="B268" s="18" t="s">
        <v>108</v>
      </c>
      <c r="C268" s="18" t="s">
        <v>109</v>
      </c>
      <c r="D268" s="26" t="n">
        <v>12</v>
      </c>
      <c r="E268" s="18" t="s">
        <v>49</v>
      </c>
      <c r="F268" s="18" t="s">
        <v>198</v>
      </c>
      <c r="G268" s="27" t="n">
        <v>54</v>
      </c>
      <c r="H268" s="19" t="n">
        <v>-110</v>
      </c>
      <c r="I268" s="21" t="n">
        <v>0.483412972774845</v>
      </c>
      <c r="J268" s="21" t="n">
        <v>0.5</v>
      </c>
      <c r="K268" s="21" t="n">
        <v>0.523809523809524</v>
      </c>
      <c r="L268" s="20" t="n">
        <v>-0.0403965510346785</v>
      </c>
      <c r="M268" s="20" t="n">
        <v>-0.0740538475017601</v>
      </c>
      <c r="N268" s="21" t="n">
        <v>0.0398</v>
      </c>
      <c r="O268" s="28" t="n">
        <v>1</v>
      </c>
      <c r="P268" s="18" t="s">
        <v>96</v>
      </c>
      <c r="Q268" s="18"/>
    </row>
    <row r="269" customFormat="false" ht="15" hidden="false" customHeight="false" outlineLevel="0" collapsed="false">
      <c r="A269" s="13" t="s">
        <v>172</v>
      </c>
      <c r="B269" s="13" t="s">
        <v>157</v>
      </c>
      <c r="C269" s="13" t="s">
        <v>75</v>
      </c>
      <c r="D269" s="23" t="n">
        <v>13</v>
      </c>
      <c r="E269" s="13" t="s">
        <v>49</v>
      </c>
      <c r="F269" s="13" t="s">
        <v>316</v>
      </c>
      <c r="G269" s="24" t="n">
        <v>58</v>
      </c>
      <c r="H269" s="14" t="n">
        <v>-110</v>
      </c>
      <c r="I269" s="16" t="n">
        <v>0.483412964272834</v>
      </c>
      <c r="J269" s="16" t="n">
        <v>0.5</v>
      </c>
      <c r="K269" s="16" t="n">
        <v>0.523809523809524</v>
      </c>
      <c r="L269" s="15" t="n">
        <v>-0.0403965595366896</v>
      </c>
      <c r="M269" s="15" t="n">
        <v>-0.0740538631946786</v>
      </c>
      <c r="N269" s="16" t="n">
        <v>0.0398</v>
      </c>
      <c r="O269" s="25" t="n">
        <v>1</v>
      </c>
      <c r="P269" s="13" t="s">
        <v>96</v>
      </c>
      <c r="Q269" s="13"/>
    </row>
    <row r="270" customFormat="false" ht="15" hidden="false" customHeight="false" outlineLevel="0" collapsed="false">
      <c r="A270" s="18" t="s">
        <v>172</v>
      </c>
      <c r="B270" s="18" t="s">
        <v>226</v>
      </c>
      <c r="C270" s="18" t="s">
        <v>114</v>
      </c>
      <c r="D270" s="26" t="n">
        <v>13</v>
      </c>
      <c r="E270" s="18" t="s">
        <v>49</v>
      </c>
      <c r="F270" s="18" t="s">
        <v>320</v>
      </c>
      <c r="G270" s="27" t="n">
        <v>60</v>
      </c>
      <c r="H270" s="19" t="n">
        <v>-110</v>
      </c>
      <c r="I270" s="21" t="n">
        <v>0.483412963606782</v>
      </c>
      <c r="J270" s="21" t="n">
        <v>0.5</v>
      </c>
      <c r="K270" s="21" t="n">
        <v>0.523809523809524</v>
      </c>
      <c r="L270" s="20" t="n">
        <v>-0.0403965602027414</v>
      </c>
      <c r="M270" s="20" t="n">
        <v>-0.0740538644240646</v>
      </c>
      <c r="N270" s="21" t="n">
        <v>0.0398</v>
      </c>
      <c r="O270" s="28" t="n">
        <v>1</v>
      </c>
      <c r="P270" s="18" t="s">
        <v>96</v>
      </c>
      <c r="Q270" s="18"/>
    </row>
    <row r="271" customFormat="false" ht="15" hidden="false" customHeight="false" outlineLevel="0" collapsed="false">
      <c r="A271" s="13" t="s">
        <v>172</v>
      </c>
      <c r="B271" s="13" t="s">
        <v>238</v>
      </c>
      <c r="C271" s="13" t="s">
        <v>62</v>
      </c>
      <c r="D271" s="23" t="n">
        <v>10</v>
      </c>
      <c r="E271" s="13" t="s">
        <v>49</v>
      </c>
      <c r="F271" s="13" t="s">
        <v>321</v>
      </c>
      <c r="G271" s="24" t="n">
        <v>55.5</v>
      </c>
      <c r="H271" s="14" t="n">
        <v>-110</v>
      </c>
      <c r="I271" s="16" t="n">
        <v>0.482064345584959</v>
      </c>
      <c r="J271" s="16" t="n">
        <v>0.5</v>
      </c>
      <c r="K271" s="16" t="n">
        <v>0.523809523809524</v>
      </c>
      <c r="L271" s="15" t="n">
        <v>-0.0417451782245647</v>
      </c>
      <c r="M271" s="15" t="n">
        <v>-0.0796953402468961</v>
      </c>
      <c r="N271" s="16" t="n">
        <v>0</v>
      </c>
      <c r="O271" s="25" t="n">
        <v>1</v>
      </c>
      <c r="P271" s="13" t="s">
        <v>96</v>
      </c>
      <c r="Q271" s="13"/>
    </row>
    <row r="272" customFormat="false" ht="15" hidden="false" customHeight="false" outlineLevel="0" collapsed="false">
      <c r="A272" s="18" t="s">
        <v>172</v>
      </c>
      <c r="B272" s="18" t="s">
        <v>237</v>
      </c>
      <c r="C272" s="18" t="s">
        <v>71</v>
      </c>
      <c r="D272" s="26" t="n">
        <v>11</v>
      </c>
      <c r="E272" s="18" t="s">
        <v>73</v>
      </c>
      <c r="F272" s="18" t="s">
        <v>152</v>
      </c>
      <c r="G272" s="27"/>
      <c r="H272" s="19" t="n">
        <v>-276</v>
      </c>
      <c r="I272" s="21" t="n">
        <v>0.691080419722527</v>
      </c>
      <c r="J272" s="21" t="n">
        <v>0.709050389996286</v>
      </c>
      <c r="K272" s="21" t="n">
        <v>0.734042553191489</v>
      </c>
      <c r="L272" s="20" t="n">
        <v>-0.0429621334689627</v>
      </c>
      <c r="M272" s="20" t="n">
        <v>-0.058528123856268</v>
      </c>
      <c r="N272" s="21" t="n">
        <v>0</v>
      </c>
      <c r="O272" s="28" t="n">
        <v>1</v>
      </c>
      <c r="P272" s="18" t="s">
        <v>96</v>
      </c>
      <c r="Q272" s="18"/>
    </row>
    <row r="273" customFormat="false" ht="15" hidden="false" customHeight="false" outlineLevel="0" collapsed="false">
      <c r="A273" s="13" t="s">
        <v>172</v>
      </c>
      <c r="B273" s="13" t="s">
        <v>279</v>
      </c>
      <c r="C273" s="13" t="s">
        <v>75</v>
      </c>
      <c r="D273" s="23" t="n">
        <v>13</v>
      </c>
      <c r="E273" s="13" t="s">
        <v>45</v>
      </c>
      <c r="F273" s="13" t="s">
        <v>322</v>
      </c>
      <c r="G273" s="24" t="n">
        <v>-1.5</v>
      </c>
      <c r="H273" s="14" t="n">
        <v>-110</v>
      </c>
      <c r="I273" s="16" t="n">
        <v>0.479079051125478</v>
      </c>
      <c r="J273" s="16" t="n">
        <v>0.5</v>
      </c>
      <c r="K273" s="16" t="n">
        <v>0.523809523809524</v>
      </c>
      <c r="L273" s="15" t="n">
        <v>-0.0447304726840454</v>
      </c>
      <c r="M273" s="15" t="n">
        <v>-0.0853945387604502</v>
      </c>
      <c r="N273" s="16" t="n">
        <v>0</v>
      </c>
      <c r="O273" s="25" t="n">
        <v>1</v>
      </c>
      <c r="P273" s="13" t="s">
        <v>96</v>
      </c>
      <c r="Q273" s="13"/>
    </row>
    <row r="274" customFormat="false" ht="15" hidden="false" customHeight="false" outlineLevel="0" collapsed="false">
      <c r="A274" s="18" t="s">
        <v>172</v>
      </c>
      <c r="B274" s="18" t="s">
        <v>81</v>
      </c>
      <c r="C274" s="18" t="s">
        <v>47</v>
      </c>
      <c r="D274" s="26" t="n">
        <v>14</v>
      </c>
      <c r="E274" s="18" t="s">
        <v>49</v>
      </c>
      <c r="F274" s="18" t="s">
        <v>323</v>
      </c>
      <c r="G274" s="27" t="n">
        <v>53.5</v>
      </c>
      <c r="H274" s="19" t="n">
        <v>-110</v>
      </c>
      <c r="I274" s="21" t="n">
        <v>0.478093243701238</v>
      </c>
      <c r="J274" s="21" t="n">
        <v>0.5</v>
      </c>
      <c r="K274" s="21" t="n">
        <v>0.523809523809524</v>
      </c>
      <c r="L274" s="20" t="n">
        <v>-0.0457162801082863</v>
      </c>
      <c r="M274" s="20" t="n">
        <v>-0.0872765347521829</v>
      </c>
      <c r="N274" s="21" t="n">
        <v>0</v>
      </c>
      <c r="O274" s="28" t="n">
        <v>1</v>
      </c>
      <c r="P274" s="18" t="s">
        <v>96</v>
      </c>
      <c r="Q274" s="18"/>
    </row>
    <row r="275" customFormat="false" ht="15" hidden="false" customHeight="false" outlineLevel="0" collapsed="false">
      <c r="A275" s="13" t="s">
        <v>172</v>
      </c>
      <c r="B275" s="13" t="s">
        <v>266</v>
      </c>
      <c r="C275" s="13" t="s">
        <v>114</v>
      </c>
      <c r="D275" s="23" t="n">
        <v>13</v>
      </c>
      <c r="E275" s="13" t="s">
        <v>73</v>
      </c>
      <c r="F275" s="13" t="s">
        <v>221</v>
      </c>
      <c r="G275" s="24"/>
      <c r="H275" s="14" t="n">
        <v>-237</v>
      </c>
      <c r="I275" s="16" t="n">
        <v>0.657287908002403</v>
      </c>
      <c r="J275" s="16" t="n">
        <v>0.67916067671392</v>
      </c>
      <c r="K275" s="16" t="n">
        <v>0.70326409495549</v>
      </c>
      <c r="L275" s="15" t="n">
        <v>-0.0459761869530866</v>
      </c>
      <c r="M275" s="15" t="n">
        <v>-0.065375421954389</v>
      </c>
      <c r="N275" s="16" t="n">
        <v>0</v>
      </c>
      <c r="O275" s="25" t="n">
        <v>1</v>
      </c>
      <c r="P275" s="13" t="s">
        <v>96</v>
      </c>
      <c r="Q275" s="13"/>
    </row>
    <row r="276" customFormat="false" ht="15" hidden="false" customHeight="false" outlineLevel="0" collapsed="false">
      <c r="A276" s="18" t="s">
        <v>172</v>
      </c>
      <c r="B276" s="18" t="s">
        <v>97</v>
      </c>
      <c r="C276" s="18" t="s">
        <v>62</v>
      </c>
      <c r="D276" s="26" t="n">
        <v>10</v>
      </c>
      <c r="E276" s="18" t="s">
        <v>49</v>
      </c>
      <c r="F276" s="18" t="s">
        <v>324</v>
      </c>
      <c r="G276" s="27" t="n">
        <v>61</v>
      </c>
      <c r="H276" s="19" t="n">
        <v>-110</v>
      </c>
      <c r="I276" s="21" t="n">
        <v>0.477217103749874</v>
      </c>
      <c r="J276" s="21" t="n">
        <v>0.5</v>
      </c>
      <c r="K276" s="21" t="n">
        <v>0.523809523809524</v>
      </c>
      <c r="L276" s="20" t="n">
        <v>-0.0465924200596499</v>
      </c>
      <c r="M276" s="20" t="n">
        <v>-0.0854220112359774</v>
      </c>
      <c r="N276" s="21" t="n">
        <v>0.0397</v>
      </c>
      <c r="O276" s="28" t="n">
        <v>1</v>
      </c>
      <c r="P276" s="18" t="s">
        <v>96</v>
      </c>
      <c r="Q276" s="18"/>
    </row>
    <row r="277" customFormat="false" ht="15" hidden="false" customHeight="false" outlineLevel="0" collapsed="false">
      <c r="A277" s="13" t="s">
        <v>172</v>
      </c>
      <c r="B277" s="13" t="s">
        <v>229</v>
      </c>
      <c r="C277" s="13" t="s">
        <v>71</v>
      </c>
      <c r="D277" s="23" t="n">
        <v>11</v>
      </c>
      <c r="E277" s="13" t="s">
        <v>73</v>
      </c>
      <c r="F277" s="13" t="s">
        <v>325</v>
      </c>
      <c r="G277" s="24"/>
      <c r="H277" s="14" t="n">
        <v>-353</v>
      </c>
      <c r="I277" s="16" t="n">
        <v>0.731677172625163</v>
      </c>
      <c r="J277" s="16" t="n">
        <v>0.752895163181925</v>
      </c>
      <c r="K277" s="16" t="n">
        <v>0.77924944812362</v>
      </c>
      <c r="L277" s="15" t="n">
        <v>-0.0475722754984576</v>
      </c>
      <c r="M277" s="15" t="n">
        <v>-0.061048840795471</v>
      </c>
      <c r="N277" s="16" t="n">
        <v>0</v>
      </c>
      <c r="O277" s="25" t="n">
        <v>1</v>
      </c>
      <c r="P277" s="13" t="s">
        <v>96</v>
      </c>
      <c r="Q277" s="13"/>
    </row>
    <row r="278" customFormat="false" ht="15" hidden="false" customHeight="false" outlineLevel="0" collapsed="false">
      <c r="A278" s="18" t="s">
        <v>172</v>
      </c>
      <c r="B278" s="18" t="s">
        <v>140</v>
      </c>
      <c r="C278" s="18" t="s">
        <v>114</v>
      </c>
      <c r="D278" s="26" t="n">
        <v>13</v>
      </c>
      <c r="E278" s="18" t="s">
        <v>49</v>
      </c>
      <c r="F278" s="18" t="s">
        <v>294</v>
      </c>
      <c r="G278" s="27" t="n">
        <v>54.5</v>
      </c>
      <c r="H278" s="19" t="n">
        <v>-110</v>
      </c>
      <c r="I278" s="21" t="n">
        <v>0.476110873770526</v>
      </c>
      <c r="J278" s="21" t="n">
        <v>0.5</v>
      </c>
      <c r="K278" s="21" t="n">
        <v>0.523809523809524</v>
      </c>
      <c r="L278" s="20" t="n">
        <v>-0.0476986500389979</v>
      </c>
      <c r="M278" s="20" t="n">
        <v>-0.0910610591653595</v>
      </c>
      <c r="N278" s="21" t="n">
        <v>0</v>
      </c>
      <c r="O278" s="28" t="n">
        <v>1</v>
      </c>
      <c r="P278" s="18" t="s">
        <v>96</v>
      </c>
      <c r="Q278" s="18"/>
    </row>
    <row r="279" customFormat="false" ht="15" hidden="false" customHeight="false" outlineLevel="0" collapsed="false">
      <c r="A279" s="13" t="s">
        <v>172</v>
      </c>
      <c r="B279" s="13" t="s">
        <v>291</v>
      </c>
      <c r="C279" s="13" t="s">
        <v>47</v>
      </c>
      <c r="D279" s="23" t="n">
        <v>14</v>
      </c>
      <c r="E279" s="13" t="s">
        <v>45</v>
      </c>
      <c r="F279" s="13" t="s">
        <v>326</v>
      </c>
      <c r="G279" s="24" t="n">
        <v>1</v>
      </c>
      <c r="H279" s="14" t="n">
        <v>-110</v>
      </c>
      <c r="I279" s="16" t="n">
        <v>0.47451232646242</v>
      </c>
      <c r="J279" s="16" t="n">
        <v>0.5</v>
      </c>
      <c r="K279" s="16" t="n">
        <v>0.523809523809524</v>
      </c>
      <c r="L279" s="15" t="n">
        <v>-0.0492971973471043</v>
      </c>
      <c r="M279" s="15" t="n">
        <v>-0.0913390753718397</v>
      </c>
      <c r="N279" s="16" t="n">
        <v>0.0295</v>
      </c>
      <c r="O279" s="25" t="n">
        <v>1</v>
      </c>
      <c r="P279" s="13" t="s">
        <v>96</v>
      </c>
      <c r="Q279" s="13"/>
    </row>
    <row r="280" customFormat="false" ht="15" hidden="false" customHeight="false" outlineLevel="0" collapsed="false">
      <c r="A280" s="18" t="s">
        <v>172</v>
      </c>
      <c r="B280" s="18" t="s">
        <v>243</v>
      </c>
      <c r="C280" s="18" t="s">
        <v>145</v>
      </c>
      <c r="D280" s="26" t="n">
        <v>12</v>
      </c>
      <c r="E280" s="18" t="s">
        <v>73</v>
      </c>
      <c r="F280" s="18" t="s">
        <v>327</v>
      </c>
      <c r="G280" s="27"/>
      <c r="H280" s="19" t="n">
        <v>-232</v>
      </c>
      <c r="I280" s="21" t="n">
        <v>0.64782511040351</v>
      </c>
      <c r="J280" s="21" t="n">
        <v>0.675578486554096</v>
      </c>
      <c r="K280" s="21" t="n">
        <v>0.698795180722892</v>
      </c>
      <c r="L280" s="20" t="n">
        <v>-0.0509700703193816</v>
      </c>
      <c r="M280" s="20" t="n">
        <v>-0.0729399282156669</v>
      </c>
      <c r="N280" s="21" t="n">
        <v>0</v>
      </c>
      <c r="O280" s="28" t="n">
        <v>1</v>
      </c>
      <c r="P280" s="18" t="s">
        <v>96</v>
      </c>
      <c r="Q280" s="18"/>
    </row>
    <row r="281" customFormat="false" ht="15" hidden="false" customHeight="false" outlineLevel="0" collapsed="false">
      <c r="A281" s="13" t="s">
        <v>172</v>
      </c>
      <c r="B281" s="13" t="s">
        <v>296</v>
      </c>
      <c r="C281" s="13" t="s">
        <v>102</v>
      </c>
      <c r="D281" s="23" t="n">
        <v>13</v>
      </c>
      <c r="E281" s="13" t="s">
        <v>45</v>
      </c>
      <c r="F281" s="13" t="s">
        <v>328</v>
      </c>
      <c r="G281" s="24" t="n">
        <v>-2.5</v>
      </c>
      <c r="H281" s="14" t="n">
        <v>-110</v>
      </c>
      <c r="I281" s="16" t="n">
        <v>0.472654584960645</v>
      </c>
      <c r="J281" s="16" t="n">
        <v>0.5</v>
      </c>
      <c r="K281" s="16" t="n">
        <v>0.523809523809524</v>
      </c>
      <c r="L281" s="15" t="n">
        <v>-0.051154938848879</v>
      </c>
      <c r="M281" s="15" t="n">
        <v>-0.0976594287114962</v>
      </c>
      <c r="N281" s="16" t="n">
        <v>0</v>
      </c>
      <c r="O281" s="25" t="n">
        <v>1</v>
      </c>
      <c r="P281" s="13" t="s">
        <v>96</v>
      </c>
      <c r="Q281" s="13"/>
    </row>
    <row r="282" customFormat="false" ht="15" hidden="false" customHeight="false" outlineLevel="0" collapsed="false">
      <c r="A282" s="18" t="s">
        <v>172</v>
      </c>
      <c r="B282" s="18" t="s">
        <v>246</v>
      </c>
      <c r="C282" s="18" t="s">
        <v>51</v>
      </c>
      <c r="D282" s="26" t="n">
        <v>14</v>
      </c>
      <c r="E282" s="18" t="s">
        <v>45</v>
      </c>
      <c r="F282" s="18" t="s">
        <v>329</v>
      </c>
      <c r="G282" s="27" t="n">
        <v>-0.5</v>
      </c>
      <c r="H282" s="19" t="n">
        <v>-110</v>
      </c>
      <c r="I282" s="21" t="n">
        <v>0.47239002488398</v>
      </c>
      <c r="J282" s="21" t="n">
        <v>0.5</v>
      </c>
      <c r="K282" s="21" t="n">
        <v>0.523809523809524</v>
      </c>
      <c r="L282" s="20" t="n">
        <v>-0.0514194989255442</v>
      </c>
      <c r="M282" s="20" t="n">
        <v>-0.0981644979487661</v>
      </c>
      <c r="N282" s="21" t="n">
        <v>0</v>
      </c>
      <c r="O282" s="28" t="n">
        <v>1</v>
      </c>
      <c r="P282" s="18" t="s">
        <v>96</v>
      </c>
      <c r="Q282" s="18"/>
    </row>
    <row r="283" customFormat="false" ht="15" hidden="false" customHeight="false" outlineLevel="0" collapsed="false">
      <c r="A283" s="13" t="s">
        <v>172</v>
      </c>
      <c r="B283" s="13" t="s">
        <v>224</v>
      </c>
      <c r="C283" s="13" t="s">
        <v>59</v>
      </c>
      <c r="D283" s="23" t="n">
        <v>10</v>
      </c>
      <c r="E283" s="13" t="s">
        <v>49</v>
      </c>
      <c r="F283" s="13" t="s">
        <v>258</v>
      </c>
      <c r="G283" s="24" t="n">
        <v>54.5</v>
      </c>
      <c r="H283" s="14" t="n">
        <v>-110</v>
      </c>
      <c r="I283" s="16" t="n">
        <v>0.472153474355881</v>
      </c>
      <c r="J283" s="16" t="n">
        <v>0.5</v>
      </c>
      <c r="K283" s="16" t="n">
        <v>0.523809523809524</v>
      </c>
      <c r="L283" s="15" t="n">
        <v>-0.0516560494536424</v>
      </c>
      <c r="M283" s="15" t="n">
        <v>-0.0986160944114991</v>
      </c>
      <c r="N283" s="16" t="n">
        <v>0</v>
      </c>
      <c r="O283" s="25" t="n">
        <v>1</v>
      </c>
      <c r="P283" s="13" t="s">
        <v>96</v>
      </c>
      <c r="Q283" s="13"/>
    </row>
    <row r="284" customFormat="false" ht="15" hidden="false" customHeight="false" outlineLevel="0" collapsed="false">
      <c r="A284" s="18" t="s">
        <v>172</v>
      </c>
      <c r="B284" s="18" t="s">
        <v>255</v>
      </c>
      <c r="C284" s="18" t="s">
        <v>62</v>
      </c>
      <c r="D284" s="26" t="n">
        <v>10</v>
      </c>
      <c r="E284" s="18" t="s">
        <v>49</v>
      </c>
      <c r="F284" s="18" t="s">
        <v>321</v>
      </c>
      <c r="G284" s="27" t="n">
        <v>55.5</v>
      </c>
      <c r="H284" s="19" t="n">
        <v>-110</v>
      </c>
      <c r="I284" s="21" t="n">
        <v>0.472153463928466</v>
      </c>
      <c r="J284" s="21" t="n">
        <v>0.5</v>
      </c>
      <c r="K284" s="21" t="n">
        <v>0.523809523809524</v>
      </c>
      <c r="L284" s="20" t="n">
        <v>-0.0516560598810584</v>
      </c>
      <c r="M284" s="20" t="n">
        <v>-0.0986161143183841</v>
      </c>
      <c r="N284" s="21" t="n">
        <v>0</v>
      </c>
      <c r="O284" s="28" t="n">
        <v>1</v>
      </c>
      <c r="P284" s="18" t="s">
        <v>96</v>
      </c>
      <c r="Q284" s="18"/>
    </row>
    <row r="285" customFormat="false" ht="15" hidden="false" customHeight="false" outlineLevel="0" collapsed="false">
      <c r="A285" s="13" t="s">
        <v>172</v>
      </c>
      <c r="B285" s="13" t="s">
        <v>284</v>
      </c>
      <c r="C285" s="13" t="s">
        <v>145</v>
      </c>
      <c r="D285" s="23" t="n">
        <v>12</v>
      </c>
      <c r="E285" s="13" t="s">
        <v>49</v>
      </c>
      <c r="F285" s="13" t="s">
        <v>316</v>
      </c>
      <c r="G285" s="24" t="n">
        <v>58</v>
      </c>
      <c r="H285" s="14" t="n">
        <v>-110</v>
      </c>
      <c r="I285" s="16" t="n">
        <v>0.471044149040971</v>
      </c>
      <c r="J285" s="16" t="n">
        <v>0.5</v>
      </c>
      <c r="K285" s="16" t="n">
        <v>0.523809523809524</v>
      </c>
      <c r="L285" s="15" t="n">
        <v>-0.0527653747685529</v>
      </c>
      <c r="M285" s="15" t="n">
        <v>-0.0967543871148845</v>
      </c>
      <c r="N285" s="16" t="n">
        <v>0.0395</v>
      </c>
      <c r="O285" s="25" t="n">
        <v>1</v>
      </c>
      <c r="P285" s="13" t="s">
        <v>96</v>
      </c>
      <c r="Q285" s="13"/>
    </row>
    <row r="286" customFormat="false" ht="15" hidden="false" customHeight="false" outlineLevel="0" collapsed="false">
      <c r="A286" s="18" t="s">
        <v>172</v>
      </c>
      <c r="B286" s="18" t="s">
        <v>291</v>
      </c>
      <c r="C286" s="18" t="s">
        <v>47</v>
      </c>
      <c r="D286" s="26" t="n">
        <v>14</v>
      </c>
      <c r="E286" s="18" t="s">
        <v>49</v>
      </c>
      <c r="F286" s="18" t="s">
        <v>321</v>
      </c>
      <c r="G286" s="27" t="n">
        <v>55.5</v>
      </c>
      <c r="H286" s="19" t="n">
        <v>-110</v>
      </c>
      <c r="I286" s="21" t="n">
        <v>0.470178814385088</v>
      </c>
      <c r="J286" s="21" t="n">
        <v>0.5</v>
      </c>
      <c r="K286" s="21" t="n">
        <v>0.523809523809524</v>
      </c>
      <c r="L286" s="20" t="n">
        <v>-0.0536307094244363</v>
      </c>
      <c r="M286" s="20" t="n">
        <v>-0.102385899810287</v>
      </c>
      <c r="N286" s="21" t="n">
        <v>0</v>
      </c>
      <c r="O286" s="28" t="n">
        <v>1</v>
      </c>
      <c r="P286" s="18" t="s">
        <v>96</v>
      </c>
      <c r="Q286" s="18"/>
    </row>
    <row r="287" customFormat="false" ht="15" hidden="false" customHeight="false" outlineLevel="0" collapsed="false">
      <c r="A287" s="13" t="s">
        <v>172</v>
      </c>
      <c r="B287" s="13" t="s">
        <v>255</v>
      </c>
      <c r="C287" s="13" t="s">
        <v>62</v>
      </c>
      <c r="D287" s="23" t="n">
        <v>10</v>
      </c>
      <c r="E287" s="13" t="s">
        <v>73</v>
      </c>
      <c r="F287" s="13" t="s">
        <v>327</v>
      </c>
      <c r="G287" s="24"/>
      <c r="H287" s="14" t="n">
        <v>134</v>
      </c>
      <c r="I287" s="16" t="n">
        <v>0.373011678873361</v>
      </c>
      <c r="J287" s="16" t="n">
        <v>0.412821758135017</v>
      </c>
      <c r="K287" s="16" t="n">
        <v>0.427350427350427</v>
      </c>
      <c r="L287" s="15" t="n">
        <v>-0.0543387484770666</v>
      </c>
      <c r="M287" s="15" t="n">
        <v>-0.127152671436336</v>
      </c>
      <c r="N287" s="16" t="n">
        <v>0</v>
      </c>
      <c r="O287" s="25" t="n">
        <v>1</v>
      </c>
      <c r="P287" s="13" t="s">
        <v>96</v>
      </c>
      <c r="Q287" s="13"/>
    </row>
    <row r="288" customFormat="false" ht="15" hidden="false" customHeight="false" outlineLevel="0" collapsed="false">
      <c r="A288" s="18" t="s">
        <v>172</v>
      </c>
      <c r="B288" s="18" t="s">
        <v>142</v>
      </c>
      <c r="C288" s="18" t="s">
        <v>136</v>
      </c>
      <c r="D288" s="26" t="n">
        <v>12</v>
      </c>
      <c r="E288" s="18" t="s">
        <v>49</v>
      </c>
      <c r="F288" s="18" t="s">
        <v>307</v>
      </c>
      <c r="G288" s="27" t="n">
        <v>58.5</v>
      </c>
      <c r="H288" s="19" t="n">
        <v>-110</v>
      </c>
      <c r="I288" s="21" t="n">
        <v>0.46820712922263</v>
      </c>
      <c r="J288" s="21" t="n">
        <v>0.5</v>
      </c>
      <c r="K288" s="21" t="n">
        <v>0.523809523809524</v>
      </c>
      <c r="L288" s="20" t="n">
        <v>-0.0556023945868936</v>
      </c>
      <c r="M288" s="20" t="n">
        <v>-0.106150026029524</v>
      </c>
      <c r="N288" s="21" t="n">
        <v>0</v>
      </c>
      <c r="O288" s="28" t="n">
        <v>1</v>
      </c>
      <c r="P288" s="18" t="s">
        <v>96</v>
      </c>
      <c r="Q288" s="18"/>
    </row>
    <row r="289" customFormat="false" ht="15" hidden="false" customHeight="false" outlineLevel="0" collapsed="false">
      <c r="A289" s="13" t="s">
        <v>172</v>
      </c>
      <c r="B289" s="13" t="s">
        <v>219</v>
      </c>
      <c r="C289" s="13" t="s">
        <v>145</v>
      </c>
      <c r="D289" s="23" t="n">
        <v>12</v>
      </c>
      <c r="E289" s="13" t="s">
        <v>49</v>
      </c>
      <c r="F289" s="13" t="s">
        <v>280</v>
      </c>
      <c r="G289" s="24" t="n">
        <v>56</v>
      </c>
      <c r="H289" s="14" t="n">
        <v>-110</v>
      </c>
      <c r="I289" s="16" t="n">
        <v>0.466944590612281</v>
      </c>
      <c r="J289" s="16" t="n">
        <v>0.5</v>
      </c>
      <c r="K289" s="16" t="n">
        <v>0.523809523809524</v>
      </c>
      <c r="L289" s="15" t="n">
        <v>-0.0568649331972426</v>
      </c>
      <c r="M289" s="15" t="n">
        <v>-0.104284479186559</v>
      </c>
      <c r="N289" s="16" t="n">
        <v>0.0394</v>
      </c>
      <c r="O289" s="25" t="n">
        <v>1</v>
      </c>
      <c r="P289" s="13" t="s">
        <v>96</v>
      </c>
      <c r="Q289" s="13"/>
    </row>
    <row r="290" customFormat="false" ht="15" hidden="false" customHeight="false" outlineLevel="0" collapsed="false">
      <c r="A290" s="18" t="s">
        <v>172</v>
      </c>
      <c r="B290" s="18" t="s">
        <v>213</v>
      </c>
      <c r="C290" s="18" t="s">
        <v>68</v>
      </c>
      <c r="D290" s="26" t="n">
        <v>11</v>
      </c>
      <c r="E290" s="18" t="s">
        <v>49</v>
      </c>
      <c r="F290" s="18" t="s">
        <v>330</v>
      </c>
      <c r="G290" s="27" t="n">
        <v>55</v>
      </c>
      <c r="H290" s="19" t="n">
        <v>-110</v>
      </c>
      <c r="I290" s="21" t="n">
        <v>0.466944589878054</v>
      </c>
      <c r="J290" s="21" t="n">
        <v>0.5</v>
      </c>
      <c r="K290" s="21" t="n">
        <v>0.523809523809524</v>
      </c>
      <c r="L290" s="20" t="n">
        <v>-0.0568649339314703</v>
      </c>
      <c r="M290" s="20" t="n">
        <v>-0.104284480522405</v>
      </c>
      <c r="N290" s="21" t="n">
        <v>0.0394</v>
      </c>
      <c r="O290" s="28" t="n">
        <v>1</v>
      </c>
      <c r="P290" s="18" t="s">
        <v>96</v>
      </c>
      <c r="Q290" s="18"/>
    </row>
    <row r="291" customFormat="false" ht="15" hidden="false" customHeight="false" outlineLevel="0" collapsed="false">
      <c r="A291" s="13" t="s">
        <v>172</v>
      </c>
      <c r="B291" s="13" t="s">
        <v>275</v>
      </c>
      <c r="C291" s="13" t="s">
        <v>114</v>
      </c>
      <c r="D291" s="23" t="n">
        <v>13</v>
      </c>
      <c r="E291" s="13" t="s">
        <v>73</v>
      </c>
      <c r="F291" s="13" t="s">
        <v>299</v>
      </c>
      <c r="G291" s="24"/>
      <c r="H291" s="14" t="n">
        <v>-108</v>
      </c>
      <c r="I291" s="16" t="n">
        <v>0.461767982708758</v>
      </c>
      <c r="J291" s="16" t="n">
        <v>0.501120774679459</v>
      </c>
      <c r="K291" s="16" t="n">
        <v>0.519230769230769</v>
      </c>
      <c r="L291" s="15" t="n">
        <v>-0.0574627865220111</v>
      </c>
      <c r="M291" s="15" t="n">
        <v>-0.110669070338688</v>
      </c>
      <c r="N291" s="16" t="n">
        <v>0</v>
      </c>
      <c r="O291" s="25" t="n">
        <v>1</v>
      </c>
      <c r="P291" s="13" t="s">
        <v>96</v>
      </c>
      <c r="Q291" s="13"/>
    </row>
    <row r="292" customFormat="false" ht="15" hidden="false" customHeight="false" outlineLevel="0" collapsed="false">
      <c r="A292" s="18" t="s">
        <v>172</v>
      </c>
      <c r="B292" s="18" t="s">
        <v>69</v>
      </c>
      <c r="C292" s="18" t="s">
        <v>71</v>
      </c>
      <c r="D292" s="26" t="n">
        <v>11</v>
      </c>
      <c r="E292" s="18" t="s">
        <v>49</v>
      </c>
      <c r="F292" s="18" t="s">
        <v>267</v>
      </c>
      <c r="G292" s="27" t="n">
        <v>57.5</v>
      </c>
      <c r="H292" s="19" t="n">
        <v>-110</v>
      </c>
      <c r="I292" s="21" t="n">
        <v>0.466238595240313</v>
      </c>
      <c r="J292" s="21" t="n">
        <v>0.5</v>
      </c>
      <c r="K292" s="21" t="n">
        <v>0.523809523809524</v>
      </c>
      <c r="L292" s="20" t="n">
        <v>-0.0575709285692111</v>
      </c>
      <c r="M292" s="20" t="n">
        <v>-0.109908136359403</v>
      </c>
      <c r="N292" s="21" t="n">
        <v>0</v>
      </c>
      <c r="O292" s="28" t="n">
        <v>1</v>
      </c>
      <c r="P292" s="18" t="s">
        <v>96</v>
      </c>
      <c r="Q292" s="18"/>
    </row>
    <row r="293" customFormat="false" ht="15" hidden="false" customHeight="false" outlineLevel="0" collapsed="false">
      <c r="A293" s="13" t="s">
        <v>172</v>
      </c>
      <c r="B293" s="13" t="s">
        <v>284</v>
      </c>
      <c r="C293" s="13" t="s">
        <v>145</v>
      </c>
      <c r="D293" s="23" t="n">
        <v>12</v>
      </c>
      <c r="E293" s="13" t="s">
        <v>45</v>
      </c>
      <c r="F293" s="13" t="s">
        <v>331</v>
      </c>
      <c r="G293" s="24" t="n">
        <v>0.5</v>
      </c>
      <c r="H293" s="14" t="n">
        <v>-110</v>
      </c>
      <c r="I293" s="16" t="n">
        <v>0.465635795391269</v>
      </c>
      <c r="J293" s="16" t="n">
        <v>0.5</v>
      </c>
      <c r="K293" s="16" t="n">
        <v>0.523809523809524</v>
      </c>
      <c r="L293" s="15" t="n">
        <v>-0.0581737284182544</v>
      </c>
      <c r="M293" s="15" t="n">
        <v>-0.111058936071213</v>
      </c>
      <c r="N293" s="16" t="n">
        <v>0</v>
      </c>
      <c r="O293" s="25" t="n">
        <v>1</v>
      </c>
      <c r="P293" s="13" t="s">
        <v>96</v>
      </c>
      <c r="Q293" s="13"/>
    </row>
    <row r="294" customFormat="false" ht="15" hidden="false" customHeight="false" outlineLevel="0" collapsed="false">
      <c r="A294" s="18" t="s">
        <v>172</v>
      </c>
      <c r="B294" s="18" t="s">
        <v>269</v>
      </c>
      <c r="C294" s="18" t="s">
        <v>136</v>
      </c>
      <c r="D294" s="26" t="n">
        <v>12</v>
      </c>
      <c r="E294" s="18" t="s">
        <v>49</v>
      </c>
      <c r="F294" s="18" t="s">
        <v>289</v>
      </c>
      <c r="G294" s="27" t="n">
        <v>56</v>
      </c>
      <c r="H294" s="19" t="n">
        <v>-110</v>
      </c>
      <c r="I294" s="21" t="n">
        <v>0.464900215217676</v>
      </c>
      <c r="J294" s="21" t="n">
        <v>0.5</v>
      </c>
      <c r="K294" s="21" t="n">
        <v>0.523809523809524</v>
      </c>
      <c r="L294" s="20" t="n">
        <v>-0.0589093085918483</v>
      </c>
      <c r="M294" s="20" t="n">
        <v>-0.108040957529614</v>
      </c>
      <c r="N294" s="21" t="n">
        <v>0.0393</v>
      </c>
      <c r="O294" s="28" t="n">
        <v>1</v>
      </c>
      <c r="P294" s="18" t="s">
        <v>96</v>
      </c>
      <c r="Q294" s="18"/>
    </row>
    <row r="295" customFormat="false" ht="15" hidden="false" customHeight="false" outlineLevel="0" collapsed="false">
      <c r="A295" s="13" t="s">
        <v>172</v>
      </c>
      <c r="B295" s="13" t="s">
        <v>231</v>
      </c>
      <c r="C295" s="13" t="s">
        <v>59</v>
      </c>
      <c r="D295" s="23" t="n">
        <v>10</v>
      </c>
      <c r="E295" s="13" t="s">
        <v>49</v>
      </c>
      <c r="F295" s="13" t="s">
        <v>301</v>
      </c>
      <c r="G295" s="24" t="n">
        <v>54</v>
      </c>
      <c r="H295" s="14" t="n">
        <v>-110</v>
      </c>
      <c r="I295" s="16" t="n">
        <v>0.464900207725991</v>
      </c>
      <c r="J295" s="16" t="n">
        <v>0.5</v>
      </c>
      <c r="K295" s="16" t="n">
        <v>0.523809523809524</v>
      </c>
      <c r="L295" s="15" t="n">
        <v>-0.0589093160835326</v>
      </c>
      <c r="M295" s="15" t="n">
        <v>-0.108040971320712</v>
      </c>
      <c r="N295" s="16" t="n">
        <v>0.0393</v>
      </c>
      <c r="O295" s="25" t="n">
        <v>1</v>
      </c>
      <c r="P295" s="13" t="s">
        <v>96</v>
      </c>
      <c r="Q295" s="13"/>
    </row>
    <row r="296" customFormat="false" ht="15" hidden="false" customHeight="false" outlineLevel="0" collapsed="false">
      <c r="A296" s="18" t="s">
        <v>172</v>
      </c>
      <c r="B296" s="18" t="s">
        <v>275</v>
      </c>
      <c r="C296" s="18" t="s">
        <v>114</v>
      </c>
      <c r="D296" s="26" t="n">
        <v>13</v>
      </c>
      <c r="E296" s="18" t="s">
        <v>45</v>
      </c>
      <c r="F296" s="18" t="s">
        <v>332</v>
      </c>
      <c r="G296" s="27" t="n">
        <v>-0.5</v>
      </c>
      <c r="H296" s="19" t="n">
        <v>-110</v>
      </c>
      <c r="I296" s="21" t="n">
        <v>0.464702240544449</v>
      </c>
      <c r="J296" s="21" t="n">
        <v>0.5</v>
      </c>
      <c r="K296" s="21" t="n">
        <v>0.523809523809524</v>
      </c>
      <c r="L296" s="20" t="n">
        <v>-0.0591072832650753</v>
      </c>
      <c r="M296" s="20" t="n">
        <v>-0.112841177142416</v>
      </c>
      <c r="N296" s="21" t="n">
        <v>0</v>
      </c>
      <c r="O296" s="28" t="n">
        <v>1</v>
      </c>
      <c r="P296" s="18" t="s">
        <v>96</v>
      </c>
      <c r="Q296" s="18"/>
    </row>
    <row r="297" customFormat="false" ht="15" hidden="false" customHeight="false" outlineLevel="0" collapsed="false">
      <c r="A297" s="13" t="s">
        <v>172</v>
      </c>
      <c r="B297" s="13" t="s">
        <v>123</v>
      </c>
      <c r="C297" s="13" t="s">
        <v>102</v>
      </c>
      <c r="D297" s="23" t="n">
        <v>13</v>
      </c>
      <c r="E297" s="13" t="s">
        <v>49</v>
      </c>
      <c r="F297" s="13" t="s">
        <v>333</v>
      </c>
      <c r="G297" s="24" t="n">
        <v>60.5</v>
      </c>
      <c r="H297" s="14" t="n">
        <v>-110</v>
      </c>
      <c r="I297" s="16" t="n">
        <v>0.464273409701047</v>
      </c>
      <c r="J297" s="16" t="n">
        <v>0.5</v>
      </c>
      <c r="K297" s="16" t="n">
        <v>0.523809523809524</v>
      </c>
      <c r="L297" s="15" t="n">
        <v>-0.0595361141084764</v>
      </c>
      <c r="M297" s="15" t="n">
        <v>-0.113659854207091</v>
      </c>
      <c r="N297" s="16" t="n">
        <v>0</v>
      </c>
      <c r="O297" s="25" t="n">
        <v>1</v>
      </c>
      <c r="P297" s="13" t="s">
        <v>96</v>
      </c>
      <c r="Q297" s="13"/>
    </row>
    <row r="298" customFormat="false" ht="15" hidden="false" customHeight="false" outlineLevel="0" collapsed="false">
      <c r="A298" s="18" t="s">
        <v>172</v>
      </c>
      <c r="B298" s="18" t="s">
        <v>127</v>
      </c>
      <c r="C298" s="18" t="s">
        <v>65</v>
      </c>
      <c r="D298" s="26" t="n">
        <v>11</v>
      </c>
      <c r="E298" s="18" t="s">
        <v>45</v>
      </c>
      <c r="F298" s="18" t="s">
        <v>334</v>
      </c>
      <c r="G298" s="27" t="n">
        <v>-3</v>
      </c>
      <c r="H298" s="19" t="n">
        <v>-110</v>
      </c>
      <c r="I298" s="21" t="n">
        <v>0.463870131344644</v>
      </c>
      <c r="J298" s="21" t="n">
        <v>0.5</v>
      </c>
      <c r="K298" s="21" t="n">
        <v>0.523809523809524</v>
      </c>
      <c r="L298" s="20" t="n">
        <v>-0.0599393924648795</v>
      </c>
      <c r="M298" s="20" t="n">
        <v>-0.107548948123484</v>
      </c>
      <c r="N298" s="21" t="n">
        <v>0.0601</v>
      </c>
      <c r="O298" s="28" t="n">
        <v>1</v>
      </c>
      <c r="P298" s="18" t="s">
        <v>96</v>
      </c>
      <c r="Q298" s="18"/>
    </row>
    <row r="299" customFormat="false" ht="15" hidden="false" customHeight="false" outlineLevel="0" collapsed="false">
      <c r="A299" s="13" t="s">
        <v>172</v>
      </c>
      <c r="B299" s="13" t="s">
        <v>272</v>
      </c>
      <c r="C299" s="13" t="s">
        <v>47</v>
      </c>
      <c r="D299" s="23" t="n">
        <v>14</v>
      </c>
      <c r="E299" s="13" t="s">
        <v>73</v>
      </c>
      <c r="F299" s="13" t="s">
        <v>335</v>
      </c>
      <c r="G299" s="24"/>
      <c r="H299" s="14" t="n">
        <v>-135</v>
      </c>
      <c r="I299" s="16" t="n">
        <v>0.514058273673962</v>
      </c>
      <c r="J299" s="16" t="n">
        <v>0.554882091107112</v>
      </c>
      <c r="K299" s="16" t="n">
        <v>0.574468085106383</v>
      </c>
      <c r="L299" s="15" t="n">
        <v>-0.0604098114324215</v>
      </c>
      <c r="M299" s="15" t="n">
        <v>-0.105157819900882</v>
      </c>
      <c r="N299" s="16" t="n">
        <v>0</v>
      </c>
      <c r="O299" s="25" t="n">
        <v>1</v>
      </c>
      <c r="P299" s="13" t="s">
        <v>96</v>
      </c>
      <c r="Q299" s="13"/>
    </row>
    <row r="300" customFormat="false" ht="15" hidden="false" customHeight="false" outlineLevel="0" collapsed="false">
      <c r="A300" s="18" t="s">
        <v>172</v>
      </c>
      <c r="B300" s="18" t="s">
        <v>55</v>
      </c>
      <c r="C300" s="18" t="s">
        <v>51</v>
      </c>
      <c r="D300" s="26" t="n">
        <v>14</v>
      </c>
      <c r="E300" s="18" t="s">
        <v>45</v>
      </c>
      <c r="F300" s="18" t="s">
        <v>336</v>
      </c>
      <c r="G300" s="27" t="n">
        <v>-1</v>
      </c>
      <c r="H300" s="19" t="n">
        <v>-110</v>
      </c>
      <c r="I300" s="21" t="n">
        <v>0.462618808281679</v>
      </c>
      <c r="J300" s="21" t="n">
        <v>0.5</v>
      </c>
      <c r="K300" s="21" t="n">
        <v>0.523809523809524</v>
      </c>
      <c r="L300" s="20" t="n">
        <v>-0.0611907155278454</v>
      </c>
      <c r="M300" s="20" t="n">
        <v>-0.113379648039446</v>
      </c>
      <c r="N300" s="21" t="n">
        <v>0.0294</v>
      </c>
      <c r="O300" s="28" t="n">
        <v>1</v>
      </c>
      <c r="P300" s="18" t="s">
        <v>96</v>
      </c>
      <c r="Q300" s="18"/>
    </row>
    <row r="301" customFormat="false" ht="15" hidden="false" customHeight="false" outlineLevel="0" collapsed="false">
      <c r="A301" s="13" t="s">
        <v>172</v>
      </c>
      <c r="B301" s="13" t="s">
        <v>163</v>
      </c>
      <c r="C301" s="13" t="s">
        <v>75</v>
      </c>
      <c r="D301" s="23" t="n">
        <v>13</v>
      </c>
      <c r="E301" s="13" t="s">
        <v>49</v>
      </c>
      <c r="F301" s="13" t="s">
        <v>323</v>
      </c>
      <c r="G301" s="24" t="n">
        <v>53.5</v>
      </c>
      <c r="H301" s="14" t="n">
        <v>-110</v>
      </c>
      <c r="I301" s="16" t="n">
        <v>0.462311756998892</v>
      </c>
      <c r="J301" s="16" t="n">
        <v>0.5</v>
      </c>
      <c r="K301" s="16" t="n">
        <v>0.523809523809524</v>
      </c>
      <c r="L301" s="15" t="n">
        <v>-0.0614977668106317</v>
      </c>
      <c r="M301" s="15" t="n">
        <v>-0.11740482754757</v>
      </c>
      <c r="N301" s="16" t="n">
        <v>0</v>
      </c>
      <c r="O301" s="25" t="n">
        <v>1</v>
      </c>
      <c r="P301" s="13" t="s">
        <v>96</v>
      </c>
      <c r="Q301" s="13"/>
    </row>
    <row r="302" customFormat="false" ht="15" hidden="false" customHeight="false" outlineLevel="0" collapsed="false">
      <c r="A302" s="18" t="s">
        <v>172</v>
      </c>
      <c r="B302" s="18" t="s">
        <v>189</v>
      </c>
      <c r="C302" s="18" t="s">
        <v>68</v>
      </c>
      <c r="D302" s="26" t="n">
        <v>11</v>
      </c>
      <c r="E302" s="18" t="s">
        <v>73</v>
      </c>
      <c r="F302" s="18" t="s">
        <v>262</v>
      </c>
      <c r="G302" s="27"/>
      <c r="H302" s="19" t="n">
        <v>-211</v>
      </c>
      <c r="I302" s="21" t="n">
        <v>0.616620553995037</v>
      </c>
      <c r="J302" s="21" t="n">
        <v>0.655939197486475</v>
      </c>
      <c r="K302" s="21" t="n">
        <v>0.678456591639871</v>
      </c>
      <c r="L302" s="20" t="n">
        <v>-0.0618360376448348</v>
      </c>
      <c r="M302" s="20" t="n">
        <v>-0.0911422166234295</v>
      </c>
      <c r="N302" s="21" t="n">
        <v>0</v>
      </c>
      <c r="O302" s="28" t="n">
        <v>1</v>
      </c>
      <c r="P302" s="18" t="s">
        <v>96</v>
      </c>
      <c r="Q302" s="18"/>
    </row>
    <row r="303" customFormat="false" ht="15" hidden="false" customHeight="false" outlineLevel="0" collapsed="false">
      <c r="A303" s="13" t="s">
        <v>172</v>
      </c>
      <c r="B303" s="13" t="s">
        <v>121</v>
      </c>
      <c r="C303" s="13" t="s">
        <v>65</v>
      </c>
      <c r="D303" s="23" t="n">
        <v>11</v>
      </c>
      <c r="E303" s="13" t="s">
        <v>45</v>
      </c>
      <c r="F303" s="13" t="s">
        <v>337</v>
      </c>
      <c r="G303" s="24" t="n">
        <v>-6.5</v>
      </c>
      <c r="H303" s="14" t="n">
        <v>-110</v>
      </c>
      <c r="I303" s="16" t="n">
        <v>0.461895148395537</v>
      </c>
      <c r="J303" s="16" t="n">
        <v>0.5</v>
      </c>
      <c r="K303" s="16" t="n">
        <v>0.523809523809524</v>
      </c>
      <c r="L303" s="15" t="n">
        <v>-0.0619143754139872</v>
      </c>
      <c r="M303" s="15" t="n">
        <v>-0.118200171244885</v>
      </c>
      <c r="N303" s="16" t="n">
        <v>0</v>
      </c>
      <c r="O303" s="25" t="n">
        <v>1</v>
      </c>
      <c r="P303" s="13" t="s">
        <v>96</v>
      </c>
      <c r="Q303" s="13"/>
    </row>
    <row r="304" customFormat="false" ht="15" hidden="false" customHeight="false" outlineLevel="0" collapsed="false">
      <c r="A304" s="18" t="s">
        <v>172</v>
      </c>
      <c r="B304" s="18" t="s">
        <v>246</v>
      </c>
      <c r="C304" s="18" t="s">
        <v>51</v>
      </c>
      <c r="D304" s="26" t="n">
        <v>14</v>
      </c>
      <c r="E304" s="18" t="s">
        <v>73</v>
      </c>
      <c r="F304" s="18" t="s">
        <v>196</v>
      </c>
      <c r="G304" s="27"/>
      <c r="H304" s="19" t="n">
        <v>-119</v>
      </c>
      <c r="I304" s="21" t="n">
        <v>0.481122065871255</v>
      </c>
      <c r="J304" s="21" t="n">
        <v>0.524502247215407</v>
      </c>
      <c r="K304" s="21" t="n">
        <v>0.54337899543379</v>
      </c>
      <c r="L304" s="20" t="n">
        <v>-0.0622569295625352</v>
      </c>
      <c r="M304" s="20" t="n">
        <v>-0.114573677094077</v>
      </c>
      <c r="N304" s="21" t="n">
        <v>0</v>
      </c>
      <c r="O304" s="28" t="n">
        <v>1</v>
      </c>
      <c r="P304" s="18" t="s">
        <v>96</v>
      </c>
      <c r="Q304" s="18"/>
    </row>
    <row r="305" customFormat="false" ht="15" hidden="false" customHeight="false" outlineLevel="0" collapsed="false">
      <c r="A305" s="13" t="s">
        <v>172</v>
      </c>
      <c r="B305" s="13" t="s">
        <v>253</v>
      </c>
      <c r="C305" s="13" t="s">
        <v>102</v>
      </c>
      <c r="D305" s="23" t="n">
        <v>13</v>
      </c>
      <c r="E305" s="13" t="s">
        <v>49</v>
      </c>
      <c r="F305" s="13" t="s">
        <v>289</v>
      </c>
      <c r="G305" s="24" t="n">
        <v>56</v>
      </c>
      <c r="H305" s="14" t="n">
        <v>-110</v>
      </c>
      <c r="I305" s="16" t="n">
        <v>0.460823356620221</v>
      </c>
      <c r="J305" s="16" t="n">
        <v>0.5</v>
      </c>
      <c r="K305" s="16" t="n">
        <v>0.523809523809524</v>
      </c>
      <c r="L305" s="15" t="n">
        <v>-0.0629861671893027</v>
      </c>
      <c r="M305" s="15" t="n">
        <v>-0.11553499648212</v>
      </c>
      <c r="N305" s="16" t="n">
        <v>0.0392</v>
      </c>
      <c r="O305" s="25" t="n">
        <v>1</v>
      </c>
      <c r="P305" s="13" t="s">
        <v>96</v>
      </c>
      <c r="Q305" s="13"/>
    </row>
    <row r="306" customFormat="false" ht="15" hidden="false" customHeight="false" outlineLevel="0" collapsed="false">
      <c r="A306" s="18" t="s">
        <v>172</v>
      </c>
      <c r="B306" s="18" t="s">
        <v>279</v>
      </c>
      <c r="C306" s="18" t="s">
        <v>75</v>
      </c>
      <c r="D306" s="26" t="n">
        <v>13</v>
      </c>
      <c r="E306" s="18" t="s">
        <v>49</v>
      </c>
      <c r="F306" s="18" t="s">
        <v>301</v>
      </c>
      <c r="G306" s="27" t="n">
        <v>54</v>
      </c>
      <c r="H306" s="19" t="n">
        <v>-110</v>
      </c>
      <c r="I306" s="21" t="n">
        <v>0.460823348938626</v>
      </c>
      <c r="J306" s="21" t="n">
        <v>0.5</v>
      </c>
      <c r="K306" s="21" t="n">
        <v>0.523809523809524</v>
      </c>
      <c r="L306" s="20" t="n">
        <v>-0.0629861748708981</v>
      </c>
      <c r="M306" s="20" t="n">
        <v>-0.115535010643624</v>
      </c>
      <c r="N306" s="21" t="n">
        <v>0.0392</v>
      </c>
      <c r="O306" s="28" t="n">
        <v>1</v>
      </c>
      <c r="P306" s="18" t="s">
        <v>96</v>
      </c>
      <c r="Q306" s="18"/>
    </row>
    <row r="307" customFormat="false" ht="15" hidden="false" customHeight="false" outlineLevel="0" collapsed="false">
      <c r="A307" s="13" t="s">
        <v>172</v>
      </c>
      <c r="B307" s="13" t="s">
        <v>206</v>
      </c>
      <c r="C307" s="13" t="s">
        <v>65</v>
      </c>
      <c r="D307" s="23" t="n">
        <v>11</v>
      </c>
      <c r="E307" s="13" t="s">
        <v>49</v>
      </c>
      <c r="F307" s="13" t="s">
        <v>338</v>
      </c>
      <c r="G307" s="24" t="n">
        <v>51</v>
      </c>
      <c r="H307" s="14" t="n">
        <v>-110</v>
      </c>
      <c r="I307" s="16" t="n">
        <v>0.460823337646347</v>
      </c>
      <c r="J307" s="16" t="n">
        <v>0.5</v>
      </c>
      <c r="K307" s="16" t="n">
        <v>0.523809523809524</v>
      </c>
      <c r="L307" s="15" t="n">
        <v>-0.0629861861631769</v>
      </c>
      <c r="M307" s="15" t="n">
        <v>-0.115535031180189</v>
      </c>
      <c r="N307" s="16" t="n">
        <v>0.0392</v>
      </c>
      <c r="O307" s="25" t="n">
        <v>1</v>
      </c>
      <c r="P307" s="13" t="s">
        <v>96</v>
      </c>
      <c r="Q307" s="13"/>
    </row>
    <row r="308" customFormat="false" ht="15" hidden="false" customHeight="false" outlineLevel="0" collapsed="false">
      <c r="A308" s="18" t="s">
        <v>172</v>
      </c>
      <c r="B308" s="18" t="s">
        <v>272</v>
      </c>
      <c r="C308" s="18" t="s">
        <v>47</v>
      </c>
      <c r="D308" s="26" t="n">
        <v>14</v>
      </c>
      <c r="E308" s="18" t="s">
        <v>45</v>
      </c>
      <c r="F308" s="18" t="s">
        <v>339</v>
      </c>
      <c r="G308" s="27" t="n">
        <v>2</v>
      </c>
      <c r="H308" s="19" t="n">
        <v>-110</v>
      </c>
      <c r="I308" s="21" t="n">
        <v>0.460643163775297</v>
      </c>
      <c r="J308" s="21" t="n">
        <v>0.5</v>
      </c>
      <c r="K308" s="21" t="n">
        <v>0.523809523809524</v>
      </c>
      <c r="L308" s="20" t="n">
        <v>-0.0631663600342265</v>
      </c>
      <c r="M308" s="20" t="n">
        <v>-0.117390538114591</v>
      </c>
      <c r="N308" s="21" t="n">
        <v>0.0265</v>
      </c>
      <c r="O308" s="28" t="n">
        <v>1</v>
      </c>
      <c r="P308" s="18" t="s">
        <v>96</v>
      </c>
      <c r="Q308" s="18"/>
    </row>
    <row r="309" customFormat="false" ht="15" hidden="false" customHeight="false" outlineLevel="0" collapsed="false">
      <c r="A309" s="13" t="s">
        <v>172</v>
      </c>
      <c r="B309" s="13" t="s">
        <v>229</v>
      </c>
      <c r="C309" s="13" t="s">
        <v>71</v>
      </c>
      <c r="D309" s="23" t="n">
        <v>11</v>
      </c>
      <c r="E309" s="13" t="s">
        <v>45</v>
      </c>
      <c r="F309" s="13" t="s">
        <v>340</v>
      </c>
      <c r="G309" s="24" t="n">
        <v>-9</v>
      </c>
      <c r="H309" s="14" t="n">
        <v>-110</v>
      </c>
      <c r="I309" s="16" t="n">
        <v>0.458947132899296</v>
      </c>
      <c r="J309" s="16" t="n">
        <v>0.5</v>
      </c>
      <c r="K309" s="16" t="n">
        <v>0.523809523809524</v>
      </c>
      <c r="L309" s="15" t="n">
        <v>-0.0648623909102275</v>
      </c>
      <c r="M309" s="15" t="n">
        <v>-0.120904155524312</v>
      </c>
      <c r="N309" s="16" t="n">
        <v>0.0236</v>
      </c>
      <c r="O309" s="25" t="n">
        <v>1</v>
      </c>
      <c r="P309" s="13" t="s">
        <v>96</v>
      </c>
      <c r="Q309" s="13"/>
    </row>
    <row r="310" customFormat="false" ht="15" hidden="false" customHeight="false" outlineLevel="0" collapsed="false">
      <c r="A310" s="18" t="s">
        <v>172</v>
      </c>
      <c r="B310" s="18" t="s">
        <v>168</v>
      </c>
      <c r="C310" s="18" t="s">
        <v>51</v>
      </c>
      <c r="D310" s="26" t="n">
        <v>14</v>
      </c>
      <c r="E310" s="18" t="s">
        <v>73</v>
      </c>
      <c r="F310" s="18" t="s">
        <v>264</v>
      </c>
      <c r="G310" s="27"/>
      <c r="H310" s="19" t="n">
        <v>-177</v>
      </c>
      <c r="I310" s="21" t="n">
        <v>0.573554326547432</v>
      </c>
      <c r="J310" s="21" t="n">
        <v>0.616895330825404</v>
      </c>
      <c r="K310" s="21" t="n">
        <v>0.63898916967509</v>
      </c>
      <c r="L310" s="20" t="n">
        <v>-0.0654348431276582</v>
      </c>
      <c r="M310" s="20" t="n">
        <v>-0.102403681052889</v>
      </c>
      <c r="N310" s="21" t="n">
        <v>0</v>
      </c>
      <c r="O310" s="28" t="n">
        <v>1</v>
      </c>
      <c r="P310" s="18" t="s">
        <v>96</v>
      </c>
      <c r="Q310" s="18"/>
    </row>
    <row r="311" customFormat="false" ht="15" hidden="false" customHeight="false" outlineLevel="0" collapsed="false">
      <c r="A311" s="13" t="s">
        <v>172</v>
      </c>
      <c r="B311" s="13" t="s">
        <v>269</v>
      </c>
      <c r="C311" s="13" t="s">
        <v>136</v>
      </c>
      <c r="D311" s="23" t="n">
        <v>12</v>
      </c>
      <c r="E311" s="13" t="s">
        <v>73</v>
      </c>
      <c r="F311" s="13" t="s">
        <v>254</v>
      </c>
      <c r="G311" s="24"/>
      <c r="H311" s="14" t="n">
        <v>-202</v>
      </c>
      <c r="I311" s="16" t="n">
        <v>0.603062879631215</v>
      </c>
      <c r="J311" s="16" t="n">
        <v>0.646146275162281</v>
      </c>
      <c r="K311" s="16" t="n">
        <v>0.66887417218543</v>
      </c>
      <c r="L311" s="15" t="n">
        <v>-0.0658112925542156</v>
      </c>
      <c r="M311" s="15" t="n">
        <v>-0.0983911403533322</v>
      </c>
      <c r="N311" s="16" t="n">
        <v>0</v>
      </c>
      <c r="O311" s="25" t="n">
        <v>1</v>
      </c>
      <c r="P311" s="13" t="s">
        <v>96</v>
      </c>
      <c r="Q311" s="13"/>
    </row>
    <row r="312" customFormat="false" ht="15" hidden="false" customHeight="false" outlineLevel="0" collapsed="false">
      <c r="A312" s="18" t="s">
        <v>172</v>
      </c>
      <c r="B312" s="18" t="s">
        <v>135</v>
      </c>
      <c r="C312" s="18" t="s">
        <v>136</v>
      </c>
      <c r="D312" s="26" t="n">
        <v>12</v>
      </c>
      <c r="E312" s="18" t="s">
        <v>73</v>
      </c>
      <c r="F312" s="18" t="s">
        <v>245</v>
      </c>
      <c r="G312" s="27"/>
      <c r="H312" s="19" t="n">
        <v>-205</v>
      </c>
      <c r="I312" s="21" t="n">
        <v>0.606002737111736</v>
      </c>
      <c r="J312" s="21" t="n">
        <v>0.649747358750574</v>
      </c>
      <c r="K312" s="21" t="n">
        <v>0.672131147540984</v>
      </c>
      <c r="L312" s="20" t="n">
        <v>-0.0661284104292478</v>
      </c>
      <c r="M312" s="20" t="n">
        <v>-0.0983861716142467</v>
      </c>
      <c r="N312" s="21" t="n">
        <v>0</v>
      </c>
      <c r="O312" s="28" t="n">
        <v>1</v>
      </c>
      <c r="P312" s="18" t="s">
        <v>96</v>
      </c>
      <c r="Q312" s="18"/>
    </row>
    <row r="313" customFormat="false" ht="15" hidden="false" customHeight="false" outlineLevel="0" collapsed="false">
      <c r="A313" s="13" t="s">
        <v>172</v>
      </c>
      <c r="B313" s="13" t="s">
        <v>268</v>
      </c>
      <c r="C313" s="13" t="s">
        <v>76</v>
      </c>
      <c r="D313" s="23" t="n">
        <v>14</v>
      </c>
      <c r="E313" s="13" t="s">
        <v>73</v>
      </c>
      <c r="F313" s="13" t="s">
        <v>254</v>
      </c>
      <c r="G313" s="24"/>
      <c r="H313" s="14" t="n">
        <v>-160</v>
      </c>
      <c r="I313" s="16" t="n">
        <v>0.54784859817367</v>
      </c>
      <c r="J313" s="16" t="n">
        <v>0.594257178526842</v>
      </c>
      <c r="K313" s="16" t="n">
        <v>0.615384615384615</v>
      </c>
      <c r="L313" s="15" t="n">
        <v>-0.0675360172109458</v>
      </c>
      <c r="M313" s="15" t="n">
        <v>-0.109746027967787</v>
      </c>
      <c r="N313" s="16" t="n">
        <v>0</v>
      </c>
      <c r="O313" s="25" t="n">
        <v>1</v>
      </c>
      <c r="P313" s="13" t="s">
        <v>96</v>
      </c>
      <c r="Q313" s="13"/>
    </row>
    <row r="314" customFormat="false" ht="15" hidden="false" customHeight="false" outlineLevel="0" collapsed="false">
      <c r="A314" s="18" t="s">
        <v>172</v>
      </c>
      <c r="B314" s="18" t="s">
        <v>60</v>
      </c>
      <c r="C314" s="18" t="s">
        <v>62</v>
      </c>
      <c r="D314" s="26" t="n">
        <v>10</v>
      </c>
      <c r="E314" s="18" t="s">
        <v>45</v>
      </c>
      <c r="F314" s="18" t="s">
        <v>341</v>
      </c>
      <c r="G314" s="27" t="n">
        <v>4</v>
      </c>
      <c r="H314" s="19" t="n">
        <v>-110</v>
      </c>
      <c r="I314" s="21" t="n">
        <v>0.455402600777467</v>
      </c>
      <c r="J314" s="21" t="n">
        <v>0.5</v>
      </c>
      <c r="K314" s="21" t="n">
        <v>0.523809523809524</v>
      </c>
      <c r="L314" s="20" t="n">
        <v>-0.0684069230320565</v>
      </c>
      <c r="M314" s="20" t="n">
        <v>-0.126583692224952</v>
      </c>
      <c r="N314" s="21" t="n">
        <v>0.0307</v>
      </c>
      <c r="O314" s="28" t="n">
        <v>1</v>
      </c>
      <c r="P314" s="18" t="s">
        <v>96</v>
      </c>
      <c r="Q314" s="18"/>
    </row>
    <row r="315" customFormat="false" ht="15" hidden="false" customHeight="false" outlineLevel="0" collapsed="false">
      <c r="A315" s="13" t="s">
        <v>172</v>
      </c>
      <c r="B315" s="13" t="s">
        <v>269</v>
      </c>
      <c r="C315" s="13" t="s">
        <v>136</v>
      </c>
      <c r="D315" s="23" t="n">
        <v>12</v>
      </c>
      <c r="E315" s="13" t="s">
        <v>45</v>
      </c>
      <c r="F315" s="13" t="s">
        <v>342</v>
      </c>
      <c r="G315" s="24" t="n">
        <v>-4.5</v>
      </c>
      <c r="H315" s="14" t="n">
        <v>-110</v>
      </c>
      <c r="I315" s="16" t="n">
        <v>0.452156839258398</v>
      </c>
      <c r="J315" s="16" t="n">
        <v>0.5</v>
      </c>
      <c r="K315" s="16" t="n">
        <v>0.523809523809524</v>
      </c>
      <c r="L315" s="15" t="n">
        <v>-0.0716526845511254</v>
      </c>
      <c r="M315" s="15" t="n">
        <v>-0.136791488688512</v>
      </c>
      <c r="N315" s="16" t="n">
        <v>0</v>
      </c>
      <c r="O315" s="25" t="n">
        <v>1</v>
      </c>
      <c r="P315" s="13" t="s">
        <v>96</v>
      </c>
      <c r="Q315" s="13"/>
    </row>
    <row r="316" customFormat="false" ht="15" hidden="false" customHeight="false" outlineLevel="0" collapsed="false">
      <c r="A316" s="18" t="s">
        <v>172</v>
      </c>
      <c r="B316" s="18" t="s">
        <v>161</v>
      </c>
      <c r="C316" s="18" t="s">
        <v>76</v>
      </c>
      <c r="D316" s="26" t="n">
        <v>14</v>
      </c>
      <c r="E316" s="18" t="s">
        <v>45</v>
      </c>
      <c r="F316" s="18" t="s">
        <v>343</v>
      </c>
      <c r="G316" s="27" t="n">
        <v>4</v>
      </c>
      <c r="H316" s="19" t="n">
        <v>-110</v>
      </c>
      <c r="I316" s="21" t="n">
        <v>0.451230856627398</v>
      </c>
      <c r="J316" s="21" t="n">
        <v>0.5</v>
      </c>
      <c r="K316" s="21" t="n">
        <v>0.523809523809524</v>
      </c>
      <c r="L316" s="20" t="n">
        <v>-0.0725786671821255</v>
      </c>
      <c r="M316" s="20" t="n">
        <v>-0.134321223908848</v>
      </c>
      <c r="N316" s="21" t="n">
        <v>0.0306</v>
      </c>
      <c r="O316" s="28" t="n">
        <v>1</v>
      </c>
      <c r="P316" s="18" t="s">
        <v>96</v>
      </c>
      <c r="Q316" s="18"/>
    </row>
    <row r="317" customFormat="false" ht="15" hidden="false" customHeight="false" outlineLevel="0" collapsed="false">
      <c r="A317" s="13" t="s">
        <v>172</v>
      </c>
      <c r="B317" s="13" t="s">
        <v>66</v>
      </c>
      <c r="C317" s="13" t="s">
        <v>68</v>
      </c>
      <c r="D317" s="23" t="n">
        <v>11</v>
      </c>
      <c r="E317" s="13" t="s">
        <v>49</v>
      </c>
      <c r="F317" s="13" t="s">
        <v>305</v>
      </c>
      <c r="G317" s="24" t="n">
        <v>57</v>
      </c>
      <c r="H317" s="14" t="n">
        <v>-110</v>
      </c>
      <c r="I317" s="16" t="n">
        <v>0.450710813782152</v>
      </c>
      <c r="J317" s="16" t="n">
        <v>0.5</v>
      </c>
      <c r="K317" s="16" t="n">
        <v>0.523809523809524</v>
      </c>
      <c r="L317" s="15" t="n">
        <v>-0.073098710027372</v>
      </c>
      <c r="M317" s="15" t="n">
        <v>-0.134142812177868</v>
      </c>
      <c r="N317" s="16" t="n">
        <v>0.0388</v>
      </c>
      <c r="O317" s="25" t="n">
        <v>1</v>
      </c>
      <c r="P317" s="13" t="s">
        <v>96</v>
      </c>
      <c r="Q317" s="13"/>
    </row>
    <row r="318" customFormat="false" ht="15" hidden="false" customHeight="false" outlineLevel="0" collapsed="false">
      <c r="A318" s="18" t="s">
        <v>172</v>
      </c>
      <c r="B318" s="18" t="s">
        <v>205</v>
      </c>
      <c r="C318" s="18" t="s">
        <v>54</v>
      </c>
      <c r="D318" s="26" t="n">
        <v>10</v>
      </c>
      <c r="E318" s="18" t="s">
        <v>49</v>
      </c>
      <c r="F318" s="18" t="s">
        <v>344</v>
      </c>
      <c r="G318" s="27" t="n">
        <v>52.5</v>
      </c>
      <c r="H318" s="19" t="n">
        <v>-110</v>
      </c>
      <c r="I318" s="21" t="n">
        <v>0.450626676697364</v>
      </c>
      <c r="J318" s="21" t="n">
        <v>0.5</v>
      </c>
      <c r="K318" s="21" t="n">
        <v>0.523809523809524</v>
      </c>
      <c r="L318" s="20" t="n">
        <v>-0.0731828471121603</v>
      </c>
      <c r="M318" s="20" t="n">
        <v>-0.139712708123215</v>
      </c>
      <c r="N318" s="21" t="n">
        <v>0</v>
      </c>
      <c r="O318" s="28" t="n">
        <v>1</v>
      </c>
      <c r="P318" s="18" t="s">
        <v>96</v>
      </c>
      <c r="Q318" s="18"/>
    </row>
    <row r="319" customFormat="false" ht="15" hidden="false" customHeight="false" outlineLevel="0" collapsed="false">
      <c r="A319" s="13" t="s">
        <v>172</v>
      </c>
      <c r="B319" s="13" t="s">
        <v>237</v>
      </c>
      <c r="C319" s="13" t="s">
        <v>71</v>
      </c>
      <c r="D319" s="23" t="n">
        <v>11</v>
      </c>
      <c r="E319" s="13" t="s">
        <v>45</v>
      </c>
      <c r="F319" s="13" t="s">
        <v>345</v>
      </c>
      <c r="G319" s="24" t="n">
        <v>-8</v>
      </c>
      <c r="H319" s="14" t="n">
        <v>-110</v>
      </c>
      <c r="I319" s="16" t="n">
        <v>0.450442985534187</v>
      </c>
      <c r="J319" s="16" t="n">
        <v>0.5</v>
      </c>
      <c r="K319" s="16" t="n">
        <v>0.523809523809524</v>
      </c>
      <c r="L319" s="15" t="n">
        <v>-0.0733665382753371</v>
      </c>
      <c r="M319" s="15" t="n">
        <v>-0.136243846004781</v>
      </c>
      <c r="N319" s="16" t="n">
        <v>0.0273</v>
      </c>
      <c r="O319" s="25" t="n">
        <v>1</v>
      </c>
      <c r="P319" s="13" t="s">
        <v>96</v>
      </c>
      <c r="Q319" s="13"/>
    </row>
    <row r="320" customFormat="false" ht="15" hidden="false" customHeight="false" outlineLevel="0" collapsed="false">
      <c r="A320" s="18" t="s">
        <v>172</v>
      </c>
      <c r="B320" s="18" t="s">
        <v>60</v>
      </c>
      <c r="C320" s="18" t="s">
        <v>62</v>
      </c>
      <c r="D320" s="26" t="n">
        <v>10</v>
      </c>
      <c r="E320" s="18" t="s">
        <v>73</v>
      </c>
      <c r="F320" s="18" t="s">
        <v>314</v>
      </c>
      <c r="G320" s="27"/>
      <c r="H320" s="19" t="n">
        <v>-211</v>
      </c>
      <c r="I320" s="21" t="n">
        <v>0.604821523072339</v>
      </c>
      <c r="J320" s="21" t="n">
        <v>0.655939197486475</v>
      </c>
      <c r="K320" s="21" t="n">
        <v>0.678456591639871</v>
      </c>
      <c r="L320" s="20" t="n">
        <v>-0.0736350685675322</v>
      </c>
      <c r="M320" s="20" t="n">
        <v>-0.108533205329396</v>
      </c>
      <c r="N320" s="21" t="n">
        <v>0</v>
      </c>
      <c r="O320" s="28" t="n">
        <v>1</v>
      </c>
      <c r="P320" s="18" t="s">
        <v>96</v>
      </c>
      <c r="Q320" s="18"/>
    </row>
    <row r="321" customFormat="false" ht="15" hidden="false" customHeight="false" outlineLevel="0" collapsed="false">
      <c r="A321" s="13" t="s">
        <v>172</v>
      </c>
      <c r="B321" s="13" t="s">
        <v>231</v>
      </c>
      <c r="C321" s="13" t="s">
        <v>59</v>
      </c>
      <c r="D321" s="23" t="n">
        <v>10</v>
      </c>
      <c r="E321" s="13" t="s">
        <v>73</v>
      </c>
      <c r="F321" s="13" t="s">
        <v>110</v>
      </c>
      <c r="G321" s="24"/>
      <c r="H321" s="14" t="n">
        <v>-162</v>
      </c>
      <c r="I321" s="16" t="n">
        <v>0.544533506508514</v>
      </c>
      <c r="J321" s="16" t="n">
        <v>0.597418561770129</v>
      </c>
      <c r="K321" s="16" t="n">
        <v>0.618320610687023</v>
      </c>
      <c r="L321" s="15" t="n">
        <v>-0.0737871041785089</v>
      </c>
      <c r="M321" s="15" t="n">
        <v>-0.119334699350428</v>
      </c>
      <c r="N321" s="16" t="n">
        <v>0</v>
      </c>
      <c r="O321" s="25" t="n">
        <v>1</v>
      </c>
      <c r="P321" s="13" t="s">
        <v>96</v>
      </c>
      <c r="Q321" s="13"/>
    </row>
    <row r="322" customFormat="false" ht="15" hidden="false" customHeight="false" outlineLevel="0" collapsed="false">
      <c r="A322" s="18" t="s">
        <v>172</v>
      </c>
      <c r="B322" s="18" t="s">
        <v>144</v>
      </c>
      <c r="C322" s="18" t="s">
        <v>145</v>
      </c>
      <c r="D322" s="26" t="n">
        <v>12</v>
      </c>
      <c r="E322" s="18" t="s">
        <v>49</v>
      </c>
      <c r="F322" s="18" t="s">
        <v>346</v>
      </c>
      <c r="G322" s="27" t="n">
        <v>53</v>
      </c>
      <c r="H322" s="19" t="n">
        <v>-110</v>
      </c>
      <c r="I322" s="21" t="n">
        <v>0.448703665955354</v>
      </c>
      <c r="J322" s="21" t="n">
        <v>0.5</v>
      </c>
      <c r="K322" s="21" t="n">
        <v>0.523809523809524</v>
      </c>
      <c r="L322" s="20" t="n">
        <v>-0.0751058578541702</v>
      </c>
      <c r="M322" s="20" t="n">
        <v>-0.137839711726934</v>
      </c>
      <c r="N322" s="21" t="n">
        <v>0.0387</v>
      </c>
      <c r="O322" s="28" t="n">
        <v>1</v>
      </c>
      <c r="P322" s="18" t="s">
        <v>96</v>
      </c>
      <c r="Q322" s="18"/>
    </row>
    <row r="323" customFormat="false" ht="15" hidden="false" customHeight="false" outlineLevel="0" collapsed="false">
      <c r="A323" s="13" t="s">
        <v>172</v>
      </c>
      <c r="B323" s="13" t="s">
        <v>170</v>
      </c>
      <c r="C323" s="13" t="s">
        <v>76</v>
      </c>
      <c r="D323" s="23" t="n">
        <v>14</v>
      </c>
      <c r="E323" s="13" t="s">
        <v>73</v>
      </c>
      <c r="F323" s="13" t="s">
        <v>327</v>
      </c>
      <c r="G323" s="24"/>
      <c r="H323" s="14" t="n">
        <v>-149</v>
      </c>
      <c r="I323" s="16" t="n">
        <v>0.522946350734401</v>
      </c>
      <c r="J323" s="16" t="n">
        <v>0.57811626370275</v>
      </c>
      <c r="K323" s="16" t="n">
        <v>0.598393574297189</v>
      </c>
      <c r="L323" s="15" t="n">
        <v>-0.0754472235627878</v>
      </c>
      <c r="M323" s="15" t="n">
        <v>-0.126082944074726</v>
      </c>
      <c r="N323" s="16" t="n">
        <v>0</v>
      </c>
      <c r="O323" s="25" t="n">
        <v>1</v>
      </c>
      <c r="P323" s="13" t="s">
        <v>96</v>
      </c>
      <c r="Q323" s="13"/>
    </row>
    <row r="324" customFormat="false" ht="15" hidden="false" customHeight="false" outlineLevel="0" collapsed="false">
      <c r="A324" s="18" t="s">
        <v>172</v>
      </c>
      <c r="B324" s="18" t="s">
        <v>106</v>
      </c>
      <c r="C324" s="18" t="s">
        <v>68</v>
      </c>
      <c r="D324" s="26" t="n">
        <v>11</v>
      </c>
      <c r="E324" s="18" t="s">
        <v>73</v>
      </c>
      <c r="F324" s="18" t="s">
        <v>264</v>
      </c>
      <c r="G324" s="27"/>
      <c r="H324" s="19" t="n">
        <v>-114</v>
      </c>
      <c r="I324" s="21" t="n">
        <v>0.455163736082879</v>
      </c>
      <c r="J324" s="21" t="n">
        <v>0.514597556593604</v>
      </c>
      <c r="K324" s="21" t="n">
        <v>0.532710280373832</v>
      </c>
      <c r="L324" s="20" t="n">
        <v>-0.0775465442909527</v>
      </c>
      <c r="M324" s="20" t="n">
        <v>-0.145569828756701</v>
      </c>
      <c r="N324" s="21" t="n">
        <v>0</v>
      </c>
      <c r="O324" s="28" t="n">
        <v>1</v>
      </c>
      <c r="P324" s="18" t="s">
        <v>96</v>
      </c>
      <c r="Q324" s="18"/>
    </row>
    <row r="325" customFormat="false" ht="15" hidden="false" customHeight="false" outlineLevel="0" collapsed="false">
      <c r="A325" s="13" t="s">
        <v>172</v>
      </c>
      <c r="B325" s="13" t="s">
        <v>266</v>
      </c>
      <c r="C325" s="13" t="s">
        <v>114</v>
      </c>
      <c r="D325" s="23" t="n">
        <v>13</v>
      </c>
      <c r="E325" s="13" t="s">
        <v>49</v>
      </c>
      <c r="F325" s="13" t="s">
        <v>287</v>
      </c>
      <c r="G325" s="24" t="n">
        <v>57.5</v>
      </c>
      <c r="H325" s="14" t="n">
        <v>-110</v>
      </c>
      <c r="I325" s="16" t="n">
        <v>0.442930932882143</v>
      </c>
      <c r="J325" s="16" t="n">
        <v>0.5</v>
      </c>
      <c r="K325" s="16" t="n">
        <v>0.523809523809524</v>
      </c>
      <c r="L325" s="15" t="n">
        <v>-0.0808785909273805</v>
      </c>
      <c r="M325" s="15" t="n">
        <v>-0.154404582679545</v>
      </c>
      <c r="N325" s="16" t="n">
        <v>0</v>
      </c>
      <c r="O325" s="25" t="n">
        <v>1</v>
      </c>
      <c r="P325" s="13" t="s">
        <v>96</v>
      </c>
      <c r="Q325" s="13"/>
    </row>
    <row r="326" customFormat="false" ht="15" hidden="false" customHeight="false" outlineLevel="0" collapsed="false">
      <c r="A326" s="18" t="s">
        <v>172</v>
      </c>
      <c r="B326" s="18" t="s">
        <v>243</v>
      </c>
      <c r="C326" s="18" t="s">
        <v>145</v>
      </c>
      <c r="D326" s="26" t="n">
        <v>12</v>
      </c>
      <c r="E326" s="18" t="s">
        <v>45</v>
      </c>
      <c r="F326" s="18" t="s">
        <v>347</v>
      </c>
      <c r="G326" s="27" t="n">
        <v>-7</v>
      </c>
      <c r="H326" s="19" t="n">
        <v>-110</v>
      </c>
      <c r="I326" s="21" t="n">
        <v>0.440585046376893</v>
      </c>
      <c r="J326" s="21" t="n">
        <v>0.5</v>
      </c>
      <c r="K326" s="21" t="n">
        <v>0.523809523809524</v>
      </c>
      <c r="L326" s="20" t="n">
        <v>-0.0832244774326307</v>
      </c>
      <c r="M326" s="20" t="n">
        <v>-0.15099060963177</v>
      </c>
      <c r="N326" s="21" t="n">
        <v>0.0497</v>
      </c>
      <c r="O326" s="28" t="n">
        <v>1</v>
      </c>
      <c r="P326" s="18" t="s">
        <v>96</v>
      </c>
      <c r="Q326" s="18"/>
    </row>
    <row r="327" customFormat="false" ht="15" hidden="false" customHeight="false" outlineLevel="0" collapsed="false">
      <c r="A327" s="13" t="s">
        <v>172</v>
      </c>
      <c r="B327" s="13" t="s">
        <v>241</v>
      </c>
      <c r="C327" s="13" t="s">
        <v>54</v>
      </c>
      <c r="D327" s="23" t="n">
        <v>10</v>
      </c>
      <c r="E327" s="13" t="s">
        <v>49</v>
      </c>
      <c r="F327" s="13" t="s">
        <v>348</v>
      </c>
      <c r="G327" s="24" t="n">
        <v>50.5</v>
      </c>
      <c r="H327" s="14" t="n">
        <v>-110</v>
      </c>
      <c r="I327" s="16" t="n">
        <v>0.437216783350012</v>
      </c>
      <c r="J327" s="16" t="n">
        <v>0.5</v>
      </c>
      <c r="K327" s="16" t="n">
        <v>0.523809523809524</v>
      </c>
      <c r="L327" s="15" t="n">
        <v>-0.0865927404595122</v>
      </c>
      <c r="M327" s="15" t="n">
        <v>-0.165313413604523</v>
      </c>
      <c r="N327" s="16" t="n">
        <v>0</v>
      </c>
      <c r="O327" s="25" t="n">
        <v>1</v>
      </c>
      <c r="P327" s="13" t="s">
        <v>96</v>
      </c>
      <c r="Q327" s="13"/>
    </row>
    <row r="328" customFormat="false" ht="15" hidden="false" customHeight="false" outlineLevel="0" collapsed="false">
      <c r="A328" s="18" t="s">
        <v>172</v>
      </c>
      <c r="B328" s="18" t="s">
        <v>253</v>
      </c>
      <c r="C328" s="18" t="s">
        <v>102</v>
      </c>
      <c r="D328" s="26" t="n">
        <v>13</v>
      </c>
      <c r="E328" s="18" t="s">
        <v>45</v>
      </c>
      <c r="F328" s="18" t="s">
        <v>349</v>
      </c>
      <c r="G328" s="27" t="n">
        <v>-10.5</v>
      </c>
      <c r="H328" s="19" t="n">
        <v>-110</v>
      </c>
      <c r="I328" s="21" t="n">
        <v>0.436417910060281</v>
      </c>
      <c r="J328" s="21" t="n">
        <v>0.5</v>
      </c>
      <c r="K328" s="21" t="n">
        <v>0.523809523809524</v>
      </c>
      <c r="L328" s="20" t="n">
        <v>-0.0873916137492425</v>
      </c>
      <c r="M328" s="20" t="n">
        <v>-0.166838535339463</v>
      </c>
      <c r="N328" s="21" t="n">
        <v>0</v>
      </c>
      <c r="O328" s="28" t="n">
        <v>1</v>
      </c>
      <c r="P328" s="18" t="s">
        <v>96</v>
      </c>
      <c r="Q328" s="18"/>
    </row>
    <row r="329" customFormat="false" ht="15" hidden="false" customHeight="false" outlineLevel="0" collapsed="false">
      <c r="A329" s="13" t="s">
        <v>172</v>
      </c>
      <c r="B329" s="13" t="s">
        <v>224</v>
      </c>
      <c r="C329" s="13" t="s">
        <v>59</v>
      </c>
      <c r="D329" s="23" t="n">
        <v>10</v>
      </c>
      <c r="E329" s="13" t="s">
        <v>73</v>
      </c>
      <c r="F329" s="13" t="s">
        <v>286</v>
      </c>
      <c r="G329" s="24"/>
      <c r="H329" s="14" t="n">
        <v>-268</v>
      </c>
      <c r="I329" s="16" t="n">
        <v>0.640747507047698</v>
      </c>
      <c r="J329" s="16" t="n">
        <v>0.703627343598995</v>
      </c>
      <c r="K329" s="16" t="n">
        <v>0.728260869565217</v>
      </c>
      <c r="L329" s="15" t="n">
        <v>-0.0875133625175196</v>
      </c>
      <c r="M329" s="15" t="n">
        <v>-0.120167602262863</v>
      </c>
      <c r="N329" s="16" t="n">
        <v>0</v>
      </c>
      <c r="O329" s="25" t="n">
        <v>1</v>
      </c>
      <c r="P329" s="13" t="s">
        <v>96</v>
      </c>
      <c r="Q329" s="13"/>
    </row>
    <row r="330" customFormat="false" ht="15" hidden="false" customHeight="false" outlineLevel="0" collapsed="false">
      <c r="A330" s="18" t="s">
        <v>172</v>
      </c>
      <c r="B330" s="18" t="s">
        <v>149</v>
      </c>
      <c r="C330" s="18" t="s">
        <v>62</v>
      </c>
      <c r="D330" s="26" t="n">
        <v>10</v>
      </c>
      <c r="E330" s="18" t="s">
        <v>49</v>
      </c>
      <c r="F330" s="18" t="s">
        <v>307</v>
      </c>
      <c r="G330" s="27" t="n">
        <v>58.5</v>
      </c>
      <c r="H330" s="19" t="n">
        <v>-110</v>
      </c>
      <c r="I330" s="21" t="n">
        <v>0.433437440574779</v>
      </c>
      <c r="J330" s="21" t="n">
        <v>0.5</v>
      </c>
      <c r="K330" s="21" t="n">
        <v>0.523809523809524</v>
      </c>
      <c r="L330" s="20" t="n">
        <v>-0.0903720832347447</v>
      </c>
      <c r="M330" s="20" t="n">
        <v>-0.172528522539058</v>
      </c>
      <c r="N330" s="21" t="n">
        <v>0</v>
      </c>
      <c r="O330" s="28" t="n">
        <v>1</v>
      </c>
      <c r="P330" s="18" t="s">
        <v>96</v>
      </c>
      <c r="Q330" s="18"/>
    </row>
    <row r="331" customFormat="false" ht="15" hidden="false" customHeight="false" outlineLevel="0" collapsed="false">
      <c r="A331" s="13" t="s">
        <v>172</v>
      </c>
      <c r="B331" s="13" t="s">
        <v>253</v>
      </c>
      <c r="C331" s="13" t="s">
        <v>102</v>
      </c>
      <c r="D331" s="23" t="n">
        <v>13</v>
      </c>
      <c r="E331" s="13" t="s">
        <v>73</v>
      </c>
      <c r="F331" s="13" t="s">
        <v>314</v>
      </c>
      <c r="G331" s="24"/>
      <c r="H331" s="14" t="n">
        <v>-664</v>
      </c>
      <c r="I331" s="16" t="n">
        <v>0.777346047424909</v>
      </c>
      <c r="J331" s="16" t="n">
        <v>0.839762412121009</v>
      </c>
      <c r="K331" s="16" t="n">
        <v>0.869109947643979</v>
      </c>
      <c r="L331" s="15" t="n">
        <v>-0.0917639002190702</v>
      </c>
      <c r="M331" s="15" t="n">
        <v>-0.105583764709894</v>
      </c>
      <c r="N331" s="16" t="n">
        <v>0</v>
      </c>
      <c r="O331" s="25" t="n">
        <v>1</v>
      </c>
      <c r="P331" s="13" t="s">
        <v>96</v>
      </c>
      <c r="Q331" s="13" t="s">
        <v>174</v>
      </c>
    </row>
    <row r="332" customFormat="false" ht="15" hidden="false" customHeight="false" outlineLevel="0" collapsed="false">
      <c r="A332" s="18" t="s">
        <v>172</v>
      </c>
      <c r="B332" s="18" t="s">
        <v>238</v>
      </c>
      <c r="C332" s="18" t="s">
        <v>62</v>
      </c>
      <c r="D332" s="26" t="n">
        <v>10</v>
      </c>
      <c r="E332" s="18" t="s">
        <v>45</v>
      </c>
      <c r="F332" s="18" t="s">
        <v>350</v>
      </c>
      <c r="G332" s="27" t="n">
        <v>-7.5</v>
      </c>
      <c r="H332" s="19" t="n">
        <v>-110</v>
      </c>
      <c r="I332" s="21" t="n">
        <v>0.431390224646899</v>
      </c>
      <c r="J332" s="21" t="n">
        <v>0.5</v>
      </c>
      <c r="K332" s="21" t="n">
        <v>0.523809523809524</v>
      </c>
      <c r="L332" s="20" t="n">
        <v>-0.0924192991626253</v>
      </c>
      <c r="M332" s="20" t="n">
        <v>-0.176436843855921</v>
      </c>
      <c r="N332" s="21" t="n">
        <v>0</v>
      </c>
      <c r="O332" s="28" t="n">
        <v>1</v>
      </c>
      <c r="P332" s="18" t="s">
        <v>96</v>
      </c>
      <c r="Q332" s="18"/>
    </row>
    <row r="333" customFormat="false" ht="15" hidden="false" customHeight="false" outlineLevel="0" collapsed="false">
      <c r="A333" s="13" t="s">
        <v>172</v>
      </c>
      <c r="B333" s="13" t="s">
        <v>106</v>
      </c>
      <c r="C333" s="13" t="s">
        <v>68</v>
      </c>
      <c r="D333" s="23" t="n">
        <v>11</v>
      </c>
      <c r="E333" s="13" t="s">
        <v>45</v>
      </c>
      <c r="F333" s="13" t="s">
        <v>351</v>
      </c>
      <c r="G333" s="24" t="n">
        <v>1.5</v>
      </c>
      <c r="H333" s="14" t="n">
        <v>-110</v>
      </c>
      <c r="I333" s="16" t="n">
        <v>0.430393757676734</v>
      </c>
      <c r="J333" s="16" t="n">
        <v>0.5</v>
      </c>
      <c r="K333" s="16" t="n">
        <v>0.523809523809524</v>
      </c>
      <c r="L333" s="15" t="n">
        <v>-0.0934157661327901</v>
      </c>
      <c r="M333" s="15" t="n">
        <v>-0.178339189889872</v>
      </c>
      <c r="N333" s="16" t="n">
        <v>0</v>
      </c>
      <c r="O333" s="25" t="n">
        <v>1</v>
      </c>
      <c r="P333" s="13" t="s">
        <v>96</v>
      </c>
      <c r="Q333" s="13"/>
    </row>
    <row r="334" customFormat="false" ht="15" hidden="false" customHeight="false" outlineLevel="0" collapsed="false">
      <c r="A334" s="18" t="s">
        <v>172</v>
      </c>
      <c r="B334" s="18" t="s">
        <v>133</v>
      </c>
      <c r="C334" s="18" t="s">
        <v>71</v>
      </c>
      <c r="D334" s="26" t="n">
        <v>11</v>
      </c>
      <c r="E334" s="18" t="s">
        <v>49</v>
      </c>
      <c r="F334" s="18" t="s">
        <v>294</v>
      </c>
      <c r="G334" s="27" t="n">
        <v>54.5</v>
      </c>
      <c r="H334" s="19" t="n">
        <v>-110</v>
      </c>
      <c r="I334" s="21" t="n">
        <v>0.429683715857684</v>
      </c>
      <c r="J334" s="21" t="n">
        <v>0.5</v>
      </c>
      <c r="K334" s="21" t="n">
        <v>0.523809523809524</v>
      </c>
      <c r="L334" s="20" t="n">
        <v>-0.09412580795184</v>
      </c>
      <c r="M334" s="20" t="n">
        <v>-0.179694724271695</v>
      </c>
      <c r="N334" s="21" t="n">
        <v>0</v>
      </c>
      <c r="O334" s="28" t="n">
        <v>1</v>
      </c>
      <c r="P334" s="18" t="s">
        <v>96</v>
      </c>
      <c r="Q334" s="18"/>
    </row>
    <row r="335" customFormat="false" ht="15" hidden="false" customHeight="false" outlineLevel="0" collapsed="false">
      <c r="A335" s="13" t="s">
        <v>172</v>
      </c>
      <c r="B335" s="13" t="s">
        <v>125</v>
      </c>
      <c r="C335" s="13" t="s">
        <v>109</v>
      </c>
      <c r="D335" s="23" t="n">
        <v>12</v>
      </c>
      <c r="E335" s="13" t="s">
        <v>73</v>
      </c>
      <c r="F335" s="13" t="s">
        <v>130</v>
      </c>
      <c r="G335" s="24"/>
      <c r="H335" s="14" t="n">
        <v>-471</v>
      </c>
      <c r="I335" s="16" t="n">
        <v>0.728061371622623</v>
      </c>
      <c r="J335" s="16" t="n">
        <v>0.797010977760082</v>
      </c>
      <c r="K335" s="16" t="n">
        <v>0.824868651488616</v>
      </c>
      <c r="L335" s="15" t="n">
        <v>-0.0968072798659931</v>
      </c>
      <c r="M335" s="15" t="n">
        <v>-0.117360842470238</v>
      </c>
      <c r="N335" s="16" t="n">
        <v>0</v>
      </c>
      <c r="O335" s="25" t="n">
        <v>1</v>
      </c>
      <c r="P335" s="13" t="s">
        <v>96</v>
      </c>
      <c r="Q335" s="13" t="s">
        <v>174</v>
      </c>
    </row>
    <row r="336" customFormat="false" ht="15" hidden="false" customHeight="false" outlineLevel="0" collapsed="false">
      <c r="A336" s="18" t="s">
        <v>172</v>
      </c>
      <c r="B336" s="18" t="s">
        <v>97</v>
      </c>
      <c r="C336" s="18" t="s">
        <v>62</v>
      </c>
      <c r="D336" s="26" t="n">
        <v>10</v>
      </c>
      <c r="E336" s="18" t="s">
        <v>73</v>
      </c>
      <c r="F336" s="18" t="s">
        <v>352</v>
      </c>
      <c r="G336" s="27"/>
      <c r="H336" s="19" t="n">
        <v>-1900</v>
      </c>
      <c r="I336" s="21" t="n">
        <v>0.851963095731986</v>
      </c>
      <c r="J336" s="21" t="n">
        <v>0.95</v>
      </c>
      <c r="K336" s="21" t="n">
        <v>0.95</v>
      </c>
      <c r="L336" s="20" t="n">
        <v>-0.0980369042680136</v>
      </c>
      <c r="M336" s="20" t="n">
        <v>-0.103196741334751</v>
      </c>
      <c r="N336" s="21" t="n">
        <v>0</v>
      </c>
      <c r="O336" s="28" t="n">
        <v>1</v>
      </c>
      <c r="P336" s="18" t="s">
        <v>96</v>
      </c>
      <c r="Q336" s="18" t="s">
        <v>174</v>
      </c>
    </row>
    <row r="337" customFormat="false" ht="15" hidden="false" customHeight="false" outlineLevel="0" collapsed="false">
      <c r="A337" s="13" t="s">
        <v>172</v>
      </c>
      <c r="B337" s="13" t="s">
        <v>241</v>
      </c>
      <c r="C337" s="13" t="s">
        <v>54</v>
      </c>
      <c r="D337" s="23" t="n">
        <v>10</v>
      </c>
      <c r="E337" s="13" t="s">
        <v>73</v>
      </c>
      <c r="F337" s="13" t="s">
        <v>325</v>
      </c>
      <c r="G337" s="24"/>
      <c r="H337" s="14" t="n">
        <v>-681</v>
      </c>
      <c r="I337" s="16" t="n">
        <v>0.773424510714843</v>
      </c>
      <c r="J337" s="16" t="n">
        <v>0.842398290394771</v>
      </c>
      <c r="K337" s="16" t="n">
        <v>0.871959026888604</v>
      </c>
      <c r="L337" s="15" t="n">
        <v>-0.0985345161737617</v>
      </c>
      <c r="M337" s="15" t="n">
        <v>-0.113003608122919</v>
      </c>
      <c r="N337" s="16" t="n">
        <v>0</v>
      </c>
      <c r="O337" s="25" t="n">
        <v>1</v>
      </c>
      <c r="P337" s="13" t="s">
        <v>96</v>
      </c>
      <c r="Q337" s="13" t="s">
        <v>174</v>
      </c>
    </row>
    <row r="338" customFormat="false" ht="15" hidden="false" customHeight="false" outlineLevel="0" collapsed="false">
      <c r="A338" s="18" t="s">
        <v>172</v>
      </c>
      <c r="B338" s="18" t="s">
        <v>166</v>
      </c>
      <c r="C338" s="18" t="s">
        <v>47</v>
      </c>
      <c r="D338" s="26" t="n">
        <v>14</v>
      </c>
      <c r="E338" s="18" t="s">
        <v>49</v>
      </c>
      <c r="F338" s="18" t="s">
        <v>353</v>
      </c>
      <c r="G338" s="27" t="n">
        <v>59</v>
      </c>
      <c r="H338" s="19" t="n">
        <v>-110</v>
      </c>
      <c r="I338" s="21" t="n">
        <v>0.423194483453821</v>
      </c>
      <c r="J338" s="21" t="n">
        <v>0.5</v>
      </c>
      <c r="K338" s="21" t="n">
        <v>0.523809523809524</v>
      </c>
      <c r="L338" s="20" t="n">
        <v>-0.100615040355703</v>
      </c>
      <c r="M338" s="20" t="n">
        <v>-0.184954014102659</v>
      </c>
      <c r="N338" s="21" t="n">
        <v>0.0371</v>
      </c>
      <c r="O338" s="28" t="n">
        <v>1</v>
      </c>
      <c r="P338" s="18" t="s">
        <v>96</v>
      </c>
      <c r="Q338" s="18"/>
    </row>
    <row r="339" customFormat="false" ht="15" hidden="false" customHeight="false" outlineLevel="0" collapsed="false">
      <c r="A339" s="13" t="s">
        <v>172</v>
      </c>
      <c r="B339" s="13" t="s">
        <v>188</v>
      </c>
      <c r="C339" s="13" t="s">
        <v>65</v>
      </c>
      <c r="D339" s="23" t="n">
        <v>11</v>
      </c>
      <c r="E339" s="13" t="s">
        <v>49</v>
      </c>
      <c r="F339" s="13" t="s">
        <v>344</v>
      </c>
      <c r="G339" s="24" t="n">
        <v>52.5</v>
      </c>
      <c r="H339" s="14" t="n">
        <v>-110</v>
      </c>
      <c r="I339" s="16" t="n">
        <v>0.420420129873991</v>
      </c>
      <c r="J339" s="16" t="n">
        <v>0.5</v>
      </c>
      <c r="K339" s="16" t="n">
        <v>0.523809523809524</v>
      </c>
      <c r="L339" s="15" t="n">
        <v>-0.103389393935533</v>
      </c>
      <c r="M339" s="15" t="n">
        <v>-0.197379752058745</v>
      </c>
      <c r="N339" s="16" t="n">
        <v>0</v>
      </c>
      <c r="O339" s="25" t="n">
        <v>1</v>
      </c>
      <c r="P339" s="13" t="s">
        <v>96</v>
      </c>
      <c r="Q339" s="13"/>
    </row>
    <row r="340" customFormat="false" ht="15" hidden="false" customHeight="false" outlineLevel="0" collapsed="false">
      <c r="A340" s="18" t="s">
        <v>172</v>
      </c>
      <c r="B340" s="18" t="s">
        <v>255</v>
      </c>
      <c r="C340" s="18" t="s">
        <v>62</v>
      </c>
      <c r="D340" s="26" t="n">
        <v>10</v>
      </c>
      <c r="E340" s="18" t="s">
        <v>45</v>
      </c>
      <c r="F340" s="18" t="s">
        <v>354</v>
      </c>
      <c r="G340" s="27" t="n">
        <v>-0.5</v>
      </c>
      <c r="H340" s="19" t="n">
        <v>-110</v>
      </c>
      <c r="I340" s="21" t="n">
        <v>0.419843778763223</v>
      </c>
      <c r="J340" s="21" t="n">
        <v>0.5</v>
      </c>
      <c r="K340" s="21" t="n">
        <v>0.523809523809524</v>
      </c>
      <c r="L340" s="20" t="n">
        <v>-0.103965745046301</v>
      </c>
      <c r="M340" s="20" t="n">
        <v>-0.198480058724757</v>
      </c>
      <c r="N340" s="21" t="n">
        <v>0</v>
      </c>
      <c r="O340" s="28" t="n">
        <v>1</v>
      </c>
      <c r="P340" s="18" t="s">
        <v>96</v>
      </c>
      <c r="Q340" s="18"/>
    </row>
    <row r="341" customFormat="false" ht="15" hidden="false" customHeight="false" outlineLevel="0" collapsed="false">
      <c r="A341" s="13" t="s">
        <v>172</v>
      </c>
      <c r="B341" s="13" t="s">
        <v>81</v>
      </c>
      <c r="C341" s="13" t="s">
        <v>47</v>
      </c>
      <c r="D341" s="23" t="n">
        <v>14</v>
      </c>
      <c r="E341" s="13" t="s">
        <v>73</v>
      </c>
      <c r="F341" s="13" t="s">
        <v>325</v>
      </c>
      <c r="G341" s="24"/>
      <c r="H341" s="14" t="n">
        <v>-1900</v>
      </c>
      <c r="I341" s="16" t="n">
        <v>0.845893304975048</v>
      </c>
      <c r="J341" s="16" t="n">
        <v>0.95</v>
      </c>
      <c r="K341" s="16" t="n">
        <v>0.95</v>
      </c>
      <c r="L341" s="15" t="n">
        <v>-0.104106695024952</v>
      </c>
      <c r="M341" s="15" t="n">
        <v>-0.109585994763108</v>
      </c>
      <c r="N341" s="16" t="n">
        <v>0</v>
      </c>
      <c r="O341" s="25" t="n">
        <v>1</v>
      </c>
      <c r="P341" s="13" t="s">
        <v>96</v>
      </c>
      <c r="Q341" s="13" t="s">
        <v>174</v>
      </c>
    </row>
    <row r="342" customFormat="false" ht="15" hidden="false" customHeight="false" outlineLevel="0" collapsed="false">
      <c r="A342" s="18" t="s">
        <v>172</v>
      </c>
      <c r="B342" s="18" t="s">
        <v>131</v>
      </c>
      <c r="C342" s="18" t="s">
        <v>59</v>
      </c>
      <c r="D342" s="26" t="n">
        <v>10</v>
      </c>
      <c r="E342" s="18" t="s">
        <v>49</v>
      </c>
      <c r="F342" s="18" t="s">
        <v>318</v>
      </c>
      <c r="G342" s="27" t="n">
        <v>52</v>
      </c>
      <c r="H342" s="19" t="n">
        <v>-110</v>
      </c>
      <c r="I342" s="21" t="n">
        <v>0.419381599037052</v>
      </c>
      <c r="J342" s="21" t="n">
        <v>0.5</v>
      </c>
      <c r="K342" s="21" t="n">
        <v>0.523809523809524</v>
      </c>
      <c r="L342" s="20" t="n">
        <v>-0.104427924772472</v>
      </c>
      <c r="M342" s="20" t="n">
        <v>-0.192020479810634</v>
      </c>
      <c r="N342" s="21" t="n">
        <v>0.0368</v>
      </c>
      <c r="O342" s="28" t="n">
        <v>1</v>
      </c>
      <c r="P342" s="18" t="s">
        <v>96</v>
      </c>
      <c r="Q342" s="18"/>
    </row>
    <row r="343" customFormat="false" ht="15" hidden="false" customHeight="false" outlineLevel="0" collapsed="false">
      <c r="A343" s="13" t="s">
        <v>172</v>
      </c>
      <c r="B343" s="13" t="s">
        <v>116</v>
      </c>
      <c r="C343" s="13" t="s">
        <v>109</v>
      </c>
      <c r="D343" s="23" t="n">
        <v>12</v>
      </c>
      <c r="E343" s="13" t="s">
        <v>49</v>
      </c>
      <c r="F343" s="13" t="s">
        <v>355</v>
      </c>
      <c r="G343" s="24" t="n">
        <v>62.5</v>
      </c>
      <c r="H343" s="14" t="n">
        <v>-110</v>
      </c>
      <c r="I343" s="16" t="n">
        <v>0.418589376927144</v>
      </c>
      <c r="J343" s="16" t="n">
        <v>0.5</v>
      </c>
      <c r="K343" s="16" t="n">
        <v>0.523809523809524</v>
      </c>
      <c r="L343" s="15" t="n">
        <v>-0.10522014688238</v>
      </c>
      <c r="M343" s="15" t="n">
        <v>-0.200874825866362</v>
      </c>
      <c r="N343" s="16" t="n">
        <v>0</v>
      </c>
      <c r="O343" s="25" t="n">
        <v>1</v>
      </c>
      <c r="P343" s="13" t="s">
        <v>96</v>
      </c>
      <c r="Q343" s="13"/>
    </row>
    <row r="344" customFormat="false" ht="15" hidden="false" customHeight="false" outlineLevel="0" collapsed="false">
      <c r="A344" s="18" t="s">
        <v>172</v>
      </c>
      <c r="B344" s="18" t="s">
        <v>159</v>
      </c>
      <c r="C344" s="18" t="s">
        <v>54</v>
      </c>
      <c r="D344" s="26" t="n">
        <v>10</v>
      </c>
      <c r="E344" s="18" t="s">
        <v>49</v>
      </c>
      <c r="F344" s="18" t="s">
        <v>323</v>
      </c>
      <c r="G344" s="27" t="n">
        <v>53.5</v>
      </c>
      <c r="H344" s="19" t="n">
        <v>-110</v>
      </c>
      <c r="I344" s="21" t="n">
        <v>0.4185893756255</v>
      </c>
      <c r="J344" s="21" t="n">
        <v>0.5</v>
      </c>
      <c r="K344" s="21" t="n">
        <v>0.523809523809524</v>
      </c>
      <c r="L344" s="20" t="n">
        <v>-0.105220148184024</v>
      </c>
      <c r="M344" s="20" t="n">
        <v>-0.200874828351318</v>
      </c>
      <c r="N344" s="21" t="n">
        <v>0</v>
      </c>
      <c r="O344" s="28" t="n">
        <v>1</v>
      </c>
      <c r="P344" s="18" t="s">
        <v>96</v>
      </c>
      <c r="Q344" s="18"/>
    </row>
    <row r="345" customFormat="false" ht="15" hidden="false" customHeight="false" outlineLevel="0" collapsed="false">
      <c r="A345" s="13" t="s">
        <v>172</v>
      </c>
      <c r="B345" s="13" t="s">
        <v>251</v>
      </c>
      <c r="C345" s="13" t="s">
        <v>76</v>
      </c>
      <c r="D345" s="23" t="n">
        <v>14</v>
      </c>
      <c r="E345" s="13" t="s">
        <v>49</v>
      </c>
      <c r="F345" s="13" t="s">
        <v>348</v>
      </c>
      <c r="G345" s="24" t="n">
        <v>50.5</v>
      </c>
      <c r="H345" s="14" t="n">
        <v>-110</v>
      </c>
      <c r="I345" s="16" t="n">
        <v>0.4185893710421</v>
      </c>
      <c r="J345" s="16" t="n">
        <v>0.5</v>
      </c>
      <c r="K345" s="16" t="n">
        <v>0.523809523809524</v>
      </c>
      <c r="L345" s="15" t="n">
        <v>-0.105220152767424</v>
      </c>
      <c r="M345" s="15" t="n">
        <v>-0.200874837101446</v>
      </c>
      <c r="N345" s="16" t="n">
        <v>0</v>
      </c>
      <c r="O345" s="25" t="n">
        <v>1</v>
      </c>
      <c r="P345" s="13" t="s">
        <v>96</v>
      </c>
      <c r="Q345" s="13"/>
    </row>
    <row r="346" customFormat="false" ht="15" hidden="false" customHeight="false" outlineLevel="0" collapsed="false">
      <c r="A346" s="18" t="s">
        <v>172</v>
      </c>
      <c r="B346" s="18" t="s">
        <v>238</v>
      </c>
      <c r="C346" s="18" t="s">
        <v>62</v>
      </c>
      <c r="D346" s="26" t="n">
        <v>10</v>
      </c>
      <c r="E346" s="18" t="s">
        <v>73</v>
      </c>
      <c r="F346" s="18" t="s">
        <v>254</v>
      </c>
      <c r="G346" s="27"/>
      <c r="H346" s="19" t="n">
        <v>-411</v>
      </c>
      <c r="I346" s="21" t="n">
        <v>0.698770101310776</v>
      </c>
      <c r="J346" s="21" t="n">
        <v>0.776917267302009</v>
      </c>
      <c r="K346" s="21" t="n">
        <v>0.804305283757339</v>
      </c>
      <c r="L346" s="20" t="n">
        <v>-0.105535182446562</v>
      </c>
      <c r="M346" s="20" t="n">
        <v>-0.13121284240923</v>
      </c>
      <c r="N346" s="21" t="n">
        <v>0</v>
      </c>
      <c r="O346" s="28" t="n">
        <v>1</v>
      </c>
      <c r="P346" s="18" t="s">
        <v>96</v>
      </c>
      <c r="Q346" s="18" t="s">
        <v>174</v>
      </c>
    </row>
    <row r="347" customFormat="false" ht="15" hidden="false" customHeight="false" outlineLevel="0" collapsed="false">
      <c r="A347" s="13" t="s">
        <v>172</v>
      </c>
      <c r="B347" s="13" t="s">
        <v>101</v>
      </c>
      <c r="C347" s="13" t="s">
        <v>102</v>
      </c>
      <c r="D347" s="23" t="n">
        <v>13</v>
      </c>
      <c r="E347" s="13" t="s">
        <v>49</v>
      </c>
      <c r="F347" s="13" t="s">
        <v>320</v>
      </c>
      <c r="G347" s="24" t="n">
        <v>60</v>
      </c>
      <c r="H347" s="14" t="n">
        <v>-110</v>
      </c>
      <c r="I347" s="16" t="n">
        <v>0.417487779490981</v>
      </c>
      <c r="J347" s="16" t="n">
        <v>0.5</v>
      </c>
      <c r="K347" s="16" t="n">
        <v>0.523809523809524</v>
      </c>
      <c r="L347" s="15" t="n">
        <v>-0.106321744318543</v>
      </c>
      <c r="M347" s="15" t="n">
        <v>-0.195533019192755</v>
      </c>
      <c r="N347" s="16" t="n">
        <v>0.0367</v>
      </c>
      <c r="O347" s="25" t="n">
        <v>1</v>
      </c>
      <c r="P347" s="13" t="s">
        <v>96</v>
      </c>
      <c r="Q347" s="13"/>
    </row>
    <row r="348" customFormat="false" ht="15" hidden="false" customHeight="false" outlineLevel="0" collapsed="false">
      <c r="A348" s="18" t="s">
        <v>172</v>
      </c>
      <c r="B348" s="18" t="s">
        <v>170</v>
      </c>
      <c r="C348" s="18" t="s">
        <v>76</v>
      </c>
      <c r="D348" s="26" t="n">
        <v>14</v>
      </c>
      <c r="E348" s="18" t="s">
        <v>49</v>
      </c>
      <c r="F348" s="18" t="s">
        <v>324</v>
      </c>
      <c r="G348" s="27" t="n">
        <v>61</v>
      </c>
      <c r="H348" s="19" t="n">
        <v>-110</v>
      </c>
      <c r="I348" s="21" t="n">
        <v>0.417487778844189</v>
      </c>
      <c r="J348" s="21" t="n">
        <v>0.5</v>
      </c>
      <c r="K348" s="21" t="n">
        <v>0.523809523809524</v>
      </c>
      <c r="L348" s="20" t="n">
        <v>-0.106321744965334</v>
      </c>
      <c r="M348" s="20" t="n">
        <v>-0.195533020409941</v>
      </c>
      <c r="N348" s="21" t="n">
        <v>0.0367</v>
      </c>
      <c r="O348" s="28" t="n">
        <v>1</v>
      </c>
      <c r="P348" s="18" t="s">
        <v>96</v>
      </c>
      <c r="Q348" s="18"/>
    </row>
    <row r="349" customFormat="false" ht="15" hidden="false" customHeight="false" outlineLevel="0" collapsed="false">
      <c r="A349" s="13" t="s">
        <v>172</v>
      </c>
      <c r="B349" s="13" t="s">
        <v>248</v>
      </c>
      <c r="C349" s="13" t="s">
        <v>47</v>
      </c>
      <c r="D349" s="23" t="n">
        <v>14</v>
      </c>
      <c r="E349" s="13" t="s">
        <v>49</v>
      </c>
      <c r="F349" s="13" t="s">
        <v>338</v>
      </c>
      <c r="G349" s="24" t="n">
        <v>51</v>
      </c>
      <c r="H349" s="14" t="n">
        <v>-110</v>
      </c>
      <c r="I349" s="16" t="n">
        <v>0.417487773438103</v>
      </c>
      <c r="J349" s="16" t="n">
        <v>0.5</v>
      </c>
      <c r="K349" s="16" t="n">
        <v>0.523809523809524</v>
      </c>
      <c r="L349" s="15" t="n">
        <v>-0.106321750371421</v>
      </c>
      <c r="M349" s="15" t="n">
        <v>-0.195533030287758</v>
      </c>
      <c r="N349" s="16" t="n">
        <v>0.0367</v>
      </c>
      <c r="O349" s="25" t="n">
        <v>1</v>
      </c>
      <c r="P349" s="13" t="s">
        <v>96</v>
      </c>
      <c r="Q349" s="13"/>
    </row>
    <row r="350" customFormat="false" ht="15" hidden="false" customHeight="false" outlineLevel="0" collapsed="false">
      <c r="A350" s="18" t="s">
        <v>172</v>
      </c>
      <c r="B350" s="18" t="s">
        <v>246</v>
      </c>
      <c r="C350" s="18" t="s">
        <v>51</v>
      </c>
      <c r="D350" s="26" t="n">
        <v>14</v>
      </c>
      <c r="E350" s="18" t="s">
        <v>49</v>
      </c>
      <c r="F350" s="18" t="s">
        <v>333</v>
      </c>
      <c r="G350" s="27" t="n">
        <v>60.5</v>
      </c>
      <c r="H350" s="19" t="n">
        <v>-110</v>
      </c>
      <c r="I350" s="21" t="n">
        <v>0.41676630200963</v>
      </c>
      <c r="J350" s="21" t="n">
        <v>0.5</v>
      </c>
      <c r="K350" s="21" t="n">
        <v>0.523809523809524</v>
      </c>
      <c r="L350" s="20" t="n">
        <v>-0.107043221799894</v>
      </c>
      <c r="M350" s="20" t="n">
        <v>-0.204355241617979</v>
      </c>
      <c r="N350" s="21" t="n">
        <v>0</v>
      </c>
      <c r="O350" s="28" t="n">
        <v>1</v>
      </c>
      <c r="P350" s="18" t="s">
        <v>96</v>
      </c>
      <c r="Q350" s="18"/>
    </row>
    <row r="351" customFormat="false" ht="15" hidden="false" customHeight="false" outlineLevel="0" collapsed="false">
      <c r="A351" s="13" t="s">
        <v>172</v>
      </c>
      <c r="B351" s="13" t="s">
        <v>144</v>
      </c>
      <c r="C351" s="13" t="s">
        <v>145</v>
      </c>
      <c r="D351" s="23" t="n">
        <v>12</v>
      </c>
      <c r="E351" s="13" t="s">
        <v>73</v>
      </c>
      <c r="F351" s="13" t="s">
        <v>325</v>
      </c>
      <c r="G351" s="24"/>
      <c r="H351" s="14" t="n">
        <v>-1900</v>
      </c>
      <c r="I351" s="16" t="n">
        <v>0.841344144279354</v>
      </c>
      <c r="J351" s="16" t="n">
        <v>0.929223582702244</v>
      </c>
      <c r="K351" s="16" t="n">
        <v>0.95</v>
      </c>
      <c r="L351" s="15" t="n">
        <v>-0.108655855720646</v>
      </c>
      <c r="M351" s="15" t="n">
        <v>-0.114374584969102</v>
      </c>
      <c r="N351" s="16" t="n">
        <v>0</v>
      </c>
      <c r="O351" s="25" t="n">
        <v>1</v>
      </c>
      <c r="P351" s="13" t="s">
        <v>96</v>
      </c>
      <c r="Q351" s="13" t="s">
        <v>174</v>
      </c>
    </row>
    <row r="352" customFormat="false" ht="15" hidden="false" customHeight="false" outlineLevel="0" collapsed="false">
      <c r="A352" s="18" t="s">
        <v>172</v>
      </c>
      <c r="B352" s="18" t="s">
        <v>170</v>
      </c>
      <c r="C352" s="18" t="s">
        <v>76</v>
      </c>
      <c r="D352" s="26" t="n">
        <v>14</v>
      </c>
      <c r="E352" s="18" t="s">
        <v>45</v>
      </c>
      <c r="F352" s="18" t="s">
        <v>356</v>
      </c>
      <c r="G352" s="27" t="n">
        <v>-4</v>
      </c>
      <c r="H352" s="19" t="n">
        <v>-110</v>
      </c>
      <c r="I352" s="21" t="n">
        <v>0.413755219338895</v>
      </c>
      <c r="J352" s="21" t="n">
        <v>0.5</v>
      </c>
      <c r="K352" s="21" t="n">
        <v>0.523809523809524</v>
      </c>
      <c r="L352" s="20" t="n">
        <v>-0.110054304470629</v>
      </c>
      <c r="M352" s="20" t="n">
        <v>-0.204055341220371</v>
      </c>
      <c r="N352" s="21" t="n">
        <v>0.0288</v>
      </c>
      <c r="O352" s="28" t="n">
        <v>1</v>
      </c>
      <c r="P352" s="18" t="s">
        <v>96</v>
      </c>
      <c r="Q352" s="18"/>
    </row>
    <row r="353" customFormat="false" ht="15" hidden="false" customHeight="false" outlineLevel="0" collapsed="false">
      <c r="A353" s="13" t="s">
        <v>172</v>
      </c>
      <c r="B353" s="13" t="s">
        <v>222</v>
      </c>
      <c r="C353" s="13" t="s">
        <v>145</v>
      </c>
      <c r="D353" s="23" t="n">
        <v>12</v>
      </c>
      <c r="E353" s="13" t="s">
        <v>73</v>
      </c>
      <c r="F353" s="13" t="s">
        <v>357</v>
      </c>
      <c r="G353" s="24"/>
      <c r="H353" s="14" t="n">
        <v>-173</v>
      </c>
      <c r="I353" s="16" t="n">
        <v>0.523066220348363</v>
      </c>
      <c r="J353" s="16" t="n">
        <v>0.612089176861759</v>
      </c>
      <c r="K353" s="16" t="n">
        <v>0.633699633699634</v>
      </c>
      <c r="L353" s="15" t="n">
        <v>-0.110633413351271</v>
      </c>
      <c r="M353" s="15" t="n">
        <v>-0.174583363265301</v>
      </c>
      <c r="N353" s="16" t="n">
        <v>0</v>
      </c>
      <c r="O353" s="25" t="n">
        <v>1</v>
      </c>
      <c r="P353" s="13" t="s">
        <v>96</v>
      </c>
      <c r="Q353" s="13"/>
    </row>
    <row r="354" customFormat="false" ht="15" hidden="false" customHeight="false" outlineLevel="0" collapsed="false">
      <c r="A354" s="18" t="s">
        <v>172</v>
      </c>
      <c r="B354" s="18" t="s">
        <v>140</v>
      </c>
      <c r="C354" s="18" t="s">
        <v>114</v>
      </c>
      <c r="D354" s="26" t="n">
        <v>13</v>
      </c>
      <c r="E354" s="18" t="s">
        <v>73</v>
      </c>
      <c r="F354" s="18" t="s">
        <v>262</v>
      </c>
      <c r="G354" s="27"/>
      <c r="H354" s="19" t="n">
        <v>-1900</v>
      </c>
      <c r="I354" s="21" t="n">
        <v>0.839335183179544</v>
      </c>
      <c r="J354" s="21" t="n">
        <v>0.934056513567872</v>
      </c>
      <c r="K354" s="21" t="n">
        <v>0.95</v>
      </c>
      <c r="L354" s="20" t="n">
        <v>-0.110664816820456</v>
      </c>
      <c r="M354" s="20" t="n">
        <v>-0.116489280863638</v>
      </c>
      <c r="N354" s="21" t="n">
        <v>0</v>
      </c>
      <c r="O354" s="28" t="n">
        <v>1</v>
      </c>
      <c r="P354" s="18" t="s">
        <v>96</v>
      </c>
      <c r="Q354" s="18" t="s">
        <v>174</v>
      </c>
    </row>
    <row r="355" customFormat="false" ht="15" hidden="false" customHeight="false" outlineLevel="0" collapsed="false">
      <c r="A355" s="13" t="s">
        <v>172</v>
      </c>
      <c r="B355" s="13" t="s">
        <v>135</v>
      </c>
      <c r="C355" s="13" t="s">
        <v>136</v>
      </c>
      <c r="D355" s="23" t="n">
        <v>12</v>
      </c>
      <c r="E355" s="13" t="s">
        <v>45</v>
      </c>
      <c r="F355" s="13" t="s">
        <v>358</v>
      </c>
      <c r="G355" s="24" t="n">
        <v>-7</v>
      </c>
      <c r="H355" s="14" t="n">
        <v>-110</v>
      </c>
      <c r="I355" s="16" t="n">
        <v>0.411583565570699</v>
      </c>
      <c r="J355" s="16" t="n">
        <v>0.5</v>
      </c>
      <c r="K355" s="16" t="n">
        <v>0.523809523809524</v>
      </c>
      <c r="L355" s="15" t="n">
        <v>-0.112225958238825</v>
      </c>
      <c r="M355" s="15" t="n">
        <v>-0.204130114651653</v>
      </c>
      <c r="N355" s="16" t="n">
        <v>0.0472</v>
      </c>
      <c r="O355" s="25" t="n">
        <v>1</v>
      </c>
      <c r="P355" s="13" t="s">
        <v>96</v>
      </c>
      <c r="Q355" s="13"/>
    </row>
    <row r="356" customFormat="false" ht="15" hidden="false" customHeight="false" outlineLevel="0" collapsed="false">
      <c r="A356" s="18" t="s">
        <v>172</v>
      </c>
      <c r="B356" s="18" t="s">
        <v>226</v>
      </c>
      <c r="C356" s="18" t="s">
        <v>114</v>
      </c>
      <c r="D356" s="26" t="n">
        <v>13</v>
      </c>
      <c r="E356" s="18" t="s">
        <v>73</v>
      </c>
      <c r="F356" s="18" t="s">
        <v>167</v>
      </c>
      <c r="G356" s="27"/>
      <c r="H356" s="19" t="n">
        <v>-176</v>
      </c>
      <c r="I356" s="21" t="n">
        <v>0.525183337499839</v>
      </c>
      <c r="J356" s="21" t="n">
        <v>0.615470352206866</v>
      </c>
      <c r="K356" s="21" t="n">
        <v>0.63768115942029</v>
      </c>
      <c r="L356" s="20" t="n">
        <v>-0.112497821920451</v>
      </c>
      <c r="M356" s="20" t="n">
        <v>-0.176417038920707</v>
      </c>
      <c r="N356" s="21" t="n">
        <v>0</v>
      </c>
      <c r="O356" s="28" t="n">
        <v>1</v>
      </c>
      <c r="P356" s="18" t="s">
        <v>96</v>
      </c>
      <c r="Q356" s="18"/>
    </row>
    <row r="357" customFormat="false" ht="15" hidden="false" customHeight="false" outlineLevel="0" collapsed="false">
      <c r="A357" s="13" t="s">
        <v>172</v>
      </c>
      <c r="B357" s="13" t="s">
        <v>243</v>
      </c>
      <c r="C357" s="13" t="s">
        <v>145</v>
      </c>
      <c r="D357" s="23" t="n">
        <v>12</v>
      </c>
      <c r="E357" s="13" t="s">
        <v>49</v>
      </c>
      <c r="F357" s="13" t="s">
        <v>359</v>
      </c>
      <c r="G357" s="24" t="n">
        <v>51.5</v>
      </c>
      <c r="H357" s="14" t="n">
        <v>-110</v>
      </c>
      <c r="I357" s="16" t="n">
        <v>0.409553745293705</v>
      </c>
      <c r="J357" s="16" t="n">
        <v>0.5</v>
      </c>
      <c r="K357" s="16" t="n">
        <v>0.523809523809524</v>
      </c>
      <c r="L357" s="15" t="n">
        <v>-0.114255778515819</v>
      </c>
      <c r="M357" s="15" t="n">
        <v>-0.218124668075655</v>
      </c>
      <c r="N357" s="16" t="n">
        <v>0</v>
      </c>
      <c r="O357" s="25" t="n">
        <v>1</v>
      </c>
      <c r="P357" s="13" t="s">
        <v>96</v>
      </c>
      <c r="Q357" s="13"/>
    </row>
    <row r="358" customFormat="false" ht="15" hidden="false" customHeight="false" outlineLevel="0" collapsed="false">
      <c r="A358" s="18" t="s">
        <v>172</v>
      </c>
      <c r="B358" s="18" t="s">
        <v>241</v>
      </c>
      <c r="C358" s="18" t="s">
        <v>54</v>
      </c>
      <c r="D358" s="26" t="n">
        <v>10</v>
      </c>
      <c r="E358" s="18" t="s">
        <v>45</v>
      </c>
      <c r="F358" s="18" t="s">
        <v>360</v>
      </c>
      <c r="G358" s="27" t="n">
        <v>-12</v>
      </c>
      <c r="H358" s="19" t="n">
        <v>-110</v>
      </c>
      <c r="I358" s="21" t="n">
        <v>0.409439357852525</v>
      </c>
      <c r="J358" s="21" t="n">
        <v>0.5</v>
      </c>
      <c r="K358" s="21" t="n">
        <v>0.523809523809524</v>
      </c>
      <c r="L358" s="20" t="n">
        <v>-0.114370165956999</v>
      </c>
      <c r="M358" s="20" t="n">
        <v>-0.213747021337309</v>
      </c>
      <c r="N358" s="21" t="n">
        <v>0.021</v>
      </c>
      <c r="O358" s="28" t="n">
        <v>1</v>
      </c>
      <c r="P358" s="18" t="s">
        <v>96</v>
      </c>
      <c r="Q358" s="18"/>
    </row>
    <row r="359" customFormat="false" ht="15" hidden="false" customHeight="false" outlineLevel="0" collapsed="false">
      <c r="A359" s="13" t="s">
        <v>172</v>
      </c>
      <c r="B359" s="13" t="s">
        <v>222</v>
      </c>
      <c r="C359" s="13" t="s">
        <v>145</v>
      </c>
      <c r="D359" s="23" t="n">
        <v>12</v>
      </c>
      <c r="E359" s="13" t="s">
        <v>49</v>
      </c>
      <c r="F359" s="13" t="s">
        <v>318</v>
      </c>
      <c r="G359" s="24" t="n">
        <v>52</v>
      </c>
      <c r="H359" s="14" t="n">
        <v>-110</v>
      </c>
      <c r="I359" s="16" t="n">
        <v>0.40815151974898</v>
      </c>
      <c r="J359" s="16" t="n">
        <v>0.5</v>
      </c>
      <c r="K359" s="16" t="n">
        <v>0.523809523809524</v>
      </c>
      <c r="L359" s="15" t="n">
        <v>-0.115658004060544</v>
      </c>
      <c r="M359" s="15" t="n">
        <v>-0.212877287439707</v>
      </c>
      <c r="N359" s="16" t="n">
        <v>0.0359</v>
      </c>
      <c r="O359" s="25" t="n">
        <v>1</v>
      </c>
      <c r="P359" s="13" t="s">
        <v>96</v>
      </c>
      <c r="Q359" s="13"/>
    </row>
    <row r="360" customFormat="false" ht="15" hidden="false" customHeight="false" outlineLevel="0" collapsed="false">
      <c r="A360" s="18" t="s">
        <v>172</v>
      </c>
      <c r="B360" s="18" t="s">
        <v>125</v>
      </c>
      <c r="C360" s="18" t="s">
        <v>109</v>
      </c>
      <c r="D360" s="26" t="n">
        <v>12</v>
      </c>
      <c r="E360" s="18" t="s">
        <v>45</v>
      </c>
      <c r="F360" s="18" t="s">
        <v>361</v>
      </c>
      <c r="G360" s="27" t="n">
        <v>-10.5</v>
      </c>
      <c r="H360" s="19" t="n">
        <v>-110</v>
      </c>
      <c r="I360" s="21" t="n">
        <v>0.406987266906383</v>
      </c>
      <c r="J360" s="21" t="n">
        <v>0.5</v>
      </c>
      <c r="K360" s="21" t="n">
        <v>0.523809523809524</v>
      </c>
      <c r="L360" s="20" t="n">
        <v>-0.116822256903141</v>
      </c>
      <c r="M360" s="20" t="n">
        <v>-0.223024308633269</v>
      </c>
      <c r="N360" s="21" t="n">
        <v>0</v>
      </c>
      <c r="O360" s="28" t="n">
        <v>1</v>
      </c>
      <c r="P360" s="18" t="s">
        <v>96</v>
      </c>
      <c r="Q360" s="18"/>
    </row>
    <row r="361" customFormat="false" ht="15" hidden="false" customHeight="false" outlineLevel="0" collapsed="false">
      <c r="A361" s="13" t="s">
        <v>172</v>
      </c>
      <c r="B361" s="13" t="s">
        <v>213</v>
      </c>
      <c r="C361" s="13" t="s">
        <v>68</v>
      </c>
      <c r="D361" s="23" t="n">
        <v>11</v>
      </c>
      <c r="E361" s="13" t="s">
        <v>73</v>
      </c>
      <c r="F361" s="13" t="s">
        <v>357</v>
      </c>
      <c r="G361" s="24"/>
      <c r="H361" s="14" t="n">
        <v>-357</v>
      </c>
      <c r="I361" s="16" t="n">
        <v>0.663771803972705</v>
      </c>
      <c r="J361" s="16" t="n">
        <v>0.754773071185568</v>
      </c>
      <c r="K361" s="16" t="n">
        <v>0.781181619256018</v>
      </c>
      <c r="L361" s="15" t="n">
        <v>-0.117409815283313</v>
      </c>
      <c r="M361" s="15" t="n">
        <v>-0.150297718724017</v>
      </c>
      <c r="N361" s="16" t="n">
        <v>0</v>
      </c>
      <c r="O361" s="25" t="n">
        <v>1</v>
      </c>
      <c r="P361" s="13" t="s">
        <v>96</v>
      </c>
      <c r="Q361" s="13"/>
    </row>
    <row r="362" customFormat="false" ht="15" hidden="false" customHeight="false" outlineLevel="0" collapsed="false">
      <c r="A362" s="18" t="s">
        <v>172</v>
      </c>
      <c r="B362" s="18" t="s">
        <v>163</v>
      </c>
      <c r="C362" s="18" t="s">
        <v>75</v>
      </c>
      <c r="D362" s="26" t="n">
        <v>13</v>
      </c>
      <c r="E362" s="18" t="s">
        <v>73</v>
      </c>
      <c r="F362" s="18" t="s">
        <v>132</v>
      </c>
      <c r="G362" s="27"/>
      <c r="H362" s="19" t="n">
        <v>-502</v>
      </c>
      <c r="I362" s="21" t="n">
        <v>0.716142657943418</v>
      </c>
      <c r="J362" s="21" t="n">
        <v>0.80561457438633</v>
      </c>
      <c r="K362" s="21" t="n">
        <v>0.833887043189369</v>
      </c>
      <c r="L362" s="20" t="n">
        <v>-0.117744385245951</v>
      </c>
      <c r="M362" s="20" t="n">
        <v>-0.141199442067854</v>
      </c>
      <c r="N362" s="21" t="n">
        <v>0</v>
      </c>
      <c r="O362" s="28" t="n">
        <v>1</v>
      </c>
      <c r="P362" s="18" t="s">
        <v>96</v>
      </c>
      <c r="Q362" s="18" t="s">
        <v>174</v>
      </c>
    </row>
    <row r="363" customFormat="false" ht="15" hidden="false" customHeight="false" outlineLevel="0" collapsed="false">
      <c r="A363" s="13" t="s">
        <v>172</v>
      </c>
      <c r="B363" s="13" t="s">
        <v>44</v>
      </c>
      <c r="C363" s="13" t="s">
        <v>47</v>
      </c>
      <c r="D363" s="23" t="n">
        <v>14</v>
      </c>
      <c r="E363" s="13" t="s">
        <v>73</v>
      </c>
      <c r="F363" s="13" t="s">
        <v>352</v>
      </c>
      <c r="G363" s="24"/>
      <c r="H363" s="14" t="n">
        <v>-1900</v>
      </c>
      <c r="I363" s="16" t="n">
        <v>0.831349156617537</v>
      </c>
      <c r="J363" s="16" t="n">
        <v>0.95</v>
      </c>
      <c r="K363" s="16" t="n">
        <v>0.95</v>
      </c>
      <c r="L363" s="15" t="n">
        <v>-0.118650843382463</v>
      </c>
      <c r="M363" s="15" t="n">
        <v>-0.124895624613119</v>
      </c>
      <c r="N363" s="16" t="n">
        <v>0</v>
      </c>
      <c r="O363" s="25" t="n">
        <v>1</v>
      </c>
      <c r="P363" s="13" t="s">
        <v>96</v>
      </c>
      <c r="Q363" s="13" t="s">
        <v>174</v>
      </c>
    </row>
    <row r="364" customFormat="false" ht="15" hidden="false" customHeight="false" outlineLevel="0" collapsed="false">
      <c r="A364" s="18" t="s">
        <v>172</v>
      </c>
      <c r="B364" s="18" t="s">
        <v>159</v>
      </c>
      <c r="C364" s="18" t="s">
        <v>54</v>
      </c>
      <c r="D364" s="26" t="n">
        <v>10</v>
      </c>
      <c r="E364" s="18" t="s">
        <v>73</v>
      </c>
      <c r="F364" s="18" t="s">
        <v>299</v>
      </c>
      <c r="G364" s="27"/>
      <c r="H364" s="19" t="n">
        <v>-256</v>
      </c>
      <c r="I364" s="21" t="n">
        <v>0.600276044013193</v>
      </c>
      <c r="J364" s="21" t="n">
        <v>0.695080169932849</v>
      </c>
      <c r="K364" s="21" t="n">
        <v>0.719101123595506</v>
      </c>
      <c r="L364" s="20" t="n">
        <v>-0.118825079582313</v>
      </c>
      <c r="M364" s="20" t="n">
        <v>-0.165241126294154</v>
      </c>
      <c r="N364" s="21" t="n">
        <v>0</v>
      </c>
      <c r="O364" s="28" t="n">
        <v>1</v>
      </c>
      <c r="P364" s="18" t="s">
        <v>96</v>
      </c>
      <c r="Q364" s="18"/>
    </row>
    <row r="365" customFormat="false" ht="15" hidden="false" customHeight="false" outlineLevel="0" collapsed="false">
      <c r="A365" s="13" t="s">
        <v>172</v>
      </c>
      <c r="B365" s="13" t="s">
        <v>168</v>
      </c>
      <c r="C365" s="13" t="s">
        <v>51</v>
      </c>
      <c r="D365" s="23" t="n">
        <v>14</v>
      </c>
      <c r="E365" s="13" t="s">
        <v>49</v>
      </c>
      <c r="F365" s="13" t="s">
        <v>338</v>
      </c>
      <c r="G365" s="24" t="n">
        <v>51</v>
      </c>
      <c r="H365" s="14" t="n">
        <v>-110</v>
      </c>
      <c r="I365" s="16" t="n">
        <v>0.404482009275312</v>
      </c>
      <c r="J365" s="16" t="n">
        <v>0.5</v>
      </c>
      <c r="K365" s="16" t="n">
        <v>0.523809523809524</v>
      </c>
      <c r="L365" s="15" t="n">
        <v>-0.119327514534212</v>
      </c>
      <c r="M365" s="15" t="n">
        <v>-0.219707790654988</v>
      </c>
      <c r="N365" s="16" t="n">
        <v>0.0356</v>
      </c>
      <c r="O365" s="25" t="n">
        <v>1</v>
      </c>
      <c r="P365" s="13" t="s">
        <v>96</v>
      </c>
      <c r="Q365" s="13"/>
    </row>
    <row r="366" customFormat="false" ht="15" hidden="false" customHeight="false" outlineLevel="0" collapsed="false">
      <c r="A366" s="18" t="s">
        <v>172</v>
      </c>
      <c r="B366" s="18" t="s">
        <v>118</v>
      </c>
      <c r="C366" s="18" t="s">
        <v>76</v>
      </c>
      <c r="D366" s="26" t="n">
        <v>14</v>
      </c>
      <c r="E366" s="18" t="s">
        <v>49</v>
      </c>
      <c r="F366" s="18" t="s">
        <v>362</v>
      </c>
      <c r="G366" s="27" t="n">
        <v>50</v>
      </c>
      <c r="H366" s="19" t="n">
        <v>-110</v>
      </c>
      <c r="I366" s="21" t="n">
        <v>0.404482006798344</v>
      </c>
      <c r="J366" s="21" t="n">
        <v>0.5</v>
      </c>
      <c r="K366" s="21" t="n">
        <v>0.523809523809524</v>
      </c>
      <c r="L366" s="20" t="n">
        <v>-0.11932751701118</v>
      </c>
      <c r="M366" s="20" t="n">
        <v>-0.219707795159624</v>
      </c>
      <c r="N366" s="21" t="n">
        <v>0.0356</v>
      </c>
      <c r="O366" s="28" t="n">
        <v>1</v>
      </c>
      <c r="P366" s="18" t="s">
        <v>96</v>
      </c>
      <c r="Q366" s="18"/>
    </row>
    <row r="367" customFormat="false" ht="15" hidden="false" customHeight="false" outlineLevel="0" collapsed="false">
      <c r="A367" s="13" t="s">
        <v>172</v>
      </c>
      <c r="B367" s="13" t="s">
        <v>237</v>
      </c>
      <c r="C367" s="13" t="s">
        <v>71</v>
      </c>
      <c r="D367" s="23" t="n">
        <v>11</v>
      </c>
      <c r="E367" s="13" t="s">
        <v>49</v>
      </c>
      <c r="F367" s="13" t="s">
        <v>363</v>
      </c>
      <c r="G367" s="24" t="n">
        <v>64.5</v>
      </c>
      <c r="H367" s="14" t="n">
        <v>-110</v>
      </c>
      <c r="I367" s="16" t="n">
        <v>0.404232066590205</v>
      </c>
      <c r="J367" s="16" t="n">
        <v>0.5</v>
      </c>
      <c r="K367" s="16" t="n">
        <v>0.523809523809524</v>
      </c>
      <c r="L367" s="15" t="n">
        <v>-0.119577457219319</v>
      </c>
      <c r="M367" s="15" t="n">
        <v>-0.228284236509608</v>
      </c>
      <c r="N367" s="16" t="n">
        <v>0</v>
      </c>
      <c r="O367" s="25" t="n">
        <v>1</v>
      </c>
      <c r="P367" s="13" t="s">
        <v>96</v>
      </c>
      <c r="Q367" s="13"/>
    </row>
    <row r="368" customFormat="false" ht="15" hidden="false" customHeight="false" outlineLevel="0" collapsed="false">
      <c r="A368" s="18" t="s">
        <v>172</v>
      </c>
      <c r="B368" s="18" t="s">
        <v>57</v>
      </c>
      <c r="C368" s="18" t="s">
        <v>59</v>
      </c>
      <c r="D368" s="26" t="n">
        <v>10</v>
      </c>
      <c r="E368" s="18" t="s">
        <v>45</v>
      </c>
      <c r="F368" s="18" t="s">
        <v>364</v>
      </c>
      <c r="G368" s="27" t="n">
        <v>-9.5</v>
      </c>
      <c r="H368" s="19" t="n">
        <v>-110</v>
      </c>
      <c r="I368" s="21" t="n">
        <v>0.404070587488069</v>
      </c>
      <c r="J368" s="21" t="n">
        <v>0.5</v>
      </c>
      <c r="K368" s="21" t="n">
        <v>0.523809523809524</v>
      </c>
      <c r="L368" s="20" t="n">
        <v>-0.119738936321455</v>
      </c>
      <c r="M368" s="20" t="n">
        <v>-0.228592514795505</v>
      </c>
      <c r="N368" s="21" t="n">
        <v>0</v>
      </c>
      <c r="O368" s="28" t="n">
        <v>1</v>
      </c>
      <c r="P368" s="18" t="s">
        <v>96</v>
      </c>
      <c r="Q368" s="18"/>
    </row>
    <row r="369" customFormat="false" ht="15" hidden="false" customHeight="false" outlineLevel="0" collapsed="false">
      <c r="A369" s="13" t="s">
        <v>172</v>
      </c>
      <c r="B369" s="13" t="s">
        <v>219</v>
      </c>
      <c r="C369" s="13" t="s">
        <v>145</v>
      </c>
      <c r="D369" s="23" t="n">
        <v>12</v>
      </c>
      <c r="E369" s="13" t="s">
        <v>73</v>
      </c>
      <c r="F369" s="13" t="s">
        <v>132</v>
      </c>
      <c r="G369" s="24"/>
      <c r="H369" s="14" t="n">
        <v>-304</v>
      </c>
      <c r="I369" s="16" t="n">
        <v>0.632079404313903</v>
      </c>
      <c r="J369" s="16" t="n">
        <v>0.72705653442871</v>
      </c>
      <c r="K369" s="16" t="n">
        <v>0.752475247524753</v>
      </c>
      <c r="L369" s="15" t="n">
        <v>-0.120395843210849</v>
      </c>
      <c r="M369" s="15" t="n">
        <v>-0.159999739003892</v>
      </c>
      <c r="N369" s="16" t="n">
        <v>0</v>
      </c>
      <c r="O369" s="25" t="n">
        <v>1</v>
      </c>
      <c r="P369" s="13" t="s">
        <v>96</v>
      </c>
      <c r="Q369" s="13"/>
    </row>
    <row r="370" customFormat="false" ht="15" hidden="false" customHeight="false" outlineLevel="0" collapsed="false">
      <c r="A370" s="18" t="s">
        <v>172</v>
      </c>
      <c r="B370" s="18" t="s">
        <v>52</v>
      </c>
      <c r="C370" s="18" t="s">
        <v>54</v>
      </c>
      <c r="D370" s="26" t="n">
        <v>10</v>
      </c>
      <c r="E370" s="18" t="s">
        <v>49</v>
      </c>
      <c r="F370" s="18" t="s">
        <v>323</v>
      </c>
      <c r="G370" s="27" t="n">
        <v>53.5</v>
      </c>
      <c r="H370" s="19" t="n">
        <v>-110</v>
      </c>
      <c r="I370" s="21" t="n">
        <v>0.40247561657267</v>
      </c>
      <c r="J370" s="21" t="n">
        <v>0.5</v>
      </c>
      <c r="K370" s="21" t="n">
        <v>0.523809523809524</v>
      </c>
      <c r="L370" s="20" t="n">
        <v>-0.121333907236854</v>
      </c>
      <c r="M370" s="20" t="n">
        <v>-0.231637459270358</v>
      </c>
      <c r="N370" s="21" t="n">
        <v>0</v>
      </c>
      <c r="O370" s="28" t="n">
        <v>1</v>
      </c>
      <c r="P370" s="18" t="s">
        <v>96</v>
      </c>
      <c r="Q370" s="18"/>
    </row>
    <row r="371" customFormat="false" ht="15" hidden="false" customHeight="false" outlineLevel="0" collapsed="false">
      <c r="A371" s="13" t="s">
        <v>172</v>
      </c>
      <c r="B371" s="13" t="s">
        <v>151</v>
      </c>
      <c r="C371" s="13" t="s">
        <v>102</v>
      </c>
      <c r="D371" s="23" t="n">
        <v>13</v>
      </c>
      <c r="E371" s="13" t="s">
        <v>49</v>
      </c>
      <c r="F371" s="13" t="s">
        <v>338</v>
      </c>
      <c r="G371" s="24" t="n">
        <v>51</v>
      </c>
      <c r="H371" s="14" t="n">
        <v>-110</v>
      </c>
      <c r="I371" s="16" t="n">
        <v>0.400851471280919</v>
      </c>
      <c r="J371" s="16" t="n">
        <v>0.5</v>
      </c>
      <c r="K371" s="16" t="n">
        <v>0.523809523809524</v>
      </c>
      <c r="L371" s="15" t="n">
        <v>-0.122958052528605</v>
      </c>
      <c r="M371" s="15" t="n">
        <v>-0.226473785618504</v>
      </c>
      <c r="N371" s="16" t="n">
        <v>0.0352</v>
      </c>
      <c r="O371" s="25" t="n">
        <v>1</v>
      </c>
      <c r="P371" s="13" t="s">
        <v>96</v>
      </c>
      <c r="Q371" s="13"/>
    </row>
    <row r="372" customFormat="false" ht="15" hidden="false" customHeight="false" outlineLevel="0" collapsed="false">
      <c r="A372" s="18" t="s">
        <v>172</v>
      </c>
      <c r="B372" s="18" t="s">
        <v>83</v>
      </c>
      <c r="C372" s="18" t="s">
        <v>62</v>
      </c>
      <c r="D372" s="26" t="n">
        <v>10</v>
      </c>
      <c r="E372" s="18" t="s">
        <v>73</v>
      </c>
      <c r="F372" s="18" t="s">
        <v>200</v>
      </c>
      <c r="G372" s="27"/>
      <c r="H372" s="19" t="n">
        <v>-264</v>
      </c>
      <c r="I372" s="21" t="n">
        <v>0.602145520594571</v>
      </c>
      <c r="J372" s="21" t="n">
        <v>0.700835031889013</v>
      </c>
      <c r="K372" s="21" t="n">
        <v>0.725274725274725</v>
      </c>
      <c r="L372" s="20" t="n">
        <v>-0.123129204680154</v>
      </c>
      <c r="M372" s="20" t="n">
        <v>-0.169769054937788</v>
      </c>
      <c r="N372" s="21" t="n">
        <v>0</v>
      </c>
      <c r="O372" s="28" t="n">
        <v>1</v>
      </c>
      <c r="P372" s="18" t="s">
        <v>96</v>
      </c>
      <c r="Q372" s="18"/>
    </row>
    <row r="373" customFormat="false" ht="15" hidden="false" customHeight="false" outlineLevel="0" collapsed="false">
      <c r="A373" s="13" t="s">
        <v>172</v>
      </c>
      <c r="B373" s="13" t="s">
        <v>52</v>
      </c>
      <c r="C373" s="13" t="s">
        <v>54</v>
      </c>
      <c r="D373" s="23" t="n">
        <v>10</v>
      </c>
      <c r="E373" s="13" t="s">
        <v>73</v>
      </c>
      <c r="F373" s="13" t="s">
        <v>357</v>
      </c>
      <c r="G373" s="24"/>
      <c r="H373" s="14" t="n">
        <v>-1900</v>
      </c>
      <c r="I373" s="16" t="n">
        <v>0.826722046686805</v>
      </c>
      <c r="J373" s="16" t="n">
        <v>0.95</v>
      </c>
      <c r="K373" s="16" t="n">
        <v>0.95</v>
      </c>
      <c r="L373" s="15" t="n">
        <v>-0.123277953313195</v>
      </c>
      <c r="M373" s="15" t="n">
        <v>-0.129766266645468</v>
      </c>
      <c r="N373" s="16" t="n">
        <v>0</v>
      </c>
      <c r="O373" s="25" t="n">
        <v>1</v>
      </c>
      <c r="P373" s="13" t="s">
        <v>96</v>
      </c>
      <c r="Q373" s="13" t="s">
        <v>174</v>
      </c>
    </row>
    <row r="374" customFormat="false" ht="15" hidden="false" customHeight="false" outlineLevel="0" collapsed="false">
      <c r="A374" s="18" t="s">
        <v>172</v>
      </c>
      <c r="B374" s="18" t="s">
        <v>166</v>
      </c>
      <c r="C374" s="18" t="s">
        <v>47</v>
      </c>
      <c r="D374" s="26" t="n">
        <v>14</v>
      </c>
      <c r="E374" s="18" t="s">
        <v>73</v>
      </c>
      <c r="F374" s="18" t="s">
        <v>286</v>
      </c>
      <c r="G374" s="27"/>
      <c r="H374" s="19" t="n">
        <v>-262</v>
      </c>
      <c r="I374" s="21" t="n">
        <v>0.600448274561793</v>
      </c>
      <c r="J374" s="21" t="n">
        <v>0.699744534023423</v>
      </c>
      <c r="K374" s="21" t="n">
        <v>0.723756906077348</v>
      </c>
      <c r="L374" s="20" t="n">
        <v>-0.123308631515555</v>
      </c>
      <c r="M374" s="20" t="n">
        <v>-0.170372994689431</v>
      </c>
      <c r="N374" s="21" t="n">
        <v>0</v>
      </c>
      <c r="O374" s="28" t="n">
        <v>1</v>
      </c>
      <c r="P374" s="18" t="s">
        <v>96</v>
      </c>
      <c r="Q374" s="18"/>
    </row>
    <row r="375" customFormat="false" ht="15" hidden="false" customHeight="false" outlineLevel="0" collapsed="false">
      <c r="A375" s="13" t="s">
        <v>172</v>
      </c>
      <c r="B375" s="13" t="s">
        <v>166</v>
      </c>
      <c r="C375" s="13" t="s">
        <v>47</v>
      </c>
      <c r="D375" s="23" t="n">
        <v>14</v>
      </c>
      <c r="E375" s="13" t="s">
        <v>45</v>
      </c>
      <c r="F375" s="13" t="s">
        <v>365</v>
      </c>
      <c r="G375" s="24" t="n">
        <v>6.5</v>
      </c>
      <c r="H375" s="14" t="n">
        <v>-110</v>
      </c>
      <c r="I375" s="16" t="n">
        <v>0.399913392736298</v>
      </c>
      <c r="J375" s="16" t="n">
        <v>0.5</v>
      </c>
      <c r="K375" s="16" t="n">
        <v>0.523809523809524</v>
      </c>
      <c r="L375" s="15" t="n">
        <v>-0.123896131073226</v>
      </c>
      <c r="M375" s="15" t="n">
        <v>-0.23652897750343</v>
      </c>
      <c r="N375" s="16" t="n">
        <v>0</v>
      </c>
      <c r="O375" s="25" t="n">
        <v>1</v>
      </c>
      <c r="P375" s="13" t="s">
        <v>96</v>
      </c>
      <c r="Q375" s="13"/>
    </row>
    <row r="376" customFormat="false" ht="15" hidden="false" customHeight="false" outlineLevel="0" collapsed="false">
      <c r="A376" s="18" t="s">
        <v>172</v>
      </c>
      <c r="B376" s="18" t="s">
        <v>231</v>
      </c>
      <c r="C376" s="18" t="s">
        <v>59</v>
      </c>
      <c r="D376" s="26" t="n">
        <v>10</v>
      </c>
      <c r="E376" s="18" t="s">
        <v>45</v>
      </c>
      <c r="F376" s="18" t="s">
        <v>366</v>
      </c>
      <c r="G376" s="27" t="n">
        <v>6</v>
      </c>
      <c r="H376" s="19" t="n">
        <v>-110</v>
      </c>
      <c r="I376" s="21" t="n">
        <v>0.399607865223842</v>
      </c>
      <c r="J376" s="21" t="n">
        <v>0.5</v>
      </c>
      <c r="K376" s="21" t="n">
        <v>0.523809523809524</v>
      </c>
      <c r="L376" s="20" t="n">
        <v>-0.124201658585682</v>
      </c>
      <c r="M376" s="20" t="n">
        <v>-0.231099782787302</v>
      </c>
      <c r="N376" s="21" t="n">
        <v>0.0254</v>
      </c>
      <c r="O376" s="28" t="n">
        <v>1</v>
      </c>
      <c r="P376" s="18" t="s">
        <v>96</v>
      </c>
      <c r="Q376" s="18"/>
    </row>
    <row r="377" customFormat="false" ht="15" hidden="false" customHeight="false" outlineLevel="0" collapsed="false">
      <c r="A377" s="13" t="s">
        <v>172</v>
      </c>
      <c r="B377" s="13" t="s">
        <v>229</v>
      </c>
      <c r="C377" s="13" t="s">
        <v>71</v>
      </c>
      <c r="D377" s="23" t="n">
        <v>11</v>
      </c>
      <c r="E377" s="13" t="s">
        <v>49</v>
      </c>
      <c r="F377" s="13" t="s">
        <v>367</v>
      </c>
      <c r="G377" s="24" t="n">
        <v>49</v>
      </c>
      <c r="H377" s="14" t="n">
        <v>-110</v>
      </c>
      <c r="I377" s="16" t="n">
        <v>0.399051172821417</v>
      </c>
      <c r="J377" s="16" t="n">
        <v>0.5</v>
      </c>
      <c r="K377" s="16" t="n">
        <v>0.523809523809524</v>
      </c>
      <c r="L377" s="15" t="n">
        <v>-0.124758350988107</v>
      </c>
      <c r="M377" s="15" t="n">
        <v>-0.229831955509518</v>
      </c>
      <c r="N377" s="16" t="n">
        <v>0.035</v>
      </c>
      <c r="O377" s="25" t="n">
        <v>1</v>
      </c>
      <c r="P377" s="13" t="s">
        <v>96</v>
      </c>
      <c r="Q377" s="13"/>
    </row>
    <row r="378" customFormat="false" ht="15" hidden="false" customHeight="false" outlineLevel="0" collapsed="false">
      <c r="A378" s="18" t="s">
        <v>172</v>
      </c>
      <c r="B378" s="18" t="s">
        <v>129</v>
      </c>
      <c r="C378" s="18" t="s">
        <v>75</v>
      </c>
      <c r="D378" s="26" t="n">
        <v>13</v>
      </c>
      <c r="E378" s="18" t="s">
        <v>49</v>
      </c>
      <c r="F378" s="18" t="s">
        <v>348</v>
      </c>
      <c r="G378" s="27" t="n">
        <v>50.5</v>
      </c>
      <c r="H378" s="19" t="n">
        <v>-110</v>
      </c>
      <c r="I378" s="21" t="n">
        <v>0.398989671289857</v>
      </c>
      <c r="J378" s="21" t="n">
        <v>0.5</v>
      </c>
      <c r="K378" s="21" t="n">
        <v>0.523809523809524</v>
      </c>
      <c r="L378" s="20" t="n">
        <v>-0.124819852519667</v>
      </c>
      <c r="M378" s="20" t="n">
        <v>-0.238292445719365</v>
      </c>
      <c r="N378" s="21" t="n">
        <v>0</v>
      </c>
      <c r="O378" s="28" t="n">
        <v>1</v>
      </c>
      <c r="P378" s="18" t="s">
        <v>96</v>
      </c>
      <c r="Q378" s="18"/>
    </row>
    <row r="379" customFormat="false" ht="15" hidden="false" customHeight="false" outlineLevel="0" collapsed="false">
      <c r="A379" s="13" t="s">
        <v>172</v>
      </c>
      <c r="B379" s="13" t="s">
        <v>226</v>
      </c>
      <c r="C379" s="13" t="s">
        <v>114</v>
      </c>
      <c r="D379" s="23" t="n">
        <v>13</v>
      </c>
      <c r="E379" s="13" t="s">
        <v>45</v>
      </c>
      <c r="F379" s="13" t="s">
        <v>368</v>
      </c>
      <c r="G379" s="24" t="n">
        <v>4</v>
      </c>
      <c r="H379" s="14" t="n">
        <v>-110</v>
      </c>
      <c r="I379" s="16" t="n">
        <v>0.398729717271669</v>
      </c>
      <c r="J379" s="16" t="n">
        <v>0.5</v>
      </c>
      <c r="K379" s="16" t="n">
        <v>0.523809523809524</v>
      </c>
      <c r="L379" s="15" t="n">
        <v>-0.125079806537855</v>
      </c>
      <c r="M379" s="15" t="n">
        <v>-0.232167776048292</v>
      </c>
      <c r="N379" s="16" t="n">
        <v>0.0277</v>
      </c>
      <c r="O379" s="25" t="n">
        <v>1</v>
      </c>
      <c r="P379" s="13" t="s">
        <v>96</v>
      </c>
      <c r="Q379" s="13"/>
    </row>
    <row r="380" customFormat="false" ht="15" hidden="false" customHeight="false" outlineLevel="0" collapsed="false">
      <c r="A380" s="18" t="s">
        <v>172</v>
      </c>
      <c r="B380" s="18" t="s">
        <v>224</v>
      </c>
      <c r="C380" s="18" t="s">
        <v>59</v>
      </c>
      <c r="D380" s="26" t="n">
        <v>10</v>
      </c>
      <c r="E380" s="18" t="s">
        <v>45</v>
      </c>
      <c r="F380" s="18" t="s">
        <v>369</v>
      </c>
      <c r="G380" s="27" t="n">
        <v>-8.5</v>
      </c>
      <c r="H380" s="19" t="n">
        <v>-110</v>
      </c>
      <c r="I380" s="21" t="n">
        <v>0.398463316631374</v>
      </c>
      <c r="J380" s="21" t="n">
        <v>0.5</v>
      </c>
      <c r="K380" s="21" t="n">
        <v>0.523809523809524</v>
      </c>
      <c r="L380" s="20" t="n">
        <v>-0.12534620717815</v>
      </c>
      <c r="M380" s="20" t="n">
        <v>-0.239297304612832</v>
      </c>
      <c r="N380" s="21" t="n">
        <v>0</v>
      </c>
      <c r="O380" s="28" t="n">
        <v>1</v>
      </c>
      <c r="P380" s="18" t="s">
        <v>96</v>
      </c>
      <c r="Q380" s="18"/>
    </row>
    <row r="381" customFormat="false" ht="15" hidden="false" customHeight="false" outlineLevel="0" collapsed="false">
      <c r="A381" s="13" t="s">
        <v>172</v>
      </c>
      <c r="B381" s="13" t="s">
        <v>206</v>
      </c>
      <c r="C381" s="13" t="s">
        <v>65</v>
      </c>
      <c r="D381" s="23" t="n">
        <v>11</v>
      </c>
      <c r="E381" s="13" t="s">
        <v>73</v>
      </c>
      <c r="F381" s="13" t="s">
        <v>314</v>
      </c>
      <c r="G381" s="24"/>
      <c r="H381" s="14" t="n">
        <v>-416</v>
      </c>
      <c r="I381" s="16" t="n">
        <v>0.677682860470404</v>
      </c>
      <c r="J381" s="16" t="n">
        <v>0.778912730513471</v>
      </c>
      <c r="K381" s="16" t="n">
        <v>0.806201550387597</v>
      </c>
      <c r="L381" s="15" t="n">
        <v>-0.128518689917193</v>
      </c>
      <c r="M381" s="15" t="n">
        <v>-0.159412605762672</v>
      </c>
      <c r="N381" s="16" t="n">
        <v>0</v>
      </c>
      <c r="O381" s="25" t="n">
        <v>1</v>
      </c>
      <c r="P381" s="13" t="s">
        <v>96</v>
      </c>
      <c r="Q381" s="13" t="s">
        <v>174</v>
      </c>
    </row>
    <row r="382" customFormat="false" ht="15" hidden="false" customHeight="false" outlineLevel="0" collapsed="false">
      <c r="A382" s="18" t="s">
        <v>172</v>
      </c>
      <c r="B382" s="18" t="s">
        <v>222</v>
      </c>
      <c r="C382" s="18" t="s">
        <v>145</v>
      </c>
      <c r="D382" s="26" t="n">
        <v>12</v>
      </c>
      <c r="E382" s="18" t="s">
        <v>45</v>
      </c>
      <c r="F382" s="18" t="s">
        <v>370</v>
      </c>
      <c r="G382" s="27" t="n">
        <v>4.5</v>
      </c>
      <c r="H382" s="19" t="n">
        <v>-110</v>
      </c>
      <c r="I382" s="21" t="n">
        <v>0.394237662119948</v>
      </c>
      <c r="J382" s="21" t="n">
        <v>0.5</v>
      </c>
      <c r="K382" s="21" t="n">
        <v>0.523809523809524</v>
      </c>
      <c r="L382" s="20" t="n">
        <v>-0.129571861689576</v>
      </c>
      <c r="M382" s="20" t="n">
        <v>-0.247364463225555</v>
      </c>
      <c r="N382" s="21" t="n">
        <v>0</v>
      </c>
      <c r="O382" s="28" t="n">
        <v>1</v>
      </c>
      <c r="P382" s="18" t="s">
        <v>96</v>
      </c>
      <c r="Q382" s="18"/>
    </row>
    <row r="383" customFormat="false" ht="15" hidden="false" customHeight="false" outlineLevel="0" collapsed="false">
      <c r="A383" s="13" t="s">
        <v>172</v>
      </c>
      <c r="B383" s="13" t="s">
        <v>205</v>
      </c>
      <c r="C383" s="13" t="s">
        <v>54</v>
      </c>
      <c r="D383" s="23" t="n">
        <v>10</v>
      </c>
      <c r="E383" s="13" t="s">
        <v>73</v>
      </c>
      <c r="F383" s="13" t="s">
        <v>221</v>
      </c>
      <c r="G383" s="24"/>
      <c r="H383" s="14" t="n">
        <v>-284</v>
      </c>
      <c r="I383" s="16" t="n">
        <v>0.609726322242019</v>
      </c>
      <c r="J383" s="16" t="n">
        <v>0.714268706470623</v>
      </c>
      <c r="K383" s="16" t="n">
        <v>0.739583333333333</v>
      </c>
      <c r="L383" s="15" t="n">
        <v>-0.129857011091314</v>
      </c>
      <c r="M383" s="15" t="n">
        <v>-0.175581310771354</v>
      </c>
      <c r="N383" s="16" t="n">
        <v>0</v>
      </c>
      <c r="O383" s="25" t="n">
        <v>1</v>
      </c>
      <c r="P383" s="13" t="s">
        <v>96</v>
      </c>
      <c r="Q383" s="13"/>
    </row>
    <row r="384" customFormat="false" ht="15" hidden="false" customHeight="false" outlineLevel="0" collapsed="false">
      <c r="A384" s="18" t="s">
        <v>172</v>
      </c>
      <c r="B384" s="18" t="s">
        <v>219</v>
      </c>
      <c r="C384" s="18" t="s">
        <v>145</v>
      </c>
      <c r="D384" s="26" t="n">
        <v>12</v>
      </c>
      <c r="E384" s="18" t="s">
        <v>45</v>
      </c>
      <c r="F384" s="18" t="s">
        <v>371</v>
      </c>
      <c r="G384" s="27" t="n">
        <v>7.5</v>
      </c>
      <c r="H384" s="19" t="n">
        <v>-110</v>
      </c>
      <c r="I384" s="21" t="n">
        <v>0.392949995245812</v>
      </c>
      <c r="J384" s="21" t="n">
        <v>0.5</v>
      </c>
      <c r="K384" s="21" t="n">
        <v>0.523809523809524</v>
      </c>
      <c r="L384" s="20" t="n">
        <v>-0.130859528563712</v>
      </c>
      <c r="M384" s="20" t="n">
        <v>-0.249822736348904</v>
      </c>
      <c r="N384" s="21" t="n">
        <v>0</v>
      </c>
      <c r="O384" s="28" t="n">
        <v>1</v>
      </c>
      <c r="P384" s="18" t="s">
        <v>96</v>
      </c>
      <c r="Q384" s="18"/>
    </row>
    <row r="385" customFormat="false" ht="15" hidden="false" customHeight="false" outlineLevel="0" collapsed="false">
      <c r="A385" s="13" t="s">
        <v>172</v>
      </c>
      <c r="B385" s="13" t="s">
        <v>157</v>
      </c>
      <c r="C385" s="13" t="s">
        <v>75</v>
      </c>
      <c r="D385" s="23" t="n">
        <v>13</v>
      </c>
      <c r="E385" s="13" t="s">
        <v>73</v>
      </c>
      <c r="F385" s="13" t="s">
        <v>335</v>
      </c>
      <c r="G385" s="24"/>
      <c r="H385" s="14" t="n">
        <v>-940</v>
      </c>
      <c r="I385" s="16" t="n">
        <v>0.771587069757664</v>
      </c>
      <c r="J385" s="16" t="n">
        <v>0.873214024479446</v>
      </c>
      <c r="K385" s="16" t="n">
        <v>0.903846153846154</v>
      </c>
      <c r="L385" s="15" t="n">
        <v>-0.13225908408849</v>
      </c>
      <c r="M385" s="15" t="n">
        <v>-0.146329199417053</v>
      </c>
      <c r="N385" s="16" t="n">
        <v>0</v>
      </c>
      <c r="O385" s="25" t="n">
        <v>1</v>
      </c>
      <c r="P385" s="13" t="s">
        <v>96</v>
      </c>
      <c r="Q385" s="13" t="s">
        <v>174</v>
      </c>
    </row>
    <row r="386" customFormat="false" ht="15" hidden="false" customHeight="false" outlineLevel="0" collapsed="false">
      <c r="A386" s="18" t="s">
        <v>172</v>
      </c>
      <c r="B386" s="18" t="s">
        <v>72</v>
      </c>
      <c r="C386" s="18" t="s">
        <v>75</v>
      </c>
      <c r="D386" s="26" t="n">
        <v>13</v>
      </c>
      <c r="E386" s="18" t="s">
        <v>49</v>
      </c>
      <c r="F386" s="18" t="s">
        <v>372</v>
      </c>
      <c r="G386" s="27" t="n">
        <v>63</v>
      </c>
      <c r="H386" s="19" t="n">
        <v>-110</v>
      </c>
      <c r="I386" s="21" t="n">
        <v>0.390204959304597</v>
      </c>
      <c r="J386" s="21" t="n">
        <v>0.5</v>
      </c>
      <c r="K386" s="21" t="n">
        <v>0.523809523809524</v>
      </c>
      <c r="L386" s="20" t="n">
        <v>-0.133604564504927</v>
      </c>
      <c r="M386" s="20" t="n">
        <v>-0.246364434430224</v>
      </c>
      <c r="N386" s="21" t="n">
        <v>0.0341</v>
      </c>
      <c r="O386" s="28" t="n">
        <v>1</v>
      </c>
      <c r="P386" s="18" t="s">
        <v>96</v>
      </c>
      <c r="Q386" s="18"/>
    </row>
    <row r="387" customFormat="false" ht="15" hidden="false" customHeight="false" outlineLevel="0" collapsed="false">
      <c r="A387" s="13" t="s">
        <v>172</v>
      </c>
      <c r="B387" s="13" t="s">
        <v>168</v>
      </c>
      <c r="C387" s="13" t="s">
        <v>51</v>
      </c>
      <c r="D387" s="23" t="n">
        <v>14</v>
      </c>
      <c r="E387" s="13" t="s">
        <v>45</v>
      </c>
      <c r="F387" s="13" t="s">
        <v>373</v>
      </c>
      <c r="G387" s="24" t="n">
        <v>-7.5</v>
      </c>
      <c r="H387" s="14" t="n">
        <v>-110</v>
      </c>
      <c r="I387" s="16" t="n">
        <v>0.390018408548406</v>
      </c>
      <c r="J387" s="16" t="n">
        <v>0.5</v>
      </c>
      <c r="K387" s="16" t="n">
        <v>0.523809523809524</v>
      </c>
      <c r="L387" s="15" t="n">
        <v>-0.133791115261118</v>
      </c>
      <c r="M387" s="15" t="n">
        <v>-0.255419401862134</v>
      </c>
      <c r="N387" s="16" t="n">
        <v>0</v>
      </c>
      <c r="O387" s="25" t="n">
        <v>1</v>
      </c>
      <c r="P387" s="13" t="s">
        <v>96</v>
      </c>
      <c r="Q387" s="13"/>
    </row>
    <row r="388" customFormat="false" ht="15" hidden="false" customHeight="false" outlineLevel="0" collapsed="false">
      <c r="A388" s="18" t="s">
        <v>172</v>
      </c>
      <c r="B388" s="18" t="s">
        <v>69</v>
      </c>
      <c r="C388" s="18" t="s">
        <v>71</v>
      </c>
      <c r="D388" s="26" t="n">
        <v>11</v>
      </c>
      <c r="E388" s="18" t="s">
        <v>73</v>
      </c>
      <c r="F388" s="18" t="s">
        <v>299</v>
      </c>
      <c r="G388" s="27"/>
      <c r="H388" s="19" t="n">
        <v>-1900</v>
      </c>
      <c r="I388" s="21" t="n">
        <v>0.814427941758877</v>
      </c>
      <c r="J388" s="21" t="n">
        <v>0.95</v>
      </c>
      <c r="K388" s="21" t="n">
        <v>0.95</v>
      </c>
      <c r="L388" s="20" t="n">
        <v>-0.135572058241123</v>
      </c>
      <c r="M388" s="20" t="n">
        <v>-0.142707429727498</v>
      </c>
      <c r="N388" s="21" t="n">
        <v>0</v>
      </c>
      <c r="O388" s="28" t="n">
        <v>1</v>
      </c>
      <c r="P388" s="18" t="s">
        <v>96</v>
      </c>
      <c r="Q388" s="18" t="s">
        <v>174</v>
      </c>
    </row>
    <row r="389" customFormat="false" ht="15" hidden="false" customHeight="false" outlineLevel="0" collapsed="false">
      <c r="A389" s="13" t="s">
        <v>172</v>
      </c>
      <c r="B389" s="13" t="s">
        <v>189</v>
      </c>
      <c r="C389" s="13" t="s">
        <v>68</v>
      </c>
      <c r="D389" s="23" t="n">
        <v>11</v>
      </c>
      <c r="E389" s="13" t="s">
        <v>45</v>
      </c>
      <c r="F389" s="13" t="s">
        <v>374</v>
      </c>
      <c r="G389" s="24" t="n">
        <v>9.5</v>
      </c>
      <c r="H389" s="14" t="n">
        <v>-110</v>
      </c>
      <c r="I389" s="16" t="n">
        <v>0.387818991828256</v>
      </c>
      <c r="J389" s="16" t="n">
        <v>0.5</v>
      </c>
      <c r="K389" s="16" t="n">
        <v>0.523809523809524</v>
      </c>
      <c r="L389" s="15" t="n">
        <v>-0.135990531981268</v>
      </c>
      <c r="M389" s="15" t="n">
        <v>-0.259618288327875</v>
      </c>
      <c r="N389" s="16" t="n">
        <v>0</v>
      </c>
      <c r="O389" s="25" t="n">
        <v>1</v>
      </c>
      <c r="P389" s="13" t="s">
        <v>96</v>
      </c>
      <c r="Q389" s="13"/>
    </row>
    <row r="390" customFormat="false" ht="15" hidden="false" customHeight="false" outlineLevel="0" collapsed="false">
      <c r="A390" s="18" t="s">
        <v>172</v>
      </c>
      <c r="B390" s="18" t="s">
        <v>206</v>
      </c>
      <c r="C390" s="18" t="s">
        <v>65</v>
      </c>
      <c r="D390" s="26" t="n">
        <v>11</v>
      </c>
      <c r="E390" s="18" t="s">
        <v>45</v>
      </c>
      <c r="F390" s="18" t="s">
        <v>375</v>
      </c>
      <c r="G390" s="27" t="n">
        <v>9.5</v>
      </c>
      <c r="H390" s="19" t="n">
        <v>-110</v>
      </c>
      <c r="I390" s="21" t="n">
        <v>0.387454685522414</v>
      </c>
      <c r="J390" s="21" t="n">
        <v>0.5</v>
      </c>
      <c r="K390" s="21" t="n">
        <v>0.523809523809524</v>
      </c>
      <c r="L390" s="20" t="n">
        <v>-0.13635483828711</v>
      </c>
      <c r="M390" s="20" t="n">
        <v>-0.260313782184482</v>
      </c>
      <c r="N390" s="21" t="n">
        <v>0</v>
      </c>
      <c r="O390" s="28" t="n">
        <v>1</v>
      </c>
      <c r="P390" s="18" t="s">
        <v>96</v>
      </c>
      <c r="Q390" s="18"/>
    </row>
    <row r="391" customFormat="false" ht="15" hidden="false" customHeight="false" outlineLevel="0" collapsed="false">
      <c r="A391" s="13" t="s">
        <v>172</v>
      </c>
      <c r="B391" s="13" t="s">
        <v>57</v>
      </c>
      <c r="C391" s="13" t="s">
        <v>59</v>
      </c>
      <c r="D391" s="23" t="n">
        <v>10</v>
      </c>
      <c r="E391" s="13" t="s">
        <v>73</v>
      </c>
      <c r="F391" s="13" t="s">
        <v>290</v>
      </c>
      <c r="G391" s="24"/>
      <c r="H391" s="14" t="n">
        <v>-605</v>
      </c>
      <c r="I391" s="16" t="n">
        <v>0.721492795802382</v>
      </c>
      <c r="J391" s="16" t="n">
        <v>0.829268883345846</v>
      </c>
      <c r="K391" s="16" t="n">
        <v>0.858156028368794</v>
      </c>
      <c r="L391" s="15" t="n">
        <v>-0.136663232566412</v>
      </c>
      <c r="M391" s="15" t="n">
        <v>-0.159252196626976</v>
      </c>
      <c r="N391" s="16" t="n">
        <v>0</v>
      </c>
      <c r="O391" s="25" t="n">
        <v>1</v>
      </c>
      <c r="P391" s="13" t="s">
        <v>96</v>
      </c>
      <c r="Q391" s="13" t="s">
        <v>174</v>
      </c>
    </row>
    <row r="392" customFormat="false" ht="15" hidden="false" customHeight="false" outlineLevel="0" collapsed="false">
      <c r="A392" s="18" t="s">
        <v>172</v>
      </c>
      <c r="B392" s="18" t="s">
        <v>147</v>
      </c>
      <c r="C392" s="18" t="s">
        <v>136</v>
      </c>
      <c r="D392" s="26" t="n">
        <v>12</v>
      </c>
      <c r="E392" s="18" t="s">
        <v>49</v>
      </c>
      <c r="F392" s="18" t="s">
        <v>359</v>
      </c>
      <c r="G392" s="27" t="n">
        <v>51.5</v>
      </c>
      <c r="H392" s="19" t="n">
        <v>-110</v>
      </c>
      <c r="I392" s="21" t="n">
        <v>0.387084872503721</v>
      </c>
      <c r="J392" s="21" t="n">
        <v>0.5</v>
      </c>
      <c r="K392" s="21" t="n">
        <v>0.523809523809524</v>
      </c>
      <c r="L392" s="20" t="n">
        <v>-0.136724651305803</v>
      </c>
      <c r="M392" s="20" t="n">
        <v>-0.261019788856533</v>
      </c>
      <c r="N392" s="21" t="n">
        <v>0</v>
      </c>
      <c r="O392" s="28" t="n">
        <v>1</v>
      </c>
      <c r="P392" s="18" t="s">
        <v>96</v>
      </c>
      <c r="Q392" s="18"/>
    </row>
    <row r="393" customFormat="false" ht="15" hidden="false" customHeight="false" outlineLevel="0" collapsed="false">
      <c r="A393" s="13" t="s">
        <v>172</v>
      </c>
      <c r="B393" s="13" t="s">
        <v>213</v>
      </c>
      <c r="C393" s="13" t="s">
        <v>68</v>
      </c>
      <c r="D393" s="23" t="n">
        <v>11</v>
      </c>
      <c r="E393" s="13" t="s">
        <v>45</v>
      </c>
      <c r="F393" s="13" t="s">
        <v>376</v>
      </c>
      <c r="G393" s="24" t="n">
        <v>-9.5</v>
      </c>
      <c r="H393" s="14" t="n">
        <v>-110</v>
      </c>
      <c r="I393" s="16" t="n">
        <v>0.385881803897504</v>
      </c>
      <c r="J393" s="16" t="n">
        <v>0.5</v>
      </c>
      <c r="K393" s="16" t="n">
        <v>0.523809523809524</v>
      </c>
      <c r="L393" s="15" t="n">
        <v>-0.13792771991202</v>
      </c>
      <c r="M393" s="15" t="n">
        <v>-0.263316556195675</v>
      </c>
      <c r="N393" s="16" t="n">
        <v>0</v>
      </c>
      <c r="O393" s="25" t="n">
        <v>1</v>
      </c>
      <c r="P393" s="13" t="s">
        <v>96</v>
      </c>
      <c r="Q393" s="13"/>
    </row>
    <row r="394" customFormat="false" ht="15" hidden="false" customHeight="false" outlineLevel="0" collapsed="false">
      <c r="A394" s="18" t="s">
        <v>172</v>
      </c>
      <c r="B394" s="18" t="s">
        <v>205</v>
      </c>
      <c r="C394" s="18" t="s">
        <v>54</v>
      </c>
      <c r="D394" s="26" t="n">
        <v>10</v>
      </c>
      <c r="E394" s="18" t="s">
        <v>45</v>
      </c>
      <c r="F394" s="18" t="s">
        <v>377</v>
      </c>
      <c r="G394" s="27" t="n">
        <v>7</v>
      </c>
      <c r="H394" s="19" t="n">
        <v>-110</v>
      </c>
      <c r="I394" s="21" t="n">
        <v>0.385622760580584</v>
      </c>
      <c r="J394" s="21" t="n">
        <v>0.5</v>
      </c>
      <c r="K394" s="21" t="n">
        <v>0.523809523809524</v>
      </c>
      <c r="L394" s="20" t="n">
        <v>-0.13818676322894</v>
      </c>
      <c r="M394" s="20" t="n">
        <v>-0.252193952388662</v>
      </c>
      <c r="N394" s="21" t="n">
        <v>0.044</v>
      </c>
      <c r="O394" s="28" t="n">
        <v>1</v>
      </c>
      <c r="P394" s="18" t="s">
        <v>96</v>
      </c>
      <c r="Q394" s="18"/>
    </row>
    <row r="395" customFormat="false" ht="15" hidden="false" customHeight="false" outlineLevel="0" collapsed="false">
      <c r="A395" s="13" t="s">
        <v>172</v>
      </c>
      <c r="B395" s="13" t="s">
        <v>138</v>
      </c>
      <c r="C395" s="13" t="s">
        <v>62</v>
      </c>
      <c r="D395" s="23" t="n">
        <v>10</v>
      </c>
      <c r="E395" s="13" t="s">
        <v>49</v>
      </c>
      <c r="F395" s="13" t="s">
        <v>363</v>
      </c>
      <c r="G395" s="24" t="n">
        <v>64.5</v>
      </c>
      <c r="H395" s="14" t="n">
        <v>-110</v>
      </c>
      <c r="I395" s="16" t="n">
        <v>0.385423327984146</v>
      </c>
      <c r="J395" s="16" t="n">
        <v>0.5</v>
      </c>
      <c r="K395" s="16" t="n">
        <v>0.523809523809524</v>
      </c>
      <c r="L395" s="15" t="n">
        <v>-0.138386195825378</v>
      </c>
      <c r="M395" s="15" t="n">
        <v>-0.264191828393903</v>
      </c>
      <c r="N395" s="16" t="n">
        <v>0</v>
      </c>
      <c r="O395" s="25" t="n">
        <v>1</v>
      </c>
      <c r="P395" s="13" t="s">
        <v>96</v>
      </c>
      <c r="Q395" s="13"/>
    </row>
    <row r="396" customFormat="false" ht="15" hidden="false" customHeight="false" outlineLevel="0" collapsed="false">
      <c r="A396" s="18" t="s">
        <v>172</v>
      </c>
      <c r="B396" s="18" t="s">
        <v>111</v>
      </c>
      <c r="C396" s="18" t="s">
        <v>59</v>
      </c>
      <c r="D396" s="26" t="n">
        <v>10</v>
      </c>
      <c r="E396" s="18" t="s">
        <v>73</v>
      </c>
      <c r="F396" s="18" t="s">
        <v>152</v>
      </c>
      <c r="G396" s="27"/>
      <c r="H396" s="19" t="n">
        <v>-1476</v>
      </c>
      <c r="I396" s="21" t="n">
        <v>0.798075844920752</v>
      </c>
      <c r="J396" s="21" t="n">
        <v>0.904900749208311</v>
      </c>
      <c r="K396" s="21" t="n">
        <v>0.936548223350254</v>
      </c>
      <c r="L396" s="20" t="n">
        <v>-0.138472378429502</v>
      </c>
      <c r="M396" s="20" t="n">
        <v>-0.147853975884076</v>
      </c>
      <c r="N396" s="21" t="n">
        <v>0</v>
      </c>
      <c r="O396" s="28" t="n">
        <v>1</v>
      </c>
      <c r="P396" s="18" t="s">
        <v>96</v>
      </c>
      <c r="Q396" s="18" t="s">
        <v>174</v>
      </c>
    </row>
    <row r="397" customFormat="false" ht="15" hidden="false" customHeight="false" outlineLevel="0" collapsed="false">
      <c r="A397" s="13" t="s">
        <v>172</v>
      </c>
      <c r="B397" s="13" t="s">
        <v>83</v>
      </c>
      <c r="C397" s="13" t="s">
        <v>62</v>
      </c>
      <c r="D397" s="23" t="n">
        <v>10</v>
      </c>
      <c r="E397" s="13" t="s">
        <v>45</v>
      </c>
      <c r="F397" s="13" t="s">
        <v>378</v>
      </c>
      <c r="G397" s="24" t="n">
        <v>7</v>
      </c>
      <c r="H397" s="14" t="n">
        <v>-110</v>
      </c>
      <c r="I397" s="16" t="n">
        <v>0.384875704097975</v>
      </c>
      <c r="J397" s="16" t="n">
        <v>0.5</v>
      </c>
      <c r="K397" s="16" t="n">
        <v>0.523809523809524</v>
      </c>
      <c r="L397" s="15" t="n">
        <v>-0.138933819711549</v>
      </c>
      <c r="M397" s="15" t="n">
        <v>-0.253585784405612</v>
      </c>
      <c r="N397" s="16" t="n">
        <v>0.0439</v>
      </c>
      <c r="O397" s="25" t="n">
        <v>1</v>
      </c>
      <c r="P397" s="13" t="s">
        <v>96</v>
      </c>
      <c r="Q397" s="13"/>
    </row>
    <row r="398" customFormat="false" ht="15" hidden="false" customHeight="false" outlineLevel="0" collapsed="false">
      <c r="A398" s="18" t="s">
        <v>172</v>
      </c>
      <c r="B398" s="18" t="s">
        <v>151</v>
      </c>
      <c r="C398" s="18" t="s">
        <v>102</v>
      </c>
      <c r="D398" s="26" t="n">
        <v>13</v>
      </c>
      <c r="E398" s="18" t="s">
        <v>45</v>
      </c>
      <c r="F398" s="18" t="s">
        <v>379</v>
      </c>
      <c r="G398" s="27" t="n">
        <v>-7.5</v>
      </c>
      <c r="H398" s="19" t="n">
        <v>-110</v>
      </c>
      <c r="I398" s="21" t="n">
        <v>0.384842563535616</v>
      </c>
      <c r="J398" s="21" t="n">
        <v>0.5</v>
      </c>
      <c r="K398" s="21" t="n">
        <v>0.523809523809524</v>
      </c>
      <c r="L398" s="20" t="n">
        <v>-0.138966960273908</v>
      </c>
      <c r="M398" s="20" t="n">
        <v>-0.265300560522915</v>
      </c>
      <c r="N398" s="21" t="n">
        <v>0</v>
      </c>
      <c r="O398" s="28" t="n">
        <v>1</v>
      </c>
      <c r="P398" s="18" t="s">
        <v>96</v>
      </c>
      <c r="Q398" s="18"/>
    </row>
    <row r="399" customFormat="false" ht="15" hidden="false" customHeight="false" outlineLevel="0" collapsed="false">
      <c r="A399" s="13" t="s">
        <v>172</v>
      </c>
      <c r="B399" s="13" t="s">
        <v>188</v>
      </c>
      <c r="C399" s="13" t="s">
        <v>65</v>
      </c>
      <c r="D399" s="23" t="n">
        <v>11</v>
      </c>
      <c r="E399" s="13" t="s">
        <v>45</v>
      </c>
      <c r="F399" s="13" t="s">
        <v>380</v>
      </c>
      <c r="G399" s="24" t="n">
        <v>-11.5</v>
      </c>
      <c r="H399" s="14" t="n">
        <v>-110</v>
      </c>
      <c r="I399" s="16" t="n">
        <v>0.384104967945114</v>
      </c>
      <c r="J399" s="16" t="n">
        <v>0.5</v>
      </c>
      <c r="K399" s="16" t="n">
        <v>0.523809523809524</v>
      </c>
      <c r="L399" s="15" t="n">
        <v>-0.13970455586441</v>
      </c>
      <c r="M399" s="15" t="n">
        <v>-0.266708697559329</v>
      </c>
      <c r="N399" s="16" t="n">
        <v>0</v>
      </c>
      <c r="O399" s="25" t="n">
        <v>1</v>
      </c>
      <c r="P399" s="13" t="s">
        <v>96</v>
      </c>
      <c r="Q399" s="13"/>
    </row>
    <row r="400" customFormat="false" ht="15" hidden="false" customHeight="false" outlineLevel="0" collapsed="false">
      <c r="A400" s="18" t="s">
        <v>172</v>
      </c>
      <c r="B400" s="18" t="s">
        <v>155</v>
      </c>
      <c r="C400" s="18" t="s">
        <v>145</v>
      </c>
      <c r="D400" s="26" t="n">
        <v>12</v>
      </c>
      <c r="E400" s="18" t="s">
        <v>45</v>
      </c>
      <c r="F400" s="18" t="s">
        <v>381</v>
      </c>
      <c r="G400" s="27" t="n">
        <v>8</v>
      </c>
      <c r="H400" s="19" t="n">
        <v>-110</v>
      </c>
      <c r="I400" s="21" t="n">
        <v>0.383624279196694</v>
      </c>
      <c r="J400" s="21" t="n">
        <v>0.5</v>
      </c>
      <c r="K400" s="21" t="n">
        <v>0.523809523809524</v>
      </c>
      <c r="L400" s="20" t="n">
        <v>-0.14018524461283</v>
      </c>
      <c r="M400" s="20" t="n">
        <v>-0.261262174142431</v>
      </c>
      <c r="N400" s="21" t="n">
        <v>0.0238</v>
      </c>
      <c r="O400" s="28" t="n">
        <v>1</v>
      </c>
      <c r="P400" s="18" t="s">
        <v>96</v>
      </c>
      <c r="Q400" s="18"/>
    </row>
    <row r="401" customFormat="false" ht="15" hidden="false" customHeight="false" outlineLevel="0" collapsed="false">
      <c r="A401" s="13" t="s">
        <v>172</v>
      </c>
      <c r="B401" s="13" t="s">
        <v>147</v>
      </c>
      <c r="C401" s="13" t="s">
        <v>136</v>
      </c>
      <c r="D401" s="23" t="n">
        <v>12</v>
      </c>
      <c r="E401" s="13" t="s">
        <v>73</v>
      </c>
      <c r="F401" s="13" t="s">
        <v>290</v>
      </c>
      <c r="G401" s="24"/>
      <c r="H401" s="14" t="n">
        <v>-245</v>
      </c>
      <c r="I401" s="16" t="n">
        <v>0.569782052484866</v>
      </c>
      <c r="J401" s="16" t="n">
        <v>0.685548922207538</v>
      </c>
      <c r="K401" s="16" t="n">
        <v>0.710144927536232</v>
      </c>
      <c r="L401" s="15" t="n">
        <v>-0.140362875051366</v>
      </c>
      <c r="M401" s="15" t="n">
        <v>-0.197653844460087</v>
      </c>
      <c r="N401" s="16" t="n">
        <v>0</v>
      </c>
      <c r="O401" s="25" t="n">
        <v>1</v>
      </c>
      <c r="P401" s="13" t="s">
        <v>96</v>
      </c>
      <c r="Q401" s="13"/>
    </row>
    <row r="402" customFormat="false" ht="15" hidden="false" customHeight="false" outlineLevel="0" collapsed="false">
      <c r="A402" s="18" t="s">
        <v>172</v>
      </c>
      <c r="B402" s="18" t="s">
        <v>77</v>
      </c>
      <c r="C402" s="18" t="s">
        <v>65</v>
      </c>
      <c r="D402" s="26" t="n">
        <v>11</v>
      </c>
      <c r="E402" s="18" t="s">
        <v>73</v>
      </c>
      <c r="F402" s="18" t="s">
        <v>335</v>
      </c>
      <c r="G402" s="27"/>
      <c r="H402" s="19" t="n">
        <v>-1900</v>
      </c>
      <c r="I402" s="21" t="n">
        <v>0.808522277788792</v>
      </c>
      <c r="J402" s="21" t="n">
        <v>0.923236355262148</v>
      </c>
      <c r="K402" s="21" t="n">
        <v>0.95</v>
      </c>
      <c r="L402" s="20" t="n">
        <v>-0.141477722211208</v>
      </c>
      <c r="M402" s="20" t="n">
        <v>-0.148923918117061</v>
      </c>
      <c r="N402" s="21" t="n">
        <v>0</v>
      </c>
      <c r="O402" s="28" t="n">
        <v>1</v>
      </c>
      <c r="P402" s="18" t="s">
        <v>96</v>
      </c>
      <c r="Q402" s="18" t="s">
        <v>174</v>
      </c>
    </row>
    <row r="403" customFormat="false" ht="15" hidden="false" customHeight="false" outlineLevel="0" collapsed="false">
      <c r="A403" s="13" t="s">
        <v>172</v>
      </c>
      <c r="B403" s="13" t="s">
        <v>163</v>
      </c>
      <c r="C403" s="13" t="s">
        <v>75</v>
      </c>
      <c r="D403" s="23" t="n">
        <v>13</v>
      </c>
      <c r="E403" s="13" t="s">
        <v>45</v>
      </c>
      <c r="F403" s="13" t="s">
        <v>382</v>
      </c>
      <c r="G403" s="24" t="n">
        <v>11.5</v>
      </c>
      <c r="H403" s="14" t="n">
        <v>-110</v>
      </c>
      <c r="I403" s="16" t="n">
        <v>0.379057284266456</v>
      </c>
      <c r="J403" s="16" t="n">
        <v>0.5</v>
      </c>
      <c r="K403" s="16" t="n">
        <v>0.523809523809524</v>
      </c>
      <c r="L403" s="15" t="n">
        <v>-0.144752239543068</v>
      </c>
      <c r="M403" s="15" t="n">
        <v>-0.276345184582221</v>
      </c>
      <c r="N403" s="16" t="n">
        <v>0</v>
      </c>
      <c r="O403" s="25" t="n">
        <v>1</v>
      </c>
      <c r="P403" s="13" t="s">
        <v>96</v>
      </c>
      <c r="Q403" s="13"/>
    </row>
    <row r="404" customFormat="false" ht="15" hidden="false" customHeight="false" outlineLevel="0" collapsed="false">
      <c r="A404" s="18" t="s">
        <v>172</v>
      </c>
      <c r="B404" s="18" t="s">
        <v>161</v>
      </c>
      <c r="C404" s="18" t="s">
        <v>76</v>
      </c>
      <c r="D404" s="26" t="n">
        <v>14</v>
      </c>
      <c r="E404" s="18" t="s">
        <v>49</v>
      </c>
      <c r="F404" s="18" t="s">
        <v>346</v>
      </c>
      <c r="G404" s="27" t="n">
        <v>53</v>
      </c>
      <c r="H404" s="19" t="n">
        <v>-110</v>
      </c>
      <c r="I404" s="21" t="n">
        <v>0.378277614723421</v>
      </c>
      <c r="J404" s="21" t="n">
        <v>0.5</v>
      </c>
      <c r="K404" s="21" t="n">
        <v>0.523809523809524</v>
      </c>
      <c r="L404" s="20" t="n">
        <v>-0.145531909086103</v>
      </c>
      <c r="M404" s="20" t="n">
        <v>-0.268744789880973</v>
      </c>
      <c r="N404" s="21" t="n">
        <v>0.0327</v>
      </c>
      <c r="O404" s="28" t="n">
        <v>1</v>
      </c>
      <c r="P404" s="18" t="s">
        <v>96</v>
      </c>
      <c r="Q404" s="18"/>
    </row>
    <row r="405" customFormat="false" ht="15" hidden="false" customHeight="false" outlineLevel="0" collapsed="false">
      <c r="A405" s="13" t="s">
        <v>172</v>
      </c>
      <c r="B405" s="13" t="s">
        <v>63</v>
      </c>
      <c r="C405" s="13" t="s">
        <v>65</v>
      </c>
      <c r="D405" s="23" t="n">
        <v>11</v>
      </c>
      <c r="E405" s="13" t="s">
        <v>73</v>
      </c>
      <c r="F405" s="13" t="s">
        <v>124</v>
      </c>
      <c r="G405" s="24"/>
      <c r="H405" s="14" t="n">
        <v>-1164</v>
      </c>
      <c r="I405" s="16" t="n">
        <v>0.775131485051282</v>
      </c>
      <c r="J405" s="16" t="n">
        <v>0.889821378139306</v>
      </c>
      <c r="K405" s="16" t="n">
        <v>0.920886075949367</v>
      </c>
      <c r="L405" s="15" t="n">
        <v>-0.145754590898085</v>
      </c>
      <c r="M405" s="15" t="n">
        <v>-0.158276462968367</v>
      </c>
      <c r="N405" s="16" t="n">
        <v>0</v>
      </c>
      <c r="O405" s="25" t="n">
        <v>1</v>
      </c>
      <c r="P405" s="13" t="s">
        <v>96</v>
      </c>
      <c r="Q405" s="13" t="s">
        <v>174</v>
      </c>
    </row>
    <row r="406" customFormat="false" ht="15" hidden="false" customHeight="false" outlineLevel="0" collapsed="false">
      <c r="A406" s="18" t="s">
        <v>172</v>
      </c>
      <c r="B406" s="18" t="s">
        <v>149</v>
      </c>
      <c r="C406" s="18" t="s">
        <v>62</v>
      </c>
      <c r="D406" s="26" t="n">
        <v>10</v>
      </c>
      <c r="E406" s="18" t="s">
        <v>73</v>
      </c>
      <c r="F406" s="18" t="s">
        <v>335</v>
      </c>
      <c r="G406" s="27"/>
      <c r="H406" s="19" t="n">
        <v>-482</v>
      </c>
      <c r="I406" s="21" t="n">
        <v>0.679706827966317</v>
      </c>
      <c r="J406" s="21" t="n">
        <v>0.800004123626317</v>
      </c>
      <c r="K406" s="21" t="n">
        <v>0.828178694158076</v>
      </c>
      <c r="L406" s="20" t="n">
        <v>-0.148471866191759</v>
      </c>
      <c r="M406" s="20" t="n">
        <v>-0.179275157932788</v>
      </c>
      <c r="N406" s="21" t="n">
        <v>0</v>
      </c>
      <c r="O406" s="28" t="n">
        <v>1</v>
      </c>
      <c r="P406" s="18" t="s">
        <v>96</v>
      </c>
      <c r="Q406" s="18" t="s">
        <v>174</v>
      </c>
    </row>
    <row r="407" customFormat="false" ht="15" hidden="false" customHeight="false" outlineLevel="0" collapsed="false">
      <c r="A407" s="13" t="s">
        <v>172</v>
      </c>
      <c r="B407" s="13" t="s">
        <v>99</v>
      </c>
      <c r="C407" s="13" t="s">
        <v>75</v>
      </c>
      <c r="D407" s="23" t="n">
        <v>13</v>
      </c>
      <c r="E407" s="13" t="s">
        <v>73</v>
      </c>
      <c r="F407" s="13" t="s">
        <v>176</v>
      </c>
      <c r="G407" s="24"/>
      <c r="H407" s="14" t="n">
        <v>-1446</v>
      </c>
      <c r="I407" s="16" t="n">
        <v>0.786026479905519</v>
      </c>
      <c r="J407" s="16" t="n">
        <v>0.903672291390696</v>
      </c>
      <c r="K407" s="16" t="n">
        <v>0.935316946959897</v>
      </c>
      <c r="L407" s="15" t="n">
        <v>-0.149290467054377</v>
      </c>
      <c r="M407" s="15" t="n">
        <v>-0.159614842369341</v>
      </c>
      <c r="N407" s="16" t="n">
        <v>0</v>
      </c>
      <c r="O407" s="25" t="n">
        <v>1</v>
      </c>
      <c r="P407" s="13" t="s">
        <v>96</v>
      </c>
      <c r="Q407" s="13" t="s">
        <v>174</v>
      </c>
    </row>
    <row r="408" customFormat="false" ht="15" hidden="false" customHeight="false" outlineLevel="0" collapsed="false">
      <c r="A408" s="18" t="s">
        <v>172</v>
      </c>
      <c r="B408" s="18" t="s">
        <v>153</v>
      </c>
      <c r="C408" s="18" t="s">
        <v>109</v>
      </c>
      <c r="D408" s="26" t="n">
        <v>12</v>
      </c>
      <c r="E408" s="18" t="s">
        <v>73</v>
      </c>
      <c r="F408" s="18" t="s">
        <v>196</v>
      </c>
      <c r="G408" s="27"/>
      <c r="H408" s="19" t="n">
        <v>-343</v>
      </c>
      <c r="I408" s="21" t="n">
        <v>0.624918603723495</v>
      </c>
      <c r="J408" s="21" t="n">
        <v>0.747821186435854</v>
      </c>
      <c r="K408" s="21" t="n">
        <v>0.774266365688488</v>
      </c>
      <c r="L408" s="20" t="n">
        <v>-0.149347761964993</v>
      </c>
      <c r="M408" s="20" t="n">
        <v>-0.192889383529131</v>
      </c>
      <c r="N408" s="21" t="n">
        <v>0</v>
      </c>
      <c r="O408" s="28" t="n">
        <v>1</v>
      </c>
      <c r="P408" s="18" t="s">
        <v>96</v>
      </c>
      <c r="Q408" s="18"/>
    </row>
    <row r="409" customFormat="false" ht="15" hidden="false" customHeight="false" outlineLevel="0" collapsed="false">
      <c r="A409" s="13" t="s">
        <v>172</v>
      </c>
      <c r="B409" s="13" t="s">
        <v>155</v>
      </c>
      <c r="C409" s="13" t="s">
        <v>145</v>
      </c>
      <c r="D409" s="23" t="n">
        <v>12</v>
      </c>
      <c r="E409" s="13" t="s">
        <v>73</v>
      </c>
      <c r="F409" s="13" t="s">
        <v>335</v>
      </c>
      <c r="G409" s="24"/>
      <c r="H409" s="14" t="n">
        <v>-418</v>
      </c>
      <c r="I409" s="16" t="n">
        <v>0.657566739579876</v>
      </c>
      <c r="J409" s="16" t="n">
        <v>0.779465608555713</v>
      </c>
      <c r="K409" s="16" t="n">
        <v>0.806949806949807</v>
      </c>
      <c r="L409" s="15" t="n">
        <v>-0.149383067369931</v>
      </c>
      <c r="M409" s="15" t="n">
        <v>-0.185120643295751</v>
      </c>
      <c r="N409" s="16" t="n">
        <v>0</v>
      </c>
      <c r="O409" s="25" t="n">
        <v>1</v>
      </c>
      <c r="P409" s="13" t="s">
        <v>96</v>
      </c>
      <c r="Q409" s="13" t="s">
        <v>174</v>
      </c>
    </row>
    <row r="410" customFormat="false" ht="15" hidden="false" customHeight="false" outlineLevel="0" collapsed="false">
      <c r="A410" s="18" t="s">
        <v>172</v>
      </c>
      <c r="B410" s="18" t="s">
        <v>113</v>
      </c>
      <c r="C410" s="18" t="s">
        <v>114</v>
      </c>
      <c r="D410" s="26" t="n">
        <v>13</v>
      </c>
      <c r="E410" s="18" t="s">
        <v>49</v>
      </c>
      <c r="F410" s="18" t="s">
        <v>383</v>
      </c>
      <c r="G410" s="27" t="n">
        <v>47</v>
      </c>
      <c r="H410" s="19" t="n">
        <v>-110</v>
      </c>
      <c r="I410" s="21" t="n">
        <v>0.373337582400582</v>
      </c>
      <c r="J410" s="21" t="n">
        <v>0.5</v>
      </c>
      <c r="K410" s="21" t="n">
        <v>0.523809523809524</v>
      </c>
      <c r="L410" s="20" t="n">
        <v>-0.150471941408942</v>
      </c>
      <c r="M410" s="20" t="n">
        <v>-0.278047333411082</v>
      </c>
      <c r="N410" s="21" t="n">
        <v>0.0321</v>
      </c>
      <c r="O410" s="28" t="n">
        <v>1</v>
      </c>
      <c r="P410" s="18" t="s">
        <v>96</v>
      </c>
      <c r="Q410" s="18"/>
    </row>
    <row r="411" customFormat="false" ht="15" hidden="false" customHeight="false" outlineLevel="0" collapsed="false">
      <c r="A411" s="13" t="s">
        <v>172</v>
      </c>
      <c r="B411" s="13" t="s">
        <v>153</v>
      </c>
      <c r="C411" s="13" t="s">
        <v>109</v>
      </c>
      <c r="D411" s="23" t="n">
        <v>12</v>
      </c>
      <c r="E411" s="13" t="s">
        <v>49</v>
      </c>
      <c r="F411" s="13" t="s">
        <v>344</v>
      </c>
      <c r="G411" s="24" t="n">
        <v>52.5</v>
      </c>
      <c r="H411" s="14" t="n">
        <v>-110</v>
      </c>
      <c r="I411" s="16" t="n">
        <v>0.372503313587042</v>
      </c>
      <c r="J411" s="16" t="n">
        <v>0.5</v>
      </c>
      <c r="K411" s="16" t="n">
        <v>0.523809523809524</v>
      </c>
      <c r="L411" s="15" t="n">
        <v>-0.151306210222482</v>
      </c>
      <c r="M411" s="15" t="n">
        <v>-0.288857310424739</v>
      </c>
      <c r="N411" s="16" t="n">
        <v>0</v>
      </c>
      <c r="O411" s="25" t="n">
        <v>1</v>
      </c>
      <c r="P411" s="13" t="s">
        <v>96</v>
      </c>
      <c r="Q411" s="13"/>
    </row>
    <row r="412" customFormat="false" ht="15" hidden="false" customHeight="false" outlineLevel="0" collapsed="false">
      <c r="A412" s="18" t="s">
        <v>172</v>
      </c>
      <c r="B412" s="18" t="s">
        <v>119</v>
      </c>
      <c r="C412" s="18" t="s">
        <v>109</v>
      </c>
      <c r="D412" s="26" t="n">
        <v>12</v>
      </c>
      <c r="E412" s="18" t="s">
        <v>73</v>
      </c>
      <c r="F412" s="18" t="s">
        <v>352</v>
      </c>
      <c r="G412" s="27"/>
      <c r="H412" s="19" t="n">
        <v>-1365</v>
      </c>
      <c r="I412" s="21" t="n">
        <v>0.779964386038868</v>
      </c>
      <c r="J412" s="21" t="n">
        <v>0.900284851805593</v>
      </c>
      <c r="K412" s="21" t="n">
        <v>0.931740614334471</v>
      </c>
      <c r="L412" s="20" t="n">
        <v>-0.151776228295603</v>
      </c>
      <c r="M412" s="20" t="n">
        <v>-0.162895365899677</v>
      </c>
      <c r="N412" s="21" t="n">
        <v>0</v>
      </c>
      <c r="O412" s="28" t="n">
        <v>1</v>
      </c>
      <c r="P412" s="18" t="s">
        <v>96</v>
      </c>
      <c r="Q412" s="18" t="s">
        <v>174</v>
      </c>
    </row>
    <row r="413" customFormat="false" ht="15" hidden="false" customHeight="false" outlineLevel="0" collapsed="false">
      <c r="A413" s="13" t="s">
        <v>172</v>
      </c>
      <c r="B413" s="13" t="s">
        <v>138</v>
      </c>
      <c r="C413" s="13" t="s">
        <v>62</v>
      </c>
      <c r="D413" s="23" t="n">
        <v>10</v>
      </c>
      <c r="E413" s="13" t="s">
        <v>73</v>
      </c>
      <c r="F413" s="13" t="s">
        <v>156</v>
      </c>
      <c r="G413" s="24"/>
      <c r="H413" s="14" t="n">
        <v>-1219</v>
      </c>
      <c r="I413" s="16" t="n">
        <v>0.771589168780337</v>
      </c>
      <c r="J413" s="16" t="n">
        <v>0.892889451194457</v>
      </c>
      <c r="K413" s="16" t="n">
        <v>0.924184988627748</v>
      </c>
      <c r="L413" s="15" t="n">
        <v>-0.152595819847412</v>
      </c>
      <c r="M413" s="15" t="n">
        <v>-0.165113934683131</v>
      </c>
      <c r="N413" s="16" t="n">
        <v>0</v>
      </c>
      <c r="O413" s="25" t="n">
        <v>1</v>
      </c>
      <c r="P413" s="13" t="s">
        <v>96</v>
      </c>
      <c r="Q413" s="13" t="s">
        <v>174</v>
      </c>
    </row>
    <row r="414" customFormat="false" ht="15" hidden="false" customHeight="false" outlineLevel="0" collapsed="false">
      <c r="A414" s="18" t="s">
        <v>172</v>
      </c>
      <c r="B414" s="18" t="s">
        <v>159</v>
      </c>
      <c r="C414" s="18" t="s">
        <v>54</v>
      </c>
      <c r="D414" s="26" t="n">
        <v>10</v>
      </c>
      <c r="E414" s="18" t="s">
        <v>45</v>
      </c>
      <c r="F414" s="18" t="s">
        <v>384</v>
      </c>
      <c r="G414" s="27" t="n">
        <v>8</v>
      </c>
      <c r="H414" s="19" t="n">
        <v>-110</v>
      </c>
      <c r="I414" s="21" t="n">
        <v>0.37116122298358</v>
      </c>
      <c r="J414" s="21" t="n">
        <v>0.5</v>
      </c>
      <c r="K414" s="21" t="n">
        <v>0.523809523809524</v>
      </c>
      <c r="L414" s="20" t="n">
        <v>-0.152648300825944</v>
      </c>
      <c r="M414" s="20" t="n">
        <v>-0.284799300961523</v>
      </c>
      <c r="N414" s="21" t="n">
        <v>0.0227</v>
      </c>
      <c r="O414" s="28" t="n">
        <v>1</v>
      </c>
      <c r="P414" s="18" t="s">
        <v>96</v>
      </c>
      <c r="Q414" s="18"/>
    </row>
    <row r="415" customFormat="false" ht="15" hidden="false" customHeight="false" outlineLevel="0" collapsed="false">
      <c r="A415" s="13" t="s">
        <v>172</v>
      </c>
      <c r="B415" s="13" t="s">
        <v>131</v>
      </c>
      <c r="C415" s="13" t="s">
        <v>59</v>
      </c>
      <c r="D415" s="23" t="n">
        <v>10</v>
      </c>
      <c r="E415" s="13" t="s">
        <v>45</v>
      </c>
      <c r="F415" s="13" t="s">
        <v>385</v>
      </c>
      <c r="G415" s="24" t="n">
        <v>7.5</v>
      </c>
      <c r="H415" s="14" t="n">
        <v>-110</v>
      </c>
      <c r="I415" s="16" t="n">
        <v>0.365716593936628</v>
      </c>
      <c r="J415" s="16" t="n">
        <v>0.5</v>
      </c>
      <c r="K415" s="16" t="n">
        <v>0.523809523809524</v>
      </c>
      <c r="L415" s="15" t="n">
        <v>-0.158092929872896</v>
      </c>
      <c r="M415" s="15" t="n">
        <v>-0.301813775211892</v>
      </c>
      <c r="N415" s="16" t="n">
        <v>0</v>
      </c>
      <c r="O415" s="25" t="n">
        <v>1</v>
      </c>
      <c r="P415" s="13" t="s">
        <v>96</v>
      </c>
      <c r="Q415" s="13"/>
    </row>
    <row r="416" customFormat="false" ht="15" hidden="false" customHeight="false" outlineLevel="0" collapsed="false">
      <c r="A416" s="18" t="s">
        <v>172</v>
      </c>
      <c r="B416" s="18" t="s">
        <v>129</v>
      </c>
      <c r="C416" s="18" t="s">
        <v>75</v>
      </c>
      <c r="D416" s="26" t="n">
        <v>13</v>
      </c>
      <c r="E416" s="18" t="s">
        <v>45</v>
      </c>
      <c r="F416" s="18" t="s">
        <v>386</v>
      </c>
      <c r="G416" s="27" t="n">
        <v>7.5</v>
      </c>
      <c r="H416" s="19" t="n">
        <v>-110</v>
      </c>
      <c r="I416" s="21" t="n">
        <v>0.365716593936628</v>
      </c>
      <c r="J416" s="21" t="n">
        <v>0.5</v>
      </c>
      <c r="K416" s="21" t="n">
        <v>0.523809523809524</v>
      </c>
      <c r="L416" s="20" t="n">
        <v>-0.158092929872896</v>
      </c>
      <c r="M416" s="20" t="n">
        <v>-0.301813775211892</v>
      </c>
      <c r="N416" s="21" t="n">
        <v>0</v>
      </c>
      <c r="O416" s="28" t="n">
        <v>1</v>
      </c>
      <c r="P416" s="18" t="s">
        <v>96</v>
      </c>
      <c r="Q416" s="18"/>
    </row>
    <row r="417" customFormat="false" ht="15" hidden="false" customHeight="false" outlineLevel="0" collapsed="false">
      <c r="A417" s="13" t="s">
        <v>172</v>
      </c>
      <c r="B417" s="13" t="s">
        <v>151</v>
      </c>
      <c r="C417" s="13" t="s">
        <v>102</v>
      </c>
      <c r="D417" s="23" t="n">
        <v>13</v>
      </c>
      <c r="E417" s="13" t="s">
        <v>73</v>
      </c>
      <c r="F417" s="13" t="s">
        <v>357</v>
      </c>
      <c r="G417" s="24"/>
      <c r="H417" s="14" t="n">
        <v>-421</v>
      </c>
      <c r="I417" s="16" t="n">
        <v>0.649361530697096</v>
      </c>
      <c r="J417" s="16" t="n">
        <v>0.7808723886592</v>
      </c>
      <c r="K417" s="16" t="n">
        <v>0.808061420345489</v>
      </c>
      <c r="L417" s="15" t="n">
        <v>-0.158699889648393</v>
      </c>
      <c r="M417" s="15" t="n">
        <v>-0.19639582543186</v>
      </c>
      <c r="N417" s="16" t="n">
        <v>0</v>
      </c>
      <c r="O417" s="25" t="n">
        <v>1</v>
      </c>
      <c r="P417" s="13" t="s">
        <v>96</v>
      </c>
      <c r="Q417" s="13" t="s">
        <v>174</v>
      </c>
    </row>
    <row r="418" customFormat="false" ht="15" hidden="false" customHeight="false" outlineLevel="0" collapsed="false">
      <c r="A418" s="18" t="s">
        <v>172</v>
      </c>
      <c r="B418" s="18" t="s">
        <v>157</v>
      </c>
      <c r="C418" s="18" t="s">
        <v>75</v>
      </c>
      <c r="D418" s="26" t="n">
        <v>13</v>
      </c>
      <c r="E418" s="18" t="s">
        <v>45</v>
      </c>
      <c r="F418" s="18" t="s">
        <v>387</v>
      </c>
      <c r="G418" s="27" t="n">
        <v>-14</v>
      </c>
      <c r="H418" s="19" t="n">
        <v>-110</v>
      </c>
      <c r="I418" s="21" t="n">
        <v>0.364693172924386</v>
      </c>
      <c r="J418" s="21" t="n">
        <v>0.5</v>
      </c>
      <c r="K418" s="21" t="n">
        <v>0.523809523809524</v>
      </c>
      <c r="L418" s="20" t="n">
        <v>-0.159116350885138</v>
      </c>
      <c r="M418" s="20" t="n">
        <v>-0.293186381711677</v>
      </c>
      <c r="N418" s="21" t="n">
        <v>0.0348</v>
      </c>
      <c r="O418" s="28" t="n">
        <v>1</v>
      </c>
      <c r="P418" s="18" t="s">
        <v>96</v>
      </c>
      <c r="Q418" s="18"/>
    </row>
    <row r="419" customFormat="false" ht="15" hidden="false" customHeight="false" outlineLevel="0" collapsed="false">
      <c r="A419" s="13" t="s">
        <v>172</v>
      </c>
      <c r="B419" s="13" t="s">
        <v>111</v>
      </c>
      <c r="C419" s="13" t="s">
        <v>59</v>
      </c>
      <c r="D419" s="23" t="n">
        <v>10</v>
      </c>
      <c r="E419" s="13" t="s">
        <v>49</v>
      </c>
      <c r="F419" s="13" t="s">
        <v>388</v>
      </c>
      <c r="G419" s="24" t="n">
        <v>67</v>
      </c>
      <c r="H419" s="14" t="n">
        <v>-110</v>
      </c>
      <c r="I419" s="16" t="n">
        <v>0.363780095669273</v>
      </c>
      <c r="J419" s="16" t="n">
        <v>0.5</v>
      </c>
      <c r="K419" s="16" t="n">
        <v>0.523809523809524</v>
      </c>
      <c r="L419" s="15" t="n">
        <v>-0.160029428140251</v>
      </c>
      <c r="M419" s="15" t="n">
        <v>-0.296105540219507</v>
      </c>
      <c r="N419" s="16" t="n">
        <v>0.0308</v>
      </c>
      <c r="O419" s="25" t="n">
        <v>1</v>
      </c>
      <c r="P419" s="13" t="s">
        <v>96</v>
      </c>
      <c r="Q419" s="13"/>
    </row>
    <row r="420" customFormat="false" ht="15" hidden="false" customHeight="false" outlineLevel="0" collapsed="false">
      <c r="A420" s="18" t="s">
        <v>172</v>
      </c>
      <c r="B420" s="18" t="s">
        <v>79</v>
      </c>
      <c r="C420" s="18" t="s">
        <v>68</v>
      </c>
      <c r="D420" s="26" t="n">
        <v>11</v>
      </c>
      <c r="E420" s="18" t="s">
        <v>49</v>
      </c>
      <c r="F420" s="18" t="s">
        <v>301</v>
      </c>
      <c r="G420" s="27" t="n">
        <v>54</v>
      </c>
      <c r="H420" s="19" t="n">
        <v>-110</v>
      </c>
      <c r="I420" s="21" t="n">
        <v>0.363780095441749</v>
      </c>
      <c r="J420" s="21" t="n">
        <v>0.5</v>
      </c>
      <c r="K420" s="21" t="n">
        <v>0.523809523809524</v>
      </c>
      <c r="L420" s="20" t="n">
        <v>-0.160029428367775</v>
      </c>
      <c r="M420" s="20" t="n">
        <v>-0.296105540644907</v>
      </c>
      <c r="N420" s="21" t="n">
        <v>0.0308</v>
      </c>
      <c r="O420" s="28" t="n">
        <v>1</v>
      </c>
      <c r="P420" s="18" t="s">
        <v>96</v>
      </c>
      <c r="Q420" s="18"/>
    </row>
    <row r="421" customFormat="false" ht="15" hidden="false" customHeight="false" outlineLevel="0" collapsed="false">
      <c r="A421" s="13" t="s">
        <v>172</v>
      </c>
      <c r="B421" s="13" t="s">
        <v>155</v>
      </c>
      <c r="C421" s="13" t="s">
        <v>145</v>
      </c>
      <c r="D421" s="23" t="n">
        <v>12</v>
      </c>
      <c r="E421" s="13" t="s">
        <v>49</v>
      </c>
      <c r="F421" s="13" t="s">
        <v>362</v>
      </c>
      <c r="G421" s="24" t="n">
        <v>50</v>
      </c>
      <c r="H421" s="14" t="n">
        <v>-110</v>
      </c>
      <c r="I421" s="16" t="n">
        <v>0.363780094018062</v>
      </c>
      <c r="J421" s="16" t="n">
        <v>0.5</v>
      </c>
      <c r="K421" s="16" t="n">
        <v>0.523809523809524</v>
      </c>
      <c r="L421" s="15" t="n">
        <v>-0.160029429791462</v>
      </c>
      <c r="M421" s="15" t="n">
        <v>-0.296105543245628</v>
      </c>
      <c r="N421" s="16" t="n">
        <v>0.0308</v>
      </c>
      <c r="O421" s="25" t="n">
        <v>1</v>
      </c>
      <c r="P421" s="13" t="s">
        <v>96</v>
      </c>
      <c r="Q421" s="13"/>
    </row>
    <row r="422" customFormat="false" ht="15" hidden="false" customHeight="false" outlineLevel="0" collapsed="false">
      <c r="A422" s="18" t="s">
        <v>172</v>
      </c>
      <c r="B422" s="18" t="s">
        <v>188</v>
      </c>
      <c r="C422" s="18" t="s">
        <v>65</v>
      </c>
      <c r="D422" s="26" t="n">
        <v>11</v>
      </c>
      <c r="E422" s="18" t="s">
        <v>73</v>
      </c>
      <c r="F422" s="18" t="s">
        <v>286</v>
      </c>
      <c r="G422" s="27"/>
      <c r="H422" s="19" t="n">
        <v>-1279</v>
      </c>
      <c r="I422" s="21" t="n">
        <v>0.767122415170962</v>
      </c>
      <c r="J422" s="21" t="n">
        <v>0.89611035355628</v>
      </c>
      <c r="K422" s="21" t="n">
        <v>0.927483683828862</v>
      </c>
      <c r="L422" s="20" t="n">
        <v>-0.1603612686579</v>
      </c>
      <c r="M422" s="20" t="n">
        <v>-0.172899288099487</v>
      </c>
      <c r="N422" s="21" t="n">
        <v>0</v>
      </c>
      <c r="O422" s="28" t="n">
        <v>1</v>
      </c>
      <c r="P422" s="18" t="s">
        <v>96</v>
      </c>
      <c r="Q422" s="18" t="s">
        <v>174</v>
      </c>
    </row>
    <row r="423" customFormat="false" ht="15" hidden="false" customHeight="false" outlineLevel="0" collapsed="false">
      <c r="A423" s="13" t="s">
        <v>172</v>
      </c>
      <c r="B423" s="13" t="s">
        <v>142</v>
      </c>
      <c r="C423" s="13" t="s">
        <v>136</v>
      </c>
      <c r="D423" s="23" t="n">
        <v>12</v>
      </c>
      <c r="E423" s="13" t="s">
        <v>73</v>
      </c>
      <c r="F423" s="13" t="s">
        <v>264</v>
      </c>
      <c r="G423" s="24"/>
      <c r="H423" s="14" t="n">
        <v>-1850</v>
      </c>
      <c r="I423" s="16" t="n">
        <v>0.786007388718512</v>
      </c>
      <c r="J423" s="16" t="n">
        <v>0.91663638501165</v>
      </c>
      <c r="K423" s="16" t="n">
        <v>0.948717948717949</v>
      </c>
      <c r="L423" s="15" t="n">
        <v>-0.162710559999437</v>
      </c>
      <c r="M423" s="15" t="n">
        <v>-0.171505725404812</v>
      </c>
      <c r="N423" s="16" t="n">
        <v>0</v>
      </c>
      <c r="O423" s="25" t="n">
        <v>1</v>
      </c>
      <c r="P423" s="13" t="s">
        <v>96</v>
      </c>
      <c r="Q423" s="13" t="s">
        <v>174</v>
      </c>
    </row>
    <row r="424" customFormat="false" ht="15" hidden="false" customHeight="false" outlineLevel="0" collapsed="false">
      <c r="A424" s="18" t="s">
        <v>172</v>
      </c>
      <c r="B424" s="18" t="s">
        <v>153</v>
      </c>
      <c r="C424" s="18" t="s">
        <v>109</v>
      </c>
      <c r="D424" s="26" t="n">
        <v>12</v>
      </c>
      <c r="E424" s="18" t="s">
        <v>45</v>
      </c>
      <c r="F424" s="18" t="s">
        <v>389</v>
      </c>
      <c r="G424" s="27" t="n">
        <v>9.5</v>
      </c>
      <c r="H424" s="19" t="n">
        <v>-110</v>
      </c>
      <c r="I424" s="21" t="n">
        <v>0.357863721908634</v>
      </c>
      <c r="J424" s="21" t="n">
        <v>0.5</v>
      </c>
      <c r="K424" s="21" t="n">
        <v>0.523809523809524</v>
      </c>
      <c r="L424" s="20" t="n">
        <v>-0.16594580190089</v>
      </c>
      <c r="M424" s="20" t="n">
        <v>-0.316805621810789</v>
      </c>
      <c r="N424" s="21" t="n">
        <v>0</v>
      </c>
      <c r="O424" s="28" t="n">
        <v>1</v>
      </c>
      <c r="P424" s="18" t="s">
        <v>96</v>
      </c>
      <c r="Q424" s="18"/>
    </row>
    <row r="425" customFormat="false" ht="15" hidden="false" customHeight="false" outlineLevel="0" collapsed="false">
      <c r="A425" s="13" t="s">
        <v>172</v>
      </c>
      <c r="B425" s="13" t="s">
        <v>72</v>
      </c>
      <c r="C425" s="13" t="s">
        <v>76</v>
      </c>
      <c r="D425" s="23" t="n">
        <v>14</v>
      </c>
      <c r="E425" s="13" t="s">
        <v>49</v>
      </c>
      <c r="F425" s="13" t="s">
        <v>390</v>
      </c>
      <c r="G425" s="24" t="n">
        <v>49.5</v>
      </c>
      <c r="H425" s="14" t="n">
        <v>-110</v>
      </c>
      <c r="I425" s="16" t="n">
        <v>0.357333848426919</v>
      </c>
      <c r="J425" s="16" t="n">
        <v>0.5</v>
      </c>
      <c r="K425" s="16" t="n">
        <v>0.523809523809524</v>
      </c>
      <c r="L425" s="15" t="n">
        <v>-0.166475675382605</v>
      </c>
      <c r="M425" s="15" t="n">
        <v>-0.3178171984577</v>
      </c>
      <c r="N425" s="16" t="n">
        <v>0</v>
      </c>
      <c r="O425" s="25" t="n">
        <v>1</v>
      </c>
      <c r="P425" s="13" t="s">
        <v>96</v>
      </c>
      <c r="Q425" s="13"/>
    </row>
    <row r="426" customFormat="false" ht="15" hidden="false" customHeight="false" outlineLevel="0" collapsed="false">
      <c r="A426" s="18" t="s">
        <v>172</v>
      </c>
      <c r="B426" s="18" t="s">
        <v>133</v>
      </c>
      <c r="C426" s="18" t="s">
        <v>71</v>
      </c>
      <c r="D426" s="26" t="n">
        <v>11</v>
      </c>
      <c r="E426" s="18" t="s">
        <v>45</v>
      </c>
      <c r="F426" s="18" t="s">
        <v>391</v>
      </c>
      <c r="G426" s="27" t="n">
        <v>10.5</v>
      </c>
      <c r="H426" s="19" t="n">
        <v>-110</v>
      </c>
      <c r="I426" s="21" t="n">
        <v>0.354776470608628</v>
      </c>
      <c r="J426" s="21" t="n">
        <v>0.5</v>
      </c>
      <c r="K426" s="21" t="n">
        <v>0.523809523809524</v>
      </c>
      <c r="L426" s="20" t="n">
        <v>-0.169033053200896</v>
      </c>
      <c r="M426" s="20" t="n">
        <v>-0.32269946520171</v>
      </c>
      <c r="N426" s="21" t="n">
        <v>0</v>
      </c>
      <c r="O426" s="28" t="n">
        <v>1</v>
      </c>
      <c r="P426" s="18" t="s">
        <v>96</v>
      </c>
      <c r="Q426" s="18"/>
    </row>
    <row r="427" customFormat="false" ht="15" hidden="false" customHeight="false" outlineLevel="0" collapsed="false">
      <c r="A427" s="13" t="s">
        <v>172</v>
      </c>
      <c r="B427" s="13" t="s">
        <v>189</v>
      </c>
      <c r="C427" s="13" t="s">
        <v>68</v>
      </c>
      <c r="D427" s="23" t="n">
        <v>11</v>
      </c>
      <c r="E427" s="13" t="s">
        <v>49</v>
      </c>
      <c r="F427" s="13" t="s">
        <v>383</v>
      </c>
      <c r="G427" s="24" t="n">
        <v>47</v>
      </c>
      <c r="H427" s="14" t="n">
        <v>-110</v>
      </c>
      <c r="I427" s="16" t="n">
        <v>0.353191220312224</v>
      </c>
      <c r="J427" s="16" t="n">
        <v>0.5</v>
      </c>
      <c r="K427" s="16" t="n">
        <v>0.523809523809524</v>
      </c>
      <c r="L427" s="15" t="n">
        <v>-0.1706183034973</v>
      </c>
      <c r="M427" s="15" t="n">
        <v>-0.316214533997978</v>
      </c>
      <c r="N427" s="16" t="n">
        <v>0.0292</v>
      </c>
      <c r="O427" s="25" t="n">
        <v>1</v>
      </c>
      <c r="P427" s="13" t="s">
        <v>96</v>
      </c>
      <c r="Q427" s="13"/>
    </row>
    <row r="428" customFormat="false" ht="15" hidden="false" customHeight="false" outlineLevel="0" collapsed="false">
      <c r="A428" s="18" t="s">
        <v>172</v>
      </c>
      <c r="B428" s="18" t="s">
        <v>149</v>
      </c>
      <c r="C428" s="18" t="s">
        <v>62</v>
      </c>
      <c r="D428" s="26" t="n">
        <v>10</v>
      </c>
      <c r="E428" s="18" t="s">
        <v>45</v>
      </c>
      <c r="F428" s="18" t="s">
        <v>392</v>
      </c>
      <c r="G428" s="27" t="n">
        <v>-11.5</v>
      </c>
      <c r="H428" s="19" t="n">
        <v>-110</v>
      </c>
      <c r="I428" s="21" t="n">
        <v>0.352305808373117</v>
      </c>
      <c r="J428" s="21" t="n">
        <v>0.5</v>
      </c>
      <c r="K428" s="21" t="n">
        <v>0.523809523809524</v>
      </c>
      <c r="L428" s="20" t="n">
        <v>-0.171503715436407</v>
      </c>
      <c r="M428" s="20" t="n">
        <v>-0.327416184014959</v>
      </c>
      <c r="N428" s="21" t="n">
        <v>0</v>
      </c>
      <c r="O428" s="28" t="n">
        <v>1</v>
      </c>
      <c r="P428" s="18" t="s">
        <v>96</v>
      </c>
      <c r="Q428" s="18"/>
    </row>
    <row r="429" customFormat="false" ht="15" hidden="false" customHeight="false" outlineLevel="0" collapsed="false">
      <c r="A429" s="13" t="s">
        <v>172</v>
      </c>
      <c r="B429" s="13" t="s">
        <v>147</v>
      </c>
      <c r="C429" s="13" t="s">
        <v>136</v>
      </c>
      <c r="D429" s="23" t="n">
        <v>12</v>
      </c>
      <c r="E429" s="13" t="s">
        <v>45</v>
      </c>
      <c r="F429" s="13" t="s">
        <v>393</v>
      </c>
      <c r="G429" s="24" t="n">
        <v>8</v>
      </c>
      <c r="H429" s="14" t="n">
        <v>-110</v>
      </c>
      <c r="I429" s="16" t="n">
        <v>0.351509899417299</v>
      </c>
      <c r="J429" s="16" t="n">
        <v>0.5</v>
      </c>
      <c r="K429" s="16" t="n">
        <v>0.523809523809524</v>
      </c>
      <c r="L429" s="15" t="n">
        <v>-0.172299624392225</v>
      </c>
      <c r="M429" s="15" t="n">
        <v>-0.322115917464028</v>
      </c>
      <c r="N429" s="16" t="n">
        <v>0.0207</v>
      </c>
      <c r="O429" s="25" t="n">
        <v>1</v>
      </c>
      <c r="P429" s="13" t="s">
        <v>96</v>
      </c>
      <c r="Q429" s="13"/>
    </row>
    <row r="430" customFormat="false" ht="15" hidden="false" customHeight="false" outlineLevel="0" collapsed="false">
      <c r="A430" s="18" t="s">
        <v>172</v>
      </c>
      <c r="B430" s="18" t="s">
        <v>123</v>
      </c>
      <c r="C430" s="18" t="s">
        <v>102</v>
      </c>
      <c r="D430" s="26" t="n">
        <v>13</v>
      </c>
      <c r="E430" s="18" t="s">
        <v>45</v>
      </c>
      <c r="F430" s="18" t="s">
        <v>394</v>
      </c>
      <c r="G430" s="27" t="n">
        <v>10.5</v>
      </c>
      <c r="H430" s="19" t="n">
        <v>-110</v>
      </c>
      <c r="I430" s="21" t="n">
        <v>0.350637637474664</v>
      </c>
      <c r="J430" s="21" t="n">
        <v>0.5</v>
      </c>
      <c r="K430" s="21" t="n">
        <v>0.523809523809524</v>
      </c>
      <c r="L430" s="20" t="n">
        <v>-0.17317188633486</v>
      </c>
      <c r="M430" s="20" t="n">
        <v>-0.330600873912005</v>
      </c>
      <c r="N430" s="21" t="n">
        <v>0</v>
      </c>
      <c r="O430" s="28" t="n">
        <v>1</v>
      </c>
      <c r="P430" s="18" t="s">
        <v>96</v>
      </c>
      <c r="Q430" s="18"/>
    </row>
    <row r="431" customFormat="false" ht="15" hidden="false" customHeight="false" outlineLevel="0" collapsed="false">
      <c r="A431" s="13" t="s">
        <v>172</v>
      </c>
      <c r="B431" s="13" t="s">
        <v>133</v>
      </c>
      <c r="C431" s="13" t="s">
        <v>71</v>
      </c>
      <c r="D431" s="23" t="n">
        <v>11</v>
      </c>
      <c r="E431" s="13" t="s">
        <v>73</v>
      </c>
      <c r="F431" s="13" t="s">
        <v>156</v>
      </c>
      <c r="G431" s="24"/>
      <c r="H431" s="14" t="n">
        <v>-593</v>
      </c>
      <c r="I431" s="16" t="n">
        <v>0.681394386079948</v>
      </c>
      <c r="J431" s="16" t="n">
        <v>0.826833985517024</v>
      </c>
      <c r="K431" s="16" t="n">
        <v>0.855699855699856</v>
      </c>
      <c r="L431" s="15" t="n">
        <v>-0.174305469619908</v>
      </c>
      <c r="M431" s="15" t="n">
        <v>-0.20369930935345</v>
      </c>
      <c r="N431" s="16" t="n">
        <v>0</v>
      </c>
      <c r="O431" s="25" t="n">
        <v>1</v>
      </c>
      <c r="P431" s="13" t="s">
        <v>96</v>
      </c>
      <c r="Q431" s="13" t="s">
        <v>174</v>
      </c>
    </row>
    <row r="432" customFormat="false" ht="15" hidden="false" customHeight="false" outlineLevel="0" collapsed="false">
      <c r="A432" s="18" t="s">
        <v>172</v>
      </c>
      <c r="B432" s="18" t="s">
        <v>104</v>
      </c>
      <c r="C432" s="18" t="s">
        <v>65</v>
      </c>
      <c r="D432" s="26" t="n">
        <v>11</v>
      </c>
      <c r="E432" s="18" t="s">
        <v>73</v>
      </c>
      <c r="F432" s="18" t="s">
        <v>254</v>
      </c>
      <c r="G432" s="27"/>
      <c r="H432" s="19" t="n">
        <v>-359</v>
      </c>
      <c r="I432" s="21" t="n">
        <v>0.607605504438303</v>
      </c>
      <c r="J432" s="21" t="n">
        <v>0.755467355691111</v>
      </c>
      <c r="K432" s="21" t="n">
        <v>0.782135076252723</v>
      </c>
      <c r="L432" s="20" t="n">
        <v>-0.174529571814421</v>
      </c>
      <c r="M432" s="20" t="n">
        <v>-0.223145051428466</v>
      </c>
      <c r="N432" s="21" t="n">
        <v>0</v>
      </c>
      <c r="O432" s="28" t="n">
        <v>1</v>
      </c>
      <c r="P432" s="18" t="s">
        <v>96</v>
      </c>
      <c r="Q432" s="18"/>
    </row>
    <row r="433" customFormat="false" ht="15" hidden="false" customHeight="false" outlineLevel="0" collapsed="false">
      <c r="A433" s="13" t="s">
        <v>172</v>
      </c>
      <c r="B433" s="13" t="s">
        <v>131</v>
      </c>
      <c r="C433" s="13" t="s">
        <v>59</v>
      </c>
      <c r="D433" s="23" t="n">
        <v>10</v>
      </c>
      <c r="E433" s="13" t="s">
        <v>73</v>
      </c>
      <c r="F433" s="13" t="s">
        <v>124</v>
      </c>
      <c r="G433" s="24"/>
      <c r="H433" s="14" t="n">
        <v>-382</v>
      </c>
      <c r="I433" s="16" t="n">
        <v>0.617883735338474</v>
      </c>
      <c r="J433" s="16" t="n">
        <v>0.765980792946409</v>
      </c>
      <c r="K433" s="16" t="n">
        <v>0.79253112033195</v>
      </c>
      <c r="L433" s="15" t="n">
        <v>-0.174647384993476</v>
      </c>
      <c r="M433" s="15" t="n">
        <v>-0.220366595724752</v>
      </c>
      <c r="N433" s="16" t="n">
        <v>0</v>
      </c>
      <c r="O433" s="25" t="n">
        <v>1</v>
      </c>
      <c r="P433" s="13" t="s">
        <v>96</v>
      </c>
      <c r="Q433" s="13"/>
    </row>
    <row r="434" customFormat="false" ht="15" hidden="false" customHeight="false" outlineLevel="0" collapsed="false">
      <c r="A434" s="18" t="s">
        <v>172</v>
      </c>
      <c r="B434" s="18" t="s">
        <v>129</v>
      </c>
      <c r="C434" s="18" t="s">
        <v>75</v>
      </c>
      <c r="D434" s="26" t="n">
        <v>13</v>
      </c>
      <c r="E434" s="18" t="s">
        <v>73</v>
      </c>
      <c r="F434" s="18" t="s">
        <v>327</v>
      </c>
      <c r="G434" s="27"/>
      <c r="H434" s="19" t="n">
        <v>-386</v>
      </c>
      <c r="I434" s="21" t="n">
        <v>0.618508454531729</v>
      </c>
      <c r="J434" s="21" t="n">
        <v>0.767230231332918</v>
      </c>
      <c r="K434" s="21" t="n">
        <v>0.794238683127572</v>
      </c>
      <c r="L434" s="20" t="n">
        <v>-0.175730228595843</v>
      </c>
      <c r="M434" s="20" t="n">
        <v>-0.221256194553315</v>
      </c>
      <c r="N434" s="21" t="n">
        <v>0</v>
      </c>
      <c r="O434" s="28" t="n">
        <v>1</v>
      </c>
      <c r="P434" s="18" t="s">
        <v>96</v>
      </c>
      <c r="Q434" s="18"/>
    </row>
    <row r="435" customFormat="false" ht="15" hidden="false" customHeight="false" outlineLevel="0" collapsed="false">
      <c r="A435" s="13" t="s">
        <v>172</v>
      </c>
      <c r="B435" s="13" t="s">
        <v>79</v>
      </c>
      <c r="C435" s="13" t="s">
        <v>68</v>
      </c>
      <c r="D435" s="23" t="n">
        <v>11</v>
      </c>
      <c r="E435" s="13" t="s">
        <v>73</v>
      </c>
      <c r="F435" s="13" t="s">
        <v>352</v>
      </c>
      <c r="G435" s="24"/>
      <c r="H435" s="14" t="n">
        <v>-1900</v>
      </c>
      <c r="I435" s="16" t="n">
        <v>0.77269098891771</v>
      </c>
      <c r="J435" s="16" t="n">
        <v>0.935825445210974</v>
      </c>
      <c r="K435" s="16" t="n">
        <v>0.95</v>
      </c>
      <c r="L435" s="15" t="n">
        <v>-0.17730901108229</v>
      </c>
      <c r="M435" s="15" t="n">
        <v>-0.186641064297147</v>
      </c>
      <c r="N435" s="16" t="n">
        <v>0</v>
      </c>
      <c r="O435" s="25" t="n">
        <v>1</v>
      </c>
      <c r="P435" s="13" t="s">
        <v>96</v>
      </c>
      <c r="Q435" s="13" t="s">
        <v>174</v>
      </c>
    </row>
    <row r="436" customFormat="false" ht="15" hidden="false" customHeight="false" outlineLevel="0" collapsed="false">
      <c r="A436" s="18" t="s">
        <v>172</v>
      </c>
      <c r="B436" s="18" t="s">
        <v>144</v>
      </c>
      <c r="C436" s="18" t="s">
        <v>145</v>
      </c>
      <c r="D436" s="26" t="n">
        <v>12</v>
      </c>
      <c r="E436" s="18" t="s">
        <v>45</v>
      </c>
      <c r="F436" s="18" t="s">
        <v>395</v>
      </c>
      <c r="G436" s="27" t="n">
        <v>-19.5</v>
      </c>
      <c r="H436" s="19" t="n">
        <v>-110</v>
      </c>
      <c r="I436" s="21" t="n">
        <v>0.346184215337375</v>
      </c>
      <c r="J436" s="21" t="n">
        <v>0.5</v>
      </c>
      <c r="K436" s="21" t="n">
        <v>0.523809523809524</v>
      </c>
      <c r="L436" s="20" t="n">
        <v>-0.177625308472149</v>
      </c>
      <c r="M436" s="20" t="n">
        <v>-0.339102861628648</v>
      </c>
      <c r="N436" s="21" t="n">
        <v>0</v>
      </c>
      <c r="O436" s="28" t="n">
        <v>1</v>
      </c>
      <c r="P436" s="18" t="s">
        <v>96</v>
      </c>
      <c r="Q436" s="18"/>
    </row>
    <row r="437" customFormat="false" ht="15" hidden="false" customHeight="false" outlineLevel="0" collapsed="false">
      <c r="A437" s="13" t="s">
        <v>172</v>
      </c>
      <c r="B437" s="13" t="s">
        <v>123</v>
      </c>
      <c r="C437" s="13" t="s">
        <v>102</v>
      </c>
      <c r="D437" s="23" t="n">
        <v>13</v>
      </c>
      <c r="E437" s="13" t="s">
        <v>73</v>
      </c>
      <c r="F437" s="13" t="s">
        <v>352</v>
      </c>
      <c r="G437" s="24"/>
      <c r="H437" s="14" t="n">
        <v>-572</v>
      </c>
      <c r="I437" s="16" t="n">
        <v>0.673430547016188</v>
      </c>
      <c r="J437" s="16" t="n">
        <v>0.822395128552098</v>
      </c>
      <c r="K437" s="16" t="n">
        <v>0.851190476190476</v>
      </c>
      <c r="L437" s="15" t="n">
        <v>-0.177759929174288</v>
      </c>
      <c r="M437" s="15" t="n">
        <v>-0.208836839869094</v>
      </c>
      <c r="N437" s="16" t="n">
        <v>0</v>
      </c>
      <c r="O437" s="25" t="n">
        <v>1</v>
      </c>
      <c r="P437" s="13" t="s">
        <v>96</v>
      </c>
      <c r="Q437" s="13" t="s">
        <v>174</v>
      </c>
    </row>
    <row r="438" customFormat="false" ht="15" hidden="false" customHeight="false" outlineLevel="0" collapsed="false">
      <c r="A438" s="18" t="s">
        <v>172</v>
      </c>
      <c r="B438" s="18" t="s">
        <v>116</v>
      </c>
      <c r="C438" s="18" t="s">
        <v>109</v>
      </c>
      <c r="D438" s="26" t="n">
        <v>12</v>
      </c>
      <c r="E438" s="18" t="s">
        <v>73</v>
      </c>
      <c r="F438" s="18" t="s">
        <v>152</v>
      </c>
      <c r="G438" s="27"/>
      <c r="H438" s="19" t="n">
        <v>-1111</v>
      </c>
      <c r="I438" s="21" t="n">
        <v>0.739489468663218</v>
      </c>
      <c r="J438" s="21" t="n">
        <v>0.886457502196311</v>
      </c>
      <c r="K438" s="21" t="n">
        <v>0.917423616845582</v>
      </c>
      <c r="L438" s="20" t="n">
        <v>-0.177934148182364</v>
      </c>
      <c r="M438" s="20" t="n">
        <v>-0.193949823086267</v>
      </c>
      <c r="N438" s="21" t="n">
        <v>0</v>
      </c>
      <c r="O438" s="28" t="n">
        <v>1</v>
      </c>
      <c r="P438" s="18" t="s">
        <v>96</v>
      </c>
      <c r="Q438" s="18" t="s">
        <v>174</v>
      </c>
    </row>
    <row r="439" customFormat="false" ht="15" hidden="false" customHeight="false" outlineLevel="0" collapsed="false">
      <c r="A439" s="13" t="s">
        <v>172</v>
      </c>
      <c r="B439" s="13" t="s">
        <v>142</v>
      </c>
      <c r="C439" s="13" t="s">
        <v>136</v>
      </c>
      <c r="D439" s="23" t="n">
        <v>12</v>
      </c>
      <c r="E439" s="13" t="s">
        <v>45</v>
      </c>
      <c r="F439" s="13" t="s">
        <v>396</v>
      </c>
      <c r="G439" s="24" t="n">
        <v>-15.5</v>
      </c>
      <c r="H439" s="14" t="n">
        <v>-110</v>
      </c>
      <c r="I439" s="16" t="n">
        <v>0.345683209320814</v>
      </c>
      <c r="J439" s="16" t="n">
        <v>0.5</v>
      </c>
      <c r="K439" s="16" t="n">
        <v>0.523809523809524</v>
      </c>
      <c r="L439" s="15" t="n">
        <v>-0.17812631448871</v>
      </c>
      <c r="M439" s="15" t="n">
        <v>-0.340059327660265</v>
      </c>
      <c r="N439" s="16" t="n">
        <v>0</v>
      </c>
      <c r="O439" s="25" t="n">
        <v>1</v>
      </c>
      <c r="P439" s="13" t="s">
        <v>96</v>
      </c>
      <c r="Q439" s="13"/>
    </row>
    <row r="440" customFormat="false" ht="15" hidden="false" customHeight="false" outlineLevel="0" collapsed="false">
      <c r="A440" s="18" t="s">
        <v>172</v>
      </c>
      <c r="B440" s="18" t="s">
        <v>140</v>
      </c>
      <c r="C440" s="18" t="s">
        <v>114</v>
      </c>
      <c r="D440" s="26" t="n">
        <v>13</v>
      </c>
      <c r="E440" s="18" t="s">
        <v>45</v>
      </c>
      <c r="F440" s="18" t="s">
        <v>397</v>
      </c>
      <c r="G440" s="27" t="n">
        <v>-19</v>
      </c>
      <c r="H440" s="19" t="n">
        <v>-110</v>
      </c>
      <c r="I440" s="21" t="n">
        <v>0.343853744343109</v>
      </c>
      <c r="J440" s="21" t="n">
        <v>0.5</v>
      </c>
      <c r="K440" s="21" t="n">
        <v>0.523809523809524</v>
      </c>
      <c r="L440" s="20" t="n">
        <v>-0.179955779466414</v>
      </c>
      <c r="M440" s="20" t="n">
        <v>-0.337759968833577</v>
      </c>
      <c r="N440" s="21" t="n">
        <v>0.0169</v>
      </c>
      <c r="O440" s="28" t="n">
        <v>1</v>
      </c>
      <c r="P440" s="18" t="s">
        <v>96</v>
      </c>
      <c r="Q440" s="18"/>
    </row>
    <row r="441" customFormat="false" ht="15" hidden="false" customHeight="false" outlineLevel="0" collapsed="false">
      <c r="A441" s="13" t="s">
        <v>172</v>
      </c>
      <c r="B441" s="13" t="s">
        <v>138</v>
      </c>
      <c r="C441" s="13" t="s">
        <v>62</v>
      </c>
      <c r="D441" s="23" t="n">
        <v>10</v>
      </c>
      <c r="E441" s="13" t="s">
        <v>45</v>
      </c>
      <c r="F441" s="13" t="s">
        <v>398</v>
      </c>
      <c r="G441" s="24" t="n">
        <v>-15.5</v>
      </c>
      <c r="H441" s="14" t="n">
        <v>-110</v>
      </c>
      <c r="I441" s="16" t="n">
        <v>0.34376488418229</v>
      </c>
      <c r="J441" s="16" t="n">
        <v>0.5</v>
      </c>
      <c r="K441" s="16" t="n">
        <v>0.523809523809524</v>
      </c>
      <c r="L441" s="15" t="n">
        <v>-0.180044639627234</v>
      </c>
      <c r="M441" s="15" t="n">
        <v>-0.343721584742901</v>
      </c>
      <c r="N441" s="16" t="n">
        <v>0</v>
      </c>
      <c r="O441" s="25" t="n">
        <v>1</v>
      </c>
      <c r="P441" s="13" t="s">
        <v>96</v>
      </c>
      <c r="Q441" s="13"/>
    </row>
    <row r="442" customFormat="false" ht="15" hidden="false" customHeight="false" outlineLevel="0" collapsed="false">
      <c r="A442" s="18" t="s">
        <v>172</v>
      </c>
      <c r="B442" s="18" t="s">
        <v>135</v>
      </c>
      <c r="C442" s="18" t="s">
        <v>136</v>
      </c>
      <c r="D442" s="26" t="n">
        <v>12</v>
      </c>
      <c r="E442" s="18" t="s">
        <v>49</v>
      </c>
      <c r="F442" s="18" t="s">
        <v>399</v>
      </c>
      <c r="G442" s="27" t="n">
        <v>46.5</v>
      </c>
      <c r="H442" s="19" t="n">
        <v>-110</v>
      </c>
      <c r="I442" s="21" t="n">
        <v>0.343316654691315</v>
      </c>
      <c r="J442" s="21" t="n">
        <v>0.5</v>
      </c>
      <c r="K442" s="21" t="n">
        <v>0.523809523809524</v>
      </c>
      <c r="L442" s="20" t="n">
        <v>-0.180492869118209</v>
      </c>
      <c r="M442" s="20" t="n">
        <v>-0.344577295589308</v>
      </c>
      <c r="N442" s="21" t="n">
        <v>0</v>
      </c>
      <c r="O442" s="28" t="n">
        <v>1</v>
      </c>
      <c r="P442" s="18" t="s">
        <v>96</v>
      </c>
      <c r="Q442" s="18"/>
    </row>
    <row r="443" customFormat="false" ht="15" hidden="false" customHeight="false" outlineLevel="0" collapsed="false">
      <c r="A443" s="13" t="s">
        <v>172</v>
      </c>
      <c r="B443" s="13" t="s">
        <v>63</v>
      </c>
      <c r="C443" s="13" t="s">
        <v>65</v>
      </c>
      <c r="D443" s="23" t="n">
        <v>11</v>
      </c>
      <c r="E443" s="13" t="s">
        <v>45</v>
      </c>
      <c r="F443" s="13" t="s">
        <v>400</v>
      </c>
      <c r="G443" s="24" t="n">
        <v>-16</v>
      </c>
      <c r="H443" s="14" t="n">
        <v>-110</v>
      </c>
      <c r="I443" s="16" t="n">
        <v>0.340969145870989</v>
      </c>
      <c r="J443" s="16" t="n">
        <v>0.5</v>
      </c>
      <c r="K443" s="16" t="n">
        <v>0.523809523809524</v>
      </c>
      <c r="L443" s="15" t="n">
        <v>-0.182840377938535</v>
      </c>
      <c r="M443" s="15" t="n">
        <v>-0.343377569991658</v>
      </c>
      <c r="N443" s="16" t="n">
        <v>0.0163</v>
      </c>
      <c r="O443" s="25" t="n">
        <v>1</v>
      </c>
      <c r="P443" s="13" t="s">
        <v>96</v>
      </c>
      <c r="Q443" s="13"/>
    </row>
    <row r="444" customFormat="false" ht="15" hidden="false" customHeight="false" outlineLevel="0" collapsed="false">
      <c r="A444" s="18" t="s">
        <v>172</v>
      </c>
      <c r="B444" s="18" t="s">
        <v>118</v>
      </c>
      <c r="C444" s="18" t="s">
        <v>76</v>
      </c>
      <c r="D444" s="26" t="n">
        <v>14</v>
      </c>
      <c r="E444" s="18" t="s">
        <v>45</v>
      </c>
      <c r="F444" s="18" t="s">
        <v>401</v>
      </c>
      <c r="G444" s="27" t="n">
        <v>12.5</v>
      </c>
      <c r="H444" s="19" t="n">
        <v>-110</v>
      </c>
      <c r="I444" s="21" t="n">
        <v>0.339590633476949</v>
      </c>
      <c r="J444" s="21" t="n">
        <v>0.5</v>
      </c>
      <c r="K444" s="21" t="n">
        <v>0.523809523809524</v>
      </c>
      <c r="L444" s="20" t="n">
        <v>-0.184218890332575</v>
      </c>
      <c r="M444" s="20" t="n">
        <v>-0.351690608816734</v>
      </c>
      <c r="N444" s="21" t="n">
        <v>0</v>
      </c>
      <c r="O444" s="28" t="n">
        <v>1</v>
      </c>
      <c r="P444" s="18" t="s">
        <v>96</v>
      </c>
      <c r="Q444" s="18"/>
    </row>
    <row r="445" customFormat="false" ht="15" hidden="false" customHeight="false" outlineLevel="0" collapsed="false">
      <c r="A445" s="13" t="s">
        <v>172</v>
      </c>
      <c r="B445" s="13" t="s">
        <v>113</v>
      </c>
      <c r="C445" s="13" t="s">
        <v>114</v>
      </c>
      <c r="D445" s="23" t="n">
        <v>13</v>
      </c>
      <c r="E445" s="13" t="s">
        <v>73</v>
      </c>
      <c r="F445" s="13" t="s">
        <v>325</v>
      </c>
      <c r="G445" s="24"/>
      <c r="H445" s="14" t="n">
        <v>-1900</v>
      </c>
      <c r="I445" s="16" t="n">
        <v>0.764843273686072</v>
      </c>
      <c r="J445" s="16" t="n">
        <v>0.921519384711976</v>
      </c>
      <c r="K445" s="16" t="n">
        <v>0.95</v>
      </c>
      <c r="L445" s="15" t="n">
        <v>-0.185156726313928</v>
      </c>
      <c r="M445" s="15" t="n">
        <v>-0.194901817172556</v>
      </c>
      <c r="N445" s="16" t="n">
        <v>0</v>
      </c>
      <c r="O445" s="25" t="n">
        <v>1</v>
      </c>
      <c r="P445" s="13" t="s">
        <v>96</v>
      </c>
      <c r="Q445" s="13" t="s">
        <v>174</v>
      </c>
    </row>
    <row r="446" customFormat="false" ht="15" hidden="false" customHeight="false" outlineLevel="0" collapsed="false">
      <c r="A446" s="18" t="s">
        <v>172</v>
      </c>
      <c r="B446" s="18" t="s">
        <v>77</v>
      </c>
      <c r="C446" s="18" t="s">
        <v>65</v>
      </c>
      <c r="D446" s="26" t="n">
        <v>11</v>
      </c>
      <c r="E446" s="18" t="s">
        <v>45</v>
      </c>
      <c r="F446" s="18" t="s">
        <v>402</v>
      </c>
      <c r="G446" s="27" t="n">
        <v>-17.5</v>
      </c>
      <c r="H446" s="19" t="n">
        <v>-110</v>
      </c>
      <c r="I446" s="21" t="n">
        <v>0.338384664975144</v>
      </c>
      <c r="J446" s="21" t="n">
        <v>0.5</v>
      </c>
      <c r="K446" s="21" t="n">
        <v>0.523809523809524</v>
      </c>
      <c r="L446" s="20" t="n">
        <v>-0.18542485883438</v>
      </c>
      <c r="M446" s="20" t="n">
        <v>-0.353992912320181</v>
      </c>
      <c r="N446" s="21" t="n">
        <v>0</v>
      </c>
      <c r="O446" s="28" t="n">
        <v>1</v>
      </c>
      <c r="P446" s="18" t="s">
        <v>96</v>
      </c>
      <c r="Q446" s="18"/>
    </row>
    <row r="447" customFormat="false" ht="15" hidden="false" customHeight="false" outlineLevel="0" collapsed="false">
      <c r="A447" s="13" t="s">
        <v>172</v>
      </c>
      <c r="B447" s="13" t="s">
        <v>118</v>
      </c>
      <c r="C447" s="13" t="s">
        <v>76</v>
      </c>
      <c r="D447" s="23" t="n">
        <v>14</v>
      </c>
      <c r="E447" s="13" t="s">
        <v>73</v>
      </c>
      <c r="F447" s="13" t="s">
        <v>221</v>
      </c>
      <c r="G447" s="24"/>
      <c r="H447" s="14" t="n">
        <v>-802</v>
      </c>
      <c r="I447" s="16" t="n">
        <v>0.702619379469409</v>
      </c>
      <c r="J447" s="16" t="n">
        <v>0.858967743952968</v>
      </c>
      <c r="K447" s="16" t="n">
        <v>0.889135254988914</v>
      </c>
      <c r="L447" s="15" t="n">
        <v>-0.186515875519505</v>
      </c>
      <c r="M447" s="15" t="n">
        <v>-0.20977221910049</v>
      </c>
      <c r="N447" s="16" t="n">
        <v>0</v>
      </c>
      <c r="O447" s="25" t="n">
        <v>1</v>
      </c>
      <c r="P447" s="13" t="s">
        <v>96</v>
      </c>
      <c r="Q447" s="13" t="s">
        <v>174</v>
      </c>
    </row>
    <row r="448" customFormat="false" ht="15" hidden="false" customHeight="false" outlineLevel="0" collapsed="false">
      <c r="A448" s="18" t="s">
        <v>172</v>
      </c>
      <c r="B448" s="18" t="s">
        <v>127</v>
      </c>
      <c r="C448" s="18" t="s">
        <v>65</v>
      </c>
      <c r="D448" s="26" t="n">
        <v>11</v>
      </c>
      <c r="E448" s="18" t="s">
        <v>49</v>
      </c>
      <c r="F448" s="18" t="s">
        <v>403</v>
      </c>
      <c r="G448" s="27" t="n">
        <v>68</v>
      </c>
      <c r="H448" s="19" t="n">
        <v>-110</v>
      </c>
      <c r="I448" s="21" t="n">
        <v>0.335187049026531</v>
      </c>
      <c r="J448" s="21" t="n">
        <v>0.5</v>
      </c>
      <c r="K448" s="21" t="n">
        <v>0.523809523809524</v>
      </c>
      <c r="L448" s="20" t="n">
        <v>-0.188622474782993</v>
      </c>
      <c r="M448" s="20" t="n">
        <v>-0.350688598715847</v>
      </c>
      <c r="N448" s="21" t="n">
        <v>0.0261</v>
      </c>
      <c r="O448" s="28" t="n">
        <v>1</v>
      </c>
      <c r="P448" s="18" t="s">
        <v>96</v>
      </c>
      <c r="Q448" s="18"/>
    </row>
    <row r="449" customFormat="false" ht="15" hidden="false" customHeight="false" outlineLevel="0" collapsed="false">
      <c r="A449" s="13" t="s">
        <v>172</v>
      </c>
      <c r="B449" s="13" t="s">
        <v>108</v>
      </c>
      <c r="C449" s="13" t="s">
        <v>109</v>
      </c>
      <c r="D449" s="23" t="n">
        <v>12</v>
      </c>
      <c r="E449" s="13" t="s">
        <v>45</v>
      </c>
      <c r="F449" s="13" t="s">
        <v>404</v>
      </c>
      <c r="G449" s="24" t="n">
        <v>10.5</v>
      </c>
      <c r="H449" s="14" t="n">
        <v>-110</v>
      </c>
      <c r="I449" s="16" t="n">
        <v>0.334928003426477</v>
      </c>
      <c r="J449" s="16" t="n">
        <v>0.5</v>
      </c>
      <c r="K449" s="16" t="n">
        <v>0.523809523809524</v>
      </c>
      <c r="L449" s="15" t="n">
        <v>-0.188881520383047</v>
      </c>
      <c r="M449" s="15" t="n">
        <v>-0.360591993458544</v>
      </c>
      <c r="N449" s="16" t="n">
        <v>0</v>
      </c>
      <c r="O449" s="25" t="n">
        <v>1</v>
      </c>
      <c r="P449" s="13" t="s">
        <v>96</v>
      </c>
      <c r="Q449" s="13"/>
    </row>
    <row r="450" customFormat="false" ht="15" hidden="false" customHeight="false" outlineLevel="0" collapsed="false">
      <c r="A450" s="18" t="s">
        <v>172</v>
      </c>
      <c r="B450" s="18" t="s">
        <v>108</v>
      </c>
      <c r="C450" s="18" t="s">
        <v>109</v>
      </c>
      <c r="D450" s="26" t="n">
        <v>12</v>
      </c>
      <c r="E450" s="18" t="s">
        <v>73</v>
      </c>
      <c r="F450" s="18" t="s">
        <v>286</v>
      </c>
      <c r="G450" s="27"/>
      <c r="H450" s="19" t="n">
        <v>-484</v>
      </c>
      <c r="I450" s="21" t="n">
        <v>0.639306081001887</v>
      </c>
      <c r="J450" s="21" t="n">
        <v>0.800777785358532</v>
      </c>
      <c r="K450" s="21" t="n">
        <v>0.828767123287671</v>
      </c>
      <c r="L450" s="20" t="n">
        <v>-0.189461042285785</v>
      </c>
      <c r="M450" s="20" t="n">
        <v>-0.228605885733261</v>
      </c>
      <c r="N450" s="21" t="n">
        <v>0</v>
      </c>
      <c r="O450" s="28" t="n">
        <v>1</v>
      </c>
      <c r="P450" s="18" t="s">
        <v>96</v>
      </c>
      <c r="Q450" s="18" t="s">
        <v>174</v>
      </c>
    </row>
    <row r="451" customFormat="false" ht="15" hidden="false" customHeight="false" outlineLevel="0" collapsed="false">
      <c r="A451" s="13" t="s">
        <v>172</v>
      </c>
      <c r="B451" s="13" t="s">
        <v>125</v>
      </c>
      <c r="C451" s="13" t="s">
        <v>109</v>
      </c>
      <c r="D451" s="23" t="n">
        <v>12</v>
      </c>
      <c r="E451" s="13" t="s">
        <v>49</v>
      </c>
      <c r="F451" s="13" t="s">
        <v>405</v>
      </c>
      <c r="G451" s="24" t="n">
        <v>67.5</v>
      </c>
      <c r="H451" s="14" t="n">
        <v>-110</v>
      </c>
      <c r="I451" s="16" t="n">
        <v>0.334213444546601</v>
      </c>
      <c r="J451" s="16" t="n">
        <v>0.5</v>
      </c>
      <c r="K451" s="16" t="n">
        <v>0.523809523809524</v>
      </c>
      <c r="L451" s="15" t="n">
        <v>-0.189596079262923</v>
      </c>
      <c r="M451" s="15" t="n">
        <v>-0.361956151320125</v>
      </c>
      <c r="N451" s="16" t="n">
        <v>0</v>
      </c>
      <c r="O451" s="25" t="n">
        <v>1</v>
      </c>
      <c r="P451" s="13" t="s">
        <v>96</v>
      </c>
      <c r="Q451" s="13"/>
    </row>
    <row r="452" customFormat="false" ht="15" hidden="false" customHeight="false" outlineLevel="0" collapsed="false">
      <c r="A452" s="18" t="s">
        <v>172</v>
      </c>
      <c r="B452" s="18" t="s">
        <v>121</v>
      </c>
      <c r="C452" s="18" t="s">
        <v>65</v>
      </c>
      <c r="D452" s="26" t="n">
        <v>11</v>
      </c>
      <c r="E452" s="18" t="s">
        <v>49</v>
      </c>
      <c r="F452" s="18" t="s">
        <v>406</v>
      </c>
      <c r="G452" s="27" t="n">
        <v>65</v>
      </c>
      <c r="H452" s="19" t="n">
        <v>-110</v>
      </c>
      <c r="I452" s="21" t="n">
        <v>0.332611852217694</v>
      </c>
      <c r="J452" s="21" t="n">
        <v>0.5</v>
      </c>
      <c r="K452" s="21" t="n">
        <v>0.523809523809524</v>
      </c>
      <c r="L452" s="20" t="n">
        <v>-0.19119767159183</v>
      </c>
      <c r="M452" s="20" t="n">
        <v>-0.355652182029051</v>
      </c>
      <c r="N452" s="21" t="n">
        <v>0.0256</v>
      </c>
      <c r="O452" s="28" t="n">
        <v>1</v>
      </c>
      <c r="P452" s="18" t="s">
        <v>96</v>
      </c>
      <c r="Q452" s="18"/>
    </row>
    <row r="453" customFormat="false" ht="15" hidden="false" customHeight="false" outlineLevel="0" collapsed="false">
      <c r="A453" s="13" t="s">
        <v>172</v>
      </c>
      <c r="B453" s="13" t="s">
        <v>48</v>
      </c>
      <c r="C453" s="13" t="s">
        <v>51</v>
      </c>
      <c r="D453" s="23" t="n">
        <v>14</v>
      </c>
      <c r="E453" s="13" t="s">
        <v>73</v>
      </c>
      <c r="F453" s="13" t="s">
        <v>357</v>
      </c>
      <c r="G453" s="24"/>
      <c r="H453" s="14" t="n">
        <v>-1900</v>
      </c>
      <c r="I453" s="16" t="n">
        <v>0.755284407508537</v>
      </c>
      <c r="J453" s="16" t="n">
        <v>0.930439621591542</v>
      </c>
      <c r="K453" s="16" t="n">
        <v>0.95</v>
      </c>
      <c r="L453" s="15" t="n">
        <v>-0.194715592491463</v>
      </c>
      <c r="M453" s="15" t="n">
        <v>-0.204963781569961</v>
      </c>
      <c r="N453" s="16" t="n">
        <v>0</v>
      </c>
      <c r="O453" s="25" t="n">
        <v>1</v>
      </c>
      <c r="P453" s="13" t="s">
        <v>96</v>
      </c>
      <c r="Q453" s="13" t="s">
        <v>174</v>
      </c>
    </row>
    <row r="454" customFormat="false" ht="15" hidden="false" customHeight="false" outlineLevel="0" collapsed="false">
      <c r="A454" s="18" t="s">
        <v>172</v>
      </c>
      <c r="B454" s="18" t="s">
        <v>72</v>
      </c>
      <c r="C454" s="18" t="s">
        <v>75</v>
      </c>
      <c r="D454" s="26" t="n">
        <v>13</v>
      </c>
      <c r="E454" s="18" t="s">
        <v>45</v>
      </c>
      <c r="F454" s="18" t="s">
        <v>407</v>
      </c>
      <c r="G454" s="27" t="n">
        <v>11</v>
      </c>
      <c r="H454" s="19" t="n">
        <v>-110</v>
      </c>
      <c r="I454" s="21" t="n">
        <v>0.32824748071625</v>
      </c>
      <c r="J454" s="21" t="n">
        <v>0.5</v>
      </c>
      <c r="K454" s="21" t="n">
        <v>0.523809523809524</v>
      </c>
      <c r="L454" s="20" t="n">
        <v>-0.195562043093274</v>
      </c>
      <c r="M454" s="20" t="n">
        <v>-0.366207409643853</v>
      </c>
      <c r="N454" s="21" t="n">
        <v>0.0191</v>
      </c>
      <c r="O454" s="28" t="n">
        <v>1</v>
      </c>
      <c r="P454" s="18" t="s">
        <v>96</v>
      </c>
      <c r="Q454" s="18"/>
    </row>
    <row r="455" customFormat="false" ht="15" hidden="false" customHeight="false" outlineLevel="0" collapsed="false">
      <c r="A455" s="13" t="s">
        <v>172</v>
      </c>
      <c r="B455" s="13" t="s">
        <v>119</v>
      </c>
      <c r="C455" s="13" t="s">
        <v>109</v>
      </c>
      <c r="D455" s="23" t="n">
        <v>12</v>
      </c>
      <c r="E455" s="13" t="s">
        <v>45</v>
      </c>
      <c r="F455" s="13" t="s">
        <v>408</v>
      </c>
      <c r="G455" s="24" t="n">
        <v>-17</v>
      </c>
      <c r="H455" s="14" t="n">
        <v>-110</v>
      </c>
      <c r="I455" s="16" t="n">
        <v>0.328232015593571</v>
      </c>
      <c r="J455" s="16" t="n">
        <v>0.5</v>
      </c>
      <c r="K455" s="16" t="n">
        <v>0.523809523809524</v>
      </c>
      <c r="L455" s="15" t="n">
        <v>-0.195577508215953</v>
      </c>
      <c r="M455" s="15" t="n">
        <v>-0.363669508913355</v>
      </c>
      <c r="N455" s="16" t="n">
        <v>0.026</v>
      </c>
      <c r="O455" s="25" t="n">
        <v>1</v>
      </c>
      <c r="P455" s="13" t="s">
        <v>96</v>
      </c>
      <c r="Q455" s="13"/>
    </row>
    <row r="456" customFormat="false" ht="15" hidden="false" customHeight="false" outlineLevel="0" collapsed="false">
      <c r="A456" s="18" t="s">
        <v>172</v>
      </c>
      <c r="B456" s="18" t="s">
        <v>101</v>
      </c>
      <c r="C456" s="18" t="s">
        <v>102</v>
      </c>
      <c r="D456" s="26" t="n">
        <v>13</v>
      </c>
      <c r="E456" s="18" t="s">
        <v>73</v>
      </c>
      <c r="F456" s="18" t="s">
        <v>245</v>
      </c>
      <c r="G456" s="27"/>
      <c r="H456" s="19" t="n">
        <v>-847</v>
      </c>
      <c r="I456" s="21" t="n">
        <v>0.69552315172149</v>
      </c>
      <c r="J456" s="21" t="n">
        <v>0.86428075968379</v>
      </c>
      <c r="K456" s="21" t="n">
        <v>0.894403379091869</v>
      </c>
      <c r="L456" s="20" t="n">
        <v>-0.19888022737038</v>
      </c>
      <c r="M456" s="20" t="n">
        <v>-0.2223607736951</v>
      </c>
      <c r="N456" s="21" t="n">
        <v>0</v>
      </c>
      <c r="O456" s="28" t="n">
        <v>1</v>
      </c>
      <c r="P456" s="18" t="s">
        <v>96</v>
      </c>
      <c r="Q456" s="18" t="s">
        <v>174</v>
      </c>
    </row>
    <row r="457" customFormat="false" ht="15" hidden="false" customHeight="false" outlineLevel="0" collapsed="false">
      <c r="A457" s="13" t="s">
        <v>172</v>
      </c>
      <c r="B457" s="13" t="s">
        <v>116</v>
      </c>
      <c r="C457" s="13" t="s">
        <v>109</v>
      </c>
      <c r="D457" s="23" t="n">
        <v>12</v>
      </c>
      <c r="E457" s="13" t="s">
        <v>45</v>
      </c>
      <c r="F457" s="13" t="s">
        <v>409</v>
      </c>
      <c r="G457" s="24" t="n">
        <v>15.5</v>
      </c>
      <c r="H457" s="14" t="n">
        <v>-110</v>
      </c>
      <c r="I457" s="16" t="n">
        <v>0.324232812272133</v>
      </c>
      <c r="J457" s="16" t="n">
        <v>0.5</v>
      </c>
      <c r="K457" s="16" t="n">
        <v>0.523809523809524</v>
      </c>
      <c r="L457" s="15" t="n">
        <v>-0.199576711537391</v>
      </c>
      <c r="M457" s="15" t="n">
        <v>-0.381010085662292</v>
      </c>
      <c r="N457" s="16" t="n">
        <v>0</v>
      </c>
      <c r="O457" s="25" t="n">
        <v>1</v>
      </c>
      <c r="P457" s="13" t="s">
        <v>96</v>
      </c>
      <c r="Q457" s="13"/>
    </row>
    <row r="458" customFormat="false" ht="15" hidden="false" customHeight="false" outlineLevel="0" collapsed="false">
      <c r="A458" s="18" t="s">
        <v>172</v>
      </c>
      <c r="B458" s="18" t="s">
        <v>113</v>
      </c>
      <c r="C458" s="18" t="s">
        <v>114</v>
      </c>
      <c r="D458" s="26" t="n">
        <v>13</v>
      </c>
      <c r="E458" s="18" t="s">
        <v>45</v>
      </c>
      <c r="F458" s="18" t="s">
        <v>410</v>
      </c>
      <c r="G458" s="27" t="n">
        <v>16</v>
      </c>
      <c r="H458" s="19" t="n">
        <v>-110</v>
      </c>
      <c r="I458" s="21" t="n">
        <v>0.323060632939786</v>
      </c>
      <c r="J458" s="21" t="n">
        <v>0.5</v>
      </c>
      <c r="K458" s="21" t="n">
        <v>0.523809523809524</v>
      </c>
      <c r="L458" s="20" t="n">
        <v>-0.200748890869738</v>
      </c>
      <c r="M458" s="20" t="n">
        <v>-0.377788392925205</v>
      </c>
      <c r="N458" s="21" t="n">
        <v>0.0142</v>
      </c>
      <c r="O458" s="28" t="n">
        <v>1</v>
      </c>
      <c r="P458" s="18" t="s">
        <v>96</v>
      </c>
      <c r="Q458" s="18"/>
    </row>
    <row r="459" customFormat="false" ht="15" hidden="false" customHeight="false" outlineLevel="0" collapsed="false">
      <c r="A459" s="13" t="s">
        <v>172</v>
      </c>
      <c r="B459" s="13" t="s">
        <v>111</v>
      </c>
      <c r="C459" s="13" t="s">
        <v>59</v>
      </c>
      <c r="D459" s="23" t="n">
        <v>10</v>
      </c>
      <c r="E459" s="13" t="s">
        <v>45</v>
      </c>
      <c r="F459" s="13" t="s">
        <v>411</v>
      </c>
      <c r="G459" s="24" t="n">
        <v>-19</v>
      </c>
      <c r="H459" s="14" t="n">
        <v>-110</v>
      </c>
      <c r="I459" s="16" t="n">
        <v>0.323005664124059</v>
      </c>
      <c r="J459" s="16" t="n">
        <v>0.5</v>
      </c>
      <c r="K459" s="16" t="n">
        <v>0.523809523809524</v>
      </c>
      <c r="L459" s="15" t="n">
        <v>-0.200803859685465</v>
      </c>
      <c r="M459" s="15" t="n">
        <v>-0.377797211418171</v>
      </c>
      <c r="N459" s="16" t="n">
        <v>0.0145</v>
      </c>
      <c r="O459" s="25" t="n">
        <v>1</v>
      </c>
      <c r="P459" s="13" t="s">
        <v>96</v>
      </c>
      <c r="Q459" s="13"/>
    </row>
    <row r="460" customFormat="false" ht="15" hidden="false" customHeight="false" outlineLevel="0" collapsed="false">
      <c r="A460" s="18" t="s">
        <v>172</v>
      </c>
      <c r="B460" s="18" t="s">
        <v>99</v>
      </c>
      <c r="C460" s="18" t="s">
        <v>75</v>
      </c>
      <c r="D460" s="26" t="n">
        <v>13</v>
      </c>
      <c r="E460" s="18" t="s">
        <v>49</v>
      </c>
      <c r="F460" s="18" t="s">
        <v>412</v>
      </c>
      <c r="G460" s="27" t="n">
        <v>70</v>
      </c>
      <c r="H460" s="19" t="n">
        <v>-110</v>
      </c>
      <c r="I460" s="21" t="n">
        <v>0.321667557474508</v>
      </c>
      <c r="J460" s="21" t="n">
        <v>0.5</v>
      </c>
      <c r="K460" s="21" t="n">
        <v>0.523809523809524</v>
      </c>
      <c r="L460" s="20" t="n">
        <v>-0.202141966335016</v>
      </c>
      <c r="M460" s="20" t="n">
        <v>-0.376849612659415</v>
      </c>
      <c r="N460" s="21" t="n">
        <v>0.0235</v>
      </c>
      <c r="O460" s="28" t="n">
        <v>1</v>
      </c>
      <c r="P460" s="18" t="s">
        <v>96</v>
      </c>
      <c r="Q460" s="18"/>
    </row>
    <row r="461" customFormat="false" ht="15" hidden="false" customHeight="false" outlineLevel="0" collapsed="false">
      <c r="A461" s="13" t="s">
        <v>172</v>
      </c>
      <c r="B461" s="13" t="s">
        <v>48</v>
      </c>
      <c r="C461" s="13" t="s">
        <v>51</v>
      </c>
      <c r="D461" s="23" t="n">
        <v>14</v>
      </c>
      <c r="E461" s="13" t="s">
        <v>45</v>
      </c>
      <c r="F461" s="13" t="s">
        <v>413</v>
      </c>
      <c r="G461" s="24" t="n">
        <v>15</v>
      </c>
      <c r="H461" s="14" t="n">
        <v>-110</v>
      </c>
      <c r="I461" s="16" t="n">
        <v>0.321604005732392</v>
      </c>
      <c r="J461" s="16" t="n">
        <v>0.5</v>
      </c>
      <c r="K461" s="16" t="n">
        <v>0.523809523809524</v>
      </c>
      <c r="L461" s="15" t="n">
        <v>-0.202205518077132</v>
      </c>
      <c r="M461" s="15" t="n">
        <v>-0.380218094169102</v>
      </c>
      <c r="N461" s="16" t="n">
        <v>0.0151</v>
      </c>
      <c r="O461" s="25" t="n">
        <v>1</v>
      </c>
      <c r="P461" s="13" t="s">
        <v>96</v>
      </c>
      <c r="Q461" s="13"/>
    </row>
    <row r="462" customFormat="false" ht="15" hidden="false" customHeight="false" outlineLevel="0" collapsed="false">
      <c r="A462" s="18" t="s">
        <v>172</v>
      </c>
      <c r="B462" s="18" t="s">
        <v>72</v>
      </c>
      <c r="C462" s="18" t="s">
        <v>76</v>
      </c>
      <c r="D462" s="26" t="n">
        <v>14</v>
      </c>
      <c r="E462" s="18" t="s">
        <v>45</v>
      </c>
      <c r="F462" s="18" t="s">
        <v>414</v>
      </c>
      <c r="G462" s="27" t="n">
        <v>12</v>
      </c>
      <c r="H462" s="19" t="n">
        <v>-110</v>
      </c>
      <c r="I462" s="21" t="n">
        <v>0.320849745177091</v>
      </c>
      <c r="J462" s="21" t="n">
        <v>0.5</v>
      </c>
      <c r="K462" s="21" t="n">
        <v>0.523809523809524</v>
      </c>
      <c r="L462" s="20" t="n">
        <v>-0.202959778632432</v>
      </c>
      <c r="M462" s="20" t="n">
        <v>-0.382140215224993</v>
      </c>
      <c r="N462" s="21" t="n">
        <v>0.0138</v>
      </c>
      <c r="O462" s="28" t="n">
        <v>1</v>
      </c>
      <c r="P462" s="18" t="s">
        <v>96</v>
      </c>
      <c r="Q462" s="18"/>
    </row>
    <row r="463" customFormat="false" ht="15" hidden="false" customHeight="false" outlineLevel="0" collapsed="false">
      <c r="A463" s="13" t="s">
        <v>172</v>
      </c>
      <c r="B463" s="13" t="s">
        <v>106</v>
      </c>
      <c r="C463" s="13" t="s">
        <v>68</v>
      </c>
      <c r="D463" s="23" t="n">
        <v>11</v>
      </c>
      <c r="E463" s="13" t="s">
        <v>49</v>
      </c>
      <c r="F463" s="13" t="s">
        <v>415</v>
      </c>
      <c r="G463" s="24" t="n">
        <v>45.5</v>
      </c>
      <c r="H463" s="14" t="n">
        <v>-110</v>
      </c>
      <c r="I463" s="16" t="n">
        <v>0.319985418340876</v>
      </c>
      <c r="J463" s="16" t="n">
        <v>0.5</v>
      </c>
      <c r="K463" s="16" t="n">
        <v>0.523809523809524</v>
      </c>
      <c r="L463" s="15" t="n">
        <v>-0.203824105468648</v>
      </c>
      <c r="M463" s="15" t="n">
        <v>-0.389118746803782</v>
      </c>
      <c r="N463" s="16" t="n">
        <v>0</v>
      </c>
      <c r="O463" s="25" t="n">
        <v>1</v>
      </c>
      <c r="P463" s="13" t="s">
        <v>96</v>
      </c>
      <c r="Q463" s="13"/>
    </row>
    <row r="464" customFormat="false" ht="15" hidden="false" customHeight="false" outlineLevel="0" collapsed="false">
      <c r="A464" s="18" t="s">
        <v>172</v>
      </c>
      <c r="B464" s="18" t="s">
        <v>44</v>
      </c>
      <c r="C464" s="18" t="s">
        <v>47</v>
      </c>
      <c r="D464" s="26" t="n">
        <v>14</v>
      </c>
      <c r="E464" s="18" t="s">
        <v>49</v>
      </c>
      <c r="F464" s="18" t="s">
        <v>416</v>
      </c>
      <c r="G464" s="27" t="n">
        <v>72.5</v>
      </c>
      <c r="H464" s="19" t="n">
        <v>-110</v>
      </c>
      <c r="I464" s="21" t="n">
        <v>0.318878244304284</v>
      </c>
      <c r="J464" s="21" t="n">
        <v>0.5</v>
      </c>
      <c r="K464" s="21" t="n">
        <v>0.523809523809524</v>
      </c>
      <c r="L464" s="20" t="n">
        <v>-0.20493127950524</v>
      </c>
      <c r="M464" s="20" t="n">
        <v>-0.391232442691821</v>
      </c>
      <c r="N464" s="21" t="n">
        <v>0</v>
      </c>
      <c r="O464" s="28" t="n">
        <v>1</v>
      </c>
      <c r="P464" s="18" t="s">
        <v>96</v>
      </c>
      <c r="Q464" s="18"/>
    </row>
    <row r="465" customFormat="false" ht="15" hidden="false" customHeight="false" outlineLevel="0" collapsed="false">
      <c r="A465" s="13" t="s">
        <v>172</v>
      </c>
      <c r="B465" s="13" t="s">
        <v>104</v>
      </c>
      <c r="C465" s="13" t="s">
        <v>65</v>
      </c>
      <c r="D465" s="23" t="n">
        <v>11</v>
      </c>
      <c r="E465" s="13" t="s">
        <v>45</v>
      </c>
      <c r="F465" s="13" t="s">
        <v>417</v>
      </c>
      <c r="G465" s="24" t="n">
        <v>12</v>
      </c>
      <c r="H465" s="14" t="n">
        <v>-110</v>
      </c>
      <c r="I465" s="16" t="n">
        <v>0.314586479323462</v>
      </c>
      <c r="J465" s="16" t="n">
        <v>0.5</v>
      </c>
      <c r="K465" s="16" t="n">
        <v>0.523809523809524</v>
      </c>
      <c r="L465" s="15" t="n">
        <v>-0.209223044486062</v>
      </c>
      <c r="M465" s="15" t="n">
        <v>-0.39425046216519</v>
      </c>
      <c r="N465" s="16" t="n">
        <v>0.013</v>
      </c>
      <c r="O465" s="25" t="n">
        <v>1</v>
      </c>
      <c r="P465" s="13" t="s">
        <v>96</v>
      </c>
      <c r="Q465" s="13"/>
    </row>
    <row r="466" customFormat="false" ht="15" hidden="false" customHeight="false" outlineLevel="0" collapsed="false">
      <c r="A466" s="18" t="s">
        <v>172</v>
      </c>
      <c r="B466" s="18" t="s">
        <v>101</v>
      </c>
      <c r="C466" s="18" t="s">
        <v>102</v>
      </c>
      <c r="D466" s="26" t="n">
        <v>13</v>
      </c>
      <c r="E466" s="18" t="s">
        <v>45</v>
      </c>
      <c r="F466" s="18" t="s">
        <v>418</v>
      </c>
      <c r="G466" s="27" t="n">
        <v>14.5</v>
      </c>
      <c r="H466" s="19" t="n">
        <v>-110</v>
      </c>
      <c r="I466" s="21" t="n">
        <v>0.312718793993706</v>
      </c>
      <c r="J466" s="21" t="n">
        <v>0.5</v>
      </c>
      <c r="K466" s="21" t="n">
        <v>0.523809523809524</v>
      </c>
      <c r="L466" s="20" t="n">
        <v>-0.211090729815818</v>
      </c>
      <c r="M466" s="20" t="n">
        <v>-0.402991393284744</v>
      </c>
      <c r="N466" s="21" t="n">
        <v>0</v>
      </c>
      <c r="O466" s="28" t="n">
        <v>1</v>
      </c>
      <c r="P466" s="18" t="s">
        <v>96</v>
      </c>
      <c r="Q466" s="18"/>
    </row>
    <row r="467" customFormat="false" ht="15" hidden="false" customHeight="false" outlineLevel="0" collapsed="false">
      <c r="A467" s="13" t="s">
        <v>172</v>
      </c>
      <c r="B467" s="13" t="s">
        <v>99</v>
      </c>
      <c r="C467" s="13" t="s">
        <v>75</v>
      </c>
      <c r="D467" s="23" t="n">
        <v>13</v>
      </c>
      <c r="E467" s="13" t="s">
        <v>45</v>
      </c>
      <c r="F467" s="13" t="s">
        <v>419</v>
      </c>
      <c r="G467" s="24" t="n">
        <v>20.5</v>
      </c>
      <c r="H467" s="14" t="n">
        <v>-110</v>
      </c>
      <c r="I467" s="16" t="n">
        <v>0.30769387846318</v>
      </c>
      <c r="J467" s="16" t="n">
        <v>0.5</v>
      </c>
      <c r="K467" s="16" t="n">
        <v>0.523809523809524</v>
      </c>
      <c r="L467" s="15" t="n">
        <v>-0.216115645346343</v>
      </c>
      <c r="M467" s="15" t="n">
        <v>-0.412584413843019</v>
      </c>
      <c r="N467" s="16" t="n">
        <v>0</v>
      </c>
      <c r="O467" s="25" t="n">
        <v>1</v>
      </c>
      <c r="P467" s="13" t="s">
        <v>96</v>
      </c>
      <c r="Q467" s="13"/>
    </row>
    <row r="468" customFormat="false" ht="15" hidden="false" customHeight="false" outlineLevel="0" collapsed="false">
      <c r="A468" s="18" t="s">
        <v>172</v>
      </c>
      <c r="B468" s="18" t="s">
        <v>72</v>
      </c>
      <c r="C468" s="18" t="s">
        <v>75</v>
      </c>
      <c r="D468" s="26" t="n">
        <v>13</v>
      </c>
      <c r="E468" s="18" t="s">
        <v>73</v>
      </c>
      <c r="F468" s="18" t="s">
        <v>204</v>
      </c>
      <c r="G468" s="27"/>
      <c r="H468" s="19" t="n">
        <v>-777</v>
      </c>
      <c r="I468" s="21" t="n">
        <v>0.669079300232418</v>
      </c>
      <c r="J468" s="21" t="n">
        <v>0.856009273199829</v>
      </c>
      <c r="K468" s="21" t="n">
        <v>0.885974914481186</v>
      </c>
      <c r="L468" s="20" t="n">
        <v>-0.216895614248768</v>
      </c>
      <c r="M468" s="20" t="n">
        <v>-0.244810107717078</v>
      </c>
      <c r="N468" s="21" t="n">
        <v>0</v>
      </c>
      <c r="O468" s="28" t="n">
        <v>1</v>
      </c>
      <c r="P468" s="18" t="s">
        <v>96</v>
      </c>
      <c r="Q468" s="18" t="s">
        <v>174</v>
      </c>
    </row>
    <row r="469" customFormat="false" ht="15" hidden="false" customHeight="false" outlineLevel="0" collapsed="false">
      <c r="A469" s="13" t="s">
        <v>172</v>
      </c>
      <c r="B469" s="13" t="s">
        <v>72</v>
      </c>
      <c r="C469" s="13" t="s">
        <v>76</v>
      </c>
      <c r="D469" s="23" t="n">
        <v>14</v>
      </c>
      <c r="E469" s="13" t="s">
        <v>73</v>
      </c>
      <c r="F469" s="13" t="s">
        <v>204</v>
      </c>
      <c r="G469" s="24"/>
      <c r="H469" s="14" t="n">
        <v>-777</v>
      </c>
      <c r="I469" s="16" t="n">
        <v>0.669079300232418</v>
      </c>
      <c r="J469" s="16" t="n">
        <v>0.856009273199829</v>
      </c>
      <c r="K469" s="16" t="n">
        <v>0.885974914481186</v>
      </c>
      <c r="L469" s="15" t="n">
        <v>-0.216895614248768</v>
      </c>
      <c r="M469" s="15" t="n">
        <v>-0.244810107717078</v>
      </c>
      <c r="N469" s="16" t="n">
        <v>0</v>
      </c>
      <c r="O469" s="25" t="n">
        <v>1</v>
      </c>
      <c r="P469" s="13" t="s">
        <v>96</v>
      </c>
      <c r="Q469" s="13" t="s">
        <v>174</v>
      </c>
    </row>
    <row r="470" customFormat="false" ht="15" hidden="false" customHeight="false" outlineLevel="0" collapsed="false">
      <c r="A470" s="18" t="s">
        <v>172</v>
      </c>
      <c r="B470" s="18" t="s">
        <v>66</v>
      </c>
      <c r="C470" s="18" t="s">
        <v>68</v>
      </c>
      <c r="D470" s="26" t="n">
        <v>11</v>
      </c>
      <c r="E470" s="18" t="s">
        <v>73</v>
      </c>
      <c r="F470" s="18" t="s">
        <v>327</v>
      </c>
      <c r="G470" s="27"/>
      <c r="H470" s="19" t="n">
        <v>-1693</v>
      </c>
      <c r="I470" s="21" t="n">
        <v>0.725285805331383</v>
      </c>
      <c r="J470" s="21" t="n">
        <v>0.912322138146667</v>
      </c>
      <c r="K470" s="21" t="n">
        <v>0.944227551589515</v>
      </c>
      <c r="L470" s="20" t="n">
        <v>-0.218941746258132</v>
      </c>
      <c r="M470" s="20" t="n">
        <v>-0.231873922646681</v>
      </c>
      <c r="N470" s="21" t="n">
        <v>0</v>
      </c>
      <c r="O470" s="28" t="n">
        <v>1</v>
      </c>
      <c r="P470" s="18" t="s">
        <v>96</v>
      </c>
      <c r="Q470" s="18" t="s">
        <v>174</v>
      </c>
    </row>
    <row r="471" customFormat="false" ht="15" hidden="false" customHeight="false" outlineLevel="0" collapsed="false">
      <c r="A471" s="13" t="s">
        <v>172</v>
      </c>
      <c r="B471" s="13" t="s">
        <v>97</v>
      </c>
      <c r="C471" s="13" t="s">
        <v>62</v>
      </c>
      <c r="D471" s="23" t="n">
        <v>10</v>
      </c>
      <c r="E471" s="13" t="s">
        <v>45</v>
      </c>
      <c r="F471" s="13" t="s">
        <v>420</v>
      </c>
      <c r="G471" s="24" t="n">
        <v>-24</v>
      </c>
      <c r="H471" s="14" t="n">
        <v>-110</v>
      </c>
      <c r="I471" s="16" t="n">
        <v>0.304179924141991</v>
      </c>
      <c r="J471" s="16" t="n">
        <v>0.5</v>
      </c>
      <c r="K471" s="16" t="n">
        <v>0.523809523809524</v>
      </c>
      <c r="L471" s="15" t="n">
        <v>-0.219629599667533</v>
      </c>
      <c r="M471" s="15" t="n">
        <v>-0.412423112323443</v>
      </c>
      <c r="N471" s="16" t="n">
        <v>0.0164</v>
      </c>
      <c r="O471" s="25" t="n">
        <v>1</v>
      </c>
      <c r="P471" s="13" t="s">
        <v>96</v>
      </c>
      <c r="Q471" s="13"/>
    </row>
    <row r="472" customFormat="false" ht="15" hidden="false" customHeight="false" outlineLevel="0" collapsed="false">
      <c r="A472" s="18" t="s">
        <v>172</v>
      </c>
      <c r="B472" s="18" t="s">
        <v>83</v>
      </c>
      <c r="C472" s="18" t="s">
        <v>62</v>
      </c>
      <c r="D472" s="26" t="n">
        <v>10</v>
      </c>
      <c r="E472" s="18" t="s">
        <v>49</v>
      </c>
      <c r="F472" s="18" t="s">
        <v>421</v>
      </c>
      <c r="G472" s="27" t="n">
        <v>44</v>
      </c>
      <c r="H472" s="19" t="n">
        <v>-110</v>
      </c>
      <c r="I472" s="21" t="n">
        <v>0.303822455518108</v>
      </c>
      <c r="J472" s="21" t="n">
        <v>0.5</v>
      </c>
      <c r="K472" s="21" t="n">
        <v>0.523809523809524</v>
      </c>
      <c r="L472" s="20" t="n">
        <v>-0.219987068291416</v>
      </c>
      <c r="M472" s="20" t="n">
        <v>-0.41181997722166</v>
      </c>
      <c r="N472" s="21" t="n">
        <v>0.0194</v>
      </c>
      <c r="O472" s="28" t="n">
        <v>1</v>
      </c>
      <c r="P472" s="18" t="s">
        <v>96</v>
      </c>
      <c r="Q472" s="18"/>
    </row>
    <row r="473" customFormat="false" ht="15" hidden="false" customHeight="false" outlineLevel="0" collapsed="false">
      <c r="A473" s="13" t="s">
        <v>172</v>
      </c>
      <c r="B473" s="13" t="s">
        <v>81</v>
      </c>
      <c r="C473" s="13" t="s">
        <v>47</v>
      </c>
      <c r="D473" s="23" t="n">
        <v>14</v>
      </c>
      <c r="E473" s="13" t="s">
        <v>45</v>
      </c>
      <c r="F473" s="13" t="s">
        <v>422</v>
      </c>
      <c r="G473" s="24" t="n">
        <v>-24</v>
      </c>
      <c r="H473" s="14" t="n">
        <v>-110</v>
      </c>
      <c r="I473" s="16" t="n">
        <v>0.300495265968207</v>
      </c>
      <c r="J473" s="16" t="n">
        <v>0.5</v>
      </c>
      <c r="K473" s="16" t="n">
        <v>0.523809523809524</v>
      </c>
      <c r="L473" s="15" t="n">
        <v>-0.223314257841316</v>
      </c>
      <c r="M473" s="15" t="n">
        <v>-0.419670476609554</v>
      </c>
      <c r="N473" s="16" t="n">
        <v>0.0156</v>
      </c>
      <c r="O473" s="25" t="n">
        <v>1</v>
      </c>
      <c r="P473" s="13" t="s">
        <v>96</v>
      </c>
      <c r="Q473" s="13"/>
    </row>
    <row r="474" customFormat="false" ht="15" hidden="false" customHeight="false" outlineLevel="0" collapsed="false">
      <c r="A474" s="18" t="s">
        <v>172</v>
      </c>
      <c r="B474" s="18" t="s">
        <v>79</v>
      </c>
      <c r="C474" s="18" t="s">
        <v>68</v>
      </c>
      <c r="D474" s="26" t="n">
        <v>11</v>
      </c>
      <c r="E474" s="18" t="s">
        <v>45</v>
      </c>
      <c r="F474" s="18" t="s">
        <v>423</v>
      </c>
      <c r="G474" s="27" t="n">
        <v>-19.5</v>
      </c>
      <c r="H474" s="19" t="n">
        <v>-110</v>
      </c>
      <c r="I474" s="21" t="n">
        <v>0.299036406158835</v>
      </c>
      <c r="J474" s="21" t="n">
        <v>0.5</v>
      </c>
      <c r="K474" s="21" t="n">
        <v>0.523809523809524</v>
      </c>
      <c r="L474" s="20" t="n">
        <v>-0.224773117650688</v>
      </c>
      <c r="M474" s="20" t="n">
        <v>-0.429112315514951</v>
      </c>
      <c r="N474" s="21" t="n">
        <v>0</v>
      </c>
      <c r="O474" s="28" t="n">
        <v>1</v>
      </c>
      <c r="P474" s="18" t="s">
        <v>96</v>
      </c>
      <c r="Q474" s="18"/>
    </row>
    <row r="475" customFormat="false" ht="15" hidden="false" customHeight="false" outlineLevel="0" collapsed="false">
      <c r="A475" s="13" t="s">
        <v>172</v>
      </c>
      <c r="B475" s="13" t="s">
        <v>77</v>
      </c>
      <c r="C475" s="13" t="s">
        <v>65</v>
      </c>
      <c r="D475" s="23" t="n">
        <v>11</v>
      </c>
      <c r="E475" s="13" t="s">
        <v>49</v>
      </c>
      <c r="F475" s="13" t="s">
        <v>424</v>
      </c>
      <c r="G475" s="24" t="n">
        <v>43</v>
      </c>
      <c r="H475" s="14" t="n">
        <v>-110</v>
      </c>
      <c r="I475" s="16" t="n">
        <v>0.295811229770362</v>
      </c>
      <c r="J475" s="16" t="n">
        <v>0.5</v>
      </c>
      <c r="K475" s="16" t="n">
        <v>0.523809523809524</v>
      </c>
      <c r="L475" s="15" t="n">
        <v>-0.227998294039162</v>
      </c>
      <c r="M475" s="15" t="n">
        <v>-0.427713094562505</v>
      </c>
      <c r="N475" s="16" t="n">
        <v>0.0174</v>
      </c>
      <c r="O475" s="25" t="n">
        <v>1</v>
      </c>
      <c r="P475" s="13" t="s">
        <v>96</v>
      </c>
      <c r="Q475" s="13"/>
    </row>
    <row r="476" customFormat="false" ht="15" hidden="false" customHeight="false" outlineLevel="0" collapsed="false">
      <c r="A476" s="18" t="s">
        <v>172</v>
      </c>
      <c r="B476" s="18" t="s">
        <v>69</v>
      </c>
      <c r="C476" s="18" t="s">
        <v>71</v>
      </c>
      <c r="D476" s="26" t="n">
        <v>11</v>
      </c>
      <c r="E476" s="18" t="s">
        <v>45</v>
      </c>
      <c r="F476" s="18" t="s">
        <v>425</v>
      </c>
      <c r="G476" s="27" t="n">
        <v>-23</v>
      </c>
      <c r="H476" s="19" t="n">
        <v>-110</v>
      </c>
      <c r="I476" s="21" t="n">
        <v>0.291268296284352</v>
      </c>
      <c r="J476" s="21" t="n">
        <v>0.5</v>
      </c>
      <c r="K476" s="21" t="n">
        <v>0.523809523809524</v>
      </c>
      <c r="L476" s="20" t="n">
        <v>-0.232541227525172</v>
      </c>
      <c r="M476" s="20" t="n">
        <v>-0.439551469332041</v>
      </c>
      <c r="N476" s="21" t="n">
        <v>0.0099</v>
      </c>
      <c r="O476" s="28" t="n">
        <v>1</v>
      </c>
      <c r="P476" s="18" t="s">
        <v>96</v>
      </c>
      <c r="Q476" s="18"/>
    </row>
    <row r="477" customFormat="false" ht="15" hidden="false" customHeight="false" outlineLevel="0" collapsed="false">
      <c r="A477" s="13" t="s">
        <v>172</v>
      </c>
      <c r="B477" s="13" t="s">
        <v>66</v>
      </c>
      <c r="C477" s="13" t="s">
        <v>68</v>
      </c>
      <c r="D477" s="23" t="n">
        <v>11</v>
      </c>
      <c r="E477" s="13" t="s">
        <v>45</v>
      </c>
      <c r="F477" s="13" t="s">
        <v>426</v>
      </c>
      <c r="G477" s="24" t="n">
        <v>18</v>
      </c>
      <c r="H477" s="14" t="n">
        <v>-110</v>
      </c>
      <c r="I477" s="16" t="n">
        <v>0.289446097645003</v>
      </c>
      <c r="J477" s="16" t="n">
        <v>0.5</v>
      </c>
      <c r="K477" s="16" t="n">
        <v>0.523809523809524</v>
      </c>
      <c r="L477" s="15" t="n">
        <v>-0.234363426164521</v>
      </c>
      <c r="M477" s="15" t="n">
        <v>-0.442832540523454</v>
      </c>
      <c r="N477" s="16" t="n">
        <v>0.0103</v>
      </c>
      <c r="O477" s="25" t="n">
        <v>1</v>
      </c>
      <c r="P477" s="13" t="s">
        <v>96</v>
      </c>
      <c r="Q477" s="13"/>
    </row>
    <row r="478" customFormat="false" ht="15" hidden="false" customHeight="false" outlineLevel="0" collapsed="false">
      <c r="A478" s="18" t="s">
        <v>172</v>
      </c>
      <c r="B478" s="18" t="s">
        <v>63</v>
      </c>
      <c r="C478" s="18" t="s">
        <v>65</v>
      </c>
      <c r="D478" s="26" t="n">
        <v>11</v>
      </c>
      <c r="E478" s="18" t="s">
        <v>49</v>
      </c>
      <c r="F478" s="18" t="s">
        <v>427</v>
      </c>
      <c r="G478" s="27" t="n">
        <v>40.5</v>
      </c>
      <c r="H478" s="19" t="n">
        <v>-110</v>
      </c>
      <c r="I478" s="21" t="n">
        <v>0.288858837476314</v>
      </c>
      <c r="J478" s="21" t="n">
        <v>0.5</v>
      </c>
      <c r="K478" s="21" t="n">
        <v>0.523809523809524</v>
      </c>
      <c r="L478" s="20" t="n">
        <v>-0.23495068633321</v>
      </c>
      <c r="M478" s="20" t="n">
        <v>-0.448542219363401</v>
      </c>
      <c r="N478" s="21" t="n">
        <v>0</v>
      </c>
      <c r="O478" s="28" t="n">
        <v>1</v>
      </c>
      <c r="P478" s="18" t="s">
        <v>96</v>
      </c>
      <c r="Q478" s="18"/>
    </row>
    <row r="479" customFormat="false" ht="15" hidden="false" customHeight="false" outlineLevel="0" collapsed="false">
      <c r="A479" s="13" t="s">
        <v>172</v>
      </c>
      <c r="B479" s="13" t="s">
        <v>60</v>
      </c>
      <c r="C479" s="13" t="s">
        <v>62</v>
      </c>
      <c r="D479" s="23" t="n">
        <v>10</v>
      </c>
      <c r="E479" s="13" t="s">
        <v>49</v>
      </c>
      <c r="F479" s="13" t="s">
        <v>428</v>
      </c>
      <c r="G479" s="24" t="n">
        <v>39</v>
      </c>
      <c r="H479" s="14" t="n">
        <v>-110</v>
      </c>
      <c r="I479" s="16" t="n">
        <v>0.288732752173293</v>
      </c>
      <c r="J479" s="16" t="n">
        <v>0.5</v>
      </c>
      <c r="K479" s="16" t="n">
        <v>0.523809523809524</v>
      </c>
      <c r="L479" s="15" t="n">
        <v>-0.235076771636231</v>
      </c>
      <c r="M479" s="15" t="n">
        <v>-0.441873991049715</v>
      </c>
      <c r="N479" s="16" t="n">
        <v>0.0154</v>
      </c>
      <c r="O479" s="25" t="n">
        <v>1</v>
      </c>
      <c r="P479" s="13" t="s">
        <v>96</v>
      </c>
      <c r="Q479" s="13"/>
    </row>
    <row r="480" customFormat="false" ht="15" hidden="false" customHeight="false" outlineLevel="0" collapsed="false">
      <c r="A480" s="18" t="s">
        <v>172</v>
      </c>
      <c r="B480" s="18" t="s">
        <v>57</v>
      </c>
      <c r="C480" s="18" t="s">
        <v>59</v>
      </c>
      <c r="D480" s="26" t="n">
        <v>10</v>
      </c>
      <c r="E480" s="18" t="s">
        <v>49</v>
      </c>
      <c r="F480" s="18" t="s">
        <v>429</v>
      </c>
      <c r="G480" s="27" t="n">
        <v>75.5</v>
      </c>
      <c r="H480" s="19" t="n">
        <v>-110</v>
      </c>
      <c r="I480" s="21" t="n">
        <v>0.288136490476531</v>
      </c>
      <c r="J480" s="21" t="n">
        <v>0.5</v>
      </c>
      <c r="K480" s="21" t="n">
        <v>0.523809523809524</v>
      </c>
      <c r="L480" s="20" t="n">
        <v>-0.235673033332992</v>
      </c>
      <c r="M480" s="20" t="n">
        <v>-0.449921245453895</v>
      </c>
      <c r="N480" s="21" t="n">
        <v>0</v>
      </c>
      <c r="O480" s="28" t="n">
        <v>1</v>
      </c>
      <c r="P480" s="18" t="s">
        <v>96</v>
      </c>
      <c r="Q480" s="18"/>
    </row>
    <row r="481" customFormat="false" ht="15" hidden="false" customHeight="false" outlineLevel="0" collapsed="false">
      <c r="A481" s="13" t="s">
        <v>172</v>
      </c>
      <c r="B481" s="13" t="s">
        <v>55</v>
      </c>
      <c r="C481" s="13" t="s">
        <v>51</v>
      </c>
      <c r="D481" s="23" t="n">
        <v>14</v>
      </c>
      <c r="E481" s="13" t="s">
        <v>49</v>
      </c>
      <c r="F481" s="13" t="s">
        <v>430</v>
      </c>
      <c r="G481" s="24" t="n">
        <v>76</v>
      </c>
      <c r="H481" s="14" t="n">
        <v>-110</v>
      </c>
      <c r="I481" s="16" t="n">
        <v>0.283834879183681</v>
      </c>
      <c r="J481" s="16" t="n">
        <v>0.5</v>
      </c>
      <c r="K481" s="16" t="n">
        <v>0.523809523809524</v>
      </c>
      <c r="L481" s="15" t="n">
        <v>-0.239974644625843</v>
      </c>
      <c r="M481" s="15" t="n">
        <v>-0.451745632344923</v>
      </c>
      <c r="N481" s="16" t="n">
        <v>0.0139</v>
      </c>
      <c r="O481" s="25" t="n">
        <v>1</v>
      </c>
      <c r="P481" s="13" t="s">
        <v>96</v>
      </c>
      <c r="Q481" s="13"/>
    </row>
    <row r="482" customFormat="false" ht="15" hidden="false" customHeight="false" outlineLevel="0" collapsed="false">
      <c r="A482" s="18" t="s">
        <v>172</v>
      </c>
      <c r="B482" s="18" t="s">
        <v>52</v>
      </c>
      <c r="C482" s="18" t="s">
        <v>54</v>
      </c>
      <c r="D482" s="26" t="n">
        <v>10</v>
      </c>
      <c r="E482" s="18" t="s">
        <v>45</v>
      </c>
      <c r="F482" s="18" t="s">
        <v>431</v>
      </c>
      <c r="G482" s="27" t="n">
        <v>-28</v>
      </c>
      <c r="H482" s="19" t="n">
        <v>-110</v>
      </c>
      <c r="I482" s="21" t="n">
        <v>0.272676332403586</v>
      </c>
      <c r="J482" s="21" t="n">
        <v>0.5</v>
      </c>
      <c r="K482" s="21" t="n">
        <v>0.523809523809524</v>
      </c>
      <c r="L482" s="20" t="n">
        <v>-0.251133191405938</v>
      </c>
      <c r="M482" s="20" t="n">
        <v>-0.475307392883991</v>
      </c>
      <c r="N482" s="21" t="n">
        <v>0.0086</v>
      </c>
      <c r="O482" s="28" t="n">
        <v>1</v>
      </c>
      <c r="P482" s="18" t="s">
        <v>96</v>
      </c>
      <c r="Q482" s="18"/>
    </row>
    <row r="483" customFormat="false" ht="15" hidden="false" customHeight="false" outlineLevel="0" collapsed="false">
      <c r="A483" s="13" t="s">
        <v>172</v>
      </c>
      <c r="B483" s="13" t="s">
        <v>48</v>
      </c>
      <c r="C483" s="13" t="s">
        <v>51</v>
      </c>
      <c r="D483" s="23" t="n">
        <v>14</v>
      </c>
      <c r="E483" s="13" t="s">
        <v>49</v>
      </c>
      <c r="F483" s="13" t="s">
        <v>432</v>
      </c>
      <c r="G483" s="24" t="n">
        <v>36.5</v>
      </c>
      <c r="H483" s="14" t="n">
        <v>-110</v>
      </c>
      <c r="I483" s="16" t="n">
        <v>0.263070364616124</v>
      </c>
      <c r="J483" s="16" t="n">
        <v>0.5</v>
      </c>
      <c r="K483" s="16" t="n">
        <v>0.523809523809524</v>
      </c>
      <c r="L483" s="15" t="n">
        <v>-0.2607391591934</v>
      </c>
      <c r="M483" s="15" t="n">
        <v>-0.497774758460127</v>
      </c>
      <c r="N483" s="16" t="n">
        <v>0</v>
      </c>
      <c r="O483" s="25" t="n">
        <v>1</v>
      </c>
      <c r="P483" s="13" t="s">
        <v>96</v>
      </c>
      <c r="Q483" s="13"/>
    </row>
    <row r="484" customFormat="false" ht="15" hidden="false" customHeight="false" outlineLevel="0" collapsed="false">
      <c r="A484" s="18" t="s">
        <v>172</v>
      </c>
      <c r="B484" s="18" t="s">
        <v>44</v>
      </c>
      <c r="C484" s="18" t="s">
        <v>47</v>
      </c>
      <c r="D484" s="26" t="n">
        <v>14</v>
      </c>
      <c r="E484" s="18" t="s">
        <v>45</v>
      </c>
      <c r="F484" s="18" t="s">
        <v>433</v>
      </c>
      <c r="G484" s="27" t="n">
        <v>39.5</v>
      </c>
      <c r="H484" s="19" t="n">
        <v>-110</v>
      </c>
      <c r="I484" s="21" t="n">
        <v>0.253131662664072</v>
      </c>
      <c r="J484" s="21" t="n">
        <v>0.5</v>
      </c>
      <c r="K484" s="21" t="n">
        <v>0.523809523809524</v>
      </c>
      <c r="L484" s="20" t="n">
        <v>-0.270677861145452</v>
      </c>
      <c r="M484" s="20" t="n">
        <v>-0.516748644004953</v>
      </c>
      <c r="N484" s="21" t="n">
        <v>0</v>
      </c>
      <c r="O484" s="28" t="n">
        <v>1</v>
      </c>
      <c r="P484" s="18" t="s">
        <v>96</v>
      </c>
      <c r="Q484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4" min="4" style="0" width="22"/>
    <col collapsed="false" customWidth="true" hidden="false" outlineLevel="0" max="5" min="5" style="0" width="8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3" min="12" style="0" width="9"/>
    <col collapsed="false" customWidth="true" hidden="false" outlineLevel="0" max="14" min="14" style="0" width="18"/>
    <col collapsed="false" customWidth="true" hidden="false" outlineLevel="0" max="15" min="15" style="0" width="14"/>
  </cols>
  <sheetData>
    <row r="1" customFormat="false" ht="21.75" hidden="false" customHeight="true" outlineLevel="0" collapsed="false">
      <c r="A1" s="1" t="s">
        <v>14</v>
      </c>
    </row>
    <row r="2" customFormat="false" ht="25.5" hidden="false" customHeight="true" outlineLevel="0" collapsed="false">
      <c r="A2" s="5" t="s">
        <v>434</v>
      </c>
    </row>
    <row r="4" customFormat="false" ht="15" hidden="false" customHeight="false" outlineLevel="0" collapsed="false">
      <c r="A4" s="29" t="s">
        <v>435</v>
      </c>
    </row>
    <row r="5" customFormat="false" ht="15" hidden="false" customHeight="false" outlineLevel="0" collapsed="false">
      <c r="A5" s="12" t="s">
        <v>436</v>
      </c>
      <c r="B5" s="12" t="s">
        <v>36</v>
      </c>
      <c r="C5" s="12" t="s">
        <v>37</v>
      </c>
      <c r="D5" s="12" t="s">
        <v>38</v>
      </c>
      <c r="E5" s="12" t="s">
        <v>39</v>
      </c>
      <c r="F5" s="12" t="s">
        <v>41</v>
      </c>
      <c r="G5" s="12" t="s">
        <v>437</v>
      </c>
      <c r="H5" s="12" t="s">
        <v>438</v>
      </c>
      <c r="I5" s="12" t="s">
        <v>439</v>
      </c>
      <c r="J5" s="12" t="s">
        <v>440</v>
      </c>
      <c r="K5" s="12" t="s">
        <v>35</v>
      </c>
      <c r="L5" s="12" t="s">
        <v>8</v>
      </c>
      <c r="M5" s="12" t="s">
        <v>441</v>
      </c>
      <c r="N5" s="12" t="s">
        <v>442</v>
      </c>
      <c r="O5" s="12" t="s">
        <v>94</v>
      </c>
    </row>
    <row r="6" customFormat="false" ht="15" hidden="false" customHeight="false" outlineLevel="0" collapsed="false">
      <c r="A6" s="13" t="s">
        <v>443</v>
      </c>
      <c r="B6" s="13" t="s">
        <v>44</v>
      </c>
      <c r="C6" s="13" t="s">
        <v>45</v>
      </c>
      <c r="D6" s="13" t="s">
        <v>46</v>
      </c>
      <c r="E6" s="14" t="n">
        <v>-110</v>
      </c>
      <c r="F6" s="17" t="n">
        <v>25</v>
      </c>
      <c r="G6" s="13" t="s">
        <v>30</v>
      </c>
      <c r="H6" s="17" t="str">
        <f aca="false">IF(OR($G6="",$G6="Pending"),"",ROUND(IF($G6="Win",IF($E6&gt;0,$F6*$E6/100,$F6*100/-$E6),IF($G6="Loss",-$F6,0)),2))</f>
        <v/>
      </c>
      <c r="I6" s="17" t="n">
        <f aca="false">Settings!$B$5+SUM($H$6:$H6)</f>
        <v>500</v>
      </c>
      <c r="J6" s="15" t="str">
        <f aca="false">IFERROR(SUM($H$6:$H6)/SUMIF($G$6:$G6,"&lt;&gt;Pending",$F$6:$F6),"")</f>
        <v/>
      </c>
      <c r="K6" s="13" t="s">
        <v>43</v>
      </c>
      <c r="L6" s="15" t="n">
        <v>0.2231</v>
      </c>
      <c r="M6" s="15"/>
      <c r="N6" s="13"/>
      <c r="O6" s="13" t="s">
        <v>96</v>
      </c>
    </row>
    <row r="7" customFormat="false" ht="15" hidden="false" customHeight="false" outlineLevel="0" collapsed="false">
      <c r="A7" s="18" t="s">
        <v>443</v>
      </c>
      <c r="B7" s="18" t="s">
        <v>166</v>
      </c>
      <c r="C7" s="18" t="s">
        <v>73</v>
      </c>
      <c r="D7" s="18" t="s">
        <v>167</v>
      </c>
      <c r="E7" s="19" t="n">
        <v>222</v>
      </c>
      <c r="F7" s="22" t="n">
        <v>16</v>
      </c>
      <c r="G7" s="18" t="s">
        <v>30</v>
      </c>
      <c r="H7" s="22" t="str">
        <f aca="false">IF(OR($G7="",$G7="Pending"),"",ROUND(IF($G7="Win",IF($E7&gt;0,$F7*$E7/100,$F7*100/-$E7),IF($G7="Loss",-$F7,0)),2))</f>
        <v/>
      </c>
      <c r="I7" s="22" t="n">
        <f aca="false">Settings!$B$5+SUM($H$6:$H7)</f>
        <v>500</v>
      </c>
      <c r="J7" s="20" t="str">
        <f aca="false">IFERROR(SUM($H$6:$H7)/SUMIF($G$6:$G7,"&lt;&gt;Pending",$F$6:$F7),"")</f>
        <v/>
      </c>
      <c r="K7" s="18" t="s">
        <v>165</v>
      </c>
      <c r="L7" s="20" t="n">
        <v>0.089</v>
      </c>
      <c r="M7" s="20"/>
      <c r="N7" s="18"/>
      <c r="O7" s="18" t="s">
        <v>96</v>
      </c>
    </row>
    <row r="8" customFormat="false" ht="15" hidden="false" customHeight="false" outlineLevel="0" collapsed="false">
      <c r="A8" s="13" t="s">
        <v>443</v>
      </c>
      <c r="B8" s="13" t="s">
        <v>81</v>
      </c>
      <c r="C8" s="13" t="s">
        <v>45</v>
      </c>
      <c r="D8" s="13" t="s">
        <v>82</v>
      </c>
      <c r="E8" s="14" t="n">
        <v>-110</v>
      </c>
      <c r="F8" s="17" t="n">
        <v>25</v>
      </c>
      <c r="G8" s="13" t="s">
        <v>30</v>
      </c>
      <c r="H8" s="17" t="str">
        <f aca="false">IF(OR($G8="",$G8="Pending"),"",ROUND(IF($G8="Win",IF($E8&gt;0,$F8*$E8/100,$F8*100/-$E8),IF($G8="Loss",-$F8,0)),2))</f>
        <v/>
      </c>
      <c r="I8" s="17" t="n">
        <f aca="false">Settings!$B$5+SUM($H$6:$H8)</f>
        <v>500</v>
      </c>
      <c r="J8" s="15" t="str">
        <f aca="false">IFERROR(SUM($H$6:$H8)/SUMIF($G$6:$G8,"&lt;&gt;Pending",$F$6:$F8),"")</f>
        <v/>
      </c>
      <c r="K8" s="13" t="s">
        <v>43</v>
      </c>
      <c r="L8" s="15" t="n">
        <v>0.1757</v>
      </c>
      <c r="M8" s="15"/>
      <c r="N8" s="13"/>
      <c r="O8" s="13" t="s">
        <v>96</v>
      </c>
    </row>
    <row r="9" customFormat="false" ht="15" hidden="false" customHeight="false" outlineLevel="0" collapsed="false">
      <c r="A9" s="18" t="s">
        <v>443</v>
      </c>
      <c r="B9" s="18" t="s">
        <v>72</v>
      </c>
      <c r="C9" s="18" t="s">
        <v>73</v>
      </c>
      <c r="D9" s="18" t="s">
        <v>74</v>
      </c>
      <c r="E9" s="19" t="n">
        <v>571</v>
      </c>
      <c r="F9" s="22" t="n">
        <v>25</v>
      </c>
      <c r="G9" s="18" t="s">
        <v>30</v>
      </c>
      <c r="H9" s="22" t="str">
        <f aca="false">IF(OR($G9="",$G9="Pending"),"",ROUND(IF($G9="Win",IF($E9&gt;0,$F9*$E9/100,$F9*100/-$E9),IF($G9="Loss",-$F9,0)),2))</f>
        <v/>
      </c>
      <c r="I9" s="22" t="n">
        <f aca="false">Settings!$B$5+SUM($H$6:$H9)</f>
        <v>500</v>
      </c>
      <c r="J9" s="20" t="str">
        <f aca="false">IFERROR(SUM($H$6:$H9)/SUMIF($G$6:$G9,"&lt;&gt;Pending",$F$6:$F9),"")</f>
        <v/>
      </c>
      <c r="K9" s="18" t="s">
        <v>43</v>
      </c>
      <c r="L9" s="20" t="n">
        <v>0.1819</v>
      </c>
      <c r="M9" s="20"/>
      <c r="N9" s="18"/>
      <c r="O9" s="18" t="s">
        <v>96</v>
      </c>
    </row>
    <row r="10" customFormat="false" ht="15" hidden="false" customHeight="false" outlineLevel="0" collapsed="false">
      <c r="A10" s="13" t="s">
        <v>443</v>
      </c>
      <c r="B10" s="13" t="s">
        <v>118</v>
      </c>
      <c r="C10" s="13" t="s">
        <v>73</v>
      </c>
      <c r="D10" s="13" t="s">
        <v>110</v>
      </c>
      <c r="E10" s="14" t="n">
        <v>585</v>
      </c>
      <c r="F10" s="17" t="n">
        <v>22</v>
      </c>
      <c r="G10" s="13" t="s">
        <v>30</v>
      </c>
      <c r="H10" s="17" t="str">
        <f aca="false">IF(OR($G10="",$G10="Pending"),"",ROUND(IF($G10="Win",IF($E10&gt;0,$F10*$E10/100,$F10*100/-$E10),IF($G10="Loss",-$F10,0)),2))</f>
        <v/>
      </c>
      <c r="I10" s="17" t="n">
        <f aca="false">Settings!$B$5+SUM($H$6:$H10)</f>
        <v>500</v>
      </c>
      <c r="J10" s="15" t="str">
        <f aca="false">IFERROR(SUM($H$6:$H10)/SUMIF($G$6:$G10,"&lt;&gt;Pending",$F$6:$F10),"")</f>
        <v/>
      </c>
      <c r="K10" s="13" t="s">
        <v>43</v>
      </c>
      <c r="L10" s="15" t="n">
        <v>0.1514</v>
      </c>
      <c r="M10" s="15"/>
      <c r="N10" s="13"/>
      <c r="O10" s="13" t="s">
        <v>96</v>
      </c>
    </row>
    <row r="11" customFormat="false" ht="15" hidden="false" customHeight="false" outlineLevel="0" collapsed="false">
      <c r="A11" s="18" t="s">
        <v>443</v>
      </c>
      <c r="B11" s="18" t="s">
        <v>170</v>
      </c>
      <c r="C11" s="18" t="s">
        <v>45</v>
      </c>
      <c r="D11" s="18" t="s">
        <v>171</v>
      </c>
      <c r="E11" s="19" t="n">
        <v>-110</v>
      </c>
      <c r="F11" s="22" t="n">
        <v>16.5</v>
      </c>
      <c r="G11" s="18" t="s">
        <v>30</v>
      </c>
      <c r="H11" s="22" t="str">
        <f aca="false">IF(OR($G11="",$G11="Pending"),"",ROUND(IF($G11="Win",IF($E11&gt;0,$F11*$E11/100,$F11*100/-$E11),IF($G11="Loss",-$F11,0)),2))</f>
        <v/>
      </c>
      <c r="I11" s="22" t="n">
        <f aca="false">Settings!$B$5+SUM($H$6:$H11)</f>
        <v>500</v>
      </c>
      <c r="J11" s="20" t="str">
        <f aca="false">IFERROR(SUM($H$6:$H11)/SUMIF($G$6:$G11,"&lt;&gt;Pending",$F$6:$F11),"")</f>
        <v/>
      </c>
      <c r="K11" s="18" t="s">
        <v>165</v>
      </c>
      <c r="L11" s="20" t="n">
        <v>0.0624</v>
      </c>
      <c r="M11" s="20"/>
      <c r="N11" s="18"/>
      <c r="O11" s="18" t="s">
        <v>96</v>
      </c>
    </row>
    <row r="12" customFormat="false" ht="15" hidden="false" customHeight="false" outlineLevel="0" collapsed="false">
      <c r="A12" s="13" t="s">
        <v>443</v>
      </c>
      <c r="B12" s="13" t="s">
        <v>161</v>
      </c>
      <c r="C12" s="13" t="s">
        <v>49</v>
      </c>
      <c r="D12" s="13" t="s">
        <v>162</v>
      </c>
      <c r="E12" s="14" t="n">
        <v>-110</v>
      </c>
      <c r="F12" s="17" t="n">
        <v>25</v>
      </c>
      <c r="G12" s="13" t="s">
        <v>30</v>
      </c>
      <c r="H12" s="17" t="str">
        <f aca="false">IF(OR($G12="",$G12="Pending"),"",ROUND(IF($G12="Win",IF($E12&gt;0,$F12*$E12/100,$F12*100/-$E12),IF($G12="Loss",-$F12,0)),2))</f>
        <v/>
      </c>
      <c r="I12" s="17" t="n">
        <f aca="false">Settings!$B$5+SUM($H$6:$H12)</f>
        <v>500</v>
      </c>
      <c r="J12" s="15" t="str">
        <f aca="false">IFERROR(SUM($H$6:$H12)/SUMIF($G$6:$G12,"&lt;&gt;Pending",$F$6:$F12),"")</f>
        <v/>
      </c>
      <c r="K12" s="13" t="s">
        <v>43</v>
      </c>
      <c r="L12" s="15" t="n">
        <v>0.0979</v>
      </c>
      <c r="M12" s="15"/>
      <c r="N12" s="13"/>
      <c r="O12" s="13" t="s">
        <v>96</v>
      </c>
    </row>
    <row r="13" customFormat="false" ht="15" hidden="false" customHeight="false" outlineLevel="0" collapsed="false">
      <c r="A13" s="18" t="s">
        <v>443</v>
      </c>
      <c r="B13" s="18" t="s">
        <v>55</v>
      </c>
      <c r="C13" s="18" t="s">
        <v>49</v>
      </c>
      <c r="D13" s="18" t="s">
        <v>56</v>
      </c>
      <c r="E13" s="19" t="n">
        <v>-110</v>
      </c>
      <c r="F13" s="22" t="n">
        <v>25</v>
      </c>
      <c r="G13" s="18" t="s">
        <v>30</v>
      </c>
      <c r="H13" s="22" t="str">
        <f aca="false">IF(OR($G13="",$G13="Pending"),"",ROUND(IF($G13="Win",IF($E13&gt;0,$F13*$E13/100,$F13*100/-$E13),IF($G13="Loss",-$F13,0)),2))</f>
        <v/>
      </c>
      <c r="I13" s="22" t="n">
        <f aca="false">Settings!$B$5+SUM($H$6:$H13)</f>
        <v>500</v>
      </c>
      <c r="J13" s="20" t="str">
        <f aca="false">IFERROR(SUM($H$6:$H13)/SUMIF($G$6:$G13,"&lt;&gt;Pending",$F$6:$F13),"")</f>
        <v/>
      </c>
      <c r="K13" s="18" t="s">
        <v>43</v>
      </c>
      <c r="L13" s="20" t="n">
        <v>0.1924</v>
      </c>
      <c r="M13" s="20"/>
      <c r="N13" s="18"/>
      <c r="O13" s="18" t="s">
        <v>96</v>
      </c>
    </row>
    <row r="14" customFormat="false" ht="15" hidden="false" customHeight="false" outlineLevel="0" collapsed="false">
      <c r="A14" s="13" t="s">
        <v>443</v>
      </c>
      <c r="B14" s="13" t="s">
        <v>168</v>
      </c>
      <c r="C14" s="13" t="s">
        <v>45</v>
      </c>
      <c r="D14" s="13" t="s">
        <v>169</v>
      </c>
      <c r="E14" s="14" t="n">
        <v>-110</v>
      </c>
      <c r="F14" s="17" t="n">
        <v>22.5</v>
      </c>
      <c r="G14" s="13" t="s">
        <v>30</v>
      </c>
      <c r="H14" s="17" t="str">
        <f aca="false">IF(OR($G14="",$G14="Pending"),"",ROUND(IF($G14="Win",IF($E14&gt;0,$F14*$E14/100,$F14*100/-$E14),IF($G14="Loss",-$F14,0)),2))</f>
        <v/>
      </c>
      <c r="I14" s="17" t="n">
        <f aca="false">Settings!$B$5+SUM($H$6:$H14)</f>
        <v>500</v>
      </c>
      <c r="J14" s="15" t="str">
        <f aca="false">IFERROR(SUM($H$6:$H14)/SUMIF($G$6:$G14,"&lt;&gt;Pending",$F$6:$F14),"")</f>
        <v/>
      </c>
      <c r="K14" s="13" t="s">
        <v>165</v>
      </c>
      <c r="L14" s="15" t="n">
        <v>0.0862</v>
      </c>
      <c r="M14" s="15"/>
      <c r="N14" s="13"/>
      <c r="O14" s="13" t="s">
        <v>96</v>
      </c>
    </row>
    <row r="15" customFormat="false" ht="15" hidden="false" customHeight="false" outlineLevel="0" collapsed="false">
      <c r="A15" s="18" t="s">
        <v>443</v>
      </c>
      <c r="B15" s="18" t="s">
        <v>48</v>
      </c>
      <c r="C15" s="18" t="s">
        <v>49</v>
      </c>
      <c r="D15" s="18" t="s">
        <v>50</v>
      </c>
      <c r="E15" s="19" t="n">
        <v>-110</v>
      </c>
      <c r="F15" s="22" t="n">
        <v>25</v>
      </c>
      <c r="G15" s="18" t="s">
        <v>30</v>
      </c>
      <c r="H15" s="22" t="str">
        <f aca="false">IF(OR($G15="",$G15="Pending"),"",ROUND(IF($G15="Win",IF($E15&gt;0,$F15*$E15/100,$F15*100/-$E15),IF($G15="Loss",-$F15,0)),2))</f>
        <v/>
      </c>
      <c r="I15" s="22" t="n">
        <f aca="false">Settings!$B$5+SUM($H$6:$H15)</f>
        <v>500</v>
      </c>
      <c r="J15" s="20" t="str">
        <f aca="false">IFERROR(SUM($H$6:$H15)/SUMIF($G$6:$G15,"&lt;&gt;Pending",$F$6:$F15),"")</f>
        <v/>
      </c>
      <c r="K15" s="18" t="s">
        <v>43</v>
      </c>
      <c r="L15" s="20" t="n">
        <v>0.2131</v>
      </c>
      <c r="M15" s="20"/>
      <c r="N15" s="18"/>
      <c r="O15" s="18" t="s">
        <v>96</v>
      </c>
    </row>
    <row r="16" customFormat="false" ht="15" hidden="false" customHeight="false" outlineLevel="0" collapsed="false">
      <c r="A16" s="13" t="s">
        <v>444</v>
      </c>
      <c r="B16" s="13" t="s">
        <v>140</v>
      </c>
      <c r="C16" s="13" t="s">
        <v>45</v>
      </c>
      <c r="D16" s="13" t="s">
        <v>141</v>
      </c>
      <c r="E16" s="14" t="n">
        <v>-110</v>
      </c>
      <c r="F16" s="17" t="n">
        <v>25</v>
      </c>
      <c r="G16" s="13" t="s">
        <v>30</v>
      </c>
      <c r="H16" s="17" t="str">
        <f aca="false">IF(OR($G16="",$G16="Pending"),"",ROUND(IF($G16="Win",IF($E16&gt;0,$F16*$E16/100,$F16*100/-$E16),IF($G16="Loss",-$F16,0)),2))</f>
        <v/>
      </c>
      <c r="I16" s="17" t="n">
        <f aca="false">Settings!$B$5+SUM($H$6:$H16)</f>
        <v>500</v>
      </c>
      <c r="J16" s="15" t="str">
        <f aca="false">IFERROR(SUM($H$6:$H16)/SUMIF($G$6:$G16,"&lt;&gt;Pending",$F$6:$F16),"")</f>
        <v/>
      </c>
      <c r="K16" s="13" t="s">
        <v>43</v>
      </c>
      <c r="L16" s="15" t="n">
        <v>0.1323</v>
      </c>
      <c r="M16" s="15"/>
      <c r="N16" s="13"/>
      <c r="O16" s="13" t="s">
        <v>96</v>
      </c>
    </row>
    <row r="17" customFormat="false" ht="15" hidden="false" customHeight="false" outlineLevel="0" collapsed="false">
      <c r="A17" s="18" t="s">
        <v>444</v>
      </c>
      <c r="B17" s="18" t="s">
        <v>113</v>
      </c>
      <c r="C17" s="18" t="s">
        <v>45</v>
      </c>
      <c r="D17" s="18" t="s">
        <v>115</v>
      </c>
      <c r="E17" s="19" t="n">
        <v>-110</v>
      </c>
      <c r="F17" s="22" t="n">
        <v>25</v>
      </c>
      <c r="G17" s="18" t="s">
        <v>30</v>
      </c>
      <c r="H17" s="22" t="str">
        <f aca="false">IF(OR($G17="",$G17="Pending"),"",ROUND(IF($G17="Win",IF($E17&gt;0,$F17*$E17/100,$F17*100/-$E17),IF($G17="Loss",-$F17,0)),2))</f>
        <v/>
      </c>
      <c r="I17" s="22" t="n">
        <f aca="false">Settings!$B$5+SUM($H$6:$H17)</f>
        <v>500</v>
      </c>
      <c r="J17" s="20" t="str">
        <f aca="false">IFERROR(SUM($H$6:$H17)/SUMIF($G$6:$G17,"&lt;&gt;Pending",$F$6:$F17),"")</f>
        <v/>
      </c>
      <c r="K17" s="18" t="s">
        <v>43</v>
      </c>
      <c r="L17" s="20" t="n">
        <v>0.1531</v>
      </c>
      <c r="M17" s="20"/>
      <c r="N17" s="18"/>
      <c r="O17" s="18" t="s">
        <v>96</v>
      </c>
    </row>
    <row r="18" customFormat="false" ht="15" hidden="false" customHeight="false" outlineLevel="0" collapsed="false">
      <c r="A18" s="13" t="s">
        <v>444</v>
      </c>
      <c r="B18" s="13" t="s">
        <v>72</v>
      </c>
      <c r="C18" s="13" t="s">
        <v>73</v>
      </c>
      <c r="D18" s="13" t="s">
        <v>74</v>
      </c>
      <c r="E18" s="14" t="n">
        <v>571</v>
      </c>
      <c r="F18" s="17" t="n">
        <v>25</v>
      </c>
      <c r="G18" s="13" t="s">
        <v>30</v>
      </c>
      <c r="H18" s="17" t="str">
        <f aca="false">IF(OR($G18="",$G18="Pending"),"",ROUND(IF($G18="Win",IF($E18&gt;0,$F18*$E18/100,$F18*100/-$E18),IF($G18="Loss",-$F18,0)),2))</f>
        <v/>
      </c>
      <c r="I18" s="17" t="n">
        <f aca="false">Settings!$B$5+SUM($H$6:$H18)</f>
        <v>500</v>
      </c>
      <c r="J18" s="15" t="str">
        <f aca="false">IFERROR(SUM($H$6:$H18)/SUMIF($G$6:$G18,"&lt;&gt;Pending",$F$6:$F18),"")</f>
        <v/>
      </c>
      <c r="K18" s="13" t="s">
        <v>43</v>
      </c>
      <c r="L18" s="15" t="n">
        <v>0.1819</v>
      </c>
      <c r="M18" s="15"/>
      <c r="N18" s="13"/>
      <c r="O18" s="13" t="s">
        <v>96</v>
      </c>
    </row>
    <row r="19" customFormat="false" ht="15" hidden="false" customHeight="false" outlineLevel="0" collapsed="false">
      <c r="A19" s="18" t="s">
        <v>444</v>
      </c>
      <c r="B19" s="18" t="s">
        <v>163</v>
      </c>
      <c r="C19" s="18" t="s">
        <v>45</v>
      </c>
      <c r="D19" s="18" t="s">
        <v>164</v>
      </c>
      <c r="E19" s="19" t="n">
        <v>-110</v>
      </c>
      <c r="F19" s="22" t="n">
        <v>25</v>
      </c>
      <c r="G19" s="18" t="s">
        <v>30</v>
      </c>
      <c r="H19" s="22" t="str">
        <f aca="false">IF(OR($G19="",$G19="Pending"),"",ROUND(IF($G19="Win",IF($E19&gt;0,$F19*$E19/100,$F19*100/-$E19),IF($G19="Loss",-$F19,0)),2))</f>
        <v/>
      </c>
      <c r="I19" s="22" t="n">
        <f aca="false">Settings!$B$5+SUM($H$6:$H19)</f>
        <v>500</v>
      </c>
      <c r="J19" s="20" t="str">
        <f aca="false">IFERROR(SUM($H$6:$H19)/SUMIF($G$6:$G19,"&lt;&gt;Pending",$F$6:$F19),"")</f>
        <v/>
      </c>
      <c r="K19" s="18" t="s">
        <v>43</v>
      </c>
      <c r="L19" s="20" t="n">
        <v>0.0971</v>
      </c>
      <c r="M19" s="20"/>
      <c r="N19" s="18"/>
      <c r="O19" s="18" t="s">
        <v>96</v>
      </c>
    </row>
    <row r="20" customFormat="false" ht="15" hidden="false" customHeight="false" outlineLevel="0" collapsed="false">
      <c r="A20" s="13" t="s">
        <v>444</v>
      </c>
      <c r="B20" s="13" t="s">
        <v>157</v>
      </c>
      <c r="C20" s="13" t="s">
        <v>45</v>
      </c>
      <c r="D20" s="13" t="s">
        <v>158</v>
      </c>
      <c r="E20" s="14" t="n">
        <v>-110</v>
      </c>
      <c r="F20" s="17" t="n">
        <v>25</v>
      </c>
      <c r="G20" s="13" t="s">
        <v>30</v>
      </c>
      <c r="H20" s="17" t="str">
        <f aca="false">IF(OR($G20="",$G20="Pending"),"",ROUND(IF($G20="Win",IF($E20&gt;0,$F20*$E20/100,$F20*100/-$E20),IF($G20="Loss",-$F20,0)),2))</f>
        <v/>
      </c>
      <c r="I20" s="17" t="n">
        <f aca="false">Settings!$B$5+SUM($H$6:$H20)</f>
        <v>500</v>
      </c>
      <c r="J20" s="15" t="str">
        <f aca="false">IFERROR(SUM($H$6:$H20)/SUMIF($G$6:$G20,"&lt;&gt;Pending",$F$6:$F20),"")</f>
        <v/>
      </c>
      <c r="K20" s="13" t="s">
        <v>43</v>
      </c>
      <c r="L20" s="15" t="n">
        <v>0.1115</v>
      </c>
      <c r="M20" s="15"/>
      <c r="N20" s="13"/>
      <c r="O20" s="13" t="s">
        <v>96</v>
      </c>
    </row>
    <row r="21" customFormat="false" ht="15" hidden="false" customHeight="false" outlineLevel="0" collapsed="false">
      <c r="A21" s="18" t="s">
        <v>444</v>
      </c>
      <c r="B21" s="18" t="s">
        <v>129</v>
      </c>
      <c r="C21" s="18" t="s">
        <v>73</v>
      </c>
      <c r="D21" s="18" t="s">
        <v>130</v>
      </c>
      <c r="E21" s="19" t="n">
        <v>315</v>
      </c>
      <c r="F21" s="22" t="n">
        <v>23</v>
      </c>
      <c r="G21" s="18" t="s">
        <v>30</v>
      </c>
      <c r="H21" s="22" t="str">
        <f aca="false">IF(OR($G21="",$G21="Pending"),"",ROUND(IF($G21="Win",IF($E21&gt;0,$F21*$E21/100,$F21*100/-$E21),IF($G21="Loss",-$F21,0)),2))</f>
        <v/>
      </c>
      <c r="I21" s="22" t="n">
        <f aca="false">Settings!$B$5+SUM($H$6:$H21)</f>
        <v>500</v>
      </c>
      <c r="J21" s="20" t="str">
        <f aca="false">IFERROR(SUM($H$6:$H21)/SUMIF($G$6:$G21,"&lt;&gt;Pending",$F$6:$F21),"")</f>
        <v/>
      </c>
      <c r="K21" s="18" t="s">
        <v>43</v>
      </c>
      <c r="L21" s="20" t="n">
        <v>0.1405</v>
      </c>
      <c r="M21" s="20"/>
      <c r="N21" s="18"/>
      <c r="O21" s="18" t="s">
        <v>96</v>
      </c>
    </row>
    <row r="22" customFormat="false" ht="15" hidden="false" customHeight="false" outlineLevel="0" collapsed="false">
      <c r="A22" s="13" t="s">
        <v>444</v>
      </c>
      <c r="B22" s="13" t="s">
        <v>99</v>
      </c>
      <c r="C22" s="13" t="s">
        <v>45</v>
      </c>
      <c r="D22" s="13" t="s">
        <v>100</v>
      </c>
      <c r="E22" s="14" t="n">
        <v>-110</v>
      </c>
      <c r="F22" s="17" t="n">
        <v>25</v>
      </c>
      <c r="G22" s="13" t="s">
        <v>30</v>
      </c>
      <c r="H22" s="17" t="str">
        <f aca="false">IF(OR($G22="",$G22="Pending"),"",ROUND(IF($G22="Win",IF($E22&gt;0,$F22*$E22/100,$F22*100/-$E22),IF($G22="Loss",-$F22,0)),2))</f>
        <v/>
      </c>
      <c r="I22" s="17" t="n">
        <f aca="false">Settings!$B$5+SUM($H$6:$H22)</f>
        <v>500</v>
      </c>
      <c r="J22" s="15" t="str">
        <f aca="false">IFERROR(SUM($H$6:$H22)/SUMIF($G$6:$G22,"&lt;&gt;Pending",$F$6:$F22),"")</f>
        <v/>
      </c>
      <c r="K22" s="13" t="s">
        <v>43</v>
      </c>
      <c r="L22" s="15" t="n">
        <v>0.1685</v>
      </c>
      <c r="M22" s="15"/>
      <c r="N22" s="13"/>
      <c r="O22" s="13" t="s">
        <v>96</v>
      </c>
    </row>
    <row r="23" customFormat="false" ht="15" hidden="false" customHeight="false" outlineLevel="0" collapsed="false">
      <c r="A23" s="18" t="s">
        <v>444</v>
      </c>
      <c r="B23" s="18" t="s">
        <v>123</v>
      </c>
      <c r="C23" s="18" t="s">
        <v>73</v>
      </c>
      <c r="D23" s="18" t="s">
        <v>124</v>
      </c>
      <c r="E23" s="19" t="n">
        <v>444</v>
      </c>
      <c r="F23" s="22" t="n">
        <v>22</v>
      </c>
      <c r="G23" s="18" t="s">
        <v>30</v>
      </c>
      <c r="H23" s="22" t="str">
        <f aca="false">IF(OR($G23="",$G23="Pending"),"",ROUND(IF($G23="Win",IF($E23&gt;0,$F23*$E23/100,$F23*100/-$E23),IF($G23="Loss",-$F23,0)),2))</f>
        <v/>
      </c>
      <c r="I23" s="22" t="n">
        <f aca="false">Settings!$B$5+SUM($H$6:$H23)</f>
        <v>500</v>
      </c>
      <c r="J23" s="20" t="str">
        <f aca="false">IFERROR(SUM($H$6:$H23)/SUMIF($G$6:$G23,"&lt;&gt;Pending",$F$6:$F23),"")</f>
        <v/>
      </c>
      <c r="K23" s="18" t="s">
        <v>43</v>
      </c>
      <c r="L23" s="20" t="n">
        <v>0.1427</v>
      </c>
      <c r="M23" s="20"/>
      <c r="N23" s="18"/>
      <c r="O23" s="18" t="s">
        <v>96</v>
      </c>
    </row>
    <row r="24" customFormat="false" ht="15" hidden="false" customHeight="false" outlineLevel="0" collapsed="false">
      <c r="A24" s="13" t="s">
        <v>444</v>
      </c>
      <c r="B24" s="13" t="s">
        <v>101</v>
      </c>
      <c r="C24" s="13" t="s">
        <v>45</v>
      </c>
      <c r="D24" s="13" t="s">
        <v>103</v>
      </c>
      <c r="E24" s="14" t="n">
        <v>-110</v>
      </c>
      <c r="F24" s="17" t="n">
        <v>25</v>
      </c>
      <c r="G24" s="13" t="s">
        <v>30</v>
      </c>
      <c r="H24" s="17" t="str">
        <f aca="false">IF(OR($G24="",$G24="Pending"),"",ROUND(IF($G24="Win",IF($E24&gt;0,$F24*$E24/100,$F24*100/-$E24),IF($G24="Loss",-$F24,0)),2))</f>
        <v/>
      </c>
      <c r="I24" s="17" t="n">
        <f aca="false">Settings!$B$5+SUM($H$6:$H24)</f>
        <v>500</v>
      </c>
      <c r="J24" s="15" t="str">
        <f aca="false">IFERROR(SUM($H$6:$H24)/SUMIF($G$6:$G24,"&lt;&gt;Pending",$F$6:$F24),"")</f>
        <v/>
      </c>
      <c r="K24" s="13" t="s">
        <v>43</v>
      </c>
      <c r="L24" s="15" t="n">
        <v>0.1635</v>
      </c>
      <c r="M24" s="15"/>
      <c r="N24" s="13"/>
      <c r="O24" s="13" t="s">
        <v>96</v>
      </c>
    </row>
    <row r="25" customFormat="false" ht="15" hidden="false" customHeight="false" outlineLevel="0" collapsed="false">
      <c r="A25" s="18" t="s">
        <v>444</v>
      </c>
      <c r="B25" s="18" t="s">
        <v>151</v>
      </c>
      <c r="C25" s="18" t="s">
        <v>73</v>
      </c>
      <c r="D25" s="18" t="s">
        <v>152</v>
      </c>
      <c r="E25" s="19" t="n">
        <v>341</v>
      </c>
      <c r="F25" s="22" t="n">
        <v>20</v>
      </c>
      <c r="G25" s="18" t="s">
        <v>30</v>
      </c>
      <c r="H25" s="22" t="str">
        <f aca="false">IF(OR($G25="",$G25="Pending"),"",ROUND(IF($G25="Win",IF($E25&gt;0,$F25*$E25/100,$F25*100/-$E25),IF($G25="Loss",-$F25,0)),2))</f>
        <v/>
      </c>
      <c r="I25" s="22" t="n">
        <f aca="false">Settings!$B$5+SUM($H$6:$H25)</f>
        <v>500</v>
      </c>
      <c r="J25" s="20" t="str">
        <f aca="false">IFERROR(SUM($H$6:$H25)/SUMIF($G$6:$G25,"&lt;&gt;Pending",$F$6:$F25),"")</f>
        <v/>
      </c>
      <c r="K25" s="18" t="s">
        <v>43</v>
      </c>
      <c r="L25" s="20" t="n">
        <v>0.1239</v>
      </c>
      <c r="M25" s="20"/>
      <c r="N25" s="18"/>
      <c r="O25" s="18" t="s">
        <v>96</v>
      </c>
    </row>
    <row r="26" customFormat="false" ht="15" hidden="false" customHeight="false" outlineLevel="0" collapsed="false">
      <c r="A26" s="13" t="s">
        <v>445</v>
      </c>
      <c r="B26" s="13" t="s">
        <v>147</v>
      </c>
      <c r="C26" s="13" t="s">
        <v>45</v>
      </c>
      <c r="D26" s="13" t="s">
        <v>148</v>
      </c>
      <c r="E26" s="14" t="n">
        <v>-110</v>
      </c>
      <c r="F26" s="17" t="n">
        <v>25</v>
      </c>
      <c r="G26" s="13" t="s">
        <v>30</v>
      </c>
      <c r="H26" s="17" t="str">
        <f aca="false">IF(OR($G26="",$G26="Pending"),"",ROUND(IF($G26="Win",IF($E26&gt;0,$F26*$E26/100,$F26*100/-$E26),IF($G26="Loss",-$F26,0)),2))</f>
        <v/>
      </c>
      <c r="I26" s="17" t="n">
        <f aca="false">Settings!$B$5+SUM($H$6:$H26)</f>
        <v>500</v>
      </c>
      <c r="J26" s="15" t="str">
        <f aca="false">IFERROR(SUM($H$6:$H26)/SUMIF($G$6:$G26,"&lt;&gt;Pending",$F$6:$F26),"")</f>
        <v/>
      </c>
      <c r="K26" s="13" t="s">
        <v>43</v>
      </c>
      <c r="L26" s="15" t="n">
        <v>0.1247</v>
      </c>
      <c r="M26" s="15"/>
      <c r="N26" s="13"/>
      <c r="O26" s="13" t="s">
        <v>96</v>
      </c>
    </row>
    <row r="27" customFormat="false" ht="15" hidden="false" customHeight="false" outlineLevel="0" collapsed="false">
      <c r="A27" s="18" t="s">
        <v>445</v>
      </c>
      <c r="B27" s="18" t="s">
        <v>142</v>
      </c>
      <c r="C27" s="18" t="s">
        <v>45</v>
      </c>
      <c r="D27" s="18" t="s">
        <v>143</v>
      </c>
      <c r="E27" s="19" t="n">
        <v>-110</v>
      </c>
      <c r="F27" s="22" t="n">
        <v>25</v>
      </c>
      <c r="G27" s="18" t="s">
        <v>30</v>
      </c>
      <c r="H27" s="22" t="str">
        <f aca="false">IF(OR($G27="",$G27="Pending"),"",ROUND(IF($G27="Win",IF($E27&gt;0,$F27*$E27/100,$F27*100/-$E27),IF($G27="Loss",-$F27,0)),2))</f>
        <v/>
      </c>
      <c r="I27" s="22" t="n">
        <f aca="false">Settings!$B$5+SUM($H$6:$H27)</f>
        <v>500</v>
      </c>
      <c r="J27" s="20" t="str">
        <f aca="false">IFERROR(SUM($H$6:$H27)/SUMIF($G$6:$G27,"&lt;&gt;Pending",$F$6:$F27),"")</f>
        <v/>
      </c>
      <c r="K27" s="18" t="s">
        <v>43</v>
      </c>
      <c r="L27" s="20" t="n">
        <v>0.1305</v>
      </c>
      <c r="M27" s="20"/>
      <c r="N27" s="18"/>
      <c r="O27" s="18" t="s">
        <v>96</v>
      </c>
    </row>
    <row r="28" customFormat="false" ht="15" hidden="false" customHeight="false" outlineLevel="0" collapsed="false">
      <c r="A28" s="13" t="s">
        <v>445</v>
      </c>
      <c r="B28" s="13" t="s">
        <v>135</v>
      </c>
      <c r="C28" s="13" t="s">
        <v>49</v>
      </c>
      <c r="D28" s="13" t="s">
        <v>137</v>
      </c>
      <c r="E28" s="14" t="n">
        <v>-110</v>
      </c>
      <c r="F28" s="17" t="n">
        <v>25</v>
      </c>
      <c r="G28" s="13" t="s">
        <v>30</v>
      </c>
      <c r="H28" s="17" t="str">
        <f aca="false">IF(OR($G28="",$G28="Pending"),"",ROUND(IF($G28="Win",IF($E28&gt;0,$F28*$E28/100,$F28*100/-$E28),IF($G28="Loss",-$F28,0)),2))</f>
        <v/>
      </c>
      <c r="I28" s="17" t="n">
        <f aca="false">Settings!$B$5+SUM($H$6:$H28)</f>
        <v>500</v>
      </c>
      <c r="J28" s="15" t="str">
        <f aca="false">IFERROR(SUM($H$6:$H28)/SUMIF($G$6:$G28,"&lt;&gt;Pending",$F$6:$F28),"")</f>
        <v/>
      </c>
      <c r="K28" s="13" t="s">
        <v>43</v>
      </c>
      <c r="L28" s="15" t="n">
        <v>0.1329</v>
      </c>
      <c r="M28" s="15"/>
      <c r="N28" s="13"/>
      <c r="O28" s="13" t="s">
        <v>96</v>
      </c>
    </row>
    <row r="29" customFormat="false" ht="15" hidden="false" customHeight="false" outlineLevel="0" collapsed="false">
      <c r="A29" s="18" t="s">
        <v>445</v>
      </c>
      <c r="B29" s="18" t="s">
        <v>144</v>
      </c>
      <c r="C29" s="18" t="s">
        <v>45</v>
      </c>
      <c r="D29" s="18" t="s">
        <v>146</v>
      </c>
      <c r="E29" s="19" t="n">
        <v>-110</v>
      </c>
      <c r="F29" s="22" t="n">
        <v>25</v>
      </c>
      <c r="G29" s="18" t="s">
        <v>30</v>
      </c>
      <c r="H29" s="22" t="str">
        <f aca="false">IF(OR($G29="",$G29="Pending"),"",ROUND(IF($G29="Win",IF($E29&gt;0,$F29*$E29/100,$F29*100/-$E29),IF($G29="Loss",-$F29,0)),2))</f>
        <v/>
      </c>
      <c r="I29" s="22" t="n">
        <f aca="false">Settings!$B$5+SUM($H$6:$H29)</f>
        <v>500</v>
      </c>
      <c r="J29" s="20" t="str">
        <f aca="false">IFERROR(SUM($H$6:$H29)/SUMIF($G$6:$G29,"&lt;&gt;Pending",$F$6:$F29),"")</f>
        <v/>
      </c>
      <c r="K29" s="18" t="s">
        <v>43</v>
      </c>
      <c r="L29" s="20" t="n">
        <v>0.13</v>
      </c>
      <c r="M29" s="20"/>
      <c r="N29" s="18"/>
      <c r="O29" s="18" t="s">
        <v>96</v>
      </c>
    </row>
    <row r="30" customFormat="false" ht="15" hidden="false" customHeight="false" outlineLevel="0" collapsed="false">
      <c r="A30" s="13" t="s">
        <v>445</v>
      </c>
      <c r="B30" s="13" t="s">
        <v>155</v>
      </c>
      <c r="C30" s="13" t="s">
        <v>73</v>
      </c>
      <c r="D30" s="13" t="s">
        <v>156</v>
      </c>
      <c r="E30" s="14" t="n">
        <v>338</v>
      </c>
      <c r="F30" s="17" t="n">
        <v>18.5</v>
      </c>
      <c r="G30" s="13" t="s">
        <v>30</v>
      </c>
      <c r="H30" s="17" t="str">
        <f aca="false">IF(OR($G30="",$G30="Pending"),"",ROUND(IF($G30="Win",IF($E30&gt;0,$F30*$E30/100,$F30*100/-$E30),IF($G30="Loss",-$F30,0)),2))</f>
        <v/>
      </c>
      <c r="I30" s="17" t="n">
        <f aca="false">Settings!$B$5+SUM($H$6:$H30)</f>
        <v>500</v>
      </c>
      <c r="J30" s="15" t="str">
        <f aca="false">IFERROR(SUM($H$6:$H30)/SUMIF($G$6:$G30,"&lt;&gt;Pending",$F$6:$F30),"")</f>
        <v/>
      </c>
      <c r="K30" s="13" t="s">
        <v>43</v>
      </c>
      <c r="L30" s="15" t="n">
        <v>0.1141</v>
      </c>
      <c r="M30" s="15"/>
      <c r="N30" s="13"/>
      <c r="O30" s="13" t="s">
        <v>96</v>
      </c>
    </row>
    <row r="31" customFormat="false" ht="15" hidden="false" customHeight="false" outlineLevel="0" collapsed="false">
      <c r="A31" s="18" t="s">
        <v>445</v>
      </c>
      <c r="B31" s="18" t="s">
        <v>116</v>
      </c>
      <c r="C31" s="18" t="s">
        <v>45</v>
      </c>
      <c r="D31" s="18" t="s">
        <v>117</v>
      </c>
      <c r="E31" s="19" t="n">
        <v>-110</v>
      </c>
      <c r="F31" s="22" t="n">
        <v>25</v>
      </c>
      <c r="G31" s="18" t="s">
        <v>30</v>
      </c>
      <c r="H31" s="22" t="str">
        <f aca="false">IF(OR($G31="",$G31="Pending"),"",ROUND(IF($G31="Win",IF($E31&gt;0,$F31*$E31/100,$F31*100/-$E31),IF($G31="Loss",-$F31,0)),2))</f>
        <v/>
      </c>
      <c r="I31" s="22" t="n">
        <f aca="false">Settings!$B$5+SUM($H$6:$H31)</f>
        <v>500</v>
      </c>
      <c r="J31" s="20" t="str">
        <f aca="false">IFERROR(SUM($H$6:$H31)/SUMIF($G$6:$G31,"&lt;&gt;Pending",$F$6:$F31),"")</f>
        <v/>
      </c>
      <c r="K31" s="18" t="s">
        <v>43</v>
      </c>
      <c r="L31" s="20" t="n">
        <v>0.152</v>
      </c>
      <c r="M31" s="20"/>
      <c r="N31" s="18"/>
      <c r="O31" s="18" t="s">
        <v>96</v>
      </c>
    </row>
    <row r="32" customFormat="false" ht="15" hidden="false" customHeight="false" outlineLevel="0" collapsed="false">
      <c r="A32" s="13" t="s">
        <v>445</v>
      </c>
      <c r="B32" s="13" t="s">
        <v>108</v>
      </c>
      <c r="C32" s="13" t="s">
        <v>73</v>
      </c>
      <c r="D32" s="13" t="s">
        <v>110</v>
      </c>
      <c r="E32" s="14" t="n">
        <v>385</v>
      </c>
      <c r="F32" s="17" t="n">
        <v>24.5</v>
      </c>
      <c r="G32" s="13" t="s">
        <v>30</v>
      </c>
      <c r="H32" s="17" t="str">
        <f aca="false">IF(OR($G32="",$G32="Pending"),"",ROUND(IF($G32="Win",IF($E32&gt;0,$F32*$E32/100,$F32*100/-$E32),IF($G32="Loss",-$F32,0)),2))</f>
        <v/>
      </c>
      <c r="I32" s="17" t="n">
        <f aca="false">Settings!$B$5+SUM($H$6:$H32)</f>
        <v>500</v>
      </c>
      <c r="J32" s="15" t="str">
        <f aca="false">IFERROR(SUM($H$6:$H32)/SUMIF($G$6:$G32,"&lt;&gt;Pending",$F$6:$F32),"")</f>
        <v/>
      </c>
      <c r="K32" s="13" t="s">
        <v>43</v>
      </c>
      <c r="L32" s="15" t="n">
        <v>0.1545</v>
      </c>
      <c r="M32" s="15"/>
      <c r="N32" s="13"/>
      <c r="O32" s="13" t="s">
        <v>96</v>
      </c>
    </row>
    <row r="33" customFormat="false" ht="15" hidden="false" customHeight="false" outlineLevel="0" collapsed="false">
      <c r="A33" s="18" t="s">
        <v>445</v>
      </c>
      <c r="B33" s="18" t="s">
        <v>125</v>
      </c>
      <c r="C33" s="18" t="s">
        <v>49</v>
      </c>
      <c r="D33" s="18" t="s">
        <v>126</v>
      </c>
      <c r="E33" s="19" t="n">
        <v>-110</v>
      </c>
      <c r="F33" s="22" t="n">
        <v>25</v>
      </c>
      <c r="G33" s="18" t="s">
        <v>30</v>
      </c>
      <c r="H33" s="22" t="str">
        <f aca="false">IF(OR($G33="",$G33="Pending"),"",ROUND(IF($G33="Win",IF($E33&gt;0,$F33*$E33/100,$F33*100/-$E33),IF($G33="Loss",-$F33,0)),2))</f>
        <v/>
      </c>
      <c r="I33" s="22" t="n">
        <f aca="false">Settings!$B$5+SUM($H$6:$H33)</f>
        <v>500</v>
      </c>
      <c r="J33" s="20" t="str">
        <f aca="false">IFERROR(SUM($H$6:$H33)/SUMIF($G$6:$G33,"&lt;&gt;Pending",$F$6:$F33),"")</f>
        <v/>
      </c>
      <c r="K33" s="18" t="s">
        <v>43</v>
      </c>
      <c r="L33" s="20" t="n">
        <v>0.142</v>
      </c>
      <c r="M33" s="20"/>
      <c r="N33" s="18"/>
      <c r="O33" s="18" t="s">
        <v>96</v>
      </c>
    </row>
    <row r="34" customFormat="false" ht="15" hidden="false" customHeight="false" outlineLevel="0" collapsed="false">
      <c r="A34" s="13" t="s">
        <v>445</v>
      </c>
      <c r="B34" s="13" t="s">
        <v>119</v>
      </c>
      <c r="C34" s="13" t="s">
        <v>45</v>
      </c>
      <c r="D34" s="13" t="s">
        <v>120</v>
      </c>
      <c r="E34" s="14" t="n">
        <v>-110</v>
      </c>
      <c r="F34" s="17" t="n">
        <v>25</v>
      </c>
      <c r="G34" s="13" t="s">
        <v>30</v>
      </c>
      <c r="H34" s="17" t="str">
        <f aca="false">IF(OR($G34="",$G34="Pending"),"",ROUND(IF($G34="Win",IF($E34&gt;0,$F34*$E34/100,$F34*100/-$E34),IF($G34="Loss",-$F34,0)),2))</f>
        <v/>
      </c>
      <c r="I34" s="17" t="n">
        <f aca="false">Settings!$B$5+SUM($H$6:$H34)</f>
        <v>500</v>
      </c>
      <c r="J34" s="15" t="str">
        <f aca="false">IFERROR(SUM($H$6:$H34)/SUMIF($G$6:$G34,"&lt;&gt;Pending",$F$6:$F34),"")</f>
        <v/>
      </c>
      <c r="K34" s="13" t="s">
        <v>43</v>
      </c>
      <c r="L34" s="15" t="n">
        <v>0.148</v>
      </c>
      <c r="M34" s="15"/>
      <c r="N34" s="13"/>
      <c r="O34" s="13" t="s">
        <v>96</v>
      </c>
    </row>
    <row r="35" customFormat="false" ht="15" hidden="false" customHeight="false" outlineLevel="0" collapsed="false">
      <c r="A35" s="18" t="s">
        <v>445</v>
      </c>
      <c r="B35" s="18" t="s">
        <v>153</v>
      </c>
      <c r="C35" s="18" t="s">
        <v>45</v>
      </c>
      <c r="D35" s="18" t="s">
        <v>154</v>
      </c>
      <c r="E35" s="19" t="n">
        <v>-110</v>
      </c>
      <c r="F35" s="22" t="n">
        <v>25</v>
      </c>
      <c r="G35" s="18" t="s">
        <v>30</v>
      </c>
      <c r="H35" s="22" t="str">
        <f aca="false">IF(OR($G35="",$G35="Pending"),"",ROUND(IF($G35="Win",IF($E35&gt;0,$F35*$E35/100,$F35*100/-$E35),IF($G35="Loss",-$F35,0)),2))</f>
        <v/>
      </c>
      <c r="I35" s="22" t="n">
        <f aca="false">Settings!$B$5+SUM($H$6:$H35)</f>
        <v>500</v>
      </c>
      <c r="J35" s="20" t="str">
        <f aca="false">IFERROR(SUM($H$6:$H35)/SUMIF($G$6:$G35,"&lt;&gt;Pending",$F$6:$F35),"")</f>
        <v/>
      </c>
      <c r="K35" s="18" t="s">
        <v>43</v>
      </c>
      <c r="L35" s="20" t="n">
        <v>0.1183</v>
      </c>
      <c r="M35" s="20"/>
      <c r="N35" s="18"/>
      <c r="O35" s="18" t="s">
        <v>96</v>
      </c>
    </row>
    <row r="36" customFormat="false" ht="15" hidden="false" customHeight="false" outlineLevel="0" collapsed="false">
      <c r="A36" s="13" t="s">
        <v>446</v>
      </c>
      <c r="B36" s="13" t="s">
        <v>66</v>
      </c>
      <c r="C36" s="13" t="s">
        <v>45</v>
      </c>
      <c r="D36" s="13" t="s">
        <v>67</v>
      </c>
      <c r="E36" s="14" t="n">
        <v>-110</v>
      </c>
      <c r="F36" s="17" t="n">
        <v>25</v>
      </c>
      <c r="G36" s="13" t="s">
        <v>30</v>
      </c>
      <c r="H36" s="17" t="str">
        <f aca="false">IF(OR($G36="",$G36="Pending"),"",ROUND(IF($G36="Win",IF($E36&gt;0,$F36*$E36/100,$F36*100/-$E36),IF($G36="Loss",-$F36,0)),2))</f>
        <v/>
      </c>
      <c r="I36" s="17" t="n">
        <f aca="false">Settings!$B$5+SUM($H$6:$H36)</f>
        <v>500</v>
      </c>
      <c r="J36" s="15" t="str">
        <f aca="false">IFERROR(SUM($H$6:$H36)/SUMIF($G$6:$G36,"&lt;&gt;Pending",$F$6:$F36),"")</f>
        <v/>
      </c>
      <c r="K36" s="13" t="s">
        <v>43</v>
      </c>
      <c r="L36" s="15" t="n">
        <v>0.1867</v>
      </c>
      <c r="M36" s="15"/>
      <c r="N36" s="13"/>
      <c r="O36" s="13" t="s">
        <v>96</v>
      </c>
    </row>
    <row r="37" customFormat="false" ht="15" hidden="false" customHeight="false" outlineLevel="0" collapsed="false">
      <c r="A37" s="18" t="s">
        <v>446</v>
      </c>
      <c r="B37" s="18" t="s">
        <v>79</v>
      </c>
      <c r="C37" s="18" t="s">
        <v>45</v>
      </c>
      <c r="D37" s="18" t="s">
        <v>80</v>
      </c>
      <c r="E37" s="19" t="n">
        <v>-110</v>
      </c>
      <c r="F37" s="22" t="n">
        <v>25</v>
      </c>
      <c r="G37" s="18" t="s">
        <v>30</v>
      </c>
      <c r="H37" s="22" t="str">
        <f aca="false">IF(OR($G37="",$G37="Pending"),"",ROUND(IF($G37="Win",IF($E37&gt;0,$F37*$E37/100,$F37*100/-$E37),IF($G37="Loss",-$F37,0)),2))</f>
        <v/>
      </c>
      <c r="I37" s="22" t="n">
        <f aca="false">Settings!$B$5+SUM($H$6:$H37)</f>
        <v>500</v>
      </c>
      <c r="J37" s="20" t="str">
        <f aca="false">IFERROR(SUM($H$6:$H37)/SUMIF($G$6:$G37,"&lt;&gt;Pending",$F$6:$F37),"")</f>
        <v/>
      </c>
      <c r="K37" s="18" t="s">
        <v>43</v>
      </c>
      <c r="L37" s="20" t="n">
        <v>0.1772</v>
      </c>
      <c r="M37" s="20"/>
      <c r="N37" s="18"/>
      <c r="O37" s="18" t="s">
        <v>96</v>
      </c>
    </row>
    <row r="38" customFormat="false" ht="15" hidden="false" customHeight="false" outlineLevel="0" collapsed="false">
      <c r="A38" s="13" t="s">
        <v>446</v>
      </c>
      <c r="B38" s="13" t="s">
        <v>106</v>
      </c>
      <c r="C38" s="13" t="s">
        <v>49</v>
      </c>
      <c r="D38" s="13" t="s">
        <v>107</v>
      </c>
      <c r="E38" s="14" t="n">
        <v>-110</v>
      </c>
      <c r="F38" s="17" t="n">
        <v>25</v>
      </c>
      <c r="G38" s="13" t="s">
        <v>30</v>
      </c>
      <c r="H38" s="17" t="str">
        <f aca="false">IF(OR($G38="",$G38="Pending"),"",ROUND(IF($G38="Win",IF($E38&gt;0,$F38*$E38/100,$F38*100/-$E38),IF($G38="Loss",-$F38,0)),2))</f>
        <v/>
      </c>
      <c r="I38" s="17" t="n">
        <f aca="false">Settings!$B$5+SUM($H$6:$H38)</f>
        <v>500</v>
      </c>
      <c r="J38" s="15" t="str">
        <f aca="false">IFERROR(SUM($H$6:$H38)/SUMIF($G$6:$G38,"&lt;&gt;Pending",$F$6:$F38),"")</f>
        <v/>
      </c>
      <c r="K38" s="13" t="s">
        <v>43</v>
      </c>
      <c r="L38" s="15" t="n">
        <v>0.1562</v>
      </c>
      <c r="M38" s="15"/>
      <c r="N38" s="13"/>
      <c r="O38" s="13" t="s">
        <v>96</v>
      </c>
    </row>
    <row r="39" customFormat="false" ht="15" hidden="false" customHeight="false" outlineLevel="0" collapsed="false">
      <c r="A39" s="18" t="s">
        <v>446</v>
      </c>
      <c r="B39" s="18" t="s">
        <v>69</v>
      </c>
      <c r="C39" s="18" t="s">
        <v>45</v>
      </c>
      <c r="D39" s="18" t="s">
        <v>70</v>
      </c>
      <c r="E39" s="19" t="n">
        <v>-110</v>
      </c>
      <c r="F39" s="22" t="n">
        <v>25</v>
      </c>
      <c r="G39" s="18" t="s">
        <v>30</v>
      </c>
      <c r="H39" s="22" t="str">
        <f aca="false">IF(OR($G39="",$G39="Pending"),"",ROUND(IF($G39="Win",IF($E39&gt;0,$F39*$E39/100,$F39*100/-$E39),IF($G39="Loss",-$F39,0)),2))</f>
        <v/>
      </c>
      <c r="I39" s="22" t="n">
        <f aca="false">Settings!$B$5+SUM($H$6:$H39)</f>
        <v>500</v>
      </c>
      <c r="J39" s="20" t="str">
        <f aca="false">IFERROR(SUM($H$6:$H39)/SUMIF($G$6:$G39,"&lt;&gt;Pending",$F$6:$F39),"")</f>
        <v/>
      </c>
      <c r="K39" s="18" t="s">
        <v>43</v>
      </c>
      <c r="L39" s="20" t="n">
        <v>0.1849</v>
      </c>
      <c r="M39" s="20"/>
      <c r="N39" s="18"/>
      <c r="O39" s="18" t="s">
        <v>96</v>
      </c>
    </row>
    <row r="40" customFormat="false" ht="15" hidden="false" customHeight="false" outlineLevel="0" collapsed="false">
      <c r="A40" s="13" t="s">
        <v>446</v>
      </c>
      <c r="B40" s="13" t="s">
        <v>133</v>
      </c>
      <c r="C40" s="13" t="s">
        <v>73</v>
      </c>
      <c r="D40" s="13" t="s">
        <v>134</v>
      </c>
      <c r="E40" s="14" t="n">
        <v>458</v>
      </c>
      <c r="F40" s="17" t="n">
        <v>21</v>
      </c>
      <c r="G40" s="13" t="s">
        <v>30</v>
      </c>
      <c r="H40" s="17" t="str">
        <f aca="false">IF(OR($G40="",$G40="Pending"),"",ROUND(IF($G40="Win",IF($E40&gt;0,$F40*$E40/100,$F40*100/-$E40),IF($G40="Loss",-$F40,0)),2))</f>
        <v/>
      </c>
      <c r="I40" s="17" t="n">
        <f aca="false">Settings!$B$5+SUM($H$6:$H40)</f>
        <v>500</v>
      </c>
      <c r="J40" s="15" t="str">
        <f aca="false">IFERROR(SUM($H$6:$H40)/SUMIF($G$6:$G40,"&lt;&gt;Pending",$F$6:$F40),"")</f>
        <v/>
      </c>
      <c r="K40" s="13" t="s">
        <v>43</v>
      </c>
      <c r="L40" s="15" t="n">
        <v>0.1394</v>
      </c>
      <c r="M40" s="15"/>
      <c r="N40" s="13"/>
      <c r="O40" s="13" t="s">
        <v>96</v>
      </c>
    </row>
    <row r="41" customFormat="false" ht="15" hidden="false" customHeight="false" outlineLevel="0" collapsed="false">
      <c r="A41" s="18" t="s">
        <v>446</v>
      </c>
      <c r="B41" s="18" t="s">
        <v>77</v>
      </c>
      <c r="C41" s="18" t="s">
        <v>49</v>
      </c>
      <c r="D41" s="18" t="s">
        <v>78</v>
      </c>
      <c r="E41" s="19" t="n">
        <v>-110</v>
      </c>
      <c r="F41" s="22" t="n">
        <v>25</v>
      </c>
      <c r="G41" s="18" t="s">
        <v>30</v>
      </c>
      <c r="H41" s="22" t="str">
        <f aca="false">IF(OR($G41="",$G41="Pending"),"",ROUND(IF($G41="Win",IF($E41&gt;0,$F41*$E41/100,$F41*100/-$E41),IF($G41="Loss",-$F41,0)),2))</f>
        <v/>
      </c>
      <c r="I41" s="22" t="n">
        <f aca="false">Settings!$B$5+SUM($H$6:$H41)</f>
        <v>500</v>
      </c>
      <c r="J41" s="20" t="str">
        <f aca="false">IFERROR(SUM($H$6:$H41)/SUMIF($G$6:$G41,"&lt;&gt;Pending",$F$6:$F41),"")</f>
        <v/>
      </c>
      <c r="K41" s="18" t="s">
        <v>43</v>
      </c>
      <c r="L41" s="20" t="n">
        <v>0.1804</v>
      </c>
      <c r="M41" s="20"/>
      <c r="N41" s="18"/>
      <c r="O41" s="18" t="s">
        <v>96</v>
      </c>
    </row>
    <row r="42" customFormat="false" ht="15" hidden="false" customHeight="false" outlineLevel="0" collapsed="false">
      <c r="A42" s="13" t="s">
        <v>446</v>
      </c>
      <c r="B42" s="13" t="s">
        <v>63</v>
      </c>
      <c r="C42" s="13" t="s">
        <v>49</v>
      </c>
      <c r="D42" s="13" t="s">
        <v>64</v>
      </c>
      <c r="E42" s="14" t="n">
        <v>-110</v>
      </c>
      <c r="F42" s="17" t="n">
        <v>25</v>
      </c>
      <c r="G42" s="13" t="s">
        <v>30</v>
      </c>
      <c r="H42" s="17" t="str">
        <f aca="false">IF(OR($G42="",$G42="Pending"),"",ROUND(IF($G42="Win",IF($E42&gt;0,$F42*$E42/100,$F42*100/-$E42),IF($G42="Loss",-$F42,0)),2))</f>
        <v/>
      </c>
      <c r="I42" s="17" t="n">
        <f aca="false">Settings!$B$5+SUM($H$6:$H42)</f>
        <v>500</v>
      </c>
      <c r="J42" s="15" t="str">
        <f aca="false">IFERROR(SUM($H$6:$H42)/SUMIF($G$6:$G42,"&lt;&gt;Pending",$F$6:$F42),"")</f>
        <v/>
      </c>
      <c r="K42" s="13" t="s">
        <v>43</v>
      </c>
      <c r="L42" s="15" t="n">
        <v>0.1873</v>
      </c>
      <c r="M42" s="15"/>
      <c r="N42" s="13"/>
      <c r="O42" s="13" t="s">
        <v>96</v>
      </c>
    </row>
    <row r="43" customFormat="false" ht="15" hidden="false" customHeight="false" outlineLevel="0" collapsed="false">
      <c r="A43" s="18" t="s">
        <v>446</v>
      </c>
      <c r="B43" s="18" t="s">
        <v>104</v>
      </c>
      <c r="C43" s="18" t="s">
        <v>45</v>
      </c>
      <c r="D43" s="18" t="s">
        <v>105</v>
      </c>
      <c r="E43" s="19" t="n">
        <v>-110</v>
      </c>
      <c r="F43" s="22" t="n">
        <v>25</v>
      </c>
      <c r="G43" s="18" t="s">
        <v>30</v>
      </c>
      <c r="H43" s="22" t="str">
        <f aca="false">IF(OR($G43="",$G43="Pending"),"",ROUND(IF($G43="Win",IF($E43&gt;0,$F43*$E43/100,$F43*100/-$E43),IF($G43="Loss",-$F43,0)),2))</f>
        <v/>
      </c>
      <c r="I43" s="22" t="n">
        <f aca="false">Settings!$B$5+SUM($H$6:$H43)</f>
        <v>500</v>
      </c>
      <c r="J43" s="20" t="str">
        <f aca="false">IFERROR(SUM($H$6:$H43)/SUMIF($G$6:$G43,"&lt;&gt;Pending",$F$6:$F43),"")</f>
        <v/>
      </c>
      <c r="K43" s="18" t="s">
        <v>43</v>
      </c>
      <c r="L43" s="20" t="n">
        <v>0.1616</v>
      </c>
      <c r="M43" s="20"/>
      <c r="N43" s="18"/>
      <c r="O43" s="18" t="s">
        <v>96</v>
      </c>
    </row>
    <row r="44" customFormat="false" ht="15" hidden="false" customHeight="false" outlineLevel="0" collapsed="false">
      <c r="A44" s="13" t="s">
        <v>446</v>
      </c>
      <c r="B44" s="13" t="s">
        <v>127</v>
      </c>
      <c r="C44" s="13" t="s">
        <v>49</v>
      </c>
      <c r="D44" s="13" t="s">
        <v>128</v>
      </c>
      <c r="E44" s="14" t="n">
        <v>-110</v>
      </c>
      <c r="F44" s="17" t="n">
        <v>25</v>
      </c>
      <c r="G44" s="13" t="s">
        <v>30</v>
      </c>
      <c r="H44" s="17" t="str">
        <f aca="false">IF(OR($G44="",$G44="Pending"),"",ROUND(IF($G44="Win",IF($E44&gt;0,$F44*$E44/100,$F44*100/-$E44),IF($G44="Loss",-$F44,0)),2))</f>
        <v/>
      </c>
      <c r="I44" s="17" t="n">
        <f aca="false">Settings!$B$5+SUM($H$6:$H44)</f>
        <v>500</v>
      </c>
      <c r="J44" s="15" t="str">
        <f aca="false">IFERROR(SUM($H$6:$H44)/SUMIF($G$6:$G44,"&lt;&gt;Pending",$F$6:$F44),"")</f>
        <v/>
      </c>
      <c r="K44" s="13" t="s">
        <v>43</v>
      </c>
      <c r="L44" s="15" t="n">
        <v>0.141</v>
      </c>
      <c r="M44" s="15"/>
      <c r="N44" s="13"/>
      <c r="O44" s="13" t="s">
        <v>96</v>
      </c>
    </row>
    <row r="45" customFormat="false" ht="15" hidden="false" customHeight="false" outlineLevel="0" collapsed="false">
      <c r="A45" s="18" t="s">
        <v>446</v>
      </c>
      <c r="B45" s="18" t="s">
        <v>121</v>
      </c>
      <c r="C45" s="18" t="s">
        <v>49</v>
      </c>
      <c r="D45" s="18" t="s">
        <v>122</v>
      </c>
      <c r="E45" s="19" t="n">
        <v>-110</v>
      </c>
      <c r="F45" s="22" t="n">
        <v>25</v>
      </c>
      <c r="G45" s="18" t="s">
        <v>30</v>
      </c>
      <c r="H45" s="22" t="str">
        <f aca="false">IF(OR($G45="",$G45="Pending"),"",ROUND(IF($G45="Win",IF($E45&gt;0,$F45*$E45/100,$F45*100/-$E45),IF($G45="Loss",-$F45,0)),2))</f>
        <v/>
      </c>
      <c r="I45" s="22" t="n">
        <f aca="false">Settings!$B$5+SUM($H$6:$H45)</f>
        <v>500</v>
      </c>
      <c r="J45" s="20" t="str">
        <f aca="false">IFERROR(SUM($H$6:$H45)/SUMIF($G$6:$G45,"&lt;&gt;Pending",$F$6:$F45),"")</f>
        <v/>
      </c>
      <c r="K45" s="18" t="s">
        <v>43</v>
      </c>
      <c r="L45" s="20" t="n">
        <v>0.1436</v>
      </c>
      <c r="M45" s="20"/>
      <c r="N45" s="18"/>
      <c r="O45" s="18" t="s">
        <v>96</v>
      </c>
    </row>
    <row r="46" customFormat="false" ht="15" hidden="false" customHeight="false" outlineLevel="0" collapsed="false">
      <c r="A46" s="13" t="s">
        <v>447</v>
      </c>
      <c r="B46" s="13" t="s">
        <v>131</v>
      </c>
      <c r="C46" s="13" t="s">
        <v>73</v>
      </c>
      <c r="D46" s="13" t="s">
        <v>132</v>
      </c>
      <c r="E46" s="14" t="n">
        <v>313</v>
      </c>
      <c r="F46" s="17" t="n">
        <v>23</v>
      </c>
      <c r="G46" s="13" t="s">
        <v>30</v>
      </c>
      <c r="H46" s="17" t="str">
        <f aca="false">IF(OR($G46="",$G46="Pending"),"",ROUND(IF($G46="Win",IF($E46&gt;0,$F46*$E46/100,$F46*100/-$E46),IF($G46="Loss",-$F46,0)),2))</f>
        <v/>
      </c>
      <c r="I46" s="17" t="n">
        <f aca="false">Settings!$B$5+SUM($H$6:$H46)</f>
        <v>500</v>
      </c>
      <c r="J46" s="15" t="str">
        <f aca="false">IFERROR(SUM($H$6:$H46)/SUMIF($G$6:$G46,"&lt;&gt;Pending",$F$6:$F46),"")</f>
        <v/>
      </c>
      <c r="K46" s="13" t="s">
        <v>43</v>
      </c>
      <c r="L46" s="15" t="n">
        <v>0.14</v>
      </c>
      <c r="M46" s="15"/>
      <c r="N46" s="13"/>
      <c r="O46" s="13" t="s">
        <v>96</v>
      </c>
    </row>
    <row r="47" customFormat="false" ht="15" hidden="false" customHeight="false" outlineLevel="0" collapsed="false">
      <c r="A47" s="18" t="s">
        <v>447</v>
      </c>
      <c r="B47" s="18" t="s">
        <v>57</v>
      </c>
      <c r="C47" s="18" t="s">
        <v>49</v>
      </c>
      <c r="D47" s="18" t="s">
        <v>58</v>
      </c>
      <c r="E47" s="19" t="n">
        <v>-110</v>
      </c>
      <c r="F47" s="22" t="n">
        <v>25</v>
      </c>
      <c r="G47" s="18" t="s">
        <v>30</v>
      </c>
      <c r="H47" s="22" t="str">
        <f aca="false">IF(OR($G47="",$G47="Pending"),"",ROUND(IF($G47="Win",IF($E47&gt;0,$F47*$E47/100,$F47*100/-$E47),IF($G47="Loss",-$F47,0)),2))</f>
        <v/>
      </c>
      <c r="I47" s="22" t="n">
        <f aca="false">Settings!$B$5+SUM($H$6:$H47)</f>
        <v>500</v>
      </c>
      <c r="J47" s="20" t="str">
        <f aca="false">IFERROR(SUM($H$6:$H47)/SUMIF($G$6:$G47,"&lt;&gt;Pending",$F$6:$F47),"")</f>
        <v/>
      </c>
      <c r="K47" s="18" t="s">
        <v>43</v>
      </c>
      <c r="L47" s="20" t="n">
        <v>0.1881</v>
      </c>
      <c r="M47" s="20"/>
      <c r="N47" s="18"/>
      <c r="O47" s="18" t="s">
        <v>96</v>
      </c>
    </row>
    <row r="48" customFormat="false" ht="15" hidden="false" customHeight="false" outlineLevel="0" collapsed="false">
      <c r="A48" s="13" t="s">
        <v>447</v>
      </c>
      <c r="B48" s="13" t="s">
        <v>111</v>
      </c>
      <c r="C48" s="13" t="s">
        <v>45</v>
      </c>
      <c r="D48" s="13" t="s">
        <v>112</v>
      </c>
      <c r="E48" s="14" t="n">
        <v>-110</v>
      </c>
      <c r="F48" s="17" t="n">
        <v>25</v>
      </c>
      <c r="G48" s="13" t="s">
        <v>30</v>
      </c>
      <c r="H48" s="17" t="str">
        <f aca="false">IF(OR($G48="",$G48="Pending"),"",ROUND(IF($G48="Win",IF($E48&gt;0,$F48*$E48/100,$F48*100/-$E48),IF($G48="Loss",-$F48,0)),2))</f>
        <v/>
      </c>
      <c r="I48" s="17" t="n">
        <f aca="false">Settings!$B$5+SUM($H$6:$H48)</f>
        <v>500</v>
      </c>
      <c r="J48" s="15" t="str">
        <f aca="false">IFERROR(SUM($H$6:$H48)/SUMIF($G$6:$G48,"&lt;&gt;Pending",$F$6:$F48),"")</f>
        <v/>
      </c>
      <c r="K48" s="13" t="s">
        <v>43</v>
      </c>
      <c r="L48" s="15" t="n">
        <v>0.1532</v>
      </c>
      <c r="M48" s="15"/>
      <c r="N48" s="13"/>
      <c r="O48" s="13" t="s">
        <v>96</v>
      </c>
    </row>
    <row r="49" customFormat="false" ht="15" hidden="false" customHeight="false" outlineLevel="0" collapsed="false">
      <c r="A49" s="18" t="s">
        <v>447</v>
      </c>
      <c r="B49" s="18" t="s">
        <v>159</v>
      </c>
      <c r="C49" s="18" t="s">
        <v>45</v>
      </c>
      <c r="D49" s="18" t="s">
        <v>160</v>
      </c>
      <c r="E49" s="19" t="n">
        <v>-110</v>
      </c>
      <c r="F49" s="22" t="n">
        <v>25</v>
      </c>
      <c r="G49" s="18" t="s">
        <v>30</v>
      </c>
      <c r="H49" s="22" t="str">
        <f aca="false">IF(OR($G49="",$G49="Pending"),"",ROUND(IF($G49="Win",IF($E49&gt;0,$F49*$E49/100,$F49*100/-$E49),IF($G49="Loss",-$F49,0)),2))</f>
        <v/>
      </c>
      <c r="I49" s="22" t="n">
        <f aca="false">Settings!$B$5+SUM($H$6:$H49)</f>
        <v>500</v>
      </c>
      <c r="J49" s="20" t="str">
        <f aca="false">IFERROR(SUM($H$6:$H49)/SUMIF($G$6:$G49,"&lt;&gt;Pending",$F$6:$F49),"")</f>
        <v/>
      </c>
      <c r="K49" s="18" t="s">
        <v>43</v>
      </c>
      <c r="L49" s="20" t="n">
        <v>0.105</v>
      </c>
      <c r="M49" s="20"/>
      <c r="N49" s="18"/>
      <c r="O49" s="18" t="s">
        <v>96</v>
      </c>
    </row>
    <row r="50" customFormat="false" ht="15" hidden="false" customHeight="false" outlineLevel="0" collapsed="false">
      <c r="A50" s="13" t="s">
        <v>447</v>
      </c>
      <c r="B50" s="13" t="s">
        <v>52</v>
      </c>
      <c r="C50" s="13" t="s">
        <v>45</v>
      </c>
      <c r="D50" s="13" t="s">
        <v>53</v>
      </c>
      <c r="E50" s="14" t="n">
        <v>-110</v>
      </c>
      <c r="F50" s="17" t="n">
        <v>25</v>
      </c>
      <c r="G50" s="13" t="s">
        <v>30</v>
      </c>
      <c r="H50" s="17" t="str">
        <f aca="false">IF(OR($G50="",$G50="Pending"),"",ROUND(IF($G50="Win",IF($E50&gt;0,$F50*$E50/100,$F50*100/-$E50),IF($G50="Loss",-$F50,0)),2))</f>
        <v/>
      </c>
      <c r="I50" s="17" t="n">
        <f aca="false">Settings!$B$5+SUM($H$6:$H50)</f>
        <v>500</v>
      </c>
      <c r="J50" s="15" t="str">
        <f aca="false">IFERROR(SUM($H$6:$H50)/SUMIF($G$6:$G50,"&lt;&gt;Pending",$F$6:$F50),"")</f>
        <v/>
      </c>
      <c r="K50" s="13" t="s">
        <v>43</v>
      </c>
      <c r="L50" s="15" t="n">
        <v>0.2035</v>
      </c>
      <c r="M50" s="15"/>
      <c r="N50" s="13"/>
      <c r="O50" s="13" t="s">
        <v>96</v>
      </c>
    </row>
    <row r="51" customFormat="false" ht="15" hidden="false" customHeight="false" outlineLevel="0" collapsed="false">
      <c r="A51" s="18" t="s">
        <v>447</v>
      </c>
      <c r="B51" s="18" t="s">
        <v>97</v>
      </c>
      <c r="C51" s="18" t="s">
        <v>45</v>
      </c>
      <c r="D51" s="18" t="s">
        <v>98</v>
      </c>
      <c r="E51" s="19" t="n">
        <v>-110</v>
      </c>
      <c r="F51" s="22" t="n">
        <v>25</v>
      </c>
      <c r="G51" s="18" t="s">
        <v>30</v>
      </c>
      <c r="H51" s="22" t="str">
        <f aca="false">IF(OR($G51="",$G51="Pending"),"",ROUND(IF($G51="Win",IF($E51&gt;0,$F51*$E51/100,$F51*100/-$E51),IF($G51="Loss",-$F51,0)),2))</f>
        <v/>
      </c>
      <c r="I51" s="22" t="n">
        <f aca="false">Settings!$B$5+SUM($H$6:$H51)</f>
        <v>500</v>
      </c>
      <c r="J51" s="20" t="str">
        <f aca="false">IFERROR(SUM($H$6:$H51)/SUMIF($G$6:$G51,"&lt;&gt;Pending",$F$6:$F51),"")</f>
        <v/>
      </c>
      <c r="K51" s="18" t="s">
        <v>43</v>
      </c>
      <c r="L51" s="20" t="n">
        <v>0.172</v>
      </c>
      <c r="M51" s="20"/>
      <c r="N51" s="18"/>
      <c r="O51" s="18" t="s">
        <v>96</v>
      </c>
    </row>
    <row r="52" customFormat="false" ht="15" hidden="false" customHeight="false" outlineLevel="0" collapsed="false">
      <c r="A52" s="13" t="s">
        <v>447</v>
      </c>
      <c r="B52" s="13" t="s">
        <v>83</v>
      </c>
      <c r="C52" s="13" t="s">
        <v>49</v>
      </c>
      <c r="D52" s="13" t="s">
        <v>84</v>
      </c>
      <c r="E52" s="14" t="n">
        <v>-110</v>
      </c>
      <c r="F52" s="17" t="n">
        <v>25</v>
      </c>
      <c r="G52" s="13" t="s">
        <v>30</v>
      </c>
      <c r="H52" s="17" t="str">
        <f aca="false">IF(OR($G52="",$G52="Pending"),"",ROUND(IF($G52="Win",IF($E52&gt;0,$F52*$E52/100,$F52*100/-$E52),IF($G52="Loss",-$F52,0)),2))</f>
        <v/>
      </c>
      <c r="I52" s="17" t="n">
        <f aca="false">Settings!$B$5+SUM($H$6:$H52)</f>
        <v>500</v>
      </c>
      <c r="J52" s="15" t="str">
        <f aca="false">IFERROR(SUM($H$6:$H52)/SUMIF($G$6:$G52,"&lt;&gt;Pending",$F$6:$F52),"")</f>
        <v/>
      </c>
      <c r="K52" s="13" t="s">
        <v>43</v>
      </c>
      <c r="L52" s="15" t="n">
        <v>0.1724</v>
      </c>
      <c r="M52" s="15"/>
      <c r="N52" s="13"/>
      <c r="O52" s="13" t="s">
        <v>96</v>
      </c>
    </row>
    <row r="53" customFormat="false" ht="15" hidden="false" customHeight="false" outlineLevel="0" collapsed="false">
      <c r="A53" s="18" t="s">
        <v>447</v>
      </c>
      <c r="B53" s="18" t="s">
        <v>149</v>
      </c>
      <c r="C53" s="18" t="s">
        <v>45</v>
      </c>
      <c r="D53" s="18" t="s">
        <v>150</v>
      </c>
      <c r="E53" s="19" t="n">
        <v>-110</v>
      </c>
      <c r="F53" s="22" t="n">
        <v>25</v>
      </c>
      <c r="G53" s="18" t="s">
        <v>30</v>
      </c>
      <c r="H53" s="22" t="str">
        <f aca="false">IF(OR($G53="",$G53="Pending"),"",ROUND(IF($G53="Win",IF($E53&gt;0,$F53*$E53/100,$F53*100/-$E53),IF($G53="Loss",-$F53,0)),2))</f>
        <v/>
      </c>
      <c r="I53" s="22" t="n">
        <f aca="false">Settings!$B$5+SUM($H$6:$H53)</f>
        <v>500</v>
      </c>
      <c r="J53" s="20" t="str">
        <f aca="false">IFERROR(SUM($H$6:$H53)/SUMIF($G$6:$G53,"&lt;&gt;Pending",$F$6:$F53),"")</f>
        <v/>
      </c>
      <c r="K53" s="18" t="s">
        <v>43</v>
      </c>
      <c r="L53" s="20" t="n">
        <v>0.1239</v>
      </c>
      <c r="M53" s="20"/>
      <c r="N53" s="18"/>
      <c r="O53" s="18" t="s">
        <v>96</v>
      </c>
    </row>
    <row r="54" customFormat="false" ht="15" hidden="false" customHeight="false" outlineLevel="0" collapsed="false">
      <c r="A54" s="13" t="s">
        <v>447</v>
      </c>
      <c r="B54" s="13" t="s">
        <v>138</v>
      </c>
      <c r="C54" s="13" t="s">
        <v>45</v>
      </c>
      <c r="D54" s="13" t="s">
        <v>139</v>
      </c>
      <c r="E54" s="14" t="n">
        <v>-110</v>
      </c>
      <c r="F54" s="17" t="n">
        <v>25</v>
      </c>
      <c r="G54" s="13" t="s">
        <v>30</v>
      </c>
      <c r="H54" s="17" t="str">
        <f aca="false">IF(OR($G54="",$G54="Pending"),"",ROUND(IF($G54="Win",IF($E54&gt;0,$F54*$E54/100,$F54*100/-$E54),IF($G54="Loss",-$F54,0)),2))</f>
        <v/>
      </c>
      <c r="I54" s="17" t="n">
        <f aca="false">Settings!$B$5+SUM($H$6:$H54)</f>
        <v>500</v>
      </c>
      <c r="J54" s="15" t="str">
        <f aca="false">IFERROR(SUM($H$6:$H54)/SUMIF($G$6:$G54,"&lt;&gt;Pending",$F$6:$F54),"")</f>
        <v/>
      </c>
      <c r="K54" s="13" t="s">
        <v>43</v>
      </c>
      <c r="L54" s="15" t="n">
        <v>0.1324</v>
      </c>
      <c r="M54" s="15"/>
      <c r="N54" s="13"/>
      <c r="O54" s="13" t="s">
        <v>96</v>
      </c>
    </row>
    <row r="55" customFormat="false" ht="15" hidden="false" customHeight="false" outlineLevel="0" collapsed="false">
      <c r="A55" s="18" t="s">
        <v>447</v>
      </c>
      <c r="B55" s="18" t="s">
        <v>60</v>
      </c>
      <c r="C55" s="18" t="s">
        <v>49</v>
      </c>
      <c r="D55" s="18" t="s">
        <v>61</v>
      </c>
      <c r="E55" s="19" t="n">
        <v>-110</v>
      </c>
      <c r="F55" s="22" t="n">
        <v>25</v>
      </c>
      <c r="G55" s="18" t="s">
        <v>30</v>
      </c>
      <c r="H55" s="22" t="str">
        <f aca="false">IF(OR($G55="",$G55="Pending"),"",ROUND(IF($G55="Win",IF($E55&gt;0,$F55*$E55/100,$F55*100/-$E55),IF($G55="Loss",-$F55,0)),2))</f>
        <v/>
      </c>
      <c r="I55" s="22" t="n">
        <f aca="false">Settings!$B$5+SUM($H$6:$H55)</f>
        <v>500</v>
      </c>
      <c r="J55" s="20" t="str">
        <f aca="false">IFERROR(SUM($H$6:$H55)/SUMIF($G$6:$G55,"&lt;&gt;Pending",$F$6:$F55),"")</f>
        <v/>
      </c>
      <c r="K55" s="18" t="s">
        <v>43</v>
      </c>
      <c r="L55" s="20" t="n">
        <v>0.1875</v>
      </c>
      <c r="M55" s="20"/>
      <c r="N55" s="18"/>
      <c r="O55" s="18" t="s">
        <v>96</v>
      </c>
    </row>
    <row r="56" customFormat="false" ht="15" hidden="false" customHeight="false" outlineLevel="0" collapsed="false">
      <c r="A56" s="13" t="s">
        <v>448</v>
      </c>
      <c r="B56" s="13" t="s">
        <v>449</v>
      </c>
      <c r="C56" s="13" t="s">
        <v>45</v>
      </c>
      <c r="D56" s="13" t="s">
        <v>143</v>
      </c>
      <c r="E56" s="14" t="n">
        <v>-110</v>
      </c>
      <c r="F56" s="17" t="n">
        <v>25</v>
      </c>
      <c r="G56" s="13" t="s">
        <v>450</v>
      </c>
      <c r="H56" s="17" t="n">
        <f aca="false">IF(OR($G56="",$G56="Pending"),"",ROUND(IF($G56="Win",IF($E56&gt;0,$F56*$E56/100,$F56*100/-$E56),IF($G56="Loss",-$F56,0)),2))</f>
        <v>22.73</v>
      </c>
      <c r="I56" s="17" t="n">
        <f aca="false">Settings!$B$5+SUM($H$6:$H56)</f>
        <v>522.73</v>
      </c>
      <c r="J56" s="15" t="n">
        <f aca="false">IFERROR(SUM($H$6:$H56)/SUMIF($G$6:$G56,"&lt;&gt;Pending",$F$6:$F56),"")</f>
        <v>0.9092</v>
      </c>
      <c r="K56" s="13" t="s">
        <v>43</v>
      </c>
      <c r="L56" s="15" t="n">
        <v>0.1355</v>
      </c>
      <c r="M56" s="15" t="n">
        <v>0</v>
      </c>
      <c r="N56" s="13" t="s">
        <v>451</v>
      </c>
      <c r="O56" s="13" t="s">
        <v>96</v>
      </c>
    </row>
    <row r="57" customFormat="false" ht="15" hidden="false" customHeight="false" outlineLevel="0" collapsed="false">
      <c r="A57" s="18" t="s">
        <v>448</v>
      </c>
      <c r="B57" s="18" t="s">
        <v>452</v>
      </c>
      <c r="C57" s="18" t="s">
        <v>49</v>
      </c>
      <c r="D57" s="18" t="s">
        <v>453</v>
      </c>
      <c r="E57" s="19" t="n">
        <v>-110</v>
      </c>
      <c r="F57" s="22" t="n">
        <v>25</v>
      </c>
      <c r="G57" s="18" t="s">
        <v>450</v>
      </c>
      <c r="H57" s="22" t="n">
        <f aca="false">IF(OR($G57="",$G57="Pending"),"",ROUND(IF($G57="Win",IF($E57&gt;0,$F57*$E57/100,$F57*100/-$E57),IF($G57="Loss",-$F57,0)),2))</f>
        <v>22.73</v>
      </c>
      <c r="I57" s="22" t="n">
        <f aca="false">Settings!$B$5+SUM($H$6:$H57)</f>
        <v>545.46</v>
      </c>
      <c r="J57" s="20" t="n">
        <f aca="false">IFERROR(SUM($H$6:$H57)/SUMIF($G$6:$G57,"&lt;&gt;Pending",$F$6:$F57),"")</f>
        <v>0.9092</v>
      </c>
      <c r="K57" s="18" t="s">
        <v>43</v>
      </c>
      <c r="L57" s="20" t="n">
        <v>0.1979</v>
      </c>
      <c r="M57" s="20" t="n">
        <v>0</v>
      </c>
      <c r="N57" s="18" t="s">
        <v>454</v>
      </c>
      <c r="O57" s="18" t="s">
        <v>96</v>
      </c>
    </row>
    <row r="58" customFormat="false" ht="15" hidden="false" customHeight="false" outlineLevel="0" collapsed="false">
      <c r="A58" s="13" t="s">
        <v>448</v>
      </c>
      <c r="B58" s="13" t="s">
        <v>138</v>
      </c>
      <c r="C58" s="13" t="s">
        <v>45</v>
      </c>
      <c r="D58" s="13" t="s">
        <v>455</v>
      </c>
      <c r="E58" s="14" t="n">
        <v>-110</v>
      </c>
      <c r="F58" s="17" t="n">
        <v>25</v>
      </c>
      <c r="G58" s="13" t="s">
        <v>456</v>
      </c>
      <c r="H58" s="17" t="n">
        <f aca="false">IF(OR($G58="",$G58="Pending"),"",ROUND(IF($G58="Win",IF($E58&gt;0,$F58*$E58/100,$F58*100/-$E58),IF($G58="Loss",-$F58,0)),2))</f>
        <v>-25</v>
      </c>
      <c r="I58" s="17" t="n">
        <f aca="false">Settings!$B$5+SUM($H$6:$H58)</f>
        <v>520.46</v>
      </c>
      <c r="J58" s="15" t="n">
        <f aca="false">IFERROR(SUM($H$6:$H58)/SUMIF($G$6:$G58,"&lt;&gt;Pending",$F$6:$F58),"")</f>
        <v>0.2728</v>
      </c>
      <c r="K58" s="13" t="s">
        <v>43</v>
      </c>
      <c r="L58" s="15" t="n">
        <v>0.1511</v>
      </c>
      <c r="M58" s="15" t="n">
        <v>0</v>
      </c>
      <c r="N58" s="13" t="s">
        <v>457</v>
      </c>
      <c r="O58" s="13" t="s">
        <v>96</v>
      </c>
    </row>
    <row r="59" customFormat="false" ht="15" hidden="false" customHeight="false" outlineLevel="0" collapsed="false">
      <c r="A59" s="18" t="s">
        <v>448</v>
      </c>
      <c r="B59" s="18" t="s">
        <v>458</v>
      </c>
      <c r="C59" s="18" t="s">
        <v>45</v>
      </c>
      <c r="D59" s="18" t="s">
        <v>459</v>
      </c>
      <c r="E59" s="19" t="n">
        <v>-110</v>
      </c>
      <c r="F59" s="22" t="n">
        <v>25</v>
      </c>
      <c r="G59" s="18" t="s">
        <v>450</v>
      </c>
      <c r="H59" s="22" t="n">
        <f aca="false">IF(OR($G59="",$G59="Pending"),"",ROUND(IF($G59="Win",IF($E59&gt;0,$F59*$E59/100,$F59*100/-$E59),IF($G59="Loss",-$F59,0)),2))</f>
        <v>22.73</v>
      </c>
      <c r="I59" s="22" t="n">
        <f aca="false">Settings!$B$5+SUM($H$6:$H59)</f>
        <v>543.19</v>
      </c>
      <c r="J59" s="20" t="n">
        <f aca="false">IFERROR(SUM($H$6:$H59)/SUMIF($G$6:$G59,"&lt;&gt;Pending",$F$6:$F59),"")</f>
        <v>0.4319</v>
      </c>
      <c r="K59" s="18" t="s">
        <v>43</v>
      </c>
      <c r="L59" s="20" t="n">
        <v>0.214</v>
      </c>
      <c r="M59" s="20" t="n">
        <v>0</v>
      </c>
      <c r="N59" s="18" t="s">
        <v>460</v>
      </c>
      <c r="O59" s="18" t="s">
        <v>96</v>
      </c>
    </row>
    <row r="60" customFormat="false" ht="15" hidden="false" customHeight="false" outlineLevel="0" collapsed="false">
      <c r="A60" s="13" t="s">
        <v>448</v>
      </c>
      <c r="B60" s="13" t="s">
        <v>461</v>
      </c>
      <c r="C60" s="13" t="s">
        <v>45</v>
      </c>
      <c r="D60" s="13" t="s">
        <v>462</v>
      </c>
      <c r="E60" s="14" t="n">
        <v>-110</v>
      </c>
      <c r="F60" s="17" t="n">
        <v>25</v>
      </c>
      <c r="G60" s="13" t="s">
        <v>456</v>
      </c>
      <c r="H60" s="17" t="n">
        <f aca="false">IF(OR($G60="",$G60="Pending"),"",ROUND(IF($G60="Win",IF($E60&gt;0,$F60*$E60/100,$F60*100/-$E60),IF($G60="Loss",-$F60,0)),2))</f>
        <v>-25</v>
      </c>
      <c r="I60" s="17" t="n">
        <f aca="false">Settings!$B$5+SUM($H$6:$H60)</f>
        <v>518.19</v>
      </c>
      <c r="J60" s="15" t="n">
        <f aca="false">IFERROR(SUM($H$6:$H60)/SUMIF($G$6:$G60,"&lt;&gt;Pending",$F$6:$F60),"")</f>
        <v>0.14552</v>
      </c>
      <c r="K60" s="13" t="s">
        <v>43</v>
      </c>
      <c r="L60" s="15" t="n">
        <v>0.2146</v>
      </c>
      <c r="M60" s="15" t="n">
        <v>0</v>
      </c>
      <c r="N60" s="13" t="s">
        <v>463</v>
      </c>
      <c r="O60" s="13" t="s">
        <v>96</v>
      </c>
    </row>
    <row r="61" customFormat="false" ht="15" hidden="false" customHeight="false" outlineLevel="0" collapsed="false">
      <c r="A61" s="18" t="s">
        <v>448</v>
      </c>
      <c r="B61" s="18" t="s">
        <v>464</v>
      </c>
      <c r="C61" s="18" t="s">
        <v>49</v>
      </c>
      <c r="D61" s="18" t="s">
        <v>228</v>
      </c>
      <c r="E61" s="19" t="n">
        <v>-110</v>
      </c>
      <c r="F61" s="22" t="n">
        <v>25</v>
      </c>
      <c r="G61" s="18" t="s">
        <v>450</v>
      </c>
      <c r="H61" s="22" t="n">
        <f aca="false">IF(OR($G61="",$G61="Pending"),"",ROUND(IF($G61="Win",IF($E61&gt;0,$F61*$E61/100,$F61*100/-$E61),IF($G61="Loss",-$F61,0)),2))</f>
        <v>22.73</v>
      </c>
      <c r="I61" s="22" t="n">
        <f aca="false">Settings!$B$5+SUM($H$6:$H61)</f>
        <v>540.92</v>
      </c>
      <c r="J61" s="20" t="n">
        <f aca="false">IFERROR(SUM($H$6:$H61)/SUMIF($G$6:$G61,"&lt;&gt;Pending",$F$6:$F61),"")</f>
        <v>0.2728</v>
      </c>
      <c r="K61" s="18" t="s">
        <v>43</v>
      </c>
      <c r="L61" s="20" t="n">
        <v>0.1174</v>
      </c>
      <c r="M61" s="20" t="n">
        <v>0</v>
      </c>
      <c r="N61" s="18" t="s">
        <v>465</v>
      </c>
      <c r="O61" s="18" t="s">
        <v>96</v>
      </c>
    </row>
    <row r="62" customFormat="false" ht="15" hidden="false" customHeight="false" outlineLevel="0" collapsed="false">
      <c r="A62" s="13" t="s">
        <v>448</v>
      </c>
      <c r="B62" s="13" t="s">
        <v>466</v>
      </c>
      <c r="C62" s="13" t="s">
        <v>49</v>
      </c>
      <c r="D62" s="13" t="s">
        <v>199</v>
      </c>
      <c r="E62" s="14" t="n">
        <v>-110</v>
      </c>
      <c r="F62" s="17" t="n">
        <v>25</v>
      </c>
      <c r="G62" s="13" t="s">
        <v>450</v>
      </c>
      <c r="H62" s="17" t="n">
        <f aca="false">IF(OR($G62="",$G62="Pending"),"",ROUND(IF($G62="Win",IF($E62&gt;0,$F62*$E62/100,$F62*100/-$E62),IF($G62="Loss",-$F62,0)),2))</f>
        <v>22.73</v>
      </c>
      <c r="I62" s="17" t="n">
        <f aca="false">Settings!$B$5+SUM($H$6:$H62)</f>
        <v>563.65</v>
      </c>
      <c r="J62" s="15" t="n">
        <f aca="false">IFERROR(SUM($H$6:$H62)/SUMIF($G$6:$G62,"&lt;&gt;Pending",$F$6:$F62),"")</f>
        <v>0.363714285714286</v>
      </c>
      <c r="K62" s="13" t="s">
        <v>43</v>
      </c>
      <c r="L62" s="15" t="n">
        <v>0.1288</v>
      </c>
      <c r="M62" s="15" t="n">
        <v>0</v>
      </c>
      <c r="N62" s="13" t="s">
        <v>467</v>
      </c>
      <c r="O62" s="13" t="s">
        <v>96</v>
      </c>
    </row>
    <row r="63" customFormat="false" ht="15" hidden="false" customHeight="false" outlineLevel="0" collapsed="false">
      <c r="A63" s="18" t="s">
        <v>448</v>
      </c>
      <c r="B63" s="18" t="s">
        <v>468</v>
      </c>
      <c r="C63" s="18" t="s">
        <v>45</v>
      </c>
      <c r="D63" s="18" t="s">
        <v>469</v>
      </c>
      <c r="E63" s="19" t="n">
        <v>-110</v>
      </c>
      <c r="F63" s="22" t="n">
        <v>25</v>
      </c>
      <c r="G63" s="18" t="s">
        <v>450</v>
      </c>
      <c r="H63" s="22" t="n">
        <f aca="false">IF(OR($G63="",$G63="Pending"),"",ROUND(IF($G63="Win",IF($E63&gt;0,$F63*$E63/100,$F63*100/-$E63),IF($G63="Loss",-$F63,0)),2))</f>
        <v>22.73</v>
      </c>
      <c r="I63" s="22" t="n">
        <f aca="false">Settings!$B$5+SUM($H$6:$H63)</f>
        <v>586.38</v>
      </c>
      <c r="J63" s="20" t="n">
        <f aca="false">IFERROR(SUM($H$6:$H63)/SUMIF($G$6:$G63,"&lt;&gt;Pending",$F$6:$F63),"")</f>
        <v>0.4319</v>
      </c>
      <c r="K63" s="18" t="s">
        <v>43</v>
      </c>
      <c r="L63" s="20" t="n">
        <v>0.196</v>
      </c>
      <c r="M63" s="20" t="n">
        <v>0</v>
      </c>
      <c r="N63" s="18" t="s">
        <v>470</v>
      </c>
      <c r="O63" s="18" t="s">
        <v>96</v>
      </c>
    </row>
    <row r="64" customFormat="false" ht="15" hidden="false" customHeight="false" outlineLevel="0" collapsed="false">
      <c r="A64" s="13" t="s">
        <v>448</v>
      </c>
      <c r="B64" s="13" t="s">
        <v>471</v>
      </c>
      <c r="C64" s="13" t="s">
        <v>45</v>
      </c>
      <c r="D64" s="13" t="s">
        <v>472</v>
      </c>
      <c r="E64" s="14" t="n">
        <v>-110</v>
      </c>
      <c r="F64" s="17" t="n">
        <v>25</v>
      </c>
      <c r="G64" s="13" t="s">
        <v>450</v>
      </c>
      <c r="H64" s="17" t="n">
        <f aca="false">IF(OR($G64="",$G64="Pending"),"",ROUND(IF($G64="Win",IF($E64&gt;0,$F64*$E64/100,$F64*100/-$E64),IF($G64="Loss",-$F64,0)),2))</f>
        <v>22.73</v>
      </c>
      <c r="I64" s="17" t="n">
        <f aca="false">Settings!$B$5+SUM($H$6:$H64)</f>
        <v>609.11</v>
      </c>
      <c r="J64" s="15" t="n">
        <f aca="false">IFERROR(SUM($H$6:$H64)/SUMIF($G$6:$G64,"&lt;&gt;Pending",$F$6:$F64),"")</f>
        <v>0.484933333333333</v>
      </c>
      <c r="K64" s="13" t="s">
        <v>43</v>
      </c>
      <c r="L64" s="15" t="n">
        <v>0.1749</v>
      </c>
      <c r="M64" s="15" t="n">
        <v>0</v>
      </c>
      <c r="N64" s="13" t="s">
        <v>473</v>
      </c>
      <c r="O64" s="13" t="s">
        <v>96</v>
      </c>
    </row>
    <row r="65" customFormat="false" ht="15" hidden="false" customHeight="false" outlineLevel="0" collapsed="false">
      <c r="A65" s="18" t="s">
        <v>448</v>
      </c>
      <c r="B65" s="18" t="s">
        <v>474</v>
      </c>
      <c r="C65" s="18" t="s">
        <v>45</v>
      </c>
      <c r="D65" s="18" t="s">
        <v>475</v>
      </c>
      <c r="E65" s="19" t="n">
        <v>-110</v>
      </c>
      <c r="F65" s="22" t="n">
        <v>25</v>
      </c>
      <c r="G65" s="18" t="s">
        <v>450</v>
      </c>
      <c r="H65" s="22" t="n">
        <f aca="false">IF(OR($G65="",$G65="Pending"),"",ROUND(IF($G65="Win",IF($E65&gt;0,$F65*$E65/100,$F65*100/-$E65),IF($G65="Loss",-$F65,0)),2))</f>
        <v>22.73</v>
      </c>
      <c r="I65" s="22" t="n">
        <f aca="false">Settings!$B$5+SUM($H$6:$H65)</f>
        <v>631.84</v>
      </c>
      <c r="J65" s="20" t="n">
        <f aca="false">IFERROR(SUM($H$6:$H65)/SUMIF($G$6:$G65,"&lt;&gt;Pending",$F$6:$F65),"")</f>
        <v>0.52736</v>
      </c>
      <c r="K65" s="18" t="s">
        <v>43</v>
      </c>
      <c r="L65" s="20" t="n">
        <v>0.1512</v>
      </c>
      <c r="M65" s="20" t="n">
        <v>0</v>
      </c>
      <c r="N65" s="18" t="s">
        <v>476</v>
      </c>
      <c r="O65" s="18" t="s">
        <v>96</v>
      </c>
    </row>
    <row r="66" customFormat="false" ht="15" hidden="false" customHeight="false" outlineLevel="0" collapsed="false">
      <c r="A66" s="13" t="s">
        <v>477</v>
      </c>
      <c r="B66" s="13" t="s">
        <v>478</v>
      </c>
      <c r="C66" s="13" t="s">
        <v>49</v>
      </c>
      <c r="D66" s="13" t="s">
        <v>78</v>
      </c>
      <c r="E66" s="14" t="n">
        <v>-110</v>
      </c>
      <c r="F66" s="17" t="n">
        <v>25</v>
      </c>
      <c r="G66" s="13" t="s">
        <v>456</v>
      </c>
      <c r="H66" s="17" t="n">
        <f aca="false">IF(OR($G66="",$G66="Pending"),"",ROUND(IF($G66="Win",IF($E66&gt;0,$F66*$E66/100,$F66*100/-$E66),IF($G66="Loss",-$F66,0)),2))</f>
        <v>-25</v>
      </c>
      <c r="I66" s="17" t="n">
        <f aca="false">Settings!$B$5+SUM($H$6:$H66)</f>
        <v>606.84</v>
      </c>
      <c r="J66" s="15" t="n">
        <f aca="false">IFERROR(SUM($H$6:$H66)/SUMIF($G$6:$G66,"&lt;&gt;Pending",$F$6:$F66),"")</f>
        <v>0.388509090909091</v>
      </c>
      <c r="K66" s="13" t="s">
        <v>43</v>
      </c>
      <c r="L66" s="15" t="n">
        <v>0.1724</v>
      </c>
      <c r="M66" s="15" t="n">
        <v>0</v>
      </c>
      <c r="N66" s="13" t="s">
        <v>479</v>
      </c>
      <c r="O66" s="13" t="s">
        <v>96</v>
      </c>
    </row>
    <row r="67" customFormat="false" ht="15" hidden="false" customHeight="false" outlineLevel="0" collapsed="false">
      <c r="A67" s="18" t="s">
        <v>477</v>
      </c>
      <c r="B67" s="18" t="s">
        <v>480</v>
      </c>
      <c r="C67" s="18" t="s">
        <v>45</v>
      </c>
      <c r="D67" s="18" t="s">
        <v>143</v>
      </c>
      <c r="E67" s="19" t="n">
        <v>-110</v>
      </c>
      <c r="F67" s="22" t="n">
        <v>25</v>
      </c>
      <c r="G67" s="18" t="s">
        <v>450</v>
      </c>
      <c r="H67" s="22" t="n">
        <f aca="false">IF(OR($G67="",$G67="Pending"),"",ROUND(IF($G67="Win",IF($E67&gt;0,$F67*$E67/100,$F67*100/-$E67),IF($G67="Loss",-$F67,0)),2))</f>
        <v>22.73</v>
      </c>
      <c r="I67" s="22" t="n">
        <f aca="false">Settings!$B$5+SUM($H$6:$H67)</f>
        <v>629.57</v>
      </c>
      <c r="J67" s="20" t="n">
        <f aca="false">IFERROR(SUM($H$6:$H67)/SUMIF($G$6:$G67,"&lt;&gt;Pending",$F$6:$F67),"")</f>
        <v>0.4319</v>
      </c>
      <c r="K67" s="18" t="s">
        <v>43</v>
      </c>
      <c r="L67" s="20" t="n">
        <v>0.1398</v>
      </c>
      <c r="M67" s="20" t="n">
        <v>0</v>
      </c>
      <c r="N67" s="18" t="s">
        <v>481</v>
      </c>
      <c r="O67" s="18" t="s">
        <v>96</v>
      </c>
    </row>
    <row r="68" customFormat="false" ht="15" hidden="false" customHeight="false" outlineLevel="0" collapsed="false">
      <c r="A68" s="13" t="s">
        <v>477</v>
      </c>
      <c r="B68" s="13" t="s">
        <v>482</v>
      </c>
      <c r="C68" s="13" t="s">
        <v>45</v>
      </c>
      <c r="D68" s="13" t="s">
        <v>483</v>
      </c>
      <c r="E68" s="14" t="n">
        <v>-110</v>
      </c>
      <c r="F68" s="17" t="n">
        <v>25</v>
      </c>
      <c r="G68" s="13" t="s">
        <v>456</v>
      </c>
      <c r="H68" s="17" t="n">
        <f aca="false">IF(OR($G68="",$G68="Pending"),"",ROUND(IF($G68="Win",IF($E68&gt;0,$F68*$E68/100,$F68*100/-$E68),IF($G68="Loss",-$F68,0)),2))</f>
        <v>-25</v>
      </c>
      <c r="I68" s="17" t="n">
        <f aca="false">Settings!$B$5+SUM($H$6:$H68)</f>
        <v>604.57</v>
      </c>
      <c r="J68" s="15" t="n">
        <f aca="false">IFERROR(SUM($H$6:$H68)/SUMIF($G$6:$G68,"&lt;&gt;Pending",$F$6:$F68),"")</f>
        <v>0.321753846153846</v>
      </c>
      <c r="K68" s="13" t="s">
        <v>43</v>
      </c>
      <c r="L68" s="15" t="n">
        <v>0.1964</v>
      </c>
      <c r="M68" s="15" t="n">
        <v>0</v>
      </c>
      <c r="N68" s="13" t="s">
        <v>484</v>
      </c>
      <c r="O68" s="13" t="s">
        <v>96</v>
      </c>
    </row>
    <row r="69" customFormat="false" ht="15" hidden="false" customHeight="false" outlineLevel="0" collapsed="false">
      <c r="A69" s="18" t="s">
        <v>477</v>
      </c>
      <c r="B69" s="18" t="s">
        <v>485</v>
      </c>
      <c r="C69" s="18" t="s">
        <v>45</v>
      </c>
      <c r="D69" s="18" t="s">
        <v>486</v>
      </c>
      <c r="E69" s="19" t="n">
        <v>-110</v>
      </c>
      <c r="F69" s="22" t="n">
        <v>25</v>
      </c>
      <c r="G69" s="18" t="s">
        <v>450</v>
      </c>
      <c r="H69" s="22" t="n">
        <f aca="false">IF(OR($G69="",$G69="Pending"),"",ROUND(IF($G69="Win",IF($E69&gt;0,$F69*$E69/100,$F69*100/-$E69),IF($G69="Loss",-$F69,0)),2))</f>
        <v>22.73</v>
      </c>
      <c r="I69" s="22" t="n">
        <f aca="false">Settings!$B$5+SUM($H$6:$H69)</f>
        <v>627.3</v>
      </c>
      <c r="J69" s="20" t="n">
        <f aca="false">IFERROR(SUM($H$6:$H69)/SUMIF($G$6:$G69,"&lt;&gt;Pending",$F$6:$F69),"")</f>
        <v>0.363714285714286</v>
      </c>
      <c r="K69" s="18" t="s">
        <v>43</v>
      </c>
      <c r="L69" s="20" t="n">
        <v>0.1586</v>
      </c>
      <c r="M69" s="20" t="n">
        <v>0</v>
      </c>
      <c r="N69" s="18" t="s">
        <v>487</v>
      </c>
      <c r="O69" s="18" t="s">
        <v>96</v>
      </c>
    </row>
    <row r="70" customFormat="false" ht="15" hidden="false" customHeight="false" outlineLevel="0" collapsed="false">
      <c r="A70" s="13" t="s">
        <v>477</v>
      </c>
      <c r="B70" s="13" t="s">
        <v>488</v>
      </c>
      <c r="C70" s="13" t="s">
        <v>45</v>
      </c>
      <c r="D70" s="13" t="s">
        <v>489</v>
      </c>
      <c r="E70" s="14" t="n">
        <v>-110</v>
      </c>
      <c r="F70" s="17" t="n">
        <v>25</v>
      </c>
      <c r="G70" s="13" t="s">
        <v>456</v>
      </c>
      <c r="H70" s="17" t="n">
        <f aca="false">IF(OR($G70="",$G70="Pending"),"",ROUND(IF($G70="Win",IF($E70&gt;0,$F70*$E70/100,$F70*100/-$E70),IF($G70="Loss",-$F70,0)),2))</f>
        <v>-25</v>
      </c>
      <c r="I70" s="17" t="n">
        <f aca="false">Settings!$B$5+SUM($H$6:$H70)</f>
        <v>602.3</v>
      </c>
      <c r="J70" s="15" t="n">
        <f aca="false">IFERROR(SUM($H$6:$H70)/SUMIF($G$6:$G70,"&lt;&gt;Pending",$F$6:$F70),"")</f>
        <v>0.2728</v>
      </c>
      <c r="K70" s="13" t="s">
        <v>43</v>
      </c>
      <c r="L70" s="15" t="n">
        <v>0.1441</v>
      </c>
      <c r="M70" s="15" t="n">
        <v>0</v>
      </c>
      <c r="N70" s="13" t="s">
        <v>490</v>
      </c>
      <c r="O70" s="13" t="s">
        <v>96</v>
      </c>
    </row>
    <row r="71" customFormat="false" ht="15" hidden="false" customHeight="false" outlineLevel="0" collapsed="false">
      <c r="A71" s="18" t="s">
        <v>477</v>
      </c>
      <c r="B71" s="18" t="s">
        <v>491</v>
      </c>
      <c r="C71" s="18" t="s">
        <v>49</v>
      </c>
      <c r="D71" s="18" t="s">
        <v>492</v>
      </c>
      <c r="E71" s="19" t="n">
        <v>-110</v>
      </c>
      <c r="F71" s="22" t="n">
        <v>25</v>
      </c>
      <c r="G71" s="18" t="s">
        <v>450</v>
      </c>
      <c r="H71" s="22" t="n">
        <f aca="false">IF(OR($G71="",$G71="Pending"),"",ROUND(IF($G71="Win",IF($E71&gt;0,$F71*$E71/100,$F71*100/-$E71),IF($G71="Loss",-$F71,0)),2))</f>
        <v>22.73</v>
      </c>
      <c r="I71" s="22" t="n">
        <f aca="false">Settings!$B$5+SUM($H$6:$H71)</f>
        <v>625.03</v>
      </c>
      <c r="J71" s="20" t="n">
        <f aca="false">IFERROR(SUM($H$6:$H71)/SUMIF($G$6:$G71,"&lt;&gt;Pending",$F$6:$F71),"")</f>
        <v>0.312575</v>
      </c>
      <c r="K71" s="18" t="s">
        <v>43</v>
      </c>
      <c r="L71" s="20" t="n">
        <v>0.1657</v>
      </c>
      <c r="M71" s="20" t="n">
        <v>0</v>
      </c>
      <c r="N71" s="18" t="s">
        <v>493</v>
      </c>
      <c r="O71" s="18" t="s">
        <v>96</v>
      </c>
    </row>
    <row r="72" customFormat="false" ht="15" hidden="false" customHeight="false" outlineLevel="0" collapsed="false">
      <c r="A72" s="13" t="s">
        <v>477</v>
      </c>
      <c r="B72" s="13" t="s">
        <v>494</v>
      </c>
      <c r="C72" s="13" t="s">
        <v>45</v>
      </c>
      <c r="D72" s="13" t="s">
        <v>495</v>
      </c>
      <c r="E72" s="14" t="n">
        <v>-110</v>
      </c>
      <c r="F72" s="17" t="n">
        <v>25</v>
      </c>
      <c r="G72" s="13" t="s">
        <v>456</v>
      </c>
      <c r="H72" s="17" t="n">
        <f aca="false">IF(OR($G72="",$G72="Pending"),"",ROUND(IF($G72="Win",IF($E72&gt;0,$F72*$E72/100,$F72*100/-$E72),IF($G72="Loss",-$F72,0)),2))</f>
        <v>-25</v>
      </c>
      <c r="I72" s="17" t="n">
        <f aca="false">Settings!$B$5+SUM($H$6:$H72)</f>
        <v>600.03</v>
      </c>
      <c r="J72" s="15" t="n">
        <f aca="false">IFERROR(SUM($H$6:$H72)/SUMIF($G$6:$G72,"&lt;&gt;Pending",$F$6:$F72),"")</f>
        <v>0.235364705882353</v>
      </c>
      <c r="K72" s="13" t="s">
        <v>43</v>
      </c>
      <c r="L72" s="15" t="n">
        <v>0.199</v>
      </c>
      <c r="M72" s="15" t="n">
        <v>0</v>
      </c>
      <c r="N72" s="13" t="s">
        <v>496</v>
      </c>
      <c r="O72" s="13" t="s">
        <v>96</v>
      </c>
    </row>
    <row r="73" customFormat="false" ht="15" hidden="false" customHeight="false" outlineLevel="0" collapsed="false">
      <c r="A73" s="18" t="s">
        <v>477</v>
      </c>
      <c r="B73" s="18" t="s">
        <v>497</v>
      </c>
      <c r="C73" s="18" t="s">
        <v>49</v>
      </c>
      <c r="D73" s="18" t="s">
        <v>193</v>
      </c>
      <c r="E73" s="19" t="n">
        <v>-110</v>
      </c>
      <c r="F73" s="22" t="n">
        <v>25</v>
      </c>
      <c r="G73" s="18" t="s">
        <v>450</v>
      </c>
      <c r="H73" s="22" t="n">
        <f aca="false">IF(OR($G73="",$G73="Pending"),"",ROUND(IF($G73="Win",IF($E73&gt;0,$F73*$E73/100,$F73*100/-$E73),IF($G73="Loss",-$F73,0)),2))</f>
        <v>22.73</v>
      </c>
      <c r="I73" s="22" t="n">
        <f aca="false">Settings!$B$5+SUM($H$6:$H73)</f>
        <v>622.76</v>
      </c>
      <c r="J73" s="20" t="n">
        <f aca="false">IFERROR(SUM($H$6:$H73)/SUMIF($G$6:$G73,"&lt;&gt;Pending",$F$6:$F73),"")</f>
        <v>0.2728</v>
      </c>
      <c r="K73" s="18" t="s">
        <v>43</v>
      </c>
      <c r="L73" s="20" t="n">
        <v>0.1005</v>
      </c>
      <c r="M73" s="20" t="n">
        <v>0</v>
      </c>
      <c r="N73" s="18" t="s">
        <v>498</v>
      </c>
      <c r="O73" s="18" t="s">
        <v>96</v>
      </c>
    </row>
    <row r="74" customFormat="false" ht="15" hidden="false" customHeight="false" outlineLevel="0" collapsed="false">
      <c r="A74" s="13" t="s">
        <v>477</v>
      </c>
      <c r="B74" s="13" t="s">
        <v>499</v>
      </c>
      <c r="C74" s="13" t="s">
        <v>73</v>
      </c>
      <c r="D74" s="13" t="s">
        <v>110</v>
      </c>
      <c r="E74" s="14" t="n">
        <v>588</v>
      </c>
      <c r="F74" s="17" t="n">
        <v>25</v>
      </c>
      <c r="G74" s="13" t="s">
        <v>456</v>
      </c>
      <c r="H74" s="17" t="n">
        <f aca="false">IF(OR($G74="",$G74="Pending"),"",ROUND(IF($G74="Win",IF($E74&gt;0,$F74*$E74/100,$F74*100/-$E74),IF($G74="Loss",-$F74,0)),2))</f>
        <v>-25</v>
      </c>
      <c r="I74" s="17" t="n">
        <f aca="false">Settings!$B$5+SUM($H$6:$H74)</f>
        <v>597.76</v>
      </c>
      <c r="J74" s="15" t="n">
        <f aca="false">IFERROR(SUM($H$6:$H74)/SUMIF($G$6:$G74,"&lt;&gt;Pending",$F$6:$F74),"")</f>
        <v>0.205810526315789</v>
      </c>
      <c r="K74" s="13" t="s">
        <v>43</v>
      </c>
      <c r="L74" s="15" t="n">
        <v>0.1828</v>
      </c>
      <c r="M74" s="15" t="n">
        <v>0</v>
      </c>
      <c r="N74" s="13" t="s">
        <v>500</v>
      </c>
      <c r="O74" s="13" t="s">
        <v>96</v>
      </c>
    </row>
    <row r="75" customFormat="false" ht="15" hidden="false" customHeight="false" outlineLevel="0" collapsed="false">
      <c r="A75" s="18" t="s">
        <v>477</v>
      </c>
      <c r="B75" s="18" t="s">
        <v>501</v>
      </c>
      <c r="C75" s="18" t="s">
        <v>73</v>
      </c>
      <c r="D75" s="18" t="s">
        <v>74</v>
      </c>
      <c r="E75" s="19" t="n">
        <v>398</v>
      </c>
      <c r="F75" s="22" t="n">
        <v>18.5</v>
      </c>
      <c r="G75" s="18" t="s">
        <v>456</v>
      </c>
      <c r="H75" s="22" t="n">
        <f aca="false">IF(OR($G75="",$G75="Pending"),"",ROUND(IF($G75="Win",IF($E75&gt;0,$F75*$E75/100,$F75*100/-$E75),IF($G75="Loss",-$F75,0)),2))</f>
        <v>-18.5</v>
      </c>
      <c r="I75" s="22" t="n">
        <f aca="false">Settings!$B$5+SUM($H$6:$H75)</f>
        <v>579.26</v>
      </c>
      <c r="J75" s="20" t="n">
        <f aca="false">IFERROR(SUM($H$6:$H75)/SUMIF($G$6:$G75,"&lt;&gt;Pending",$F$6:$F75),"")</f>
        <v>0.160607902735562</v>
      </c>
      <c r="K75" s="18" t="s">
        <v>43</v>
      </c>
      <c r="L75" s="20" t="n">
        <v>0.1186</v>
      </c>
      <c r="M75" s="20" t="n">
        <v>0</v>
      </c>
      <c r="N75" s="18" t="s">
        <v>502</v>
      </c>
      <c r="O75" s="18" t="s">
        <v>96</v>
      </c>
    </row>
    <row r="76" customFormat="false" ht="15" hidden="false" customHeight="false" outlineLevel="0" collapsed="false">
      <c r="A76" s="13" t="s">
        <v>503</v>
      </c>
      <c r="B76" s="13" t="s">
        <v>504</v>
      </c>
      <c r="C76" s="13" t="s">
        <v>45</v>
      </c>
      <c r="D76" s="13" t="s">
        <v>505</v>
      </c>
      <c r="E76" s="14" t="n">
        <v>-110</v>
      </c>
      <c r="F76" s="17" t="n">
        <v>25</v>
      </c>
      <c r="G76" s="13" t="s">
        <v>456</v>
      </c>
      <c r="H76" s="17" t="n">
        <f aca="false">IF(OR($G76="",$G76="Pending"),"",ROUND(IF($G76="Win",IF($E76&gt;0,$F76*$E76/100,$F76*100/-$E76),IF($G76="Loss",-$F76,0)),2))</f>
        <v>-25</v>
      </c>
      <c r="I76" s="17" t="n">
        <f aca="false">Settings!$B$5+SUM($H$6:$H76)</f>
        <v>554.26</v>
      </c>
      <c r="J76" s="15" t="n">
        <f aca="false">IFERROR(SUM($H$6:$H76)/SUMIF($G$6:$G76,"&lt;&gt;Pending",$F$6:$F76),"")</f>
        <v>0.104648023143684</v>
      </c>
      <c r="K76" s="13" t="s">
        <v>43</v>
      </c>
      <c r="L76" s="15" t="n">
        <v>0.193</v>
      </c>
      <c r="M76" s="15" t="n">
        <v>0</v>
      </c>
      <c r="N76" s="13" t="s">
        <v>506</v>
      </c>
      <c r="O76" s="13" t="s">
        <v>96</v>
      </c>
    </row>
    <row r="77" customFormat="false" ht="15" hidden="false" customHeight="false" outlineLevel="0" collapsed="false">
      <c r="A77" s="18" t="s">
        <v>503</v>
      </c>
      <c r="B77" s="18" t="s">
        <v>507</v>
      </c>
      <c r="C77" s="18" t="s">
        <v>45</v>
      </c>
      <c r="D77" s="18" t="s">
        <v>508</v>
      </c>
      <c r="E77" s="19" t="n">
        <v>-110</v>
      </c>
      <c r="F77" s="22" t="n">
        <v>25</v>
      </c>
      <c r="G77" s="18" t="s">
        <v>450</v>
      </c>
      <c r="H77" s="22" t="n">
        <f aca="false">IF(OR($G77="",$G77="Pending"),"",ROUND(IF($G77="Win",IF($E77&gt;0,$F77*$E77/100,$F77*100/-$E77),IF($G77="Loss",-$F77,0)),2))</f>
        <v>22.73</v>
      </c>
      <c r="I77" s="22" t="n">
        <f aca="false">Settings!$B$5+SUM($H$6:$H77)</f>
        <v>576.99</v>
      </c>
      <c r="J77" s="20" t="n">
        <f aca="false">IFERROR(SUM($H$6:$H77)/SUMIF($G$6:$G77,"&lt;&gt;Pending",$F$6:$F77),"")</f>
        <v>0.14165593376265</v>
      </c>
      <c r="K77" s="18" t="s">
        <v>43</v>
      </c>
      <c r="L77" s="20" t="n">
        <v>0.1879</v>
      </c>
      <c r="M77" s="20" t="n">
        <v>0</v>
      </c>
      <c r="N77" s="18" t="s">
        <v>509</v>
      </c>
      <c r="O77" s="18" t="s">
        <v>96</v>
      </c>
    </row>
    <row r="78" customFormat="false" ht="15" hidden="false" customHeight="false" outlineLevel="0" collapsed="false">
      <c r="A78" s="13" t="s">
        <v>503</v>
      </c>
      <c r="B78" s="13" t="s">
        <v>510</v>
      </c>
      <c r="C78" s="13" t="s">
        <v>49</v>
      </c>
      <c r="D78" s="13" t="s">
        <v>211</v>
      </c>
      <c r="E78" s="14" t="n">
        <v>-110</v>
      </c>
      <c r="F78" s="17" t="n">
        <v>25</v>
      </c>
      <c r="G78" s="13" t="s">
        <v>450</v>
      </c>
      <c r="H78" s="17" t="n">
        <f aca="false">IF(OR($G78="",$G78="Pending"),"",ROUND(IF($G78="Win",IF($E78&gt;0,$F78*$E78/100,$F78*100/-$E78),IF($G78="Loss",-$F78,0)),2))</f>
        <v>22.73</v>
      </c>
      <c r="I78" s="17" t="n">
        <f aca="false">Settings!$B$5+SUM($H$6:$H78)</f>
        <v>599.72</v>
      </c>
      <c r="J78" s="15" t="n">
        <f aca="false">IFERROR(SUM($H$6:$H78)/SUMIF($G$6:$G78,"&lt;&gt;Pending",$F$6:$F78),"")</f>
        <v>0.175408970976253</v>
      </c>
      <c r="K78" s="13" t="s">
        <v>43</v>
      </c>
      <c r="L78" s="15" t="n">
        <v>0.1053</v>
      </c>
      <c r="M78" s="15" t="n">
        <v>0</v>
      </c>
      <c r="N78" s="13" t="s">
        <v>511</v>
      </c>
      <c r="O78" s="13" t="s">
        <v>96</v>
      </c>
    </row>
    <row r="79" customFormat="false" ht="15" hidden="false" customHeight="false" outlineLevel="0" collapsed="false">
      <c r="A79" s="18" t="s">
        <v>503</v>
      </c>
      <c r="B79" s="18" t="s">
        <v>512</v>
      </c>
      <c r="C79" s="18" t="s">
        <v>45</v>
      </c>
      <c r="D79" s="18" t="s">
        <v>513</v>
      </c>
      <c r="E79" s="19" t="n">
        <v>-110</v>
      </c>
      <c r="F79" s="22" t="n">
        <v>25</v>
      </c>
      <c r="G79" s="18" t="s">
        <v>456</v>
      </c>
      <c r="H79" s="22" t="n">
        <f aca="false">IF(OR($G79="",$G79="Pending"),"",ROUND(IF($G79="Win",IF($E79&gt;0,$F79*$E79/100,$F79*100/-$E79),IF($G79="Loss",-$F79,0)),2))</f>
        <v>-25</v>
      </c>
      <c r="I79" s="22" t="n">
        <f aca="false">Settings!$B$5+SUM($H$6:$H79)</f>
        <v>574.72</v>
      </c>
      <c r="J79" s="20" t="n">
        <f aca="false">IFERROR(SUM($H$6:$H79)/SUMIF($G$6:$G79,"&lt;&gt;Pending",$F$6:$F79),"")</f>
        <v>0.125897219882056</v>
      </c>
      <c r="K79" s="18" t="s">
        <v>43</v>
      </c>
      <c r="L79" s="20" t="n">
        <v>0.1458</v>
      </c>
      <c r="M79" s="20" t="n">
        <v>0</v>
      </c>
      <c r="N79" s="18" t="s">
        <v>514</v>
      </c>
      <c r="O79" s="18" t="s">
        <v>96</v>
      </c>
    </row>
    <row r="80" customFormat="false" ht="15" hidden="false" customHeight="false" outlineLevel="0" collapsed="false">
      <c r="A80" s="13" t="s">
        <v>503</v>
      </c>
      <c r="B80" s="13" t="s">
        <v>515</v>
      </c>
      <c r="C80" s="13" t="s">
        <v>73</v>
      </c>
      <c r="D80" s="13" t="s">
        <v>314</v>
      </c>
      <c r="E80" s="14" t="n">
        <v>514</v>
      </c>
      <c r="F80" s="17" t="n">
        <v>25</v>
      </c>
      <c r="G80" s="13" t="s">
        <v>92</v>
      </c>
      <c r="H80" s="17" t="n">
        <f aca="false">IF(OR($G80="",$G80="Pending"),"",ROUND(IF($G80="Win",IF($E80&gt;0,$F80*$E80/100,$F80*100/-$E80),IF($G80="Loss",-$F80,0)),2))</f>
        <v>0</v>
      </c>
      <c r="I80" s="17" t="n">
        <f aca="false">Settings!$B$5+SUM($H$6:$H80)</f>
        <v>574.72</v>
      </c>
      <c r="J80" s="15" t="n">
        <f aca="false">IFERROR(SUM($H$6:$H80)/SUMIF($G$6:$G80,"&lt;&gt;Pending",$F$6:$F80),"")</f>
        <v>0.120808407437348</v>
      </c>
      <c r="K80" s="13" t="s">
        <v>43</v>
      </c>
      <c r="L80" s="15" t="n">
        <v>0.1778</v>
      </c>
      <c r="M80" s="15" t="n">
        <v>0</v>
      </c>
      <c r="N80" s="13" t="s">
        <v>516</v>
      </c>
      <c r="O80" s="13" t="s">
        <v>96</v>
      </c>
    </row>
    <row r="81" customFormat="false" ht="15" hidden="false" customHeight="false" outlineLevel="0" collapsed="false">
      <c r="A81" s="18" t="s">
        <v>503</v>
      </c>
      <c r="B81" s="18" t="s">
        <v>517</v>
      </c>
      <c r="C81" s="18" t="s">
        <v>45</v>
      </c>
      <c r="D81" s="18" t="s">
        <v>518</v>
      </c>
      <c r="E81" s="19" t="n">
        <v>-110</v>
      </c>
      <c r="F81" s="22" t="n">
        <v>25</v>
      </c>
      <c r="G81" s="18" t="s">
        <v>450</v>
      </c>
      <c r="H81" s="22" t="n">
        <f aca="false">IF(OR($G81="",$G81="Pending"),"",ROUND(IF($G81="Win",IF($E81&gt;0,$F81*$E81/100,$F81*100/-$E81),IF($G81="Loss",-$F81,0)),2))</f>
        <v>22.73</v>
      </c>
      <c r="I81" s="22" t="n">
        <f aca="false">Settings!$B$5+SUM($H$6:$H81)</f>
        <v>597.45</v>
      </c>
      <c r="J81" s="20" t="n">
        <f aca="false">IFERROR(SUM($H$6:$H81)/SUMIF($G$6:$G81,"&lt;&gt;Pending",$F$6:$F81),"")</f>
        <v>0.151437451437451</v>
      </c>
      <c r="K81" s="18" t="s">
        <v>43</v>
      </c>
      <c r="L81" s="20" t="n">
        <v>0.1409</v>
      </c>
      <c r="M81" s="20" t="n">
        <v>0</v>
      </c>
      <c r="N81" s="18" t="s">
        <v>519</v>
      </c>
      <c r="O81" s="18" t="s">
        <v>96</v>
      </c>
    </row>
    <row r="82" customFormat="false" ht="15" hidden="false" customHeight="false" outlineLevel="0" collapsed="false">
      <c r="A82" s="13" t="s">
        <v>503</v>
      </c>
      <c r="B82" s="13" t="s">
        <v>520</v>
      </c>
      <c r="C82" s="13" t="s">
        <v>45</v>
      </c>
      <c r="D82" s="13" t="s">
        <v>521</v>
      </c>
      <c r="E82" s="14" t="n">
        <v>-110</v>
      </c>
      <c r="F82" s="17" t="n">
        <v>25</v>
      </c>
      <c r="G82" s="13" t="s">
        <v>456</v>
      </c>
      <c r="H82" s="17" t="n">
        <f aca="false">IF(OR($G82="",$G82="Pending"),"",ROUND(IF($G82="Win",IF($E82&gt;0,$F82*$E82/100,$F82*100/-$E82),IF($G82="Loss",-$F82,0)),2))</f>
        <v>-25</v>
      </c>
      <c r="I82" s="17" t="n">
        <f aca="false">Settings!$B$5+SUM($H$6:$H82)</f>
        <v>572.45</v>
      </c>
      <c r="J82" s="15" t="n">
        <f aca="false">IFERROR(SUM($H$6:$H82)/SUMIF($G$6:$G82,"&lt;&gt;Pending",$F$6:$F82),"")</f>
        <v>0.108376963350785</v>
      </c>
      <c r="K82" s="13" t="s">
        <v>43</v>
      </c>
      <c r="L82" s="15" t="n">
        <v>0.1135</v>
      </c>
      <c r="M82" s="15" t="n">
        <v>0</v>
      </c>
      <c r="N82" s="13" t="s">
        <v>522</v>
      </c>
      <c r="O82" s="13" t="s">
        <v>96</v>
      </c>
    </row>
    <row r="83" customFormat="false" ht="15" hidden="false" customHeight="false" outlineLevel="0" collapsed="false">
      <c r="A83" s="18" t="s">
        <v>503</v>
      </c>
      <c r="B83" s="18" t="s">
        <v>523</v>
      </c>
      <c r="C83" s="18" t="s">
        <v>49</v>
      </c>
      <c r="D83" s="18" t="s">
        <v>137</v>
      </c>
      <c r="E83" s="19" t="n">
        <v>-110</v>
      </c>
      <c r="F83" s="22" t="n">
        <v>24.5</v>
      </c>
      <c r="G83" s="18" t="s">
        <v>456</v>
      </c>
      <c r="H83" s="22" t="n">
        <f aca="false">IF(OR($G83="",$G83="Pending"),"",ROUND(IF($G83="Win",IF($E83&gt;0,$F83*$E83/100,$F83*100/-$E83),IF($G83="Loss",-$F83,0)),2))</f>
        <v>-24.5</v>
      </c>
      <c r="I83" s="22" t="n">
        <f aca="false">Settings!$B$5+SUM($H$6:$H83)</f>
        <v>547.95</v>
      </c>
      <c r="J83" s="20" t="n">
        <f aca="false">IFERROR(SUM($H$6:$H83)/SUMIF($G$6:$G83,"&lt;&gt;Pending",$F$6:$F83),"")</f>
        <v>0.0691919191919192</v>
      </c>
      <c r="K83" s="18" t="s">
        <v>43</v>
      </c>
      <c r="L83" s="20" t="n">
        <v>0.0924</v>
      </c>
      <c r="M83" s="20" t="n">
        <v>0</v>
      </c>
      <c r="N83" s="18" t="s">
        <v>524</v>
      </c>
      <c r="O83" s="18" t="s">
        <v>96</v>
      </c>
    </row>
    <row r="84" customFormat="false" ht="15" hidden="false" customHeight="false" outlineLevel="0" collapsed="false">
      <c r="A84" s="13" t="s">
        <v>503</v>
      </c>
      <c r="B84" s="13" t="s">
        <v>525</v>
      </c>
      <c r="C84" s="13" t="s">
        <v>49</v>
      </c>
      <c r="D84" s="13" t="s">
        <v>137</v>
      </c>
      <c r="E84" s="14" t="n">
        <v>-110</v>
      </c>
      <c r="F84" s="17" t="n">
        <v>25</v>
      </c>
      <c r="G84" s="13" t="s">
        <v>450</v>
      </c>
      <c r="H84" s="17" t="n">
        <f aca="false">IF(OR($G84="",$G84="Pending"),"",ROUND(IF($G84="Win",IF($E84&gt;0,$F84*$E84/100,$F84*100/-$E84),IF($G84="Loss",-$F84,0)),2))</f>
        <v>22.73</v>
      </c>
      <c r="I84" s="17" t="n">
        <f aca="false">Settings!$B$5+SUM($H$6:$H84)</f>
        <v>570.68</v>
      </c>
      <c r="J84" s="15" t="n">
        <f aca="false">IFERROR(SUM($H$6:$H84)/SUMIF($G$6:$G84,"&lt;&gt;Pending",$F$6:$F84),"")</f>
        <v>0.0984401114206128</v>
      </c>
      <c r="K84" s="13" t="s">
        <v>43</v>
      </c>
      <c r="L84" s="15" t="n">
        <v>0.1562</v>
      </c>
      <c r="M84" s="15" t="n">
        <v>0</v>
      </c>
      <c r="N84" s="13" t="s">
        <v>526</v>
      </c>
      <c r="O84" s="13" t="s">
        <v>96</v>
      </c>
    </row>
    <row r="85" customFormat="false" ht="15" hidden="false" customHeight="false" outlineLevel="0" collapsed="false">
      <c r="A85" s="18" t="s">
        <v>503</v>
      </c>
      <c r="B85" s="18" t="s">
        <v>527</v>
      </c>
      <c r="C85" s="18" t="s">
        <v>45</v>
      </c>
      <c r="D85" s="18" t="s">
        <v>528</v>
      </c>
      <c r="E85" s="19" t="n">
        <v>-110</v>
      </c>
      <c r="F85" s="22" t="n">
        <v>24.5</v>
      </c>
      <c r="G85" s="18" t="s">
        <v>450</v>
      </c>
      <c r="H85" s="22" t="n">
        <f aca="false">IF(OR($G85="",$G85="Pending"),"",ROUND(IF($G85="Win",IF($E85&gt;0,$F85*$E85/100,$F85*100/-$E85),IF($G85="Loss",-$F85,0)),2))</f>
        <v>22.27</v>
      </c>
      <c r="I85" s="22" t="n">
        <f aca="false">Settings!$B$5+SUM($H$6:$H85)</f>
        <v>592.95</v>
      </c>
      <c r="J85" s="20" t="n">
        <f aca="false">IFERROR(SUM($H$6:$H85)/SUMIF($G$6:$G85,"&lt;&gt;Pending",$F$6:$F85),"")</f>
        <v>0.125185185185185</v>
      </c>
      <c r="K85" s="18" t="s">
        <v>43</v>
      </c>
      <c r="L85" s="20" t="n">
        <v>0.0935</v>
      </c>
      <c r="M85" s="20" t="n">
        <v>0</v>
      </c>
      <c r="N85" s="18" t="s">
        <v>529</v>
      </c>
      <c r="O85" s="18" t="s">
        <v>96</v>
      </c>
    </row>
    <row r="86" customFormat="false" ht="15" hidden="false" customHeight="false" outlineLevel="0" collapsed="false">
      <c r="A86" s="13" t="s">
        <v>530</v>
      </c>
      <c r="B86" s="13" t="s">
        <v>531</v>
      </c>
      <c r="C86" s="13" t="s">
        <v>45</v>
      </c>
      <c r="D86" s="13" t="s">
        <v>532</v>
      </c>
      <c r="E86" s="14" t="n">
        <v>-110</v>
      </c>
      <c r="F86" s="17" t="n">
        <v>25</v>
      </c>
      <c r="G86" s="13" t="s">
        <v>450</v>
      </c>
      <c r="H86" s="17" t="n">
        <f aca="false">IF(OR($G86="",$G86="Pending"),"",ROUND(IF($G86="Win",IF($E86&gt;0,$F86*$E86/100,$F86*100/-$E86),IF($G86="Loss",-$F86,0)),2))</f>
        <v>22.73</v>
      </c>
      <c r="I86" s="17" t="n">
        <f aca="false">Settings!$B$5+SUM($H$6:$H86)</f>
        <v>615.68</v>
      </c>
      <c r="J86" s="15" t="n">
        <f aca="false">IFERROR(SUM($H$6:$H86)/SUMIF($G$6:$G86,"&lt;&gt;Pending",$F$6:$F86),"")</f>
        <v>0.150723127035831</v>
      </c>
      <c r="K86" s="13" t="s">
        <v>43</v>
      </c>
      <c r="L86" s="15" t="n">
        <v>0.1632</v>
      </c>
      <c r="M86" s="15" t="n">
        <v>0</v>
      </c>
      <c r="N86" s="13" t="s">
        <v>533</v>
      </c>
      <c r="O86" s="13" t="s">
        <v>96</v>
      </c>
    </row>
    <row r="87" customFormat="false" ht="15" hidden="false" customHeight="false" outlineLevel="0" collapsed="false">
      <c r="A87" s="18" t="s">
        <v>530</v>
      </c>
      <c r="B87" s="18" t="s">
        <v>534</v>
      </c>
      <c r="C87" s="18" t="s">
        <v>45</v>
      </c>
      <c r="D87" s="18" t="s">
        <v>535</v>
      </c>
      <c r="E87" s="19" t="n">
        <v>-110</v>
      </c>
      <c r="F87" s="22" t="n">
        <v>25</v>
      </c>
      <c r="G87" s="18" t="s">
        <v>450</v>
      </c>
      <c r="H87" s="22" t="n">
        <f aca="false">IF(OR($G87="",$G87="Pending"),"",ROUND(IF($G87="Win",IF($E87&gt;0,$F87*$E87/100,$F87*100/-$E87),IF($G87="Loss",-$F87,0)),2))</f>
        <v>22.73</v>
      </c>
      <c r="I87" s="22" t="n">
        <f aca="false">Settings!$B$5+SUM($H$6:$H87)</f>
        <v>638.41</v>
      </c>
      <c r="J87" s="20" t="n">
        <f aca="false">IFERROR(SUM($H$6:$H87)/SUMIF($G$6:$G87,"&lt;&gt;Pending",$F$6:$F87),"")</f>
        <v>0.174649842271293</v>
      </c>
      <c r="K87" s="18" t="s">
        <v>43</v>
      </c>
      <c r="L87" s="20" t="n">
        <v>0.1095</v>
      </c>
      <c r="M87" s="20" t="n">
        <v>0</v>
      </c>
      <c r="N87" s="18" t="s">
        <v>536</v>
      </c>
      <c r="O87" s="18" t="s">
        <v>96</v>
      </c>
    </row>
    <row r="88" customFormat="false" ht="15" hidden="false" customHeight="false" outlineLevel="0" collapsed="false">
      <c r="A88" s="13" t="s">
        <v>530</v>
      </c>
      <c r="B88" s="13" t="s">
        <v>537</v>
      </c>
      <c r="C88" s="13" t="s">
        <v>45</v>
      </c>
      <c r="D88" s="13" t="s">
        <v>538</v>
      </c>
      <c r="E88" s="14" t="n">
        <v>-110</v>
      </c>
      <c r="F88" s="17" t="n">
        <v>25</v>
      </c>
      <c r="G88" s="13" t="s">
        <v>92</v>
      </c>
      <c r="H88" s="17" t="n">
        <f aca="false">IF(OR($G88="",$G88="Pending"),"",ROUND(IF($G88="Win",IF($E88&gt;0,$F88*$E88/100,$F88*100/-$E88),IF($G88="Loss",-$F88,0)),2))</f>
        <v>0</v>
      </c>
      <c r="I88" s="17" t="n">
        <f aca="false">Settings!$B$5+SUM($H$6:$H88)</f>
        <v>638.41</v>
      </c>
      <c r="J88" s="15" t="n">
        <f aca="false">IFERROR(SUM($H$6:$H88)/SUMIF($G$6:$G88,"&lt;&gt;Pending",$F$6:$F88),"")</f>
        <v>0.169308868501529</v>
      </c>
      <c r="K88" s="13" t="s">
        <v>43</v>
      </c>
      <c r="L88" s="15" t="n">
        <v>0.1417</v>
      </c>
      <c r="M88" s="15" t="n">
        <v>0</v>
      </c>
      <c r="N88" s="13" t="s">
        <v>539</v>
      </c>
      <c r="O88" s="13" t="s">
        <v>96</v>
      </c>
    </row>
    <row r="89" customFormat="false" ht="15" hidden="false" customHeight="false" outlineLevel="0" collapsed="false">
      <c r="A89" s="18" t="s">
        <v>530</v>
      </c>
      <c r="B89" s="18" t="s">
        <v>540</v>
      </c>
      <c r="C89" s="18" t="s">
        <v>45</v>
      </c>
      <c r="D89" s="18" t="s">
        <v>541</v>
      </c>
      <c r="E89" s="19" t="n">
        <v>-110</v>
      </c>
      <c r="F89" s="22" t="n">
        <v>25</v>
      </c>
      <c r="G89" s="18" t="s">
        <v>450</v>
      </c>
      <c r="H89" s="22" t="n">
        <f aca="false">IF(OR($G89="",$G89="Pending"),"",ROUND(IF($G89="Win",IF($E89&gt;0,$F89*$E89/100,$F89*100/-$E89),IF($G89="Loss",-$F89,0)),2))</f>
        <v>22.73</v>
      </c>
      <c r="I89" s="22" t="n">
        <f aca="false">Settings!$B$5+SUM($H$6:$H89)</f>
        <v>661.14</v>
      </c>
      <c r="J89" s="20" t="n">
        <f aca="false">IFERROR(SUM($H$6:$H89)/SUMIF($G$6:$G89,"&lt;&gt;Pending",$F$6:$F89),"")</f>
        <v>0.19126409495549</v>
      </c>
      <c r="K89" s="18" t="s">
        <v>43</v>
      </c>
      <c r="L89" s="20" t="n">
        <v>0.2124</v>
      </c>
      <c r="M89" s="20" t="n">
        <v>0</v>
      </c>
      <c r="N89" s="18" t="s">
        <v>542</v>
      </c>
      <c r="O89" s="18" t="s">
        <v>96</v>
      </c>
    </row>
    <row r="90" customFormat="false" ht="15" hidden="false" customHeight="false" outlineLevel="0" collapsed="false">
      <c r="A90" s="13" t="s">
        <v>530</v>
      </c>
      <c r="B90" s="13" t="s">
        <v>543</v>
      </c>
      <c r="C90" s="13" t="s">
        <v>49</v>
      </c>
      <c r="D90" s="13" t="s">
        <v>544</v>
      </c>
      <c r="E90" s="14" t="n">
        <v>-110</v>
      </c>
      <c r="F90" s="17" t="n">
        <v>25</v>
      </c>
      <c r="G90" s="13" t="s">
        <v>450</v>
      </c>
      <c r="H90" s="17" t="n">
        <f aca="false">IF(OR($G90="",$G90="Pending"),"",ROUND(IF($G90="Win",IF($E90&gt;0,$F90*$E90/100,$F90*100/-$E90),IF($G90="Loss",-$F90,0)),2))</f>
        <v>22.73</v>
      </c>
      <c r="I90" s="17" t="n">
        <f aca="false">Settings!$B$5+SUM($H$6:$H90)</f>
        <v>683.87</v>
      </c>
      <c r="J90" s="15" t="n">
        <f aca="false">IFERROR(SUM($H$6:$H90)/SUMIF($G$6:$G90,"&lt;&gt;Pending",$F$6:$F90),"")</f>
        <v>0.211953890489914</v>
      </c>
      <c r="K90" s="13" t="s">
        <v>43</v>
      </c>
      <c r="L90" s="15" t="n">
        <v>0.1716</v>
      </c>
      <c r="M90" s="15" t="n">
        <v>0</v>
      </c>
      <c r="N90" s="13" t="s">
        <v>545</v>
      </c>
      <c r="O90" s="13" t="s">
        <v>96</v>
      </c>
    </row>
    <row r="91" customFormat="false" ht="15" hidden="false" customHeight="false" outlineLevel="0" collapsed="false">
      <c r="A91" s="18" t="s">
        <v>530</v>
      </c>
      <c r="B91" s="18" t="s">
        <v>546</v>
      </c>
      <c r="C91" s="18" t="s">
        <v>45</v>
      </c>
      <c r="D91" s="18" t="s">
        <v>547</v>
      </c>
      <c r="E91" s="19" t="n">
        <v>-110</v>
      </c>
      <c r="F91" s="22" t="n">
        <v>25</v>
      </c>
      <c r="G91" s="18" t="s">
        <v>456</v>
      </c>
      <c r="H91" s="22" t="n">
        <f aca="false">IF(OR($G91="",$G91="Pending"),"",ROUND(IF($G91="Win",IF($E91&gt;0,$F91*$E91/100,$F91*100/-$E91),IF($G91="Loss",-$F91,0)),2))</f>
        <v>-25</v>
      </c>
      <c r="I91" s="22" t="n">
        <f aca="false">Settings!$B$5+SUM($H$6:$H91)</f>
        <v>658.87</v>
      </c>
      <c r="J91" s="20" t="n">
        <f aca="false">IFERROR(SUM($H$6:$H91)/SUMIF($G$6:$G91,"&lt;&gt;Pending",$F$6:$F91),"")</f>
        <v>0.178005602240896</v>
      </c>
      <c r="K91" s="18" t="s">
        <v>43</v>
      </c>
      <c r="L91" s="20" t="n">
        <v>0.1669</v>
      </c>
      <c r="M91" s="20" t="n">
        <v>0</v>
      </c>
      <c r="N91" s="18" t="s">
        <v>548</v>
      </c>
      <c r="O91" s="18" t="s">
        <v>96</v>
      </c>
    </row>
    <row r="92" customFormat="false" ht="15" hidden="false" customHeight="false" outlineLevel="0" collapsed="false">
      <c r="A92" s="13" t="s">
        <v>530</v>
      </c>
      <c r="B92" s="13" t="s">
        <v>549</v>
      </c>
      <c r="C92" s="13" t="s">
        <v>45</v>
      </c>
      <c r="D92" s="13" t="s">
        <v>550</v>
      </c>
      <c r="E92" s="14" t="n">
        <v>-110</v>
      </c>
      <c r="F92" s="17" t="n">
        <v>25</v>
      </c>
      <c r="G92" s="13" t="s">
        <v>456</v>
      </c>
      <c r="H92" s="17" t="n">
        <f aca="false">IF(OR($G92="",$G92="Pending"),"",ROUND(IF($G92="Win",IF($E92&gt;0,$F92*$E92/100,$F92*100/-$E92),IF($G92="Loss",-$F92,0)),2))</f>
        <v>-25</v>
      </c>
      <c r="I92" s="17" t="n">
        <f aca="false">Settings!$B$5+SUM($H$6:$H92)</f>
        <v>633.87</v>
      </c>
      <c r="J92" s="15" t="n">
        <f aca="false">IFERROR(SUM($H$6:$H92)/SUMIF($G$6:$G92,"&lt;&gt;Pending",$F$6:$F92),"")</f>
        <v>0.145907356948229</v>
      </c>
      <c r="K92" s="13" t="s">
        <v>43</v>
      </c>
      <c r="L92" s="15" t="n">
        <v>0.1927</v>
      </c>
      <c r="M92" s="15" t="n">
        <v>0</v>
      </c>
      <c r="N92" s="13" t="s">
        <v>551</v>
      </c>
      <c r="O92" s="13" t="s">
        <v>96</v>
      </c>
    </row>
    <row r="93" customFormat="false" ht="15" hidden="false" customHeight="false" outlineLevel="0" collapsed="false">
      <c r="A93" s="18" t="s">
        <v>530</v>
      </c>
      <c r="B93" s="18" t="s">
        <v>552</v>
      </c>
      <c r="C93" s="18" t="s">
        <v>49</v>
      </c>
      <c r="D93" s="18" t="s">
        <v>240</v>
      </c>
      <c r="E93" s="19" t="n">
        <v>-110</v>
      </c>
      <c r="F93" s="22" t="n">
        <v>25</v>
      </c>
      <c r="G93" s="18" t="s">
        <v>450</v>
      </c>
      <c r="H93" s="22" t="n">
        <f aca="false">IF(OR($G93="",$G93="Pending"),"",ROUND(IF($G93="Win",IF($E93&gt;0,$F93*$E93/100,$F93*100/-$E93),IF($G93="Loss",-$F93,0)),2))</f>
        <v>22.73</v>
      </c>
      <c r="I93" s="22" t="n">
        <f aca="false">Settings!$B$5+SUM($H$6:$H93)</f>
        <v>656.6</v>
      </c>
      <c r="J93" s="20" t="n">
        <f aca="false">IFERROR(SUM($H$6:$H93)/SUMIF($G$6:$G93,"&lt;&gt;Pending",$F$6:$F93),"")</f>
        <v>0.166153846153846</v>
      </c>
      <c r="K93" s="18" t="s">
        <v>43</v>
      </c>
      <c r="L93" s="20" t="n">
        <v>0.117</v>
      </c>
      <c r="M93" s="20" t="n">
        <v>0</v>
      </c>
      <c r="N93" s="18" t="s">
        <v>553</v>
      </c>
      <c r="O93" s="18" t="s">
        <v>96</v>
      </c>
    </row>
    <row r="94" customFormat="false" ht="15" hidden="false" customHeight="false" outlineLevel="0" collapsed="false">
      <c r="A94" s="13" t="s">
        <v>530</v>
      </c>
      <c r="B94" s="13" t="s">
        <v>480</v>
      </c>
      <c r="C94" s="13" t="s">
        <v>45</v>
      </c>
      <c r="D94" s="13" t="s">
        <v>143</v>
      </c>
      <c r="E94" s="14" t="n">
        <v>-110</v>
      </c>
      <c r="F94" s="17" t="n">
        <v>25</v>
      </c>
      <c r="G94" s="13" t="s">
        <v>450</v>
      </c>
      <c r="H94" s="17" t="n">
        <f aca="false">IF(OR($G94="",$G94="Pending"),"",ROUND(IF($G94="Win",IF($E94&gt;0,$F94*$E94/100,$F94*100/-$E94),IF($G94="Loss",-$F94,0)),2))</f>
        <v>22.73</v>
      </c>
      <c r="I94" s="17" t="n">
        <f aca="false">Settings!$B$5+SUM($H$6:$H94)</f>
        <v>679.33</v>
      </c>
      <c r="J94" s="15" t="n">
        <f aca="false">IFERROR(SUM($H$6:$H94)/SUMIF($G$6:$G94,"&lt;&gt;Pending",$F$6:$F94),"")</f>
        <v>0.185354005167959</v>
      </c>
      <c r="K94" s="13" t="s">
        <v>43</v>
      </c>
      <c r="L94" s="15" t="n">
        <v>0.1398</v>
      </c>
      <c r="M94" s="15" t="n">
        <v>0</v>
      </c>
      <c r="N94" s="13" t="s">
        <v>554</v>
      </c>
      <c r="O94" s="13" t="s">
        <v>96</v>
      </c>
    </row>
    <row r="95" customFormat="false" ht="15" hidden="false" customHeight="false" outlineLevel="0" collapsed="false">
      <c r="A95" s="18" t="s">
        <v>530</v>
      </c>
      <c r="B95" s="18" t="s">
        <v>555</v>
      </c>
      <c r="C95" s="18" t="s">
        <v>45</v>
      </c>
      <c r="D95" s="18" t="s">
        <v>556</v>
      </c>
      <c r="E95" s="19" t="n">
        <v>-110</v>
      </c>
      <c r="F95" s="22" t="n">
        <v>25</v>
      </c>
      <c r="G95" s="18" t="s">
        <v>450</v>
      </c>
      <c r="H95" s="22" t="n">
        <f aca="false">IF(OR($G95="",$G95="Pending"),"",ROUND(IF($G95="Win",IF($E95&gt;0,$F95*$E95/100,$F95*100/-$E95),IF($G95="Loss",-$F95,0)),2))</f>
        <v>22.73</v>
      </c>
      <c r="I95" s="22" t="n">
        <f aca="false">Settings!$B$5+SUM($H$6:$H95)</f>
        <v>702.06</v>
      </c>
      <c r="J95" s="20" t="n">
        <f aca="false">IFERROR(SUM($H$6:$H95)/SUMIF($G$6:$G95,"&lt;&gt;Pending",$F$6:$F95),"")</f>
        <v>0.203586901763224</v>
      </c>
      <c r="K95" s="18" t="s">
        <v>43</v>
      </c>
      <c r="L95" s="20" t="n">
        <v>0.1501</v>
      </c>
      <c r="M95" s="20" t="n">
        <v>0</v>
      </c>
      <c r="N95" s="18" t="s">
        <v>557</v>
      </c>
      <c r="O95" s="18" t="s">
        <v>96</v>
      </c>
    </row>
    <row r="96" customFormat="false" ht="15" hidden="false" customHeight="false" outlineLevel="0" collapsed="false">
      <c r="A96" s="13" t="s">
        <v>558</v>
      </c>
      <c r="B96" s="13" t="s">
        <v>559</v>
      </c>
      <c r="C96" s="13" t="s">
        <v>45</v>
      </c>
      <c r="D96" s="13" t="s">
        <v>547</v>
      </c>
      <c r="E96" s="14" t="n">
        <v>-110</v>
      </c>
      <c r="F96" s="17" t="n">
        <v>25</v>
      </c>
      <c r="G96" s="13" t="s">
        <v>456</v>
      </c>
      <c r="H96" s="17" t="n">
        <f aca="false">IF(OR($G96="",$G96="Pending"),"",ROUND(IF($G96="Win",IF($E96&gt;0,$F96*$E96/100,$F96*100/-$E96),IF($G96="Loss",-$F96,0)),2))</f>
        <v>-25</v>
      </c>
      <c r="I96" s="17" t="n">
        <f aca="false">Settings!$B$5+SUM($H$6:$H96)</f>
        <v>677.06</v>
      </c>
      <c r="J96" s="15" t="n">
        <f aca="false">IFERROR(SUM($H$6:$H96)/SUMIF($G$6:$G96,"&lt;&gt;Pending",$F$6:$F96),"")</f>
        <v>0.174014742014742</v>
      </c>
      <c r="K96" s="13" t="s">
        <v>43</v>
      </c>
      <c r="L96" s="15" t="n">
        <v>0.1411</v>
      </c>
      <c r="M96" s="15" t="n">
        <v>0</v>
      </c>
      <c r="N96" s="13" t="s">
        <v>560</v>
      </c>
      <c r="O96" s="13" t="s">
        <v>96</v>
      </c>
    </row>
    <row r="97" customFormat="false" ht="15" hidden="false" customHeight="false" outlineLevel="0" collapsed="false">
      <c r="A97" s="18" t="s">
        <v>558</v>
      </c>
      <c r="B97" s="18" t="s">
        <v>561</v>
      </c>
      <c r="C97" s="18" t="s">
        <v>49</v>
      </c>
      <c r="D97" s="18" t="s">
        <v>562</v>
      </c>
      <c r="E97" s="19" t="n">
        <v>-110</v>
      </c>
      <c r="F97" s="22" t="n">
        <v>25</v>
      </c>
      <c r="G97" s="18" t="s">
        <v>456</v>
      </c>
      <c r="H97" s="22" t="n">
        <f aca="false">IF(OR($G97="",$G97="Pending"),"",ROUND(IF($G97="Win",IF($E97&gt;0,$F97*$E97/100,$F97*100/-$E97),IF($G97="Loss",-$F97,0)),2))</f>
        <v>-25</v>
      </c>
      <c r="I97" s="22" t="n">
        <f aca="false">Settings!$B$5+SUM($H$6:$H97)</f>
        <v>652.06</v>
      </c>
      <c r="J97" s="20" t="n">
        <f aca="false">IFERROR(SUM($H$6:$H97)/SUMIF($G$6:$G97,"&lt;&gt;Pending",$F$6:$F97),"")</f>
        <v>0.145860911270983</v>
      </c>
      <c r="K97" s="18" t="s">
        <v>43</v>
      </c>
      <c r="L97" s="20" t="n">
        <v>0.1357</v>
      </c>
      <c r="M97" s="20" t="n">
        <v>0</v>
      </c>
      <c r="N97" s="18" t="s">
        <v>563</v>
      </c>
      <c r="O97" s="18" t="s">
        <v>96</v>
      </c>
    </row>
    <row r="98" customFormat="false" ht="15" hidden="false" customHeight="false" outlineLevel="0" collapsed="false">
      <c r="A98" s="13" t="s">
        <v>558</v>
      </c>
      <c r="B98" s="13" t="s">
        <v>564</v>
      </c>
      <c r="C98" s="13" t="s">
        <v>45</v>
      </c>
      <c r="D98" s="13" t="s">
        <v>565</v>
      </c>
      <c r="E98" s="14" t="n">
        <v>-110</v>
      </c>
      <c r="F98" s="17" t="n">
        <v>25</v>
      </c>
      <c r="G98" s="13" t="s">
        <v>450</v>
      </c>
      <c r="H98" s="17" t="n">
        <f aca="false">IF(OR($G98="",$G98="Pending"),"",ROUND(IF($G98="Win",IF($E98&gt;0,$F98*$E98/100,$F98*100/-$E98),IF($G98="Loss",-$F98,0)),2))</f>
        <v>22.73</v>
      </c>
      <c r="I98" s="17" t="n">
        <f aca="false">Settings!$B$5+SUM($H$6:$H98)</f>
        <v>674.79</v>
      </c>
      <c r="J98" s="15" t="n">
        <f aca="false">IFERROR(SUM($H$6:$H98)/SUMIF($G$6:$G98,"&lt;&gt;Pending",$F$6:$F98),"")</f>
        <v>0.163737704918033</v>
      </c>
      <c r="K98" s="13" t="s">
        <v>43</v>
      </c>
      <c r="L98" s="15" t="n">
        <v>0.201</v>
      </c>
      <c r="M98" s="15" t="n">
        <v>0</v>
      </c>
      <c r="N98" s="13" t="s">
        <v>566</v>
      </c>
      <c r="O98" s="13" t="s">
        <v>96</v>
      </c>
    </row>
    <row r="99" customFormat="false" ht="15" hidden="false" customHeight="false" outlineLevel="0" collapsed="false">
      <c r="A99" s="18" t="s">
        <v>558</v>
      </c>
      <c r="B99" s="18" t="s">
        <v>567</v>
      </c>
      <c r="C99" s="18" t="s">
        <v>49</v>
      </c>
      <c r="D99" s="18" t="s">
        <v>128</v>
      </c>
      <c r="E99" s="19" t="n">
        <v>-110</v>
      </c>
      <c r="F99" s="22" t="n">
        <v>25</v>
      </c>
      <c r="G99" s="18" t="s">
        <v>456</v>
      </c>
      <c r="H99" s="22" t="n">
        <f aca="false">IF(OR($G99="",$G99="Pending"),"",ROUND(IF($G99="Win",IF($E99&gt;0,$F99*$E99/100,$F99*100/-$E99),IF($G99="Loss",-$F99,0)),2))</f>
        <v>-25</v>
      </c>
      <c r="I99" s="22" t="n">
        <f aca="false">Settings!$B$5+SUM($H$6:$H99)</f>
        <v>649.79</v>
      </c>
      <c r="J99" s="20" t="n">
        <f aca="false">IFERROR(SUM($H$6:$H99)/SUMIF($G$6:$G99,"&lt;&gt;Pending",$F$6:$F99),"")</f>
        <v>0.137107551487414</v>
      </c>
      <c r="K99" s="18" t="s">
        <v>43</v>
      </c>
      <c r="L99" s="20" t="n">
        <v>0.1316</v>
      </c>
      <c r="M99" s="20" t="n">
        <v>0</v>
      </c>
      <c r="N99" s="18" t="s">
        <v>568</v>
      </c>
      <c r="O99" s="18" t="s">
        <v>96</v>
      </c>
    </row>
    <row r="100" customFormat="false" ht="15" hidden="false" customHeight="false" outlineLevel="0" collapsed="false">
      <c r="A100" s="13" t="s">
        <v>558</v>
      </c>
      <c r="B100" s="13" t="s">
        <v>569</v>
      </c>
      <c r="C100" s="13" t="s">
        <v>73</v>
      </c>
      <c r="D100" s="13" t="s">
        <v>74</v>
      </c>
      <c r="E100" s="14" t="n">
        <v>445</v>
      </c>
      <c r="F100" s="17" t="n">
        <v>17</v>
      </c>
      <c r="G100" s="13" t="s">
        <v>456</v>
      </c>
      <c r="H100" s="17" t="n">
        <f aca="false">IF(OR($G100="",$G100="Pending"),"",ROUND(IF($G100="Win",IF($E100&gt;0,$F100*$E100/100,$F100*100/-$E100),IF($G100="Loss",-$F100,0)),2))</f>
        <v>-17</v>
      </c>
      <c r="I100" s="17" t="n">
        <f aca="false">Settings!$B$5+SUM($H$6:$H100)</f>
        <v>632.79</v>
      </c>
      <c r="J100" s="15" t="n">
        <f aca="false">IFERROR(SUM($H$6:$H100)/SUMIF($G$6:$G100,"&lt;&gt;Pending",$F$6:$F100),"")</f>
        <v>0.119684542586751</v>
      </c>
      <c r="K100" s="13" t="s">
        <v>43</v>
      </c>
      <c r="L100" s="15" t="n">
        <v>0.1124</v>
      </c>
      <c r="M100" s="15" t="n">
        <v>0</v>
      </c>
      <c r="N100" s="13" t="s">
        <v>570</v>
      </c>
      <c r="O100" s="13" t="s">
        <v>96</v>
      </c>
    </row>
    <row r="101" customFormat="false" ht="15" hidden="false" customHeight="false" outlineLevel="0" collapsed="false">
      <c r="A101" s="18" t="s">
        <v>558</v>
      </c>
      <c r="B101" s="18" t="s">
        <v>571</v>
      </c>
      <c r="C101" s="18" t="s">
        <v>45</v>
      </c>
      <c r="D101" s="18" t="s">
        <v>572</v>
      </c>
      <c r="E101" s="19" t="n">
        <v>-110</v>
      </c>
      <c r="F101" s="22" t="n">
        <v>25</v>
      </c>
      <c r="G101" s="18" t="s">
        <v>456</v>
      </c>
      <c r="H101" s="22" t="n">
        <f aca="false">IF(OR($G101="",$G101="Pending"),"",ROUND(IF($G101="Win",IF($E101&gt;0,$F101*$E101/100,$F101*100/-$E101),IF($G101="Loss",-$F101,0)),2))</f>
        <v>-25</v>
      </c>
      <c r="I101" s="22" t="n">
        <f aca="false">Settings!$B$5+SUM($H$6:$H101)</f>
        <v>607.79</v>
      </c>
      <c r="J101" s="20" t="n">
        <f aca="false">IFERROR(SUM($H$6:$H101)/SUMIF($G$6:$G101,"&lt;&gt;Pending",$F$6:$F101),"")</f>
        <v>0.0950110180696342</v>
      </c>
      <c r="K101" s="18" t="s">
        <v>43</v>
      </c>
      <c r="L101" s="20" t="n">
        <v>0.1271</v>
      </c>
      <c r="M101" s="20" t="n">
        <v>0</v>
      </c>
      <c r="N101" s="18" t="s">
        <v>573</v>
      </c>
      <c r="O101" s="18" t="s">
        <v>96</v>
      </c>
    </row>
    <row r="102" customFormat="false" ht="15" hidden="false" customHeight="false" outlineLevel="0" collapsed="false">
      <c r="A102" s="13" t="s">
        <v>558</v>
      </c>
      <c r="B102" s="13" t="s">
        <v>574</v>
      </c>
      <c r="C102" s="13" t="s">
        <v>49</v>
      </c>
      <c r="D102" s="13" t="s">
        <v>575</v>
      </c>
      <c r="E102" s="14" t="n">
        <v>-110</v>
      </c>
      <c r="F102" s="17" t="n">
        <v>25</v>
      </c>
      <c r="G102" s="13" t="s">
        <v>456</v>
      </c>
      <c r="H102" s="17" t="n">
        <f aca="false">IF(OR($G102="",$G102="Pending"),"",ROUND(IF($G102="Win",IF($E102&gt;0,$F102*$E102/100,$F102*100/-$E102),IF($G102="Loss",-$F102,0)),2))</f>
        <v>-25</v>
      </c>
      <c r="I102" s="17" t="n">
        <f aca="false">Settings!$B$5+SUM($H$6:$H102)</f>
        <v>582.79</v>
      </c>
      <c r="J102" s="15" t="n">
        <f aca="false">IFERROR(SUM($H$6:$H102)/SUMIF($G$6:$G102,"&lt;&gt;Pending",$F$6:$F102),"")</f>
        <v>0.0714014661492022</v>
      </c>
      <c r="K102" s="13" t="s">
        <v>43</v>
      </c>
      <c r="L102" s="15" t="n">
        <v>0.117</v>
      </c>
      <c r="M102" s="15" t="n">
        <v>0</v>
      </c>
      <c r="N102" s="13" t="s">
        <v>576</v>
      </c>
      <c r="O102" s="13" t="s">
        <v>96</v>
      </c>
    </row>
    <row r="103" customFormat="false" ht="15" hidden="false" customHeight="false" outlineLevel="0" collapsed="false">
      <c r="A103" s="18" t="s">
        <v>558</v>
      </c>
      <c r="B103" s="18" t="s">
        <v>577</v>
      </c>
      <c r="C103" s="18" t="s">
        <v>45</v>
      </c>
      <c r="D103" s="18" t="s">
        <v>578</v>
      </c>
      <c r="E103" s="19" t="n">
        <v>-110</v>
      </c>
      <c r="F103" s="22" t="n">
        <v>25</v>
      </c>
      <c r="G103" s="18" t="s">
        <v>450</v>
      </c>
      <c r="H103" s="22" t="n">
        <f aca="false">IF(OR($G103="",$G103="Pending"),"",ROUND(IF($G103="Win",IF($E103&gt;0,$F103*$E103/100,$F103*100/-$E103),IF($G103="Loss",-$F103,0)),2))</f>
        <v>22.73</v>
      </c>
      <c r="I103" s="22" t="n">
        <f aca="false">Settings!$B$5+SUM($H$6:$H103)</f>
        <v>605.52</v>
      </c>
      <c r="J103" s="20" t="n">
        <f aca="false">IFERROR(SUM($H$6:$H103)/SUMIF($G$6:$G103,"&lt;&gt;Pending",$F$6:$F103),"")</f>
        <v>0.0890840016884762</v>
      </c>
      <c r="K103" s="18" t="s">
        <v>43</v>
      </c>
      <c r="L103" s="20" t="n">
        <v>0.137</v>
      </c>
      <c r="M103" s="20" t="n">
        <v>0</v>
      </c>
      <c r="N103" s="18" t="s">
        <v>579</v>
      </c>
      <c r="O103" s="18" t="s">
        <v>96</v>
      </c>
    </row>
    <row r="104" customFormat="false" ht="15" hidden="false" customHeight="false" outlineLevel="0" collapsed="false">
      <c r="A104" s="13" t="s">
        <v>558</v>
      </c>
      <c r="B104" s="13" t="s">
        <v>580</v>
      </c>
      <c r="C104" s="13" t="s">
        <v>45</v>
      </c>
      <c r="D104" s="13" t="s">
        <v>581</v>
      </c>
      <c r="E104" s="14" t="n">
        <v>-110</v>
      </c>
      <c r="F104" s="17" t="n">
        <v>25</v>
      </c>
      <c r="G104" s="13" t="s">
        <v>450</v>
      </c>
      <c r="H104" s="17" t="n">
        <f aca="false">IF(OR($G104="",$G104="Pending"),"",ROUND(IF($G104="Win",IF($E104&gt;0,$F104*$E104/100,$F104*100/-$E104),IF($G104="Loss",-$F104,0)),2))</f>
        <v>22.73</v>
      </c>
      <c r="I104" s="17" t="n">
        <f aca="false">Settings!$B$5+SUM($H$6:$H104)</f>
        <v>628.25</v>
      </c>
      <c r="J104" s="15" t="n">
        <f aca="false">IFERROR(SUM($H$6:$H104)/SUMIF($G$6:$G104,"&lt;&gt;Pending",$F$6:$F104),"")</f>
        <v>0.106035551880943</v>
      </c>
      <c r="K104" s="13" t="s">
        <v>43</v>
      </c>
      <c r="L104" s="15" t="n">
        <v>0.1291</v>
      </c>
      <c r="M104" s="15" t="n">
        <v>0</v>
      </c>
      <c r="N104" s="13" t="s">
        <v>582</v>
      </c>
      <c r="O104" s="13" t="s">
        <v>96</v>
      </c>
    </row>
    <row r="105" customFormat="false" ht="15" hidden="false" customHeight="false" outlineLevel="0" collapsed="false">
      <c r="A105" s="18" t="s">
        <v>558</v>
      </c>
      <c r="B105" s="18" t="s">
        <v>583</v>
      </c>
      <c r="C105" s="18" t="s">
        <v>45</v>
      </c>
      <c r="D105" s="18" t="s">
        <v>584</v>
      </c>
      <c r="E105" s="19" t="n">
        <v>-110</v>
      </c>
      <c r="F105" s="22" t="n">
        <v>25</v>
      </c>
      <c r="G105" s="18" t="s">
        <v>450</v>
      </c>
      <c r="H105" s="22" t="n">
        <f aca="false">IF(OR($G105="",$G105="Pending"),"",ROUND(IF($G105="Win",IF($E105&gt;0,$F105*$E105/100,$F105*100/-$E105),IF($G105="Loss",-$F105,0)),2))</f>
        <v>22.73</v>
      </c>
      <c r="I105" s="22" t="n">
        <f aca="false">Settings!$B$5+SUM($H$6:$H105)</f>
        <v>650.98</v>
      </c>
      <c r="J105" s="20" t="n">
        <f aca="false">IFERROR(SUM($H$6:$H105)/SUMIF($G$6:$G105,"&lt;&gt;Pending",$F$6:$F105),"")</f>
        <v>0.122300526528959</v>
      </c>
      <c r="K105" s="18" t="s">
        <v>43</v>
      </c>
      <c r="L105" s="20" t="n">
        <v>0.2217</v>
      </c>
      <c r="M105" s="20" t="n">
        <v>0</v>
      </c>
      <c r="N105" s="18" t="s">
        <v>585</v>
      </c>
      <c r="O105" s="18" t="s">
        <v>96</v>
      </c>
    </row>
    <row r="106" customFormat="false" ht="15" hidden="false" customHeight="false" outlineLevel="0" collapsed="false">
      <c r="A106" s="13" t="s">
        <v>586</v>
      </c>
      <c r="B106" s="13" t="s">
        <v>587</v>
      </c>
      <c r="C106" s="13" t="s">
        <v>45</v>
      </c>
      <c r="D106" s="13" t="s">
        <v>588</v>
      </c>
      <c r="E106" s="14" t="n">
        <v>-110</v>
      </c>
      <c r="F106" s="17" t="n">
        <v>25</v>
      </c>
      <c r="G106" s="13" t="s">
        <v>450</v>
      </c>
      <c r="H106" s="17" t="n">
        <f aca="false">IF(OR($G106="",$G106="Pending"),"",ROUND(IF($G106="Win",IF($E106&gt;0,$F106*$E106/100,$F106*100/-$E106),IF($G106="Loss",-$F106,0)),2))</f>
        <v>22.73</v>
      </c>
      <c r="I106" s="17" t="n">
        <f aca="false">Settings!$B$5+SUM($H$6:$H106)</f>
        <v>673.71</v>
      </c>
      <c r="J106" s="15" t="n">
        <f aca="false">IFERROR(SUM($H$6:$H106)/SUMIF($G$6:$G106,"&lt;&gt;Pending",$F$6:$F106),"")</f>
        <v>0.137919809448194</v>
      </c>
      <c r="K106" s="13" t="s">
        <v>43</v>
      </c>
      <c r="L106" s="15" t="n">
        <v>0.2073</v>
      </c>
      <c r="M106" s="15" t="n">
        <v>0</v>
      </c>
      <c r="N106" s="13" t="s">
        <v>589</v>
      </c>
      <c r="O106" s="13" t="s">
        <v>96</v>
      </c>
    </row>
    <row r="107" customFormat="false" ht="15" hidden="false" customHeight="false" outlineLevel="0" collapsed="false">
      <c r="A107" s="18" t="s">
        <v>586</v>
      </c>
      <c r="B107" s="18" t="s">
        <v>590</v>
      </c>
      <c r="C107" s="18" t="s">
        <v>49</v>
      </c>
      <c r="D107" s="18" t="s">
        <v>84</v>
      </c>
      <c r="E107" s="19" t="n">
        <v>-110</v>
      </c>
      <c r="F107" s="22" t="n">
        <v>25</v>
      </c>
      <c r="G107" s="18" t="s">
        <v>456</v>
      </c>
      <c r="H107" s="22" t="n">
        <f aca="false">IF(OR($G107="",$G107="Pending"),"",ROUND(IF($G107="Win",IF($E107&gt;0,$F107*$E107/100,$F107*100/-$E107),IF($G107="Loss",-$F107,0)),2))</f>
        <v>-25</v>
      </c>
      <c r="I107" s="22" t="n">
        <f aca="false">Settings!$B$5+SUM($H$6:$H107)</f>
        <v>648.71</v>
      </c>
      <c r="J107" s="20" t="n">
        <f aca="false">IFERROR(SUM($H$6:$H107)/SUMIF($G$6:$G107,"&lt;&gt;Pending",$F$6:$F107),"")</f>
        <v>0.115772674192293</v>
      </c>
      <c r="K107" s="18" t="s">
        <v>43</v>
      </c>
      <c r="L107" s="20" t="n">
        <v>0.182</v>
      </c>
      <c r="M107" s="20" t="n">
        <v>0</v>
      </c>
      <c r="N107" s="18" t="s">
        <v>591</v>
      </c>
      <c r="O107" s="18" t="s">
        <v>96</v>
      </c>
    </row>
    <row r="108" customFormat="false" ht="15" hidden="false" customHeight="false" outlineLevel="0" collapsed="false">
      <c r="A108" s="13" t="s">
        <v>586</v>
      </c>
      <c r="B108" s="13" t="s">
        <v>592</v>
      </c>
      <c r="C108" s="13" t="s">
        <v>49</v>
      </c>
      <c r="D108" s="13" t="s">
        <v>64</v>
      </c>
      <c r="E108" s="14" t="n">
        <v>-110</v>
      </c>
      <c r="F108" s="17" t="n">
        <v>25</v>
      </c>
      <c r="G108" s="13" t="s">
        <v>450</v>
      </c>
      <c r="H108" s="17" t="n">
        <f aca="false">IF(OR($G108="",$G108="Pending"),"",ROUND(IF($G108="Win",IF($E108&gt;0,$F108*$E108/100,$F108*100/-$E108),IF($G108="Loss",-$F108,0)),2))</f>
        <v>22.73</v>
      </c>
      <c r="I108" s="17" t="n">
        <f aca="false">Settings!$B$5+SUM($H$6:$H108)</f>
        <v>671.44</v>
      </c>
      <c r="J108" s="15" t="n">
        <f aca="false">IFERROR(SUM($H$6:$H108)/SUMIF($G$6:$G108,"&lt;&gt;Pending",$F$6:$F108),"")</f>
        <v>0.130920198549065</v>
      </c>
      <c r="K108" s="13" t="s">
        <v>43</v>
      </c>
      <c r="L108" s="15" t="n">
        <v>0.1761</v>
      </c>
      <c r="M108" s="15" t="n">
        <v>0</v>
      </c>
      <c r="N108" s="13" t="s">
        <v>593</v>
      </c>
      <c r="O108" s="13" t="s">
        <v>96</v>
      </c>
    </row>
    <row r="109" customFormat="false" ht="15" hidden="false" customHeight="false" outlineLevel="0" collapsed="false">
      <c r="A109" s="18" t="s">
        <v>586</v>
      </c>
      <c r="B109" s="18" t="s">
        <v>594</v>
      </c>
      <c r="C109" s="18" t="s">
        <v>45</v>
      </c>
      <c r="D109" s="18" t="s">
        <v>595</v>
      </c>
      <c r="E109" s="19" t="n">
        <v>-110</v>
      </c>
      <c r="F109" s="22" t="n">
        <v>25</v>
      </c>
      <c r="G109" s="18" t="s">
        <v>450</v>
      </c>
      <c r="H109" s="22" t="n">
        <f aca="false">IF(OR($G109="",$G109="Pending"),"",ROUND(IF($G109="Win",IF($E109&gt;0,$F109*$E109/100,$F109*100/-$E109),IF($G109="Loss",-$F109,0)),2))</f>
        <v>22.73</v>
      </c>
      <c r="I109" s="22" t="n">
        <f aca="false">Settings!$B$5+SUM($H$6:$H109)</f>
        <v>694.17</v>
      </c>
      <c r="J109" s="20" t="n">
        <f aca="false">IFERROR(SUM($H$6:$H109)/SUMIF($G$6:$G109,"&lt;&gt;Pending",$F$6:$F109),"")</f>
        <v>0.145500187336081</v>
      </c>
      <c r="K109" s="18" t="s">
        <v>43</v>
      </c>
      <c r="L109" s="20" t="n">
        <v>0.1107</v>
      </c>
      <c r="M109" s="20" t="n">
        <v>0</v>
      </c>
      <c r="N109" s="18" t="s">
        <v>596</v>
      </c>
      <c r="O109" s="18" t="s">
        <v>96</v>
      </c>
    </row>
    <row r="110" customFormat="false" ht="15" hidden="false" customHeight="false" outlineLevel="0" collapsed="false">
      <c r="A110" s="13" t="s">
        <v>586</v>
      </c>
      <c r="B110" s="13" t="s">
        <v>561</v>
      </c>
      <c r="C110" s="13" t="s">
        <v>73</v>
      </c>
      <c r="D110" s="13" t="s">
        <v>134</v>
      </c>
      <c r="E110" s="14" t="n">
        <v>365</v>
      </c>
      <c r="F110" s="17" t="n">
        <v>17</v>
      </c>
      <c r="G110" s="13" t="s">
        <v>456</v>
      </c>
      <c r="H110" s="17" t="n">
        <f aca="false">IF(OR($G110="",$G110="Pending"),"",ROUND(IF($G110="Win",IF($E110&gt;0,$F110*$E110/100,$F110*100/-$E110),IF($G110="Loss",-$F110,0)),2))</f>
        <v>-17</v>
      </c>
      <c r="I110" s="17" t="n">
        <f aca="false">Settings!$B$5+SUM($H$6:$H110)</f>
        <v>677.17</v>
      </c>
      <c r="J110" s="15" t="n">
        <f aca="false">IFERROR(SUM($H$6:$H110)/SUMIF($G$6:$G110,"&lt;&gt;Pending",$F$6:$F110),"")</f>
        <v>0.131091379948206</v>
      </c>
      <c r="K110" s="13" t="s">
        <v>43</v>
      </c>
      <c r="L110" s="15" t="n">
        <v>0.1076</v>
      </c>
      <c r="M110" s="15" t="n">
        <v>0</v>
      </c>
      <c r="N110" s="13" t="s">
        <v>597</v>
      </c>
      <c r="O110" s="13" t="s">
        <v>96</v>
      </c>
    </row>
    <row r="111" customFormat="false" ht="15" hidden="false" customHeight="false" outlineLevel="0" collapsed="false">
      <c r="A111" s="18" t="s">
        <v>586</v>
      </c>
      <c r="B111" s="18" t="s">
        <v>598</v>
      </c>
      <c r="C111" s="18" t="s">
        <v>49</v>
      </c>
      <c r="D111" s="18" t="s">
        <v>492</v>
      </c>
      <c r="E111" s="19" t="n">
        <v>-110</v>
      </c>
      <c r="F111" s="22" t="n">
        <v>25</v>
      </c>
      <c r="G111" s="18" t="s">
        <v>456</v>
      </c>
      <c r="H111" s="22" t="n">
        <f aca="false">IF(OR($G111="",$G111="Pending"),"",ROUND(IF($G111="Win",IF($E111&gt;0,$F111*$E111/100,$F111*100/-$E111),IF($G111="Loss",-$F111,0)),2))</f>
        <v>-25</v>
      </c>
      <c r="I111" s="22" t="n">
        <f aca="false">Settings!$B$5+SUM($H$6:$H111)</f>
        <v>652.17</v>
      </c>
      <c r="J111" s="20" t="n">
        <f aca="false">IFERROR(SUM($H$6:$H111)/SUMIF($G$6:$G111,"&lt;&gt;Pending",$F$6:$F111),"")</f>
        <v>0.110548492553578</v>
      </c>
      <c r="K111" s="18" t="s">
        <v>43</v>
      </c>
      <c r="L111" s="20" t="n">
        <v>0.1795</v>
      </c>
      <c r="M111" s="20" t="n">
        <v>0</v>
      </c>
      <c r="N111" s="18" t="s">
        <v>599</v>
      </c>
      <c r="O111" s="18" t="s">
        <v>96</v>
      </c>
    </row>
    <row r="112" customFormat="false" ht="15" hidden="false" customHeight="false" outlineLevel="0" collapsed="false">
      <c r="A112" s="13" t="s">
        <v>586</v>
      </c>
      <c r="B112" s="13" t="s">
        <v>600</v>
      </c>
      <c r="C112" s="13" t="s">
        <v>45</v>
      </c>
      <c r="D112" s="13" t="s">
        <v>601</v>
      </c>
      <c r="E112" s="14" t="n">
        <v>-110</v>
      </c>
      <c r="F112" s="17" t="n">
        <v>25</v>
      </c>
      <c r="G112" s="13" t="s">
        <v>456</v>
      </c>
      <c r="H112" s="17" t="n">
        <f aca="false">IF(OR($G112="",$G112="Pending"),"",ROUND(IF($G112="Win",IF($E112&gt;0,$F112*$E112/100,$F112*100/-$E112),IF($G112="Loss",-$F112,0)),2))</f>
        <v>-25</v>
      </c>
      <c r="I112" s="17" t="n">
        <f aca="false">Settings!$B$5+SUM($H$6:$H112)</f>
        <v>627.17</v>
      </c>
      <c r="J112" s="15" t="n">
        <f aca="false">IFERROR(SUM($H$6:$H112)/SUMIF($G$6:$G112,"&lt;&gt;Pending",$F$6:$F112),"")</f>
        <v>0.0907384944702105</v>
      </c>
      <c r="K112" s="13" t="s">
        <v>43</v>
      </c>
      <c r="L112" s="15" t="n">
        <v>0.1437</v>
      </c>
      <c r="M112" s="15" t="n">
        <v>0</v>
      </c>
      <c r="N112" s="13" t="s">
        <v>602</v>
      </c>
      <c r="O112" s="13" t="s">
        <v>96</v>
      </c>
    </row>
    <row r="113" customFormat="false" ht="15" hidden="false" customHeight="false" outlineLevel="0" collapsed="false">
      <c r="A113" s="18" t="s">
        <v>586</v>
      </c>
      <c r="B113" s="18" t="s">
        <v>603</v>
      </c>
      <c r="C113" s="18" t="s">
        <v>45</v>
      </c>
      <c r="D113" s="18" t="s">
        <v>604</v>
      </c>
      <c r="E113" s="19" t="n">
        <v>-110</v>
      </c>
      <c r="F113" s="22" t="n">
        <v>25</v>
      </c>
      <c r="G113" s="18" t="s">
        <v>450</v>
      </c>
      <c r="H113" s="22" t="n">
        <f aca="false">IF(OR($G113="",$G113="Pending"),"",ROUND(IF($G113="Win",IF($E113&gt;0,$F113*$E113/100,$F113*100/-$E113),IF($G113="Loss",-$F113,0)),2))</f>
        <v>22.73</v>
      </c>
      <c r="I113" s="22" t="n">
        <f aca="false">Settings!$B$5+SUM($H$6:$H113)</f>
        <v>649.9</v>
      </c>
      <c r="J113" s="20" t="n">
        <f aca="false">IFERROR(SUM($H$6:$H113)/SUMIF($G$6:$G113,"&lt;&gt;Pending",$F$6:$F113),"")</f>
        <v>0.105082369435682</v>
      </c>
      <c r="K113" s="18" t="s">
        <v>43</v>
      </c>
      <c r="L113" s="20" t="n">
        <v>0.2055</v>
      </c>
      <c r="M113" s="20" t="n">
        <v>0</v>
      </c>
      <c r="N113" s="18" t="s">
        <v>605</v>
      </c>
      <c r="O113" s="18" t="s">
        <v>96</v>
      </c>
    </row>
    <row r="114" customFormat="false" ht="15" hidden="false" customHeight="false" outlineLevel="0" collapsed="false">
      <c r="A114" s="13" t="s">
        <v>586</v>
      </c>
      <c r="B114" s="13" t="s">
        <v>606</v>
      </c>
      <c r="C114" s="13" t="s">
        <v>45</v>
      </c>
      <c r="D114" s="13" t="s">
        <v>100</v>
      </c>
      <c r="E114" s="14" t="n">
        <v>-110</v>
      </c>
      <c r="F114" s="17" t="n">
        <v>25</v>
      </c>
      <c r="G114" s="13" t="s">
        <v>456</v>
      </c>
      <c r="H114" s="17" t="n">
        <f aca="false">IF(OR($G114="",$G114="Pending"),"",ROUND(IF($G114="Win",IF($E114&gt;0,$F114*$E114/100,$F114*100/-$E114),IF($G114="Loss",-$F114,0)),2))</f>
        <v>-25</v>
      </c>
      <c r="I114" s="17" t="n">
        <f aca="false">Settings!$B$5+SUM($H$6:$H114)</f>
        <v>624.9</v>
      </c>
      <c r="J114" s="15" t="n">
        <f aca="false">IFERROR(SUM($H$6:$H114)/SUMIF($G$6:$G114,"&lt;&gt;Pending",$F$6:$F114),"")</f>
        <v>0.0860489149156046</v>
      </c>
      <c r="K114" s="13" t="s">
        <v>43</v>
      </c>
      <c r="L114" s="15" t="n">
        <v>0.1846</v>
      </c>
      <c r="M114" s="15" t="n">
        <v>0</v>
      </c>
      <c r="N114" s="13" t="s">
        <v>607</v>
      </c>
      <c r="O114" s="13" t="s">
        <v>96</v>
      </c>
    </row>
    <row r="115" customFormat="false" ht="15" hidden="false" customHeight="false" outlineLevel="0" collapsed="false">
      <c r="A115" s="18" t="s">
        <v>586</v>
      </c>
      <c r="B115" s="18" t="s">
        <v>608</v>
      </c>
      <c r="C115" s="18" t="s">
        <v>45</v>
      </c>
      <c r="D115" s="18" t="s">
        <v>609</v>
      </c>
      <c r="E115" s="19" t="n">
        <v>-110</v>
      </c>
      <c r="F115" s="22" t="n">
        <v>25</v>
      </c>
      <c r="G115" s="18" t="s">
        <v>456</v>
      </c>
      <c r="H115" s="22" t="n">
        <f aca="false">IF(OR($G115="",$G115="Pending"),"",ROUND(IF($G115="Win",IF($E115&gt;0,$F115*$E115/100,$F115*100/-$E115),IF($G115="Loss",-$F115,0)),2))</f>
        <v>-25</v>
      </c>
      <c r="I115" s="22" t="n">
        <f aca="false">Settings!$B$5+SUM($H$6:$H115)</f>
        <v>599.9</v>
      </c>
      <c r="J115" s="20" t="n">
        <f aca="false">IFERROR(SUM($H$6:$H115)/SUMIF($G$6:$G115,"&lt;&gt;Pending",$F$6:$F115),"")</f>
        <v>0.0676600067727735</v>
      </c>
      <c r="K115" s="18" t="s">
        <v>43</v>
      </c>
      <c r="L115" s="20" t="n">
        <v>0.1486</v>
      </c>
      <c r="M115" s="20" t="n">
        <v>0</v>
      </c>
      <c r="N115" s="18" t="s">
        <v>610</v>
      </c>
      <c r="O115" s="18" t="s">
        <v>96</v>
      </c>
    </row>
    <row r="116" customFormat="false" ht="15" hidden="false" customHeight="false" outlineLevel="0" collapsed="false">
      <c r="A116" s="13" t="s">
        <v>611</v>
      </c>
      <c r="B116" s="13" t="s">
        <v>612</v>
      </c>
      <c r="C116" s="13" t="s">
        <v>49</v>
      </c>
      <c r="D116" s="13" t="s">
        <v>613</v>
      </c>
      <c r="E116" s="14" t="n">
        <v>-110</v>
      </c>
      <c r="F116" s="17" t="n">
        <v>25</v>
      </c>
      <c r="G116" s="13" t="s">
        <v>456</v>
      </c>
      <c r="H116" s="17" t="n">
        <f aca="false">IF(OR($G116="",$G116="Pending"),"",ROUND(IF($G116="Win",IF($E116&gt;0,$F116*$E116/100,$F116*100/-$E116),IF($G116="Loss",-$F116,0)),2))</f>
        <v>-25</v>
      </c>
      <c r="I116" s="17" t="n">
        <f aca="false">Settings!$B$5+SUM($H$6:$H116)</f>
        <v>574.9</v>
      </c>
      <c r="J116" s="15" t="n">
        <f aca="false">IFERROR(SUM($H$6:$H116)/SUMIF($G$6:$G116,"&lt;&gt;Pending",$F$6:$F116),"")</f>
        <v>0.0498834498834499</v>
      </c>
      <c r="K116" s="13" t="s">
        <v>43</v>
      </c>
      <c r="L116" s="15" t="n">
        <v>0.1445</v>
      </c>
      <c r="M116" s="15" t="n">
        <v>0</v>
      </c>
      <c r="N116" s="13" t="s">
        <v>614</v>
      </c>
      <c r="O116" s="13" t="s">
        <v>96</v>
      </c>
    </row>
    <row r="117" customFormat="false" ht="15" hidden="false" customHeight="false" outlineLevel="0" collapsed="false">
      <c r="A117" s="18" t="s">
        <v>611</v>
      </c>
      <c r="B117" s="18" t="s">
        <v>615</v>
      </c>
      <c r="C117" s="18" t="s">
        <v>73</v>
      </c>
      <c r="D117" s="18" t="s">
        <v>207</v>
      </c>
      <c r="E117" s="19" t="n">
        <v>390</v>
      </c>
      <c r="F117" s="22" t="n">
        <v>20.5</v>
      </c>
      <c r="G117" s="18" t="s">
        <v>456</v>
      </c>
      <c r="H117" s="22" t="n">
        <f aca="false">IF(OR($G117="",$G117="Pending"),"",ROUND(IF($G117="Win",IF($E117&gt;0,$F117*$E117/100,$F117*100/-$E117),IF($G117="Loss",-$F117,0)),2))</f>
        <v>-20.5</v>
      </c>
      <c r="I117" s="22" t="n">
        <f aca="false">Settings!$B$5+SUM($H$6:$H117)</f>
        <v>554.4</v>
      </c>
      <c r="J117" s="20" t="n">
        <f aca="false">IFERROR(SUM($H$6:$H117)/SUMIF($G$6:$G117,"&lt;&gt;Pending",$F$6:$F117),"")</f>
        <v>0.035742444152431</v>
      </c>
      <c r="K117" s="18" t="s">
        <v>43</v>
      </c>
      <c r="L117" s="20" t="n">
        <v>0.1303</v>
      </c>
      <c r="M117" s="20" t="n">
        <v>0</v>
      </c>
      <c r="N117" s="18" t="s">
        <v>616</v>
      </c>
      <c r="O117" s="18" t="s">
        <v>96</v>
      </c>
    </row>
    <row r="118" customFormat="false" ht="15" hidden="false" customHeight="false" outlineLevel="0" collapsed="false">
      <c r="A118" s="13" t="s">
        <v>611</v>
      </c>
      <c r="B118" s="13" t="s">
        <v>617</v>
      </c>
      <c r="C118" s="13" t="s">
        <v>45</v>
      </c>
      <c r="D118" s="13" t="s">
        <v>550</v>
      </c>
      <c r="E118" s="14" t="n">
        <v>-110</v>
      </c>
      <c r="F118" s="17" t="n">
        <v>25</v>
      </c>
      <c r="G118" s="13" t="s">
        <v>450</v>
      </c>
      <c r="H118" s="17" t="n">
        <f aca="false">IF(OR($G118="",$G118="Pending"),"",ROUND(IF($G118="Win",IF($E118&gt;0,$F118*$E118/100,$F118*100/-$E118),IF($G118="Loss",-$F118,0)),2))</f>
        <v>22.73</v>
      </c>
      <c r="I118" s="17" t="n">
        <f aca="false">Settings!$B$5+SUM($H$6:$H118)</f>
        <v>577.13</v>
      </c>
      <c r="J118" s="15" t="n">
        <f aca="false">IFERROR(SUM($H$6:$H118)/SUMIF($G$6:$G118,"&lt;&gt;Pending",$F$6:$F118),"")</f>
        <v>0.049857789269554</v>
      </c>
      <c r="K118" s="13" t="s">
        <v>43</v>
      </c>
      <c r="L118" s="15" t="n">
        <v>0.1938</v>
      </c>
      <c r="M118" s="15" t="n">
        <v>0</v>
      </c>
      <c r="N118" s="13" t="s">
        <v>618</v>
      </c>
      <c r="O118" s="13" t="s">
        <v>96</v>
      </c>
    </row>
    <row r="119" customFormat="false" ht="15" hidden="false" customHeight="false" outlineLevel="0" collapsed="false">
      <c r="A119" s="18" t="s">
        <v>611</v>
      </c>
      <c r="B119" s="18" t="s">
        <v>619</v>
      </c>
      <c r="C119" s="18" t="s">
        <v>45</v>
      </c>
      <c r="D119" s="18" t="s">
        <v>620</v>
      </c>
      <c r="E119" s="19" t="n">
        <v>-110</v>
      </c>
      <c r="F119" s="22" t="n">
        <v>25</v>
      </c>
      <c r="G119" s="18" t="s">
        <v>450</v>
      </c>
      <c r="H119" s="22" t="n">
        <f aca="false">IF(OR($G119="",$G119="Pending"),"",ROUND(IF($G119="Win",IF($E119&gt;0,$F119*$E119/100,$F119*100/-$E119),IF($G119="Loss",-$F119,0)),2))</f>
        <v>22.73</v>
      </c>
      <c r="I119" s="22" t="n">
        <f aca="false">Settings!$B$5+SUM($H$6:$H119)</f>
        <v>599.86</v>
      </c>
      <c r="J119" s="20" t="n">
        <f aca="false">IFERROR(SUM($H$6:$H119)/SUMIF($G$6:$G119,"&lt;&gt;Pending",$F$6:$F119),"")</f>
        <v>0.0635241730279898</v>
      </c>
      <c r="K119" s="18" t="s">
        <v>43</v>
      </c>
      <c r="L119" s="20" t="n">
        <v>0.1345</v>
      </c>
      <c r="M119" s="20" t="n">
        <v>0</v>
      </c>
      <c r="N119" s="18" t="s">
        <v>621</v>
      </c>
      <c r="O119" s="18" t="s">
        <v>96</v>
      </c>
    </row>
    <row r="120" customFormat="false" ht="15" hidden="false" customHeight="false" outlineLevel="0" collapsed="false">
      <c r="A120" s="13" t="s">
        <v>611</v>
      </c>
      <c r="B120" s="13" t="s">
        <v>622</v>
      </c>
      <c r="C120" s="13" t="s">
        <v>45</v>
      </c>
      <c r="D120" s="13" t="s">
        <v>623</v>
      </c>
      <c r="E120" s="14" t="n">
        <v>-110</v>
      </c>
      <c r="F120" s="17" t="n">
        <v>25</v>
      </c>
      <c r="G120" s="13" t="s">
        <v>456</v>
      </c>
      <c r="H120" s="17" t="n">
        <f aca="false">IF(OR($G120="",$G120="Pending"),"",ROUND(IF($G120="Win",IF($E120&gt;0,$F120*$E120/100,$F120*100/-$E120),IF($G120="Loss",-$F120,0)),2))</f>
        <v>-25</v>
      </c>
      <c r="I120" s="17" t="n">
        <f aca="false">Settings!$B$5+SUM($H$6:$H120)</f>
        <v>574.86</v>
      </c>
      <c r="J120" s="15" t="n">
        <f aca="false">IFERROR(SUM($H$6:$H120)/SUMIF($G$6:$G120,"&lt;&gt;Pending",$F$6:$F120),"")</f>
        <v>0.0468753913587978</v>
      </c>
      <c r="K120" s="13" t="s">
        <v>43</v>
      </c>
      <c r="L120" s="15" t="n">
        <v>0.1913</v>
      </c>
      <c r="M120" s="15" t="n">
        <v>0</v>
      </c>
      <c r="N120" s="13" t="s">
        <v>624</v>
      </c>
      <c r="O120" s="13" t="s">
        <v>96</v>
      </c>
    </row>
    <row r="121" customFormat="false" ht="15" hidden="false" customHeight="false" outlineLevel="0" collapsed="false">
      <c r="A121" s="18" t="s">
        <v>611</v>
      </c>
      <c r="B121" s="18" t="s">
        <v>625</v>
      </c>
      <c r="C121" s="18" t="s">
        <v>45</v>
      </c>
      <c r="D121" s="18" t="s">
        <v>626</v>
      </c>
      <c r="E121" s="19" t="n">
        <v>-110</v>
      </c>
      <c r="F121" s="22" t="n">
        <v>25</v>
      </c>
      <c r="G121" s="18" t="s">
        <v>450</v>
      </c>
      <c r="H121" s="22" t="n">
        <f aca="false">IF(OR($G121="",$G121="Pending"),"",ROUND(IF($G121="Win",IF($E121&gt;0,$F121*$E121/100,$F121*100/-$E121),IF($G121="Loss",-$F121,0)),2))</f>
        <v>22.73</v>
      </c>
      <c r="I121" s="22" t="n">
        <f aca="false">Settings!$B$5+SUM($H$6:$H121)</f>
        <v>597.59</v>
      </c>
      <c r="J121" s="20" t="n">
        <f aca="false">IFERROR(SUM($H$6:$H121)/SUMIF($G$6:$G121,"&lt;&gt;Pending",$F$6:$F121),"")</f>
        <v>0.0601664611590629</v>
      </c>
      <c r="K121" s="18" t="s">
        <v>43</v>
      </c>
      <c r="L121" s="20" t="n">
        <v>0.1985</v>
      </c>
      <c r="M121" s="20" t="n">
        <v>0</v>
      </c>
      <c r="N121" s="18" t="s">
        <v>627</v>
      </c>
      <c r="O121" s="18" t="s">
        <v>96</v>
      </c>
    </row>
    <row r="122" customFormat="false" ht="15" hidden="false" customHeight="false" outlineLevel="0" collapsed="false">
      <c r="A122" s="13" t="s">
        <v>611</v>
      </c>
      <c r="B122" s="13" t="s">
        <v>628</v>
      </c>
      <c r="C122" s="13" t="s">
        <v>45</v>
      </c>
      <c r="D122" s="13" t="s">
        <v>629</v>
      </c>
      <c r="E122" s="14" t="n">
        <v>-110</v>
      </c>
      <c r="F122" s="17" t="n">
        <v>25</v>
      </c>
      <c r="G122" s="13" t="s">
        <v>456</v>
      </c>
      <c r="H122" s="17" t="n">
        <f aca="false">IF(OR($G122="",$G122="Pending"),"",ROUND(IF($G122="Win",IF($E122&gt;0,$F122*$E122/100,$F122*100/-$E122),IF($G122="Loss",-$F122,0)),2))</f>
        <v>-25</v>
      </c>
      <c r="I122" s="17" t="n">
        <f aca="false">Settings!$B$5+SUM($H$6:$H122)</f>
        <v>572.59</v>
      </c>
      <c r="J122" s="15" t="n">
        <f aca="false">IFERROR(SUM($H$6:$H122)/SUMIF($G$6:$G122,"&lt;&gt;Pending",$F$6:$F122),"")</f>
        <v>0.0440740740740741</v>
      </c>
      <c r="K122" s="13" t="s">
        <v>43</v>
      </c>
      <c r="L122" s="15" t="n">
        <v>0.1933</v>
      </c>
      <c r="M122" s="15" t="n">
        <v>0</v>
      </c>
      <c r="N122" s="13" t="s">
        <v>630</v>
      </c>
      <c r="O122" s="13" t="s">
        <v>96</v>
      </c>
    </row>
    <row r="123" customFormat="false" ht="15" hidden="false" customHeight="false" outlineLevel="0" collapsed="false">
      <c r="A123" s="18" t="s">
        <v>611</v>
      </c>
      <c r="B123" s="18" t="s">
        <v>478</v>
      </c>
      <c r="C123" s="18" t="s">
        <v>49</v>
      </c>
      <c r="D123" s="18" t="s">
        <v>544</v>
      </c>
      <c r="E123" s="19" t="n">
        <v>-110</v>
      </c>
      <c r="F123" s="22" t="n">
        <v>25</v>
      </c>
      <c r="G123" s="18" t="s">
        <v>456</v>
      </c>
      <c r="H123" s="22" t="n">
        <f aca="false">IF(OR($G123="",$G123="Pending"),"",ROUND(IF($G123="Win",IF($E123&gt;0,$F123*$E123/100,$F123*100/-$E123),IF($G123="Loss",-$F123,0)),2))</f>
        <v>-25</v>
      </c>
      <c r="I123" s="22" t="n">
        <f aca="false">Settings!$B$5+SUM($H$6:$H123)</f>
        <v>547.59</v>
      </c>
      <c r="J123" s="20" t="n">
        <f aca="false">IFERROR(SUM($H$6:$H123)/SUMIF($G$6:$G123,"&lt;&gt;Pending",$F$6:$F123),"")</f>
        <v>0.0284629186602871</v>
      </c>
      <c r="K123" s="18" t="s">
        <v>43</v>
      </c>
      <c r="L123" s="20" t="n">
        <v>0.1637</v>
      </c>
      <c r="M123" s="20" t="n">
        <v>0</v>
      </c>
      <c r="N123" s="18" t="s">
        <v>631</v>
      </c>
      <c r="O123" s="18" t="s">
        <v>96</v>
      </c>
    </row>
    <row r="124" customFormat="false" ht="15" hidden="false" customHeight="false" outlineLevel="0" collapsed="false">
      <c r="A124" s="13" t="s">
        <v>611</v>
      </c>
      <c r="B124" s="13" t="s">
        <v>632</v>
      </c>
      <c r="C124" s="13" t="s">
        <v>49</v>
      </c>
      <c r="D124" s="13" t="s">
        <v>633</v>
      </c>
      <c r="E124" s="14" t="n">
        <v>-110</v>
      </c>
      <c r="F124" s="17" t="n">
        <v>25</v>
      </c>
      <c r="G124" s="13" t="s">
        <v>456</v>
      </c>
      <c r="H124" s="17" t="n">
        <f aca="false">IF(OR($G124="",$G124="Pending"),"",ROUND(IF($G124="Win",IF($E124&gt;0,$F124*$E124/100,$F124*100/-$E124),IF($G124="Loss",-$F124,0)),2))</f>
        <v>-25</v>
      </c>
      <c r="I124" s="17" t="n">
        <f aca="false">Settings!$B$5+SUM($H$6:$H124)</f>
        <v>522.59</v>
      </c>
      <c r="J124" s="15" t="n">
        <f aca="false">IFERROR(SUM($H$6:$H124)/SUMIF($G$6:$G124,"&lt;&gt;Pending",$F$6:$F124),"")</f>
        <v>0.0133117265763111</v>
      </c>
      <c r="K124" s="13" t="s">
        <v>43</v>
      </c>
      <c r="L124" s="15" t="n">
        <v>0.1742</v>
      </c>
      <c r="M124" s="15" t="n">
        <v>0</v>
      </c>
      <c r="N124" s="13" t="s">
        <v>634</v>
      </c>
      <c r="O124" s="13" t="s">
        <v>96</v>
      </c>
    </row>
    <row r="125" customFormat="false" ht="15" hidden="false" customHeight="false" outlineLevel="0" collapsed="false">
      <c r="A125" s="18" t="s">
        <v>611</v>
      </c>
      <c r="B125" s="18" t="s">
        <v>635</v>
      </c>
      <c r="C125" s="18" t="s">
        <v>49</v>
      </c>
      <c r="D125" s="18" t="s">
        <v>128</v>
      </c>
      <c r="E125" s="19" t="n">
        <v>-110</v>
      </c>
      <c r="F125" s="22" t="n">
        <v>25</v>
      </c>
      <c r="G125" s="18" t="s">
        <v>456</v>
      </c>
      <c r="H125" s="22" t="n">
        <f aca="false">IF(OR($G125="",$G125="Pending"),"",ROUND(IF($G125="Win",IF($E125&gt;0,$F125*$E125/100,$F125*100/-$E125),IF($G125="Loss",-$F125,0)),2))</f>
        <v>-25</v>
      </c>
      <c r="I125" s="22" t="n">
        <f aca="false">Settings!$B$5+SUM($H$6:$H125)</f>
        <v>497.59</v>
      </c>
      <c r="J125" s="20" t="n">
        <f aca="false">IFERROR(SUM($H$6:$H125)/SUMIF($G$6:$G125,"&lt;&gt;Pending",$F$6:$F125),"")</f>
        <v>-0.00139953542392566</v>
      </c>
      <c r="K125" s="18" t="s">
        <v>43</v>
      </c>
      <c r="L125" s="20" t="n">
        <v>0.1534</v>
      </c>
      <c r="M125" s="20" t="n">
        <v>0</v>
      </c>
      <c r="N125" s="18" t="s">
        <v>636</v>
      </c>
      <c r="O125" s="18" t="s">
        <v>96</v>
      </c>
    </row>
    <row r="126" customFormat="false" ht="15" hidden="false" customHeight="false" outlineLevel="0" collapsed="false">
      <c r="A126" s="13" t="s">
        <v>637</v>
      </c>
      <c r="B126" s="13" t="s">
        <v>638</v>
      </c>
      <c r="C126" s="13" t="s">
        <v>73</v>
      </c>
      <c r="D126" s="13" t="s">
        <v>74</v>
      </c>
      <c r="E126" s="14" t="n">
        <v>227</v>
      </c>
      <c r="F126" s="17" t="n">
        <v>21.5</v>
      </c>
      <c r="G126" s="13" t="s">
        <v>92</v>
      </c>
      <c r="H126" s="17" t="n">
        <f aca="false">IF(OR($G126="",$G126="Pending"),"",ROUND(IF($G126="Win",IF($E126&gt;0,$F126*$E126/100,$F126*100/-$E126),IF($G126="Loss",-$F126,0)),2))</f>
        <v>0</v>
      </c>
      <c r="I126" s="17" t="n">
        <f aca="false">Settings!$B$5+SUM($H$6:$H126)</f>
        <v>497.59</v>
      </c>
      <c r="J126" s="15" t="n">
        <f aca="false">IFERROR(SUM($H$6:$H126)/SUMIF($G$6:$G126,"&lt;&gt;Pending",$F$6:$F126),"")</f>
        <v>-0.00138227702896472</v>
      </c>
      <c r="K126" s="13" t="s">
        <v>43</v>
      </c>
      <c r="L126" s="15" t="n">
        <v>0.1185</v>
      </c>
      <c r="M126" s="15" t="n">
        <v>0</v>
      </c>
      <c r="N126" s="13" t="s">
        <v>639</v>
      </c>
      <c r="O126" s="13" t="s">
        <v>96</v>
      </c>
    </row>
    <row r="127" customFormat="false" ht="15" hidden="false" customHeight="false" outlineLevel="0" collapsed="false">
      <c r="A127" s="18" t="s">
        <v>637</v>
      </c>
      <c r="B127" s="18" t="s">
        <v>640</v>
      </c>
      <c r="C127" s="18" t="s">
        <v>45</v>
      </c>
      <c r="D127" s="18" t="s">
        <v>641</v>
      </c>
      <c r="E127" s="19" t="n">
        <v>-110</v>
      </c>
      <c r="F127" s="22" t="n">
        <v>25</v>
      </c>
      <c r="G127" s="18" t="s">
        <v>456</v>
      </c>
      <c r="H127" s="22" t="n">
        <f aca="false">IF(OR($G127="",$G127="Pending"),"",ROUND(IF($G127="Win",IF($E127&gt;0,$F127*$E127/100,$F127*100/-$E127),IF($G127="Loss",-$F127,0)),2))</f>
        <v>-25</v>
      </c>
      <c r="I127" s="22" t="n">
        <f aca="false">Settings!$B$5+SUM($H$6:$H127)</f>
        <v>472.59</v>
      </c>
      <c r="J127" s="20" t="n">
        <f aca="false">IFERROR(SUM($H$6:$H127)/SUMIF($G$6:$G127,"&lt;&gt;Pending",$F$6:$F127),"")</f>
        <v>-0.0154990104608425</v>
      </c>
      <c r="K127" s="18" t="s">
        <v>43</v>
      </c>
      <c r="L127" s="20" t="n">
        <v>0.1726</v>
      </c>
      <c r="M127" s="20" t="n">
        <v>0</v>
      </c>
      <c r="N127" s="18" t="s">
        <v>642</v>
      </c>
      <c r="O127" s="18" t="s">
        <v>96</v>
      </c>
    </row>
    <row r="128" customFormat="false" ht="15" hidden="false" customHeight="false" outlineLevel="0" collapsed="false">
      <c r="A128" s="13" t="s">
        <v>637</v>
      </c>
      <c r="B128" s="13" t="s">
        <v>643</v>
      </c>
      <c r="C128" s="13" t="s">
        <v>45</v>
      </c>
      <c r="D128" s="13" t="s">
        <v>644</v>
      </c>
      <c r="E128" s="14" t="n">
        <v>-110</v>
      </c>
      <c r="F128" s="17" t="n">
        <v>25</v>
      </c>
      <c r="G128" s="13" t="s">
        <v>450</v>
      </c>
      <c r="H128" s="17" t="n">
        <f aca="false">IF(OR($G128="",$G128="Pending"),"",ROUND(IF($G128="Win",IF($E128&gt;0,$F128*$E128/100,$F128*100/-$E128),IF($G128="Loss",-$F128,0)),2))</f>
        <v>22.73</v>
      </c>
      <c r="I128" s="17" t="n">
        <f aca="false">Settings!$B$5+SUM($H$6:$H128)</f>
        <v>495.32</v>
      </c>
      <c r="J128" s="15" t="n">
        <f aca="false">IFERROR(SUM($H$6:$H128)/SUMIF($G$6:$G128,"&lt;&gt;Pending",$F$6:$F128),"")</f>
        <v>-0.00260942291608586</v>
      </c>
      <c r="K128" s="13" t="s">
        <v>43</v>
      </c>
      <c r="L128" s="15" t="n">
        <v>0.1758</v>
      </c>
      <c r="M128" s="15" t="n">
        <v>0</v>
      </c>
      <c r="N128" s="13" t="s">
        <v>645</v>
      </c>
      <c r="O128" s="13" t="s">
        <v>96</v>
      </c>
    </row>
    <row r="129" customFormat="false" ht="15" hidden="false" customHeight="false" outlineLevel="0" collapsed="false">
      <c r="A129" s="18" t="s">
        <v>637</v>
      </c>
      <c r="B129" s="18" t="s">
        <v>646</v>
      </c>
      <c r="C129" s="18" t="s">
        <v>73</v>
      </c>
      <c r="D129" s="18" t="s">
        <v>195</v>
      </c>
      <c r="E129" s="19" t="n">
        <v>483</v>
      </c>
      <c r="F129" s="22" t="n">
        <v>21</v>
      </c>
      <c r="G129" s="18" t="s">
        <v>456</v>
      </c>
      <c r="H129" s="22" t="n">
        <f aca="false">IF(OR($G129="",$G129="Pending"),"",ROUND(IF($G129="Win",IF($E129&gt;0,$F129*$E129/100,$F129*100/-$E129),IF($G129="Loss",-$F129,0)),2))</f>
        <v>-21</v>
      </c>
      <c r="I129" s="22" t="n">
        <f aca="false">Settings!$B$5+SUM($H$6:$H129)</f>
        <v>474.32</v>
      </c>
      <c r="J129" s="20" t="n">
        <f aca="false">IFERROR(SUM($H$6:$H129)/SUMIF($G$6:$G129,"&lt;&gt;Pending",$F$6:$F129),"")</f>
        <v>-0.0141526591347479</v>
      </c>
      <c r="K129" s="18" t="s">
        <v>43</v>
      </c>
      <c r="L129" s="20" t="n">
        <v>0.1389</v>
      </c>
      <c r="M129" s="20" t="n">
        <v>0</v>
      </c>
      <c r="N129" s="18" t="s">
        <v>647</v>
      </c>
      <c r="O129" s="18" t="s">
        <v>96</v>
      </c>
    </row>
    <row r="130" customFormat="false" ht="15" hidden="false" customHeight="false" outlineLevel="0" collapsed="false">
      <c r="A130" s="13" t="s">
        <v>637</v>
      </c>
      <c r="B130" s="13" t="s">
        <v>648</v>
      </c>
      <c r="C130" s="13" t="s">
        <v>45</v>
      </c>
      <c r="D130" s="13" t="s">
        <v>649</v>
      </c>
      <c r="E130" s="14" t="n">
        <v>-110</v>
      </c>
      <c r="F130" s="17" t="n">
        <v>25</v>
      </c>
      <c r="G130" s="13" t="s">
        <v>450</v>
      </c>
      <c r="H130" s="17" t="n">
        <f aca="false">IF(OR($G130="",$G130="Pending"),"",ROUND(IF($G130="Win",IF($E130&gt;0,$F130*$E130/100,$F130*100/-$E130),IF($G130="Loss",-$F130,0)),2))</f>
        <v>22.73</v>
      </c>
      <c r="I130" s="17" t="n">
        <f aca="false">Settings!$B$5+SUM($H$6:$H130)</f>
        <v>497.05</v>
      </c>
      <c r="J130" s="15" t="n">
        <f aca="false">IFERROR(SUM($H$6:$H130)/SUMIF($G$6:$G130,"&lt;&gt;Pending",$F$6:$F130),"")</f>
        <v>-0.00160369665670018</v>
      </c>
      <c r="K130" s="13" t="s">
        <v>43</v>
      </c>
      <c r="L130" s="15" t="n">
        <v>0.1493</v>
      </c>
      <c r="M130" s="15" t="n">
        <v>0</v>
      </c>
      <c r="N130" s="13" t="s">
        <v>650</v>
      </c>
      <c r="O130" s="13" t="s">
        <v>96</v>
      </c>
    </row>
    <row r="131" customFormat="false" ht="15" hidden="false" customHeight="false" outlineLevel="0" collapsed="false">
      <c r="A131" s="18" t="s">
        <v>637</v>
      </c>
      <c r="B131" s="18" t="s">
        <v>118</v>
      </c>
      <c r="C131" s="18" t="s">
        <v>73</v>
      </c>
      <c r="D131" s="18" t="s">
        <v>110</v>
      </c>
      <c r="E131" s="19" t="n">
        <v>585</v>
      </c>
      <c r="F131" s="22" t="n">
        <v>22</v>
      </c>
      <c r="G131" s="18" t="s">
        <v>456</v>
      </c>
      <c r="H131" s="22" t="n">
        <f aca="false">IF(OR($G131="",$G131="Pending"),"",ROUND(IF($G131="Win",IF($E131&gt;0,$F131*$E131/100,$F131*100/-$E131),IF($G131="Loss",-$F131,0)),2))</f>
        <v>-22</v>
      </c>
      <c r="I131" s="22" t="n">
        <f aca="false">Settings!$B$5+SUM($H$6:$H131)</f>
        <v>475.05</v>
      </c>
      <c r="J131" s="20" t="n">
        <f aca="false">IFERROR(SUM($H$6:$H131)/SUMIF($G$6:$G131,"&lt;&gt;Pending",$F$6:$F131),"")</f>
        <v>-0.0134031694869729</v>
      </c>
      <c r="K131" s="18" t="s">
        <v>43</v>
      </c>
      <c r="L131" s="20" t="n">
        <v>0.1514</v>
      </c>
      <c r="M131" s="20" t="n">
        <v>0</v>
      </c>
      <c r="N131" s="18" t="s">
        <v>651</v>
      </c>
      <c r="O131" s="18" t="s">
        <v>96</v>
      </c>
    </row>
    <row r="132" customFormat="false" ht="15" hidden="false" customHeight="false" outlineLevel="0" collapsed="false">
      <c r="A132" s="13" t="s">
        <v>637</v>
      </c>
      <c r="B132" s="13" t="s">
        <v>652</v>
      </c>
      <c r="C132" s="13" t="s">
        <v>45</v>
      </c>
      <c r="D132" s="13" t="s">
        <v>653</v>
      </c>
      <c r="E132" s="14" t="n">
        <v>-110</v>
      </c>
      <c r="F132" s="17" t="n">
        <v>25</v>
      </c>
      <c r="G132" s="13" t="s">
        <v>450</v>
      </c>
      <c r="H132" s="17" t="n">
        <f aca="false">IF(OR($G132="",$G132="Pending"),"",ROUND(IF($G132="Win",IF($E132&gt;0,$F132*$E132/100,$F132*100/-$E132),IF($G132="Loss",-$F132,0)),2))</f>
        <v>22.73</v>
      </c>
      <c r="I132" s="17" t="n">
        <f aca="false">Settings!$B$5+SUM($H$6:$H132)</f>
        <v>497.78</v>
      </c>
      <c r="J132" s="15" t="n">
        <f aca="false">IFERROR(SUM($H$6:$H132)/SUMIF($G$6:$G132,"&lt;&gt;Pending",$F$6:$F132),"")</f>
        <v>-0.00117678240127219</v>
      </c>
      <c r="K132" s="13" t="s">
        <v>43</v>
      </c>
      <c r="L132" s="15" t="n">
        <v>0.1547</v>
      </c>
      <c r="M132" s="15" t="n">
        <v>0</v>
      </c>
      <c r="N132" s="13" t="s">
        <v>654</v>
      </c>
      <c r="O132" s="13" t="s">
        <v>96</v>
      </c>
    </row>
    <row r="133" customFormat="false" ht="15" hidden="false" customHeight="false" outlineLevel="0" collapsed="false">
      <c r="A133" s="18" t="s">
        <v>637</v>
      </c>
      <c r="B133" s="18" t="s">
        <v>97</v>
      </c>
      <c r="C133" s="18" t="s">
        <v>45</v>
      </c>
      <c r="D133" s="18" t="s">
        <v>655</v>
      </c>
      <c r="E133" s="19" t="n">
        <v>-110</v>
      </c>
      <c r="F133" s="22" t="n">
        <v>25</v>
      </c>
      <c r="G133" s="18" t="s">
        <v>456</v>
      </c>
      <c r="H133" s="22" t="n">
        <f aca="false">IF(OR($G133="",$G133="Pending"),"",ROUND(IF($G133="Win",IF($E133&gt;0,$F133*$E133/100,$F133*100/-$E133),IF($G133="Loss",-$F133,0)),2))</f>
        <v>-25</v>
      </c>
      <c r="I133" s="22" t="n">
        <f aca="false">Settings!$B$5+SUM($H$6:$H133)</f>
        <v>472.78</v>
      </c>
      <c r="J133" s="20" t="n">
        <f aca="false">IFERROR(SUM($H$6:$H133)/SUMIF($G$6:$G133,"&lt;&gt;Pending",$F$6:$F133),"")</f>
        <v>-0.0142401255558462</v>
      </c>
      <c r="K133" s="18" t="s">
        <v>43</v>
      </c>
      <c r="L133" s="20" t="n">
        <v>0.1571</v>
      </c>
      <c r="M133" s="20" t="n">
        <v>0</v>
      </c>
      <c r="N133" s="18" t="s">
        <v>656</v>
      </c>
      <c r="O133" s="18" t="s">
        <v>96</v>
      </c>
    </row>
    <row r="134" customFormat="false" ht="15" hidden="false" customHeight="false" outlineLevel="0" collapsed="false">
      <c r="A134" s="13" t="s">
        <v>637</v>
      </c>
      <c r="B134" s="13" t="s">
        <v>657</v>
      </c>
      <c r="C134" s="13" t="s">
        <v>45</v>
      </c>
      <c r="D134" s="13" t="s">
        <v>658</v>
      </c>
      <c r="E134" s="14" t="n">
        <v>-110</v>
      </c>
      <c r="F134" s="17" t="n">
        <v>25</v>
      </c>
      <c r="G134" s="13" t="s">
        <v>450</v>
      </c>
      <c r="H134" s="17" t="n">
        <f aca="false">IF(OR($G134="",$G134="Pending"),"",ROUND(IF($G134="Win",IF($E134&gt;0,$F134*$E134/100,$F134*100/-$E134),IF($G134="Loss",-$F134,0)),2))</f>
        <v>22.73</v>
      </c>
      <c r="I134" s="17" t="n">
        <f aca="false">Settings!$B$5+SUM($H$6:$H134)</f>
        <v>495.51</v>
      </c>
      <c r="J134" s="15" t="n">
        <f aca="false">IFERROR(SUM($H$6:$H134)/SUMIF($G$6:$G134,"&lt;&gt;Pending",$F$6:$F134),"")</f>
        <v>-0.00231861605990188</v>
      </c>
      <c r="K134" s="13" t="s">
        <v>43</v>
      </c>
      <c r="L134" s="15" t="n">
        <v>0.1203</v>
      </c>
      <c r="M134" s="15" t="n">
        <v>0</v>
      </c>
      <c r="N134" s="13" t="s">
        <v>659</v>
      </c>
      <c r="O134" s="13" t="s">
        <v>96</v>
      </c>
    </row>
    <row r="135" customFormat="false" ht="15" hidden="false" customHeight="false" outlineLevel="0" collapsed="false">
      <c r="A135" s="18" t="s">
        <v>637</v>
      </c>
      <c r="B135" s="18" t="s">
        <v>660</v>
      </c>
      <c r="C135" s="18" t="s">
        <v>45</v>
      </c>
      <c r="D135" s="18" t="s">
        <v>661</v>
      </c>
      <c r="E135" s="19" t="n">
        <v>-110</v>
      </c>
      <c r="F135" s="22" t="n">
        <v>25</v>
      </c>
      <c r="G135" s="18" t="s">
        <v>450</v>
      </c>
      <c r="H135" s="22" t="n">
        <f aca="false">IF(OR($G135="",$G135="Pending"),"",ROUND(IF($G135="Win",IF($E135&gt;0,$F135*$E135/100,$F135*100/-$E135),IF($G135="Loss",-$F135,0)),2))</f>
        <v>22.73</v>
      </c>
      <c r="I135" s="22" t="n">
        <f aca="false">Settings!$B$5+SUM($H$6:$H135)</f>
        <v>518.24</v>
      </c>
      <c r="J135" s="20" t="n">
        <f aca="false">IFERROR(SUM($H$6:$H135)/SUMIF($G$6:$G135,"&lt;&gt;Pending",$F$6:$F135),"")</f>
        <v>0.00929900586286006</v>
      </c>
      <c r="K135" s="18" t="s">
        <v>43</v>
      </c>
      <c r="L135" s="20" t="n">
        <v>0.1695</v>
      </c>
      <c r="M135" s="20" t="n">
        <v>0</v>
      </c>
      <c r="N135" s="18" t="s">
        <v>662</v>
      </c>
      <c r="O135" s="18" t="s">
        <v>96</v>
      </c>
    </row>
    <row r="136" customFormat="false" ht="15" hidden="false" customHeight="false" outlineLevel="0" collapsed="false">
      <c r="A136" s="13" t="s">
        <v>663</v>
      </c>
      <c r="B136" s="13" t="s">
        <v>664</v>
      </c>
      <c r="C136" s="13" t="s">
        <v>49</v>
      </c>
      <c r="D136" s="13" t="s">
        <v>665</v>
      </c>
      <c r="E136" s="14" t="n">
        <v>-110</v>
      </c>
      <c r="F136" s="17" t="n">
        <v>25</v>
      </c>
      <c r="G136" s="13" t="s">
        <v>450</v>
      </c>
      <c r="H136" s="17" t="n">
        <f aca="false">IF(OR($G136="",$G136="Pending"),"",ROUND(IF($G136="Win",IF($E136&gt;0,$F136*$E136/100,$F136*100/-$E136),IF($G136="Loss",-$F136,0)),2))</f>
        <v>22.73</v>
      </c>
      <c r="I136" s="17" t="n">
        <f aca="false">Settings!$B$5+SUM($H$6:$H136)</f>
        <v>540.97</v>
      </c>
      <c r="J136" s="15" t="n">
        <f aca="false">IFERROR(SUM($H$6:$H136)/SUMIF($G$6:$G136,"&lt;&gt;Pending",$F$6:$F136),"")</f>
        <v>0.0206242134407249</v>
      </c>
      <c r="K136" s="13" t="s">
        <v>43</v>
      </c>
      <c r="L136" s="15" t="n">
        <v>0.1602</v>
      </c>
      <c r="M136" s="15" t="n">
        <v>0</v>
      </c>
      <c r="N136" s="13" t="s">
        <v>666</v>
      </c>
      <c r="O136" s="13" t="s">
        <v>96</v>
      </c>
    </row>
    <row r="137" customFormat="false" ht="15" hidden="false" customHeight="false" outlineLevel="0" collapsed="false">
      <c r="A137" s="18" t="s">
        <v>663</v>
      </c>
      <c r="B137" s="18" t="s">
        <v>667</v>
      </c>
      <c r="C137" s="18" t="s">
        <v>45</v>
      </c>
      <c r="D137" s="18" t="s">
        <v>668</v>
      </c>
      <c r="E137" s="19" t="n">
        <v>-110</v>
      </c>
      <c r="F137" s="22" t="n">
        <v>25</v>
      </c>
      <c r="G137" s="18" t="s">
        <v>456</v>
      </c>
      <c r="H137" s="22" t="n">
        <f aca="false">IF(OR($G137="",$G137="Pending"),"",ROUND(IF($G137="Win",IF($E137&gt;0,$F137*$E137/100,$F137*100/-$E137),IF($G137="Loss",-$F137,0)),2))</f>
        <v>-25</v>
      </c>
      <c r="I137" s="22" t="n">
        <f aca="false">Settings!$B$5+SUM($H$6:$H137)</f>
        <v>515.97</v>
      </c>
      <c r="J137" s="20" t="n">
        <f aca="false">IFERROR(SUM($H$6:$H137)/SUMIF($G$6:$G137,"&lt;&gt;Pending",$F$6:$F137),"")</f>
        <v>0.00793934874471788</v>
      </c>
      <c r="K137" s="18" t="s">
        <v>43</v>
      </c>
      <c r="L137" s="20" t="n">
        <v>0.1065</v>
      </c>
      <c r="M137" s="20" t="n">
        <v>0</v>
      </c>
      <c r="N137" s="18" t="s">
        <v>669</v>
      </c>
      <c r="O137" s="18" t="s">
        <v>96</v>
      </c>
    </row>
    <row r="138" customFormat="false" ht="15" hidden="false" customHeight="false" outlineLevel="0" collapsed="false">
      <c r="A138" s="13" t="s">
        <v>663</v>
      </c>
      <c r="B138" s="13" t="s">
        <v>670</v>
      </c>
      <c r="C138" s="13" t="s">
        <v>45</v>
      </c>
      <c r="D138" s="13" t="s">
        <v>671</v>
      </c>
      <c r="E138" s="14" t="n">
        <v>-110</v>
      </c>
      <c r="F138" s="17" t="n">
        <v>25</v>
      </c>
      <c r="G138" s="13" t="s">
        <v>456</v>
      </c>
      <c r="H138" s="17" t="n">
        <f aca="false">IF(OR($G138="",$G138="Pending"),"",ROUND(IF($G138="Win",IF($E138&gt;0,$F138*$E138/100,$F138*100/-$E138),IF($G138="Loss",-$F138,0)),2))</f>
        <v>-25</v>
      </c>
      <c r="I138" s="17" t="n">
        <f aca="false">Settings!$B$5+SUM($H$6:$H138)</f>
        <v>490.97</v>
      </c>
      <c r="J138" s="15" t="n">
        <f aca="false">IFERROR(SUM($H$6:$H138)/SUMIF($G$6:$G138,"&lt;&gt;Pending",$F$6:$F138),"")</f>
        <v>-0.00443407807512889</v>
      </c>
      <c r="K138" s="13" t="s">
        <v>43</v>
      </c>
      <c r="L138" s="15" t="n">
        <v>0.1607</v>
      </c>
      <c r="M138" s="15" t="n">
        <v>0</v>
      </c>
      <c r="N138" s="13" t="s">
        <v>672</v>
      </c>
      <c r="O138" s="13" t="s">
        <v>96</v>
      </c>
    </row>
    <row r="139" customFormat="false" ht="15" hidden="false" customHeight="false" outlineLevel="0" collapsed="false">
      <c r="A139" s="18" t="s">
        <v>663</v>
      </c>
      <c r="B139" s="18" t="s">
        <v>574</v>
      </c>
      <c r="C139" s="18" t="s">
        <v>49</v>
      </c>
      <c r="D139" s="18" t="s">
        <v>78</v>
      </c>
      <c r="E139" s="19" t="n">
        <v>-110</v>
      </c>
      <c r="F139" s="22" t="n">
        <v>25</v>
      </c>
      <c r="G139" s="18" t="s">
        <v>456</v>
      </c>
      <c r="H139" s="22" t="n">
        <f aca="false">IF(OR($G139="",$G139="Pending"),"",ROUND(IF($G139="Win",IF($E139&gt;0,$F139*$E139/100,$F139*100/-$E139),IF($G139="Loss",-$F139,0)),2))</f>
        <v>-25</v>
      </c>
      <c r="I139" s="22" t="n">
        <f aca="false">Settings!$B$5+SUM($H$6:$H139)</f>
        <v>465.97</v>
      </c>
      <c r="J139" s="20" t="n">
        <f aca="false">IFERROR(SUM($H$6:$H139)/SUMIF($G$6:$G139,"&lt;&gt;Pending",$F$6:$F139),"")</f>
        <v>-0.0165073975260732</v>
      </c>
      <c r="K139" s="18" t="s">
        <v>43</v>
      </c>
      <c r="L139" s="20" t="n">
        <v>0.1568</v>
      </c>
      <c r="M139" s="20" t="n">
        <v>0</v>
      </c>
      <c r="N139" s="18" t="s">
        <v>673</v>
      </c>
      <c r="O139" s="18" t="s">
        <v>96</v>
      </c>
    </row>
    <row r="140" customFormat="false" ht="15" hidden="false" customHeight="false" outlineLevel="0" collapsed="false">
      <c r="A140" s="13" t="s">
        <v>663</v>
      </c>
      <c r="B140" s="13" t="s">
        <v>619</v>
      </c>
      <c r="C140" s="13" t="s">
        <v>45</v>
      </c>
      <c r="D140" s="13" t="s">
        <v>674</v>
      </c>
      <c r="E140" s="14" t="n">
        <v>-110</v>
      </c>
      <c r="F140" s="17" t="n">
        <v>25</v>
      </c>
      <c r="G140" s="13" t="s">
        <v>450</v>
      </c>
      <c r="H140" s="17" t="n">
        <f aca="false">IF(OR($G140="",$G140="Pending"),"",ROUND(IF($G140="Win",IF($E140&gt;0,$F140*$E140/100,$F140*100/-$E140),IF($G140="Loss",-$F140,0)),2))</f>
        <v>22.73</v>
      </c>
      <c r="I140" s="17" t="n">
        <f aca="false">Settings!$B$5+SUM($H$6:$H140)</f>
        <v>488.7</v>
      </c>
      <c r="J140" s="15" t="n">
        <f aca="false">IFERROR(SUM($H$6:$H140)/SUMIF($G$6:$G140,"&lt;&gt;Pending",$F$6:$F140),"")</f>
        <v>-0.00541576803259046</v>
      </c>
      <c r="K140" s="13" t="s">
        <v>43</v>
      </c>
      <c r="L140" s="15" t="n">
        <v>0.1166</v>
      </c>
      <c r="M140" s="15" t="n">
        <v>0</v>
      </c>
      <c r="N140" s="13" t="s">
        <v>675</v>
      </c>
      <c r="O140" s="13" t="s">
        <v>96</v>
      </c>
    </row>
    <row r="141" customFormat="false" ht="15" hidden="false" customHeight="false" outlineLevel="0" collapsed="false">
      <c r="A141" s="18" t="s">
        <v>663</v>
      </c>
      <c r="B141" s="18" t="s">
        <v>676</v>
      </c>
      <c r="C141" s="18" t="s">
        <v>73</v>
      </c>
      <c r="D141" s="18" t="s">
        <v>132</v>
      </c>
      <c r="E141" s="19" t="n">
        <v>244</v>
      </c>
      <c r="F141" s="22" t="n">
        <v>17.5</v>
      </c>
      <c r="G141" s="18" t="s">
        <v>450</v>
      </c>
      <c r="H141" s="22" t="n">
        <f aca="false">IF(OR($G141="",$G141="Pending"),"",ROUND(IF($G141="Win",IF($E141&gt;0,$F141*$E141/100,$F141*100/-$E141),IF($G141="Loss",-$F141,0)),2))</f>
        <v>42.7</v>
      </c>
      <c r="I141" s="22" t="n">
        <f aca="false">Settings!$B$5+SUM($H$6:$H141)</f>
        <v>531.4</v>
      </c>
      <c r="J141" s="20" t="n">
        <f aca="false">IFERROR(SUM($H$6:$H141)/SUMIF($G$6:$G141,"&lt;&gt;Pending",$F$6:$F141),"")</f>
        <v>0.0149239543726236</v>
      </c>
      <c r="K141" s="18" t="s">
        <v>43</v>
      </c>
      <c r="L141" s="20" t="n">
        <v>0.0996</v>
      </c>
      <c r="M141" s="20" t="n">
        <v>0</v>
      </c>
      <c r="N141" s="18" t="s">
        <v>677</v>
      </c>
      <c r="O141" s="18" t="s">
        <v>96</v>
      </c>
    </row>
    <row r="142" customFormat="false" ht="15" hidden="false" customHeight="false" outlineLevel="0" collapsed="false">
      <c r="A142" s="13" t="s">
        <v>663</v>
      </c>
      <c r="B142" s="13" t="s">
        <v>678</v>
      </c>
      <c r="C142" s="13" t="s">
        <v>45</v>
      </c>
      <c r="D142" s="13" t="s">
        <v>679</v>
      </c>
      <c r="E142" s="14" t="n">
        <v>-110</v>
      </c>
      <c r="F142" s="17" t="n">
        <v>25</v>
      </c>
      <c r="G142" s="13" t="s">
        <v>450</v>
      </c>
      <c r="H142" s="17" t="n">
        <f aca="false">IF(OR($G142="",$G142="Pending"),"",ROUND(IF($G142="Win",IF($E142&gt;0,$F142*$E142/100,$F142*100/-$E142),IF($G142="Loss",-$F142,0)),2))</f>
        <v>22.73</v>
      </c>
      <c r="I142" s="17" t="n">
        <f aca="false">Settings!$B$5+SUM($H$6:$H142)</f>
        <v>554.13</v>
      </c>
      <c r="J142" s="15" t="n">
        <f aca="false">IFERROR(SUM($H$6:$H142)/SUMIF($G$6:$G142,"&lt;&gt;Pending",$F$6:$F142),"")</f>
        <v>0.0254250821982151</v>
      </c>
      <c r="K142" s="13" t="s">
        <v>43</v>
      </c>
      <c r="L142" s="15" t="n">
        <v>0.1997</v>
      </c>
      <c r="M142" s="15" t="n">
        <v>0</v>
      </c>
      <c r="N142" s="13" t="s">
        <v>680</v>
      </c>
      <c r="O142" s="13" t="s">
        <v>96</v>
      </c>
    </row>
    <row r="143" customFormat="false" ht="15" hidden="false" customHeight="false" outlineLevel="0" collapsed="false">
      <c r="A143" s="18" t="s">
        <v>663</v>
      </c>
      <c r="B143" s="18" t="s">
        <v>681</v>
      </c>
      <c r="C143" s="18" t="s">
        <v>45</v>
      </c>
      <c r="D143" s="18" t="s">
        <v>649</v>
      </c>
      <c r="E143" s="19" t="n">
        <v>-110</v>
      </c>
      <c r="F143" s="22" t="n">
        <v>25</v>
      </c>
      <c r="G143" s="18" t="s">
        <v>450</v>
      </c>
      <c r="H143" s="22" t="n">
        <f aca="false">IF(OR($G143="",$G143="Pending"),"",ROUND(IF($G143="Win",IF($E143&gt;0,$F143*$E143/100,$F143*100/-$E143),IF($G143="Loss",-$F143,0)),2))</f>
        <v>22.73</v>
      </c>
      <c r="I143" s="22" t="n">
        <f aca="false">Settings!$B$5+SUM($H$6:$H143)</f>
        <v>576.86</v>
      </c>
      <c r="J143" s="20" t="n">
        <f aca="false">IFERROR(SUM($H$6:$H143)/SUMIF($G$6:$G143,"&lt;&gt;Pending",$F$6:$F143),"")</f>
        <v>0.0356824512534819</v>
      </c>
      <c r="K143" s="18" t="s">
        <v>43</v>
      </c>
      <c r="L143" s="20" t="n">
        <v>0.1659</v>
      </c>
      <c r="M143" s="20" t="n">
        <v>0</v>
      </c>
      <c r="N143" s="18" t="s">
        <v>682</v>
      </c>
      <c r="O143" s="18" t="s">
        <v>96</v>
      </c>
    </row>
    <row r="144" customFormat="false" ht="15" hidden="false" customHeight="false" outlineLevel="0" collapsed="false">
      <c r="A144" s="13" t="s">
        <v>663</v>
      </c>
      <c r="B144" s="13" t="s">
        <v>683</v>
      </c>
      <c r="C144" s="13" t="s">
        <v>45</v>
      </c>
      <c r="D144" s="13" t="s">
        <v>684</v>
      </c>
      <c r="E144" s="14" t="n">
        <v>-110</v>
      </c>
      <c r="F144" s="17" t="n">
        <v>25</v>
      </c>
      <c r="G144" s="13" t="s">
        <v>456</v>
      </c>
      <c r="H144" s="17" t="n">
        <f aca="false">IF(OR($G144="",$G144="Pending"),"",ROUND(IF($G144="Win",IF($E144&gt;0,$F144*$E144/100,$F144*100/-$E144),IF($G144="Loss",-$F144,0)),2))</f>
        <v>-25</v>
      </c>
      <c r="I144" s="17" t="n">
        <f aca="false">Settings!$B$5+SUM($H$6:$H144)</f>
        <v>551.86</v>
      </c>
      <c r="J144" s="15" t="n">
        <f aca="false">IFERROR(SUM($H$6:$H144)/SUMIF($G$6:$G144,"&lt;&gt;Pending",$F$6:$F144),"")</f>
        <v>0.0237999082147774</v>
      </c>
      <c r="K144" s="13" t="s">
        <v>43</v>
      </c>
      <c r="L144" s="15" t="n">
        <v>0.1673</v>
      </c>
      <c r="M144" s="15" t="n">
        <v>0</v>
      </c>
      <c r="N144" s="13" t="s">
        <v>685</v>
      </c>
      <c r="O144" s="13" t="s">
        <v>96</v>
      </c>
    </row>
    <row r="145" customFormat="false" ht="15" hidden="false" customHeight="false" outlineLevel="0" collapsed="false">
      <c r="A145" s="18" t="s">
        <v>663</v>
      </c>
      <c r="B145" s="18" t="s">
        <v>686</v>
      </c>
      <c r="C145" s="18" t="s">
        <v>45</v>
      </c>
      <c r="D145" s="18" t="s">
        <v>687</v>
      </c>
      <c r="E145" s="19" t="n">
        <v>-110</v>
      </c>
      <c r="F145" s="22" t="n">
        <v>25</v>
      </c>
      <c r="G145" s="18" t="s">
        <v>450</v>
      </c>
      <c r="H145" s="22" t="n">
        <f aca="false">IF(OR($G145="",$G145="Pending"),"",ROUND(IF($G145="Win",IF($E145&gt;0,$F145*$E145/100,$F145*100/-$E145),IF($G145="Loss",-$F145,0)),2))</f>
        <v>22.73</v>
      </c>
      <c r="I145" s="22" t="n">
        <f aca="false">Settings!$B$5+SUM($H$6:$H145)</f>
        <v>574.59</v>
      </c>
      <c r="J145" s="20" t="n">
        <f aca="false">IFERROR(SUM($H$6:$H145)/SUMIF($G$6:$G145,"&lt;&gt;Pending",$F$6:$F145),"")</f>
        <v>0.0338430127041742</v>
      </c>
      <c r="K145" s="18" t="s">
        <v>43</v>
      </c>
      <c r="L145" s="20" t="n">
        <v>0.2203</v>
      </c>
      <c r="M145" s="20" t="n">
        <v>0</v>
      </c>
      <c r="N145" s="18" t="s">
        <v>688</v>
      </c>
      <c r="O145" s="18" t="s"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5" min="2" style="0" width="10"/>
    <col collapsed="false" customWidth="true" hidden="false" outlineLevel="0" max="6" min="6" style="0" width="6"/>
    <col collapsed="false" customWidth="true" hidden="false" outlineLevel="0" max="7" min="7" style="0" width="10"/>
  </cols>
  <sheetData>
    <row r="1" customFormat="false" ht="21.75" hidden="false" customHeight="true" outlineLevel="0" collapsed="false">
      <c r="A1" s="1" t="s">
        <v>689</v>
      </c>
    </row>
    <row r="2" customFormat="false" ht="25.5" hidden="false" customHeight="true" outlineLevel="0" collapsed="false">
      <c r="A2" s="5" t="s">
        <v>690</v>
      </c>
    </row>
    <row r="4" customFormat="false" ht="15" hidden="false" customHeight="false" outlineLevel="0" collapsed="false">
      <c r="A4" s="12" t="s">
        <v>691</v>
      </c>
      <c r="B4" s="12" t="s">
        <v>692</v>
      </c>
      <c r="C4" s="12" t="s">
        <v>693</v>
      </c>
      <c r="D4" s="12" t="s">
        <v>694</v>
      </c>
      <c r="E4" s="12" t="s">
        <v>695</v>
      </c>
      <c r="F4" s="12" t="s">
        <v>696</v>
      </c>
      <c r="G4" s="12" t="s">
        <v>697</v>
      </c>
    </row>
    <row r="5" customFormat="false" ht="15" hidden="false" customHeight="false" outlineLevel="0" collapsed="false">
      <c r="A5" s="23" t="n">
        <v>1</v>
      </c>
      <c r="B5" s="13" t="s">
        <v>698</v>
      </c>
      <c r="C5" s="24" t="n">
        <v>5.79</v>
      </c>
      <c r="D5" s="24" t="n">
        <v>5.37</v>
      </c>
      <c r="E5" s="24" t="n">
        <v>1.63</v>
      </c>
      <c r="F5" s="23" t="n">
        <v>9</v>
      </c>
      <c r="G5" s="13" t="s">
        <v>699</v>
      </c>
    </row>
    <row r="6" customFormat="false" ht="15" hidden="false" customHeight="false" outlineLevel="0" collapsed="false">
      <c r="A6" s="26" t="n">
        <v>2</v>
      </c>
      <c r="B6" s="18" t="s">
        <v>700</v>
      </c>
      <c r="C6" s="27" t="n">
        <v>4.36</v>
      </c>
      <c r="D6" s="27" t="n">
        <v>2.18</v>
      </c>
      <c r="E6" s="27" t="n">
        <v>2.38</v>
      </c>
      <c r="F6" s="26" t="n">
        <v>9</v>
      </c>
      <c r="G6" s="18" t="s">
        <v>701</v>
      </c>
    </row>
    <row r="7" customFormat="false" ht="15" hidden="false" customHeight="false" outlineLevel="0" collapsed="false">
      <c r="A7" s="23" t="n">
        <v>3</v>
      </c>
      <c r="B7" s="13" t="s">
        <v>702</v>
      </c>
      <c r="C7" s="24" t="n">
        <v>4.2</v>
      </c>
      <c r="D7" s="24" t="n">
        <v>1.33</v>
      </c>
      <c r="E7" s="24" t="n">
        <v>3.8</v>
      </c>
      <c r="F7" s="23" t="n">
        <v>9</v>
      </c>
      <c r="G7" s="13" t="s">
        <v>703</v>
      </c>
    </row>
    <row r="8" customFormat="false" ht="15" hidden="false" customHeight="false" outlineLevel="0" collapsed="false">
      <c r="A8" s="26" t="n">
        <v>4</v>
      </c>
      <c r="B8" s="18" t="s">
        <v>704</v>
      </c>
      <c r="C8" s="27" t="n">
        <v>4.09</v>
      </c>
      <c r="D8" s="27" t="n">
        <v>1.67</v>
      </c>
      <c r="E8" s="27" t="n">
        <v>2.5</v>
      </c>
      <c r="F8" s="26" t="n">
        <v>9</v>
      </c>
      <c r="G8" s="18" t="s">
        <v>705</v>
      </c>
    </row>
    <row r="9" customFormat="false" ht="15" hidden="false" customHeight="false" outlineLevel="0" collapsed="false">
      <c r="A9" s="23" t="n">
        <v>5</v>
      </c>
      <c r="B9" s="13" t="s">
        <v>706</v>
      </c>
      <c r="C9" s="24" t="n">
        <v>4.02</v>
      </c>
      <c r="D9" s="24" t="n">
        <v>1.2</v>
      </c>
      <c r="E9" s="24" t="n">
        <v>3.49</v>
      </c>
      <c r="F9" s="23" t="n">
        <v>9</v>
      </c>
      <c r="G9" s="13" t="s">
        <v>701</v>
      </c>
    </row>
    <row r="10" customFormat="false" ht="15" hidden="false" customHeight="false" outlineLevel="0" collapsed="false">
      <c r="A10" s="26" t="n">
        <v>6</v>
      </c>
      <c r="B10" s="18" t="s">
        <v>707</v>
      </c>
      <c r="C10" s="27" t="n">
        <v>3.97</v>
      </c>
      <c r="D10" s="27" t="n">
        <v>1.07</v>
      </c>
      <c r="E10" s="27" t="n">
        <v>3.06</v>
      </c>
      <c r="F10" s="26" t="n">
        <v>9</v>
      </c>
      <c r="G10" s="18" t="s">
        <v>703</v>
      </c>
    </row>
    <row r="11" customFormat="false" ht="15" hidden="false" customHeight="false" outlineLevel="0" collapsed="false">
      <c r="A11" s="23" t="n">
        <v>7</v>
      </c>
      <c r="B11" s="13" t="s">
        <v>708</v>
      </c>
      <c r="C11" s="24" t="n">
        <v>2.52</v>
      </c>
      <c r="D11" s="24" t="n">
        <v>0.12</v>
      </c>
      <c r="E11" s="24" t="n">
        <v>2.82</v>
      </c>
      <c r="F11" s="23" t="n">
        <v>9</v>
      </c>
      <c r="G11" s="13" t="s">
        <v>699</v>
      </c>
    </row>
    <row r="12" customFormat="false" ht="15" hidden="false" customHeight="false" outlineLevel="0" collapsed="false">
      <c r="A12" s="26" t="n">
        <v>8</v>
      </c>
      <c r="B12" s="18" t="s">
        <v>709</v>
      </c>
      <c r="C12" s="27" t="n">
        <v>1.9</v>
      </c>
      <c r="D12" s="27" t="n">
        <v>0.92</v>
      </c>
      <c r="E12" s="27" t="n">
        <v>1.2</v>
      </c>
      <c r="F12" s="26" t="n">
        <v>9</v>
      </c>
      <c r="G12" s="18" t="s">
        <v>710</v>
      </c>
    </row>
    <row r="13" customFormat="false" ht="15" hidden="false" customHeight="false" outlineLevel="0" collapsed="false">
      <c r="A13" s="23" t="n">
        <v>9</v>
      </c>
      <c r="B13" s="13" t="s">
        <v>711</v>
      </c>
      <c r="C13" s="24" t="n">
        <v>1.78</v>
      </c>
      <c r="D13" s="24" t="n">
        <v>0.7</v>
      </c>
      <c r="E13" s="24" t="n">
        <v>1.42</v>
      </c>
      <c r="F13" s="23" t="n">
        <v>9</v>
      </c>
      <c r="G13" s="13" t="s">
        <v>703</v>
      </c>
    </row>
    <row r="14" customFormat="false" ht="15" hidden="false" customHeight="false" outlineLevel="0" collapsed="false">
      <c r="A14" s="26" t="n">
        <v>10</v>
      </c>
      <c r="B14" s="18" t="s">
        <v>712</v>
      </c>
      <c r="C14" s="27" t="n">
        <v>1.29</v>
      </c>
      <c r="D14" s="27" t="n">
        <v>0.8</v>
      </c>
      <c r="E14" s="27" t="n">
        <v>0.27</v>
      </c>
      <c r="F14" s="26" t="n">
        <v>9</v>
      </c>
      <c r="G14" s="18" t="s">
        <v>699</v>
      </c>
    </row>
    <row r="15" customFormat="false" ht="15" hidden="false" customHeight="false" outlineLevel="0" collapsed="false">
      <c r="A15" s="23" t="n">
        <v>11</v>
      </c>
      <c r="B15" s="13" t="s">
        <v>713</v>
      </c>
      <c r="C15" s="24" t="n">
        <v>1.15</v>
      </c>
      <c r="D15" s="24" t="n">
        <v>1.16</v>
      </c>
      <c r="E15" s="24" t="n">
        <v>0.1</v>
      </c>
      <c r="F15" s="23" t="n">
        <v>9</v>
      </c>
      <c r="G15" s="13" t="s">
        <v>701</v>
      </c>
    </row>
    <row r="16" customFormat="false" ht="15" hidden="false" customHeight="false" outlineLevel="0" collapsed="false">
      <c r="A16" s="26" t="n">
        <v>12</v>
      </c>
      <c r="B16" s="18" t="s">
        <v>714</v>
      </c>
      <c r="C16" s="27" t="n">
        <v>0.55</v>
      </c>
      <c r="D16" s="27" t="n">
        <v>0.58</v>
      </c>
      <c r="E16" s="27" t="n">
        <v>0.46</v>
      </c>
      <c r="F16" s="26" t="n">
        <v>9</v>
      </c>
      <c r="G16" s="18" t="s">
        <v>701</v>
      </c>
    </row>
    <row r="17" customFormat="false" ht="15" hidden="false" customHeight="false" outlineLevel="0" collapsed="false">
      <c r="A17" s="23" t="n">
        <v>13</v>
      </c>
      <c r="B17" s="13" t="s">
        <v>715</v>
      </c>
      <c r="C17" s="24" t="n">
        <v>0.36</v>
      </c>
      <c r="D17" s="24" t="n">
        <v>1.19</v>
      </c>
      <c r="E17" s="24" t="n">
        <v>-0.65</v>
      </c>
      <c r="F17" s="23" t="n">
        <v>9</v>
      </c>
      <c r="G17" s="13" t="s">
        <v>699</v>
      </c>
    </row>
    <row r="18" customFormat="false" ht="15" hidden="false" customHeight="false" outlineLevel="0" collapsed="false">
      <c r="A18" s="26" t="n">
        <v>14</v>
      </c>
      <c r="B18" s="18" t="s">
        <v>716</v>
      </c>
      <c r="C18" s="27" t="n">
        <v>-0.09</v>
      </c>
      <c r="D18" s="27" t="n">
        <v>-1.24</v>
      </c>
      <c r="E18" s="27" t="n">
        <v>1.12</v>
      </c>
      <c r="F18" s="26" t="n">
        <v>9</v>
      </c>
      <c r="G18" s="18" t="s">
        <v>699</v>
      </c>
    </row>
    <row r="19" customFormat="false" ht="15" hidden="false" customHeight="false" outlineLevel="0" collapsed="false">
      <c r="A19" s="23" t="n">
        <v>15</v>
      </c>
      <c r="B19" s="13" t="s">
        <v>717</v>
      </c>
      <c r="C19" s="24" t="n">
        <v>-0.38</v>
      </c>
      <c r="D19" s="24" t="n">
        <v>0.64</v>
      </c>
      <c r="E19" s="24" t="n">
        <v>-0.78</v>
      </c>
      <c r="F19" s="23" t="n">
        <v>9</v>
      </c>
      <c r="G19" s="13" t="s">
        <v>699</v>
      </c>
    </row>
    <row r="20" customFormat="false" ht="15" hidden="false" customHeight="false" outlineLevel="0" collapsed="false">
      <c r="A20" s="26" t="n">
        <v>16</v>
      </c>
      <c r="B20" s="18" t="s">
        <v>718</v>
      </c>
      <c r="C20" s="27" t="n">
        <v>-0.57</v>
      </c>
      <c r="D20" s="27" t="n">
        <v>0.06</v>
      </c>
      <c r="E20" s="27" t="n">
        <v>-0.46</v>
      </c>
      <c r="F20" s="26" t="n">
        <v>9</v>
      </c>
      <c r="G20" s="18" t="s">
        <v>699</v>
      </c>
    </row>
    <row r="21" customFormat="false" ht="15" hidden="false" customHeight="false" outlineLevel="0" collapsed="false">
      <c r="A21" s="23" t="n">
        <v>17</v>
      </c>
      <c r="B21" s="13" t="s">
        <v>719</v>
      </c>
      <c r="C21" s="24" t="n">
        <v>-0.59</v>
      </c>
      <c r="D21" s="24" t="n">
        <v>-1.41</v>
      </c>
      <c r="E21" s="24" t="n">
        <v>0.91</v>
      </c>
      <c r="F21" s="23" t="n">
        <v>9</v>
      </c>
      <c r="G21" s="13" t="s">
        <v>701</v>
      </c>
    </row>
    <row r="22" customFormat="false" ht="15" hidden="false" customHeight="false" outlineLevel="0" collapsed="false">
      <c r="A22" s="26" t="n">
        <v>18</v>
      </c>
      <c r="B22" s="18" t="s">
        <v>720</v>
      </c>
      <c r="C22" s="27" t="n">
        <v>-0.77</v>
      </c>
      <c r="D22" s="27" t="n">
        <v>-0.84</v>
      </c>
      <c r="E22" s="27" t="n">
        <v>-0.58</v>
      </c>
      <c r="F22" s="26" t="n">
        <v>9</v>
      </c>
      <c r="G22" s="18" t="s">
        <v>699</v>
      </c>
    </row>
    <row r="23" customFormat="false" ht="15" hidden="false" customHeight="false" outlineLevel="0" collapsed="false">
      <c r="A23" s="23" t="n">
        <v>19</v>
      </c>
      <c r="B23" s="13" t="s">
        <v>721</v>
      </c>
      <c r="C23" s="24" t="n">
        <v>-0.82</v>
      </c>
      <c r="D23" s="24" t="n">
        <v>-1.59</v>
      </c>
      <c r="E23" s="24" t="n">
        <v>0.32</v>
      </c>
      <c r="F23" s="23" t="n">
        <v>9</v>
      </c>
      <c r="G23" s="13" t="s">
        <v>703</v>
      </c>
    </row>
    <row r="24" customFormat="false" ht="15" hidden="false" customHeight="false" outlineLevel="0" collapsed="false">
      <c r="A24" s="26" t="n">
        <v>20</v>
      </c>
      <c r="B24" s="18" t="s">
        <v>722</v>
      </c>
      <c r="C24" s="27" t="n">
        <v>-0.89</v>
      </c>
      <c r="D24" s="27" t="n">
        <v>-1.58</v>
      </c>
      <c r="E24" s="27" t="n">
        <v>0.65</v>
      </c>
      <c r="F24" s="26" t="n">
        <v>9</v>
      </c>
      <c r="G24" s="18" t="s">
        <v>703</v>
      </c>
    </row>
    <row r="25" customFormat="false" ht="15" hidden="false" customHeight="false" outlineLevel="0" collapsed="false">
      <c r="A25" s="23" t="n">
        <v>21</v>
      </c>
      <c r="B25" s="13" t="s">
        <v>723</v>
      </c>
      <c r="C25" s="24" t="n">
        <v>-1.03</v>
      </c>
      <c r="D25" s="24" t="n">
        <v>-1.52</v>
      </c>
      <c r="E25" s="24" t="n">
        <v>0.43</v>
      </c>
      <c r="F25" s="23" t="n">
        <v>9</v>
      </c>
      <c r="G25" s="13" t="s">
        <v>724</v>
      </c>
    </row>
    <row r="26" customFormat="false" ht="15" hidden="false" customHeight="false" outlineLevel="0" collapsed="false">
      <c r="A26" s="26" t="n">
        <v>22</v>
      </c>
      <c r="B26" s="18" t="s">
        <v>725</v>
      </c>
      <c r="C26" s="27" t="n">
        <v>-1.22</v>
      </c>
      <c r="D26" s="27" t="n">
        <v>-1.11</v>
      </c>
      <c r="E26" s="27" t="n">
        <v>-0.02</v>
      </c>
      <c r="F26" s="26" t="n">
        <v>9</v>
      </c>
      <c r="G26" s="18" t="s">
        <v>699</v>
      </c>
    </row>
    <row r="27" customFormat="false" ht="15" hidden="false" customHeight="false" outlineLevel="0" collapsed="false">
      <c r="A27" s="23" t="n">
        <v>23</v>
      </c>
      <c r="B27" s="13" t="s">
        <v>726</v>
      </c>
      <c r="C27" s="24" t="n">
        <v>-1.26</v>
      </c>
      <c r="D27" s="24" t="n">
        <v>-1.67</v>
      </c>
      <c r="E27" s="24" t="n">
        <v>-0.17</v>
      </c>
      <c r="F27" s="23" t="n">
        <v>9</v>
      </c>
      <c r="G27" s="13" t="s">
        <v>724</v>
      </c>
    </row>
    <row r="28" customFormat="false" ht="15" hidden="false" customHeight="false" outlineLevel="0" collapsed="false">
      <c r="A28" s="26" t="n">
        <v>24</v>
      </c>
      <c r="B28" s="18" t="s">
        <v>727</v>
      </c>
      <c r="C28" s="27" t="n">
        <v>-2.25</v>
      </c>
      <c r="D28" s="27" t="n">
        <v>-2.32</v>
      </c>
      <c r="E28" s="27" t="n">
        <v>-0.23</v>
      </c>
      <c r="F28" s="26" t="n">
        <v>9</v>
      </c>
      <c r="G28" s="18" t="s">
        <v>703</v>
      </c>
    </row>
    <row r="29" customFormat="false" ht="15" hidden="false" customHeight="false" outlineLevel="0" collapsed="false">
      <c r="A29" s="23" t="n">
        <v>25</v>
      </c>
      <c r="B29" s="13" t="s">
        <v>728</v>
      </c>
      <c r="C29" s="24" t="n">
        <v>-2.49</v>
      </c>
      <c r="D29" s="24" t="n">
        <v>-0.72</v>
      </c>
      <c r="E29" s="24" t="n">
        <v>-2.03</v>
      </c>
      <c r="F29" s="23" t="n">
        <v>9</v>
      </c>
      <c r="G29" s="13" t="s">
        <v>724</v>
      </c>
    </row>
    <row r="30" customFormat="false" ht="15" hidden="false" customHeight="false" outlineLevel="0" collapsed="false">
      <c r="A30" s="26" t="n">
        <v>26</v>
      </c>
      <c r="B30" s="18" t="s">
        <v>729</v>
      </c>
      <c r="C30" s="27" t="n">
        <v>-2.56</v>
      </c>
      <c r="D30" s="27" t="n">
        <v>-1.88</v>
      </c>
      <c r="E30" s="27" t="n">
        <v>-0.8</v>
      </c>
      <c r="F30" s="26" t="n">
        <v>9</v>
      </c>
      <c r="G30" s="18" t="s">
        <v>730</v>
      </c>
    </row>
    <row r="31" customFormat="false" ht="15" hidden="false" customHeight="false" outlineLevel="0" collapsed="false">
      <c r="A31" s="23" t="n">
        <v>27</v>
      </c>
      <c r="B31" s="13" t="s">
        <v>731</v>
      </c>
      <c r="C31" s="24" t="n">
        <v>-3.05</v>
      </c>
      <c r="D31" s="24" t="n">
        <v>-1.63</v>
      </c>
      <c r="E31" s="24" t="n">
        <v>-1.51</v>
      </c>
      <c r="F31" s="23" t="n">
        <v>9</v>
      </c>
      <c r="G31" s="13" t="s">
        <v>699</v>
      </c>
    </row>
    <row r="32" customFormat="false" ht="15" hidden="false" customHeight="false" outlineLevel="0" collapsed="false">
      <c r="A32" s="26" t="n">
        <v>28</v>
      </c>
      <c r="B32" s="18" t="s">
        <v>732</v>
      </c>
      <c r="C32" s="27" t="n">
        <v>-3.06</v>
      </c>
      <c r="D32" s="27" t="n">
        <v>-1.18</v>
      </c>
      <c r="E32" s="27" t="n">
        <v>-2.45</v>
      </c>
      <c r="F32" s="26" t="n">
        <v>9</v>
      </c>
      <c r="G32" s="18" t="s">
        <v>699</v>
      </c>
    </row>
    <row r="33" customFormat="false" ht="15" hidden="false" customHeight="false" outlineLevel="0" collapsed="false">
      <c r="A33" s="23" t="n">
        <v>29</v>
      </c>
      <c r="B33" s="13" t="s">
        <v>733</v>
      </c>
      <c r="C33" s="24" t="n">
        <v>-3.2</v>
      </c>
      <c r="D33" s="24" t="n">
        <v>-0.82</v>
      </c>
      <c r="E33" s="24" t="n">
        <v>-2.49</v>
      </c>
      <c r="F33" s="23" t="n">
        <v>9</v>
      </c>
      <c r="G33" s="13" t="s">
        <v>734</v>
      </c>
    </row>
    <row r="34" customFormat="false" ht="15" hidden="false" customHeight="false" outlineLevel="0" collapsed="false">
      <c r="A34" s="26" t="n">
        <v>30</v>
      </c>
      <c r="B34" s="18" t="s">
        <v>735</v>
      </c>
      <c r="C34" s="27" t="n">
        <v>-3.32</v>
      </c>
      <c r="D34" s="27" t="n">
        <v>-2.47</v>
      </c>
      <c r="E34" s="27" t="n">
        <v>-1.07</v>
      </c>
      <c r="F34" s="26" t="n">
        <v>9</v>
      </c>
      <c r="G34" s="18" t="s">
        <v>701</v>
      </c>
    </row>
    <row r="35" customFormat="false" ht="15" hidden="false" customHeight="false" outlineLevel="0" collapsed="false">
      <c r="A35" s="23" t="n">
        <v>31</v>
      </c>
      <c r="B35" s="13" t="s">
        <v>736</v>
      </c>
      <c r="C35" s="24" t="n">
        <v>-4.07</v>
      </c>
      <c r="D35" s="24" t="n">
        <v>-1.45</v>
      </c>
      <c r="E35" s="24" t="n">
        <v>-3.67</v>
      </c>
      <c r="F35" s="23" t="n">
        <v>9</v>
      </c>
      <c r="G35" s="13" t="s">
        <v>724</v>
      </c>
    </row>
    <row r="36" customFormat="false" ht="15" hidden="false" customHeight="false" outlineLevel="0" collapsed="false">
      <c r="A36" s="26" t="n">
        <v>32</v>
      </c>
      <c r="B36" s="18" t="s">
        <v>737</v>
      </c>
      <c r="C36" s="27" t="n">
        <v>-4.38</v>
      </c>
      <c r="D36" s="27" t="n">
        <v>-2.51</v>
      </c>
      <c r="E36" s="27" t="n">
        <v>-2.69</v>
      </c>
      <c r="F36" s="26" t="n">
        <v>9</v>
      </c>
      <c r="G36" s="18" t="s">
        <v>724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5"/>
    <col collapsed="false" customWidth="true" hidden="false" outlineLevel="0" max="6" min="3" style="0" width="9"/>
    <col collapsed="false" customWidth="true" hidden="false" outlineLevel="0" max="7" min="7" style="0" width="12"/>
    <col collapsed="false" customWidth="true" hidden="false" outlineLevel="0" max="8" min="8" style="0" width="8"/>
    <col collapsed="false" customWidth="true" hidden="false" outlineLevel="0" max="9" min="9" style="0" width="13"/>
    <col collapsed="false" customWidth="true" hidden="false" outlineLevel="0" max="10" min="10" style="0" width="8"/>
    <col collapsed="false" customWidth="true" hidden="false" outlineLevel="0" max="12" min="11" style="0" width="9"/>
    <col collapsed="false" customWidth="true" hidden="false" outlineLevel="0" max="13" min="13" style="0" width="14"/>
  </cols>
  <sheetData>
    <row r="1" customFormat="false" ht="21.75" hidden="false" customHeight="true" outlineLevel="0" collapsed="false">
      <c r="A1" s="1" t="s">
        <v>738</v>
      </c>
    </row>
    <row r="2" customFormat="false" ht="25.5" hidden="false" customHeight="true" outlineLevel="0" collapsed="false">
      <c r="A2" s="5" t="s">
        <v>739</v>
      </c>
    </row>
    <row r="4" customFormat="false" ht="15" hidden="false" customHeight="false" outlineLevel="0" collapsed="false">
      <c r="A4" s="12" t="s">
        <v>436</v>
      </c>
      <c r="B4" s="12" t="s">
        <v>87</v>
      </c>
      <c r="C4" s="12" t="s">
        <v>740</v>
      </c>
      <c r="D4" s="12" t="s">
        <v>741</v>
      </c>
      <c r="E4" s="12" t="s">
        <v>742</v>
      </c>
      <c r="F4" s="12" t="s">
        <v>743</v>
      </c>
      <c r="G4" s="12" t="s">
        <v>744</v>
      </c>
      <c r="H4" s="12" t="s">
        <v>745</v>
      </c>
      <c r="I4" s="12" t="s">
        <v>746</v>
      </c>
      <c r="J4" s="12" t="s">
        <v>747</v>
      </c>
      <c r="K4" s="12" t="s">
        <v>748</v>
      </c>
      <c r="L4" s="12" t="s">
        <v>749</v>
      </c>
      <c r="M4" s="12" t="s">
        <v>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92"/>
  </cols>
  <sheetData>
    <row r="1" customFormat="false" ht="21.75" hidden="false" customHeight="true" outlineLevel="0" collapsed="false">
      <c r="A1" s="1" t="s">
        <v>750</v>
      </c>
    </row>
    <row r="2" customFormat="false" ht="25.5" hidden="false" customHeight="true" outlineLevel="0" collapsed="false">
      <c r="A2" s="5" t="s">
        <v>751</v>
      </c>
    </row>
    <row r="4" customFormat="false" ht="15" hidden="false" customHeight="false" outlineLevel="0" collapsed="false">
      <c r="A4" s="12" t="s">
        <v>752</v>
      </c>
      <c r="B4" s="12" t="s">
        <v>753</v>
      </c>
      <c r="C4" s="12" t="s">
        <v>754</v>
      </c>
    </row>
    <row r="5" customFormat="false" ht="15" hidden="false" customHeight="false" outlineLevel="0" collapsed="false">
      <c r="A5" s="13" t="s">
        <v>20</v>
      </c>
      <c r="B5" s="30" t="n">
        <v>500</v>
      </c>
      <c r="C5" s="31" t="s">
        <v>755</v>
      </c>
    </row>
    <row r="6" customFormat="false" ht="15" hidden="false" customHeight="false" outlineLevel="0" collapsed="false">
      <c r="A6" s="18" t="s">
        <v>756</v>
      </c>
      <c r="B6" s="18" t="n">
        <v>0.25</v>
      </c>
      <c r="C6" s="32" t="s">
        <v>757</v>
      </c>
    </row>
    <row r="7" customFormat="false" ht="15" hidden="false" customHeight="false" outlineLevel="0" collapsed="false">
      <c r="A7" s="13" t="s">
        <v>758</v>
      </c>
      <c r="B7" s="13" t="n">
        <v>0.05</v>
      </c>
      <c r="C7" s="31" t="s">
        <v>759</v>
      </c>
    </row>
    <row r="8" customFormat="false" ht="15" hidden="false" customHeight="false" outlineLevel="0" collapsed="false">
      <c r="A8" s="18" t="s">
        <v>760</v>
      </c>
      <c r="B8" s="18" t="s">
        <v>761</v>
      </c>
      <c r="C8" s="32" t="s">
        <v>762</v>
      </c>
    </row>
    <row r="9" customFormat="false" ht="15" hidden="false" customHeight="false" outlineLevel="0" collapsed="false">
      <c r="A9" s="13" t="s">
        <v>763</v>
      </c>
      <c r="B9" s="13" t="n">
        <v>0.08</v>
      </c>
      <c r="C9" s="31" t="s">
        <v>764</v>
      </c>
    </row>
    <row r="10" customFormat="false" ht="15" hidden="false" customHeight="false" outlineLevel="0" collapsed="false">
      <c r="A10" s="18" t="s">
        <v>765</v>
      </c>
      <c r="B10" s="18" t="n">
        <v>0.05</v>
      </c>
      <c r="C10" s="32" t="s">
        <v>766</v>
      </c>
    </row>
    <row r="11" customFormat="false" ht="15" hidden="false" customHeight="false" outlineLevel="0" collapsed="false">
      <c r="A11" s="13" t="s">
        <v>767</v>
      </c>
      <c r="B11" s="13" t="n">
        <v>0.03</v>
      </c>
      <c r="C11" s="31" t="s">
        <v>768</v>
      </c>
    </row>
    <row r="12" customFormat="false" ht="15" hidden="false" customHeight="false" outlineLevel="0" collapsed="false">
      <c r="A12" s="18" t="s">
        <v>769</v>
      </c>
      <c r="B12" s="18" t="n">
        <v>0.01</v>
      </c>
      <c r="C12" s="32" t="s">
        <v>770</v>
      </c>
    </row>
    <row r="13" customFormat="false" ht="23.85" hidden="false" customHeight="false" outlineLevel="0" collapsed="false">
      <c r="A13" s="13" t="s">
        <v>771</v>
      </c>
      <c r="B13" s="13" t="n">
        <v>0.5</v>
      </c>
      <c r="C13" s="31" t="s">
        <v>772</v>
      </c>
    </row>
    <row r="14" customFormat="false" ht="15" hidden="false" customHeight="false" outlineLevel="0" collapsed="false">
      <c r="A14" s="18" t="s">
        <v>773</v>
      </c>
      <c r="B14" s="18" t="n">
        <v>13</v>
      </c>
      <c r="C14" s="32" t="s">
        <v>774</v>
      </c>
    </row>
    <row r="15" customFormat="false" ht="15" hidden="false" customHeight="false" outlineLevel="0" collapsed="false">
      <c r="A15" s="13" t="s">
        <v>775</v>
      </c>
      <c r="B15" s="13" t="n">
        <v>10</v>
      </c>
      <c r="C15" s="31" t="s">
        <v>776</v>
      </c>
    </row>
    <row r="16" customFormat="false" ht="15" hidden="false" customHeight="false" outlineLevel="0" collapsed="false">
      <c r="A16" s="18" t="s">
        <v>777</v>
      </c>
      <c r="B16" s="18" t="s">
        <v>778</v>
      </c>
      <c r="C16" s="32" t="s">
        <v>779</v>
      </c>
    </row>
    <row r="17" customFormat="false" ht="15" hidden="false" customHeight="false" outlineLevel="0" collapsed="false">
      <c r="A17" s="13" t="s">
        <v>780</v>
      </c>
      <c r="B17" s="13" t="n">
        <v>0.85</v>
      </c>
      <c r="C17" s="31" t="s">
        <v>781</v>
      </c>
    </row>
    <row r="18" customFormat="false" ht="15" hidden="false" customHeight="false" outlineLevel="0" collapsed="false">
      <c r="A18" s="18" t="s">
        <v>782</v>
      </c>
      <c r="B18" s="18" t="n">
        <v>1</v>
      </c>
      <c r="C18" s="32" t="s">
        <v>783</v>
      </c>
    </row>
    <row r="19" customFormat="false" ht="15" hidden="false" customHeight="false" outlineLevel="0" collapsed="false">
      <c r="A19" s="13" t="s">
        <v>784</v>
      </c>
      <c r="B19" s="13" t="n">
        <v>10</v>
      </c>
      <c r="C19" s="31" t="s">
        <v>785</v>
      </c>
    </row>
    <row r="20" customFormat="false" ht="15" hidden="false" customHeight="false" outlineLevel="0" collapsed="false">
      <c r="A20" s="18" t="s">
        <v>786</v>
      </c>
      <c r="B20" s="18" t="n">
        <v>18</v>
      </c>
      <c r="C20" s="32" t="s">
        <v>787</v>
      </c>
    </row>
    <row r="21" customFormat="false" ht="15" hidden="false" customHeight="false" outlineLevel="0" collapsed="false">
      <c r="A21" s="13" t="s">
        <v>788</v>
      </c>
      <c r="B21" s="13" t="n">
        <v>28</v>
      </c>
      <c r="C21" s="31" t="s">
        <v>789</v>
      </c>
    </row>
    <row r="22" customFormat="false" ht="15" hidden="false" customHeight="false" outlineLevel="0" collapsed="false">
      <c r="A22" s="18" t="s">
        <v>790</v>
      </c>
      <c r="B22" s="18" t="n">
        <v>14</v>
      </c>
      <c r="C22" s="32" t="s">
        <v>791</v>
      </c>
    </row>
    <row r="23" customFormat="false" ht="15" hidden="false" customHeight="false" outlineLevel="0" collapsed="false">
      <c r="A23" s="13" t="s">
        <v>32</v>
      </c>
      <c r="B23" s="13" t="n">
        <v>2.42</v>
      </c>
      <c r="C23" s="31" t="s">
        <v>792</v>
      </c>
    </row>
    <row r="24" customFormat="false" ht="15" hidden="false" customHeight="false" outlineLevel="0" collapsed="false">
      <c r="A24" s="18" t="s">
        <v>793</v>
      </c>
      <c r="B24" s="18" t="n">
        <v>27.9</v>
      </c>
      <c r="C24" s="32" t="s">
        <v>794</v>
      </c>
    </row>
    <row r="25" customFormat="false" ht="15" hidden="false" customHeight="false" outlineLevel="0" collapsed="false">
      <c r="A25" s="13" t="s">
        <v>795</v>
      </c>
      <c r="B25" s="13" t="s">
        <v>796</v>
      </c>
      <c r="C25" s="31" t="s">
        <v>797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"/>
    <col collapsed="false" customWidth="true" hidden="false" outlineLevel="0" max="5" min="3" style="0" width="12"/>
  </cols>
  <sheetData>
    <row r="1" customFormat="false" ht="21.75" hidden="false" customHeight="true" outlineLevel="0" collapsed="false">
      <c r="A1" s="1" t="s">
        <v>798</v>
      </c>
    </row>
    <row r="2" customFormat="false" ht="25.5" hidden="false" customHeight="true" outlineLevel="0" collapsed="false">
      <c r="A2" s="5" t="s">
        <v>799</v>
      </c>
    </row>
    <row r="4" customFormat="false" ht="15" hidden="false" customHeight="false" outlineLevel="0" collapsed="false">
      <c r="A4" s="12" t="s">
        <v>800</v>
      </c>
      <c r="B4" s="12" t="s">
        <v>801</v>
      </c>
      <c r="C4" s="12" t="s">
        <v>802</v>
      </c>
      <c r="D4" s="12" t="s">
        <v>803</v>
      </c>
      <c r="E4" s="12" t="s">
        <v>804</v>
      </c>
    </row>
    <row r="5" customFormat="false" ht="15" hidden="false" customHeight="false" outlineLevel="0" collapsed="false">
      <c r="A5" s="13" t="s">
        <v>805</v>
      </c>
      <c r="B5" s="23" t="n">
        <v>8</v>
      </c>
      <c r="C5" s="16" t="n">
        <v>0.3248</v>
      </c>
      <c r="D5" s="16" t="n">
        <v>0.125</v>
      </c>
      <c r="E5" s="15" t="n">
        <v>-0.1998</v>
      </c>
    </row>
    <row r="6" customFormat="false" ht="15" hidden="false" customHeight="false" outlineLevel="0" collapsed="false">
      <c r="A6" s="18" t="s">
        <v>806</v>
      </c>
      <c r="B6" s="26" t="n">
        <v>13</v>
      </c>
      <c r="C6" s="21" t="n">
        <v>0.6331</v>
      </c>
      <c r="D6" s="21" t="n">
        <v>0.6923</v>
      </c>
      <c r="E6" s="20" t="n">
        <v>0.0592</v>
      </c>
    </row>
    <row r="7" customFormat="false" ht="15" hidden="false" customHeight="false" outlineLevel="0" collapsed="false">
      <c r="A7" s="13" t="s">
        <v>807</v>
      </c>
      <c r="B7" s="23" t="n">
        <v>66</v>
      </c>
      <c r="C7" s="16" t="n">
        <v>0.693</v>
      </c>
      <c r="D7" s="16" t="n">
        <v>0.5455</v>
      </c>
      <c r="E7" s="15" t="n">
        <v>-0.1475</v>
      </c>
    </row>
    <row r="9" customFormat="false" ht="15" hidden="false" customHeight="false" outlineLevel="0" collapsed="false">
      <c r="A9" s="3" t="s">
        <v>808</v>
      </c>
      <c r="B9" s="33" t="n">
        <v>0</v>
      </c>
    </row>
    <row r="10" customFormat="false" ht="15" hidden="false" customHeight="false" outlineLevel="0" collapsed="false">
      <c r="A10" s="3" t="s">
        <v>809</v>
      </c>
      <c r="B10" s="34" t="n">
        <v>0</v>
      </c>
    </row>
    <row r="11" customFormat="false" ht="15" hidden="false" customHeight="false" outlineLevel="0" collapsed="false">
      <c r="A11" s="3" t="s">
        <v>810</v>
      </c>
      <c r="B11" s="35" t="n">
        <v>0.2475</v>
      </c>
    </row>
    <row r="12" customFormat="false" ht="15" hidden="false" customHeight="false" outlineLevel="0" collapsed="false">
      <c r="A12" s="3" t="s">
        <v>811</v>
      </c>
      <c r="B12" s="36" t="n">
        <v>90</v>
      </c>
    </row>
    <row r="14" customFormat="false" ht="15" hidden="false" customHeight="true" outlineLevel="0" collapsed="false">
      <c r="A14" s="37" t="s">
        <v>812</v>
      </c>
      <c r="B14" s="37"/>
      <c r="C14" s="37"/>
      <c r="D14" s="37"/>
      <c r="E14" s="37"/>
    </row>
    <row r="15" customFormat="false" ht="15" hidden="false" customHeight="false" outlineLevel="0" collapsed="false">
      <c r="A15" s="37"/>
      <c r="B15" s="37"/>
      <c r="C15" s="37"/>
      <c r="D15" s="37"/>
      <c r="E15" s="37"/>
    </row>
    <row r="16" customFormat="false" ht="15" hidden="false" customHeight="false" outlineLevel="0" collapsed="false">
      <c r="A16" s="37"/>
      <c r="B16" s="37"/>
      <c r="C16" s="37"/>
      <c r="D16" s="37"/>
      <c r="E16" s="37"/>
    </row>
    <row r="17" customFormat="false" ht="15" hidden="false" customHeight="false" outlineLevel="0" collapsed="false">
      <c r="A17" s="37"/>
      <c r="B17" s="37"/>
      <c r="C17" s="37"/>
      <c r="D17" s="37"/>
      <c r="E17" s="37"/>
    </row>
    <row r="18" customFormat="false" ht="15" hidden="false" customHeight="false" outlineLevel="0" collapsed="false">
      <c r="A18" s="37"/>
      <c r="B18" s="37"/>
      <c r="C18" s="37"/>
      <c r="D18" s="37"/>
      <c r="E18" s="37"/>
    </row>
  </sheetData>
  <mergeCells count="1">
    <mergeCell ref="A14:E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2026-08-21T00:07:36Z</dcterms:created>
  <dc:creator>openpyxl</dc:creator>
  <dc:description/>
  <dc:language>en-US</dc:language>
  <cp:lastModifiedBy/>
  <dcterms:modified xsi:type="dcterms:W3CDTF">2026-08-21T00:07:36Z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
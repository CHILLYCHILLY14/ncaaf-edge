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2" headerRowCount="1">
  <autoFilter ref="A4:Q53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2026-09-02T21:07:44+00:00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Ledger'!$G$6:$G$37,"&lt;&gt;Pending",'Bet Ledger'!$H$6:$H$37)</f>
        <v/>
      </c>
    </row>
    <row r="6">
      <c r="A6" s="3" t="inlineStr">
        <is>
          <t>Total Staked</t>
        </is>
      </c>
      <c r="B6" s="5">
        <f>SUMIF('Bet Ledger'!$G$6:$G$37,"&lt;&gt;Pending",'Bet Ledger'!$F$6:$F$37)</f>
        <v/>
      </c>
    </row>
    <row r="7">
      <c r="A7" s="3" t="inlineStr">
        <is>
          <t>Profit / Loss</t>
        </is>
      </c>
      <c r="B7" s="5">
        <f>SUMIF('Bet Ledger'!$G$6:$G$37,"&lt;&gt;Pending",'Bet Ledger'!$H$6:$H$37)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Ledger'!$G$6:$G$37,"&lt;&gt;Pending",'Bet Ledger'!$G$6:$G$37,"&lt;&gt;")</f>
        <v/>
      </c>
    </row>
    <row r="10">
      <c r="A10" s="3" t="inlineStr">
        <is>
          <t>Wins</t>
        </is>
      </c>
      <c r="B10" s="7">
        <f>COUNTIF('Bet Ledger'!$G$6:$G$37,"Win")</f>
        <v/>
      </c>
    </row>
    <row r="11">
      <c r="A11" s="3" t="inlineStr">
        <is>
          <t>Losses</t>
        </is>
      </c>
      <c r="B11" s="7">
        <f>COUNTIF('Bet Ledger'!$G$6:$G$37,"Loss")</f>
        <v/>
      </c>
    </row>
    <row r="12">
      <c r="A12" s="3" t="inlineStr">
        <is>
          <t>Pushes</t>
        </is>
      </c>
      <c r="B12" s="7">
        <f>COUNTIF('Bet Ledger'!$G$6:$G$37,"Push")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Ledger'!$G$6:$G$37,"Pending")</f>
        <v/>
      </c>
    </row>
    <row r="15">
      <c r="A15" s="3" t="inlineStr">
        <is>
          <t>Live Plays On The Board</t>
        </is>
      </c>
      <c r="B15" s="7" t="n">
        <v>14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550</v>
      </c>
      <c r="F23" s="14" t="n">
        <v>0.1280249123228526</v>
      </c>
      <c r="G23" s="15" t="n">
        <v>0.2818710661690065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ISU @ IOWA</t>
        </is>
      </c>
      <c r="C24" s="17" t="inlineStr">
        <is>
          <t>ML</t>
        </is>
      </c>
      <c r="D24" s="17" t="inlineStr">
        <is>
          <t>ISU ML</t>
        </is>
      </c>
      <c r="E24" s="18" t="n">
        <v>550</v>
      </c>
      <c r="F24" s="19" t="n">
        <v>0.1280249123228526</v>
      </c>
      <c r="G24" s="20" t="n">
        <v>0.2818710661690065</v>
      </c>
      <c r="H24" s="21" t="n"/>
      <c r="I24" s="17" t="inlineStr">
        <is>
          <t>2026-09-12 23:30</t>
        </is>
      </c>
    </row>
    <row r="25">
      <c r="A25" s="12" t="inlineStr">
        <is>
          <t>LEAN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205</v>
      </c>
      <c r="F25" s="14" t="n">
        <v>0.1213339439617727</v>
      </c>
      <c r="G25" s="15" t="n">
        <v>0.4492027964207891</v>
      </c>
      <c r="H25" s="16" t="n"/>
      <c r="I25" s="12" t="inlineStr">
        <is>
          <t>2026-09-12 00:00</t>
        </is>
      </c>
    </row>
    <row r="26">
      <c r="A26" s="17" t="inlineStr">
        <is>
          <t>LEAN</t>
        </is>
      </c>
      <c r="B26" s="17" t="inlineStr">
        <is>
          <t>OSU @ TEX</t>
        </is>
      </c>
      <c r="C26" s="17" t="inlineStr">
        <is>
          <t>TOTAL</t>
        </is>
      </c>
      <c r="D26" s="17" t="inlineStr">
        <is>
          <t>Over 47.5</t>
        </is>
      </c>
      <c r="E26" s="18" t="n">
        <v>-110</v>
      </c>
      <c r="F26" s="19" t="n">
        <v>0.1188566308001527</v>
      </c>
      <c r="G26" s="20" t="n">
        <v>0.6426661546096766</v>
      </c>
      <c r="H26" s="21" t="n"/>
      <c r="I26" s="17" t="inlineStr">
        <is>
          <t>2026-09-12 23:30</t>
        </is>
      </c>
    </row>
    <row r="27">
      <c r="A27" s="12" t="inlineStr">
        <is>
          <t>LEAN</t>
        </is>
      </c>
      <c r="B27" s="12" t="inlineStr">
        <is>
          <t>MIA @ STAN</t>
        </is>
      </c>
      <c r="C27" s="12" t="inlineStr">
        <is>
          <t>TOTAL</t>
        </is>
      </c>
      <c r="D27" s="12" t="inlineStr">
        <is>
          <t>Over 48.5</t>
        </is>
      </c>
      <c r="E27" s="13" t="n">
        <v>100</v>
      </c>
      <c r="F27" s="14" t="n">
        <v>0.1181941830845852</v>
      </c>
      <c r="G27" s="15" t="n">
        <v>0.6181941830845852</v>
      </c>
      <c r="H27" s="16" t="n"/>
      <c r="I27" s="12" t="inlineStr">
        <is>
          <t>2026-09-05 01:00</t>
        </is>
      </c>
    </row>
    <row r="28">
      <c r="A28" s="17" t="inlineStr">
        <is>
          <t>LEAN</t>
        </is>
      </c>
      <c r="B28" s="17" t="inlineStr">
        <is>
          <t>AKR @ WAKE</t>
        </is>
      </c>
      <c r="C28" s="17" t="inlineStr">
        <is>
          <t>TOTAL</t>
        </is>
      </c>
      <c r="D28" s="17" t="inlineStr">
        <is>
          <t>Over 48.5</t>
        </is>
      </c>
      <c r="E28" s="18" t="n">
        <v>-108</v>
      </c>
      <c r="F28" s="19" t="n">
        <v>0.1168380653470608</v>
      </c>
      <c r="G28" s="20" t="n">
        <v>0.63606883457783</v>
      </c>
      <c r="H28" s="21" t="n"/>
      <c r="I28" s="17" t="inlineStr">
        <is>
          <t>2026-09-03 23:00</t>
        </is>
      </c>
    </row>
    <row r="29">
      <c r="A29" s="12" t="inlineStr">
        <is>
          <t>LEAN</t>
        </is>
      </c>
      <c r="B29" s="12" t="inlineStr">
        <is>
          <t>FIU @ USF</t>
        </is>
      </c>
      <c r="C29" s="12" t="inlineStr">
        <is>
          <t>ML</t>
        </is>
      </c>
      <c r="D29" s="12" t="inlineStr">
        <is>
          <t>FIU ML</t>
        </is>
      </c>
      <c r="E29" s="13" t="n">
        <v>470</v>
      </c>
      <c r="F29" s="14" t="n">
        <v>0.1168370620495839</v>
      </c>
      <c r="G29" s="15" t="n">
        <v>0.2922756585408119</v>
      </c>
      <c r="H29" s="16" t="n"/>
      <c r="I29" s="12" t="inlineStr">
        <is>
          <t>2026-09-05 23:00</t>
        </is>
      </c>
    </row>
    <row r="30">
      <c r="A30" s="17" t="inlineStr">
        <is>
          <t>LEAN</t>
        </is>
      </c>
      <c r="B30" s="17" t="inlineStr">
        <is>
          <t>BC @ CIN</t>
        </is>
      </c>
      <c r="C30" s="17" t="inlineStr">
        <is>
          <t>TOTAL</t>
        </is>
      </c>
      <c r="D30" s="17" t="inlineStr">
        <is>
          <t>Over 49.5</t>
        </is>
      </c>
      <c r="E30" s="18" t="n">
        <v>-108</v>
      </c>
      <c r="F30" s="19" t="n">
        <v>0.1123033238008042</v>
      </c>
      <c r="G30" s="20" t="n">
        <v>0.6315340930315735</v>
      </c>
      <c r="H30" s="21" t="n"/>
      <c r="I30" s="17" t="inlineStr">
        <is>
          <t>2026-09-05 19:30</t>
        </is>
      </c>
    </row>
    <row r="31">
      <c r="A31" s="12" t="inlineStr">
        <is>
          <t>LEAN</t>
        </is>
      </c>
      <c r="B31" s="12" t="inlineStr">
        <is>
          <t>CMU @ UNM</t>
        </is>
      </c>
      <c r="C31" s="12" t="inlineStr">
        <is>
          <t>ATS</t>
        </is>
      </c>
      <c r="D31" s="12" t="inlineStr">
        <is>
          <t>CMU +10.5</t>
        </is>
      </c>
      <c r="E31" s="13" t="n">
        <v>-108</v>
      </c>
      <c r="F31" s="14" t="n">
        <v>0.1092153476358572</v>
      </c>
      <c r="G31" s="15" t="n">
        <v>0.6284461168666264</v>
      </c>
      <c r="H31" s="16" t="n"/>
      <c r="I31" s="12" t="inlineStr">
        <is>
          <t>2026-09-06 02:00</t>
        </is>
      </c>
    </row>
    <row r="32">
      <c r="A32" s="17" t="inlineStr">
        <is>
          <t>LEAN</t>
        </is>
      </c>
      <c r="B32" s="17" t="inlineStr">
        <is>
          <t>ASU @ TA&amp;M</t>
        </is>
      </c>
      <c r="C32" s="17" t="inlineStr">
        <is>
          <t>ML</t>
        </is>
      </c>
      <c r="D32" s="17" t="inlineStr">
        <is>
          <t>ASU ML</t>
        </is>
      </c>
      <c r="E32" s="18" t="n">
        <v>425</v>
      </c>
      <c r="F32" s="19" t="n">
        <v>0.1089949422651718</v>
      </c>
      <c r="G32" s="20" t="n">
        <v>0.2994711327413623</v>
      </c>
      <c r="H32" s="21" t="n"/>
      <c r="I32" s="17" t="inlineStr">
        <is>
          <t>2026-09-12 16:00</t>
        </is>
      </c>
    </row>
    <row r="33">
      <c r="A33" s="12" t="inlineStr">
        <is>
          <t>LEAN</t>
        </is>
      </c>
      <c r="B33" s="12" t="inlineStr">
        <is>
          <t>ARST @ MEM</t>
        </is>
      </c>
      <c r="C33" s="12" t="inlineStr">
        <is>
          <t>ATS</t>
        </is>
      </c>
      <c r="D33" s="12" t="inlineStr">
        <is>
          <t>ARST +11.5</t>
        </is>
      </c>
      <c r="E33" s="13" t="n">
        <v>-110</v>
      </c>
      <c r="F33" s="14" t="n">
        <v>0.1034667336189674</v>
      </c>
      <c r="G33" s="15" t="n">
        <v>0.6272762574284912</v>
      </c>
      <c r="H33" s="16" t="n"/>
      <c r="I33" s="12" t="inlineStr">
        <is>
          <t>2026-09-05 23:00</t>
        </is>
      </c>
    </row>
    <row r="34">
      <c r="A34" s="17" t="inlineStr">
        <is>
          <t>LEAN</t>
        </is>
      </c>
      <c r="B34" s="17" t="inlineStr">
        <is>
          <t>WMU @ MICH</t>
        </is>
      </c>
      <c r="C34" s="17" t="inlineStr">
        <is>
          <t>TOTAL</t>
        </is>
      </c>
      <c r="D34" s="17" t="inlineStr">
        <is>
          <t>Over 48.5</t>
        </is>
      </c>
      <c r="E34" s="18" t="n">
        <v>-110</v>
      </c>
      <c r="F34" s="19" t="n">
        <v>0.1005205568805977</v>
      </c>
      <c r="G34" s="20" t="n">
        <v>0.6243300806901215</v>
      </c>
      <c r="H34" s="21" t="n"/>
      <c r="I34" s="17" t="inlineStr">
        <is>
          <t>2026-09-05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550</v>
      </c>
      <c r="I7" s="15" t="n">
        <v>0.2818710661690065</v>
      </c>
      <c r="J7" s="15" t="n">
        <v>0.1475409836065574</v>
      </c>
      <c r="K7" s="15" t="n">
        <v>0.1538461538461539</v>
      </c>
      <c r="L7" s="14" t="n">
        <v>0.1280249123228526</v>
      </c>
      <c r="M7" s="14" t="n">
        <v>0.8321619300985421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ISU @ IOWA</t>
        </is>
      </c>
      <c r="C8" s="17" t="inlineStr">
        <is>
          <t>2026-09-12 23:30</t>
        </is>
      </c>
      <c r="D8" s="25" t="n">
        <v>2</v>
      </c>
      <c r="E8" s="17" t="inlineStr">
        <is>
          <t>ML</t>
        </is>
      </c>
      <c r="F8" s="17" t="inlineStr">
        <is>
          <t>ISU ML</t>
        </is>
      </c>
      <c r="G8" s="26" t="n"/>
      <c r="H8" s="18" t="n">
        <v>550</v>
      </c>
      <c r="I8" s="20" t="n">
        <v>0.2818710661690065</v>
      </c>
      <c r="J8" s="20" t="n">
        <v>0.1475409836065574</v>
      </c>
      <c r="K8" s="20" t="n">
        <v>0.1538461538461539</v>
      </c>
      <c r="L8" s="19" t="n">
        <v>0.1280249123228526</v>
      </c>
      <c r="M8" s="19" t="n">
        <v>0.8321619300985421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205</v>
      </c>
      <c r="I9" s="15" t="n">
        <v>0.4492027964207891</v>
      </c>
      <c r="J9" s="15" t="n">
        <v>0.3146067415730336</v>
      </c>
      <c r="K9" s="15" t="n">
        <v>0.3278688524590164</v>
      </c>
      <c r="L9" s="14" t="n">
        <v>0.1213339439617727</v>
      </c>
      <c r="M9" s="14" t="n">
        <v>0.3700685290834066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OSU @ TEX</t>
        </is>
      </c>
      <c r="C10" s="17" t="inlineStr">
        <is>
          <t>2026-09-12 23:30</t>
        </is>
      </c>
      <c r="D10" s="25" t="n">
        <v>2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-110</v>
      </c>
      <c r="I10" s="20" t="n">
        <v>0.6426661546096766</v>
      </c>
      <c r="J10" s="20" t="n">
        <v>0.5</v>
      </c>
      <c r="K10" s="20" t="n">
        <v>0.5238095238095238</v>
      </c>
      <c r="L10" s="19" t="n">
        <v>0.1188566308001527</v>
      </c>
      <c r="M10" s="19" t="n">
        <v>0.2269081133457462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MIA @ STAN</t>
        </is>
      </c>
      <c r="C11" s="12" t="inlineStr">
        <is>
          <t>2026-09-05 01:00</t>
        </is>
      </c>
      <c r="D11" s="22" t="n">
        <v>1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100</v>
      </c>
      <c r="I11" s="15" t="n">
        <v>0.6181941830845852</v>
      </c>
      <c r="J11" s="15" t="n">
        <v>0.4782608695652174</v>
      </c>
      <c r="K11" s="15" t="n">
        <v>0.5</v>
      </c>
      <c r="L11" s="14" t="n">
        <v>0.1181941830845852</v>
      </c>
      <c r="M11" s="14" t="n">
        <v>0.2363883661691704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AKR @ WAKE</t>
        </is>
      </c>
      <c r="C12" s="17" t="inlineStr">
        <is>
          <t>2026-09-03 23:00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-108</v>
      </c>
      <c r="I12" s="20" t="n">
        <v>0.63606883457783</v>
      </c>
      <c r="J12" s="20" t="n">
        <v>0.4956702459300312</v>
      </c>
      <c r="K12" s="20" t="n">
        <v>0.5192307692307693</v>
      </c>
      <c r="L12" s="19" t="n">
        <v>0.1168380653470608</v>
      </c>
      <c r="M12" s="19" t="n">
        <v>0.2250214591869319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FIU @ USF</t>
        </is>
      </c>
      <c r="C13" s="12" t="inlineStr">
        <is>
          <t>2026-09-05 23:00</t>
        </is>
      </c>
      <c r="D13" s="22" t="n">
        <v>1</v>
      </c>
      <c r="E13" s="12" t="inlineStr">
        <is>
          <t>ML</t>
        </is>
      </c>
      <c r="F13" s="12" t="inlineStr">
        <is>
          <t>FIU ML</t>
        </is>
      </c>
      <c r="G13" s="23" t="n"/>
      <c r="H13" s="13" t="n">
        <v>470</v>
      </c>
      <c r="I13" s="15" t="n">
        <v>0.2922756585408119</v>
      </c>
      <c r="J13" s="15" t="n">
        <v>0.1683501683501683</v>
      </c>
      <c r="K13" s="15" t="n">
        <v>0.1754385964912281</v>
      </c>
      <c r="L13" s="14" t="n">
        <v>0.1168370620495839</v>
      </c>
      <c r="M13" s="14" t="n">
        <v>0.6659712536826281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BC @ CIN</t>
        </is>
      </c>
      <c r="C14" s="17" t="inlineStr">
        <is>
          <t>2026-09-05 19:30</t>
        </is>
      </c>
      <c r="D14" s="25" t="n">
        <v>1</v>
      </c>
      <c r="E14" s="17" t="inlineStr">
        <is>
          <t>TOTAL</t>
        </is>
      </c>
      <c r="F14" s="17" t="inlineStr">
        <is>
          <t>Over 49.5</t>
        </is>
      </c>
      <c r="G14" s="26" t="n">
        <v>49.5</v>
      </c>
      <c r="H14" s="18" t="n">
        <v>-108</v>
      </c>
      <c r="I14" s="20" t="n">
        <v>0.6315340930315735</v>
      </c>
      <c r="J14" s="20" t="n">
        <v>0.4956702459300312</v>
      </c>
      <c r="K14" s="20" t="n">
        <v>0.5192307692307693</v>
      </c>
      <c r="L14" s="19" t="n">
        <v>0.1123033238008042</v>
      </c>
      <c r="M14" s="19" t="n">
        <v>0.2162878828756231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CMU @ UNM</t>
        </is>
      </c>
      <c r="C15" s="12" t="inlineStr">
        <is>
          <t>2026-09-06 02:00</t>
        </is>
      </c>
      <c r="D15" s="22" t="n">
        <v>1</v>
      </c>
      <c r="E15" s="12" t="inlineStr">
        <is>
          <t>ATS</t>
        </is>
      </c>
      <c r="F15" s="12" t="inlineStr">
        <is>
          <t>CMU +10.5</t>
        </is>
      </c>
      <c r="G15" s="23" t="n">
        <v>-10.5</v>
      </c>
      <c r="H15" s="13" t="n">
        <v>-108</v>
      </c>
      <c r="I15" s="15" t="n">
        <v>0.6284461168666264</v>
      </c>
      <c r="J15" s="15" t="n">
        <v>0.5034106412005458</v>
      </c>
      <c r="K15" s="15" t="n">
        <v>0.5192307692307693</v>
      </c>
      <c r="L15" s="14" t="n">
        <v>0.1092153476358572</v>
      </c>
      <c r="M15" s="14" t="n">
        <v>0.2103406695209102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ASU @ TA&amp;M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ASU ML</t>
        </is>
      </c>
      <c r="G16" s="26" t="n"/>
      <c r="H16" s="18" t="n">
        <v>425</v>
      </c>
      <c r="I16" s="20" t="n">
        <v>0.2994711327413623</v>
      </c>
      <c r="J16" s="20" t="n">
        <v>0.182741116751269</v>
      </c>
      <c r="K16" s="20" t="n">
        <v>0.1904761904761905</v>
      </c>
      <c r="L16" s="19" t="n">
        <v>0.1089949422651718</v>
      </c>
      <c r="M16" s="19" t="n">
        <v>0.572223446892152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ARST @ MEM</t>
        </is>
      </c>
      <c r="C17" s="12" t="inlineStr">
        <is>
          <t>2026-09-05 23:00</t>
        </is>
      </c>
      <c r="D17" s="22" t="n">
        <v>1</v>
      </c>
      <c r="E17" s="12" t="inlineStr">
        <is>
          <t>ATS</t>
        </is>
      </c>
      <c r="F17" s="12" t="inlineStr">
        <is>
          <t>ARST +11.5</t>
        </is>
      </c>
      <c r="G17" s="23" t="n">
        <v>-11.5</v>
      </c>
      <c r="H17" s="13" t="n">
        <v>-110</v>
      </c>
      <c r="I17" s="15" t="n">
        <v>0.6272762574284912</v>
      </c>
      <c r="J17" s="15" t="n">
        <v>0.5</v>
      </c>
      <c r="K17" s="15" t="n">
        <v>0.5238095238095238</v>
      </c>
      <c r="L17" s="14" t="n">
        <v>0.1034667336189674</v>
      </c>
      <c r="M17" s="14" t="n">
        <v>0.1975274005453015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WMU @ MICH</t>
        </is>
      </c>
      <c r="C18" s="17" t="inlineStr">
        <is>
          <t>2026-09-05 23:30</t>
        </is>
      </c>
      <c r="D18" s="25" t="n">
        <v>1</v>
      </c>
      <c r="E18" s="17" t="inlineStr">
        <is>
          <t>TOTAL</t>
        </is>
      </c>
      <c r="F18" s="17" t="inlineStr">
        <is>
          <t>Over 48.5</t>
        </is>
      </c>
      <c r="G18" s="26" t="n">
        <v>48.5</v>
      </c>
      <c r="H18" s="18" t="n">
        <v>-110</v>
      </c>
      <c r="I18" s="20" t="n">
        <v>0.6243300806901215</v>
      </c>
      <c r="J18" s="20" t="n">
        <v>0.5</v>
      </c>
      <c r="K18" s="20" t="n">
        <v>0.5238095238095238</v>
      </c>
      <c r="L18" s="19" t="n">
        <v>0.1005205568805977</v>
      </c>
      <c r="M18" s="19" t="n">
        <v>0.1919028813175048</v>
      </c>
      <c r="N18" s="20" t="n">
        <v>0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PASS</t>
        </is>
      </c>
      <c r="B19" s="12" t="inlineStr">
        <is>
          <t>MIA @ STAN</t>
        </is>
      </c>
      <c r="C19" s="12" t="inlineStr">
        <is>
          <t>2026-09-05 01:00</t>
        </is>
      </c>
      <c r="D19" s="22" t="n">
        <v>1</v>
      </c>
      <c r="E19" s="12" t="inlineStr">
        <is>
          <t>ML</t>
        </is>
      </c>
      <c r="F19" s="12" t="inlineStr">
        <is>
          <t>STAN ML</t>
        </is>
      </c>
      <c r="G19" s="23" t="n"/>
      <c r="H19" s="13" t="n">
        <v>1400</v>
      </c>
      <c r="I19" s="15" t="n">
        <v>0.3206732298678342</v>
      </c>
      <c r="J19" s="15" t="n">
        <v>0.06432748538011696</v>
      </c>
      <c r="K19" s="15" t="n">
        <v>0.06666666666666667</v>
      </c>
      <c r="L19" s="14" t="n">
        <v>0.2540065632011675</v>
      </c>
      <c r="M19" s="14" t="n">
        <v>3.810098448017513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UAPB @ MIZ</t>
        </is>
      </c>
      <c r="C20" s="17" t="inlineStr">
        <is>
          <t>2026-09-04 00:00</t>
        </is>
      </c>
      <c r="D20" s="25" t="n">
        <v>1</v>
      </c>
      <c r="E20" s="17" t="inlineStr">
        <is>
          <t>ATS</t>
        </is>
      </c>
      <c r="F20" s="17" t="inlineStr">
        <is>
          <t>UAPB +54.5</t>
        </is>
      </c>
      <c r="G20" s="26" t="n">
        <v>-54.5</v>
      </c>
      <c r="H20" s="18" t="n">
        <v>-105</v>
      </c>
      <c r="I20" s="20" t="n">
        <v>0.7445675757651447</v>
      </c>
      <c r="J20" s="20" t="n">
        <v>0.4891657638136511</v>
      </c>
      <c r="K20" s="20" t="n">
        <v>0.5121951219512195</v>
      </c>
      <c r="L20" s="19" t="n">
        <v>0.2323724538139251</v>
      </c>
      <c r="M20" s="19" t="n">
        <v>0.45367955268433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UAPB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+44.5</t>
        </is>
      </c>
      <c r="G21" s="23" t="n">
        <v>-44.5</v>
      </c>
      <c r="H21" s="13" t="n">
        <v>-105</v>
      </c>
      <c r="I21" s="15" t="n">
        <v>0.7442904810740191</v>
      </c>
      <c r="J21" s="15" t="n">
        <v>0.4891657638136511</v>
      </c>
      <c r="K21" s="15" t="n">
        <v>0.5121951219512195</v>
      </c>
      <c r="L21" s="14" t="n">
        <v>0.2320953591227995</v>
      </c>
      <c r="M21" s="14" t="n">
        <v>0.4531385582873705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MORG @ ASU</t>
        </is>
      </c>
      <c r="C22" s="17" t="inlineStr">
        <is>
          <t>2026-09-06 02:00</t>
        </is>
      </c>
      <c r="D22" s="25" t="n">
        <v>1</v>
      </c>
      <c r="E22" s="17" t="inlineStr">
        <is>
          <t>ATS</t>
        </is>
      </c>
      <c r="F22" s="17" t="inlineStr">
        <is>
          <t>MORG +43.5</t>
        </is>
      </c>
      <c r="G22" s="26" t="n">
        <v>-43.5</v>
      </c>
      <c r="H22" s="18" t="n">
        <v>-105</v>
      </c>
      <c r="I22" s="20" t="n">
        <v>0.7442020946428586</v>
      </c>
      <c r="J22" s="20" t="n">
        <v>0.4891657638136511</v>
      </c>
      <c r="K22" s="20" t="n">
        <v>0.5121951219512195</v>
      </c>
      <c r="L22" s="19" t="n">
        <v>0.2320069726916391</v>
      </c>
      <c r="M22" s="19" t="n">
        <v>0.4529659943027239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MORG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LIU @ KU</t>
        </is>
      </c>
      <c r="C23" s="12" t="inlineStr">
        <is>
          <t>2026-09-05 00:00</t>
        </is>
      </c>
      <c r="D23" s="22" t="n">
        <v>1</v>
      </c>
      <c r="E23" s="12" t="inlineStr">
        <is>
          <t>ATS</t>
        </is>
      </c>
      <c r="F23" s="12" t="inlineStr">
        <is>
          <t>LIU +41.5</t>
        </is>
      </c>
      <c r="G23" s="23" t="n">
        <v>-41.5</v>
      </c>
      <c r="H23" s="13" t="n">
        <v>-105</v>
      </c>
      <c r="I23" s="15" t="n">
        <v>0.7439477136701655</v>
      </c>
      <c r="J23" s="15" t="n">
        <v>0.4891657638136511</v>
      </c>
      <c r="K23" s="15" t="n">
        <v>0.5121951219512195</v>
      </c>
      <c r="L23" s="14" t="n">
        <v>0.231752591718946</v>
      </c>
      <c r="M23" s="14" t="n">
        <v>0.4524693457369898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LIU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NORF @ ODU</t>
        </is>
      </c>
      <c r="C24" s="17" t="inlineStr">
        <is>
          <t>2026-09-05 22:00</t>
        </is>
      </c>
      <c r="D24" s="25" t="n">
        <v>1</v>
      </c>
      <c r="E24" s="17" t="inlineStr">
        <is>
          <t>ATS</t>
        </is>
      </c>
      <c r="F24" s="17" t="inlineStr">
        <is>
          <t>NORF +40.5</t>
        </is>
      </c>
      <c r="G24" s="26" t="n">
        <v>-40.5</v>
      </c>
      <c r="H24" s="18" t="n">
        <v>-105</v>
      </c>
      <c r="I24" s="20" t="n">
        <v>0.7437692929246862</v>
      </c>
      <c r="J24" s="20" t="n">
        <v>0.4891657638136511</v>
      </c>
      <c r="K24" s="20" t="n">
        <v>0.5121951219512195</v>
      </c>
      <c r="L24" s="19" t="n">
        <v>0.2315741709734667</v>
      </c>
      <c r="M24" s="19" t="n">
        <v>0.4521210004720063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NORF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MOST @ TA&amp;M</t>
        </is>
      </c>
      <c r="C25" s="12" t="inlineStr">
        <is>
          <t>2026-09-05 23:00</t>
        </is>
      </c>
      <c r="D25" s="22" t="n">
        <v>1</v>
      </c>
      <c r="E25" s="12" t="inlineStr">
        <is>
          <t>ATS</t>
        </is>
      </c>
      <c r="F25" s="12" t="inlineStr">
        <is>
          <t>MOST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NICH @ KSU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NICH +40.5</t>
        </is>
      </c>
      <c r="G26" s="26" t="n">
        <v>-40.5</v>
      </c>
      <c r="H26" s="18" t="n">
        <v>-105</v>
      </c>
      <c r="I26" s="20" t="n">
        <v>0.7437692929246862</v>
      </c>
      <c r="J26" s="20" t="n">
        <v>0.4891657638136511</v>
      </c>
      <c r="K26" s="20" t="n">
        <v>0.5121951219512195</v>
      </c>
      <c r="L26" s="19" t="n">
        <v>0.2315741709734667</v>
      </c>
      <c r="M26" s="19" t="n">
        <v>0.4521210004720063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NICH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NCAT @ GAST</t>
        </is>
      </c>
      <c r="C27" s="12" t="inlineStr">
        <is>
          <t>2026-09-04 23:00</t>
        </is>
      </c>
      <c r="D27" s="22" t="n">
        <v>1</v>
      </c>
      <c r="E27" s="12" t="inlineStr">
        <is>
          <t>ATS</t>
        </is>
      </c>
      <c r="F27" s="12" t="inlineStr">
        <is>
          <t>NCAT +28.5</t>
        </is>
      </c>
      <c r="G27" s="23" t="n">
        <v>-28.5</v>
      </c>
      <c r="H27" s="13" t="n">
        <v>102</v>
      </c>
      <c r="I27" s="15" t="n">
        <v>0.726492497194929</v>
      </c>
      <c r="J27" s="15" t="n">
        <v>0.4739134147382802</v>
      </c>
      <c r="K27" s="15" t="n">
        <v>0.495049504950495</v>
      </c>
      <c r="L27" s="14" t="n">
        <v>0.231442992244434</v>
      </c>
      <c r="M27" s="14" t="n">
        <v>0.4675148443337567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NCAT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ORE @ OKST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OKST ML</t>
        </is>
      </c>
      <c r="G28" s="26" t="n"/>
      <c r="H28" s="18" t="n">
        <v>750</v>
      </c>
      <c r="I28" s="20" t="n">
        <v>0.348421164764707</v>
      </c>
      <c r="J28" s="20" t="n">
        <v>0.1130434782608696</v>
      </c>
      <c r="K28" s="20" t="n">
        <v>0.1176470588235294</v>
      </c>
      <c r="L28" s="19" t="n">
        <v>0.2307741059411776</v>
      </c>
      <c r="M28" s="19" t="n">
        <v>1.96157990050001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ACU @ TTU</t>
        </is>
      </c>
      <c r="C29" s="12" t="inlineStr">
        <is>
          <t>2026-09-05 23:00</t>
        </is>
      </c>
      <c r="D29" s="22" t="n">
        <v>1</v>
      </c>
      <c r="E29" s="12" t="inlineStr">
        <is>
          <t>ATS</t>
        </is>
      </c>
      <c r="F29" s="12" t="inlineStr">
        <is>
          <t>ACU +42.5</t>
        </is>
      </c>
      <c r="G29" s="23" t="n">
        <v>-42.5</v>
      </c>
      <c r="H29" s="13" t="n">
        <v>-108</v>
      </c>
      <c r="I29" s="15" t="n">
        <v>0.747341967876749</v>
      </c>
      <c r="J29" s="15" t="n">
        <v>0.4956702459300312</v>
      </c>
      <c r="K29" s="15" t="n">
        <v>0.5192307692307693</v>
      </c>
      <c r="L29" s="14" t="n">
        <v>0.2281111986459797</v>
      </c>
      <c r="M29" s="14" t="n">
        <v>0.4393252714663315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ACU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BRY @ ARMY</t>
        </is>
      </c>
      <c r="C30" s="17" t="inlineStr">
        <is>
          <t>2026-09-05 16:00</t>
        </is>
      </c>
      <c r="D30" s="25" t="n">
        <v>1</v>
      </c>
      <c r="E30" s="17" t="inlineStr">
        <is>
          <t>ATS</t>
        </is>
      </c>
      <c r="F30" s="17" t="inlineStr">
        <is>
          <t>BRY +36.5</t>
        </is>
      </c>
      <c r="G30" s="26" t="n">
        <v>-36.5</v>
      </c>
      <c r="H30" s="18" t="n">
        <v>-108</v>
      </c>
      <c r="I30" s="20" t="n">
        <v>0.7457615298171922</v>
      </c>
      <c r="J30" s="20" t="n">
        <v>0.4956702459300312</v>
      </c>
      <c r="K30" s="20" t="n">
        <v>0.5192307692307693</v>
      </c>
      <c r="L30" s="19" t="n">
        <v>0.226530760586423</v>
      </c>
      <c r="M30" s="19" t="n">
        <v>0.436281464833111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BRY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UTU @ BYU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UTU +51.5</t>
        </is>
      </c>
      <c r="G31" s="23" t="n">
        <v>-51.5</v>
      </c>
      <c r="H31" s="13" t="n">
        <v>-110</v>
      </c>
      <c r="I31" s="15" t="n">
        <v>0.7499606332961088</v>
      </c>
      <c r="J31" s="15" t="n">
        <v>0.5</v>
      </c>
      <c r="K31" s="15" t="n">
        <v>0.5238095238095238</v>
      </c>
      <c r="L31" s="14" t="n">
        <v>0.226151109486585</v>
      </c>
      <c r="M31" s="14" t="n">
        <v>0.4317430272016624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UTU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FUR @ TENN</t>
        </is>
      </c>
      <c r="C32" s="17" t="inlineStr">
        <is>
          <t>2026-09-05 19:30</t>
        </is>
      </c>
      <c r="D32" s="25" t="n">
        <v>1</v>
      </c>
      <c r="E32" s="17" t="inlineStr">
        <is>
          <t>ATS</t>
        </is>
      </c>
      <c r="F32" s="17" t="inlineStr">
        <is>
          <t>FUR +46.5</t>
        </is>
      </c>
      <c r="G32" s="26" t="n">
        <v>-46.5</v>
      </c>
      <c r="H32" s="18" t="n">
        <v>-110</v>
      </c>
      <c r="I32" s="20" t="n">
        <v>0.749830435516865</v>
      </c>
      <c r="J32" s="20" t="n">
        <v>0.5</v>
      </c>
      <c r="K32" s="20" t="n">
        <v>0.5238095238095238</v>
      </c>
      <c r="L32" s="19" t="n">
        <v>0.2260209117073412</v>
      </c>
      <c r="M32" s="19" t="n">
        <v>0.4314944678049242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FUR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KENT @ SC</t>
        </is>
      </c>
      <c r="C33" s="12" t="inlineStr">
        <is>
          <t>2026-09-05 16:45</t>
        </is>
      </c>
      <c r="D33" s="22" t="n">
        <v>1</v>
      </c>
      <c r="E33" s="12" t="inlineStr">
        <is>
          <t>ATS</t>
        </is>
      </c>
      <c r="F33" s="12" t="inlineStr">
        <is>
          <t>KENT +35.5</t>
        </is>
      </c>
      <c r="G33" s="23" t="n">
        <v>-35.5</v>
      </c>
      <c r="H33" s="13" t="n">
        <v>-108</v>
      </c>
      <c r="I33" s="15" t="n">
        <v>0.7452504573658458</v>
      </c>
      <c r="J33" s="15" t="n">
        <v>0.4956702459300312</v>
      </c>
      <c r="K33" s="15" t="n">
        <v>0.5192307692307693</v>
      </c>
      <c r="L33" s="14" t="n">
        <v>0.2260196881350766</v>
      </c>
      <c r="M33" s="14" t="n">
        <v>0.4352971771490365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-110</v>
      </c>
      <c r="I34" s="20" t="n">
        <v>0.7497767121178898</v>
      </c>
      <c r="J34" s="20" t="n">
        <v>0.5</v>
      </c>
      <c r="K34" s="20" t="n">
        <v>0.5238095238095238</v>
      </c>
      <c r="L34" s="19" t="n">
        <v>0.2259671883083659</v>
      </c>
      <c r="M34" s="19" t="n">
        <v>0.431391904952335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+42.5</t>
        </is>
      </c>
      <c r="G35" s="23" t="n">
        <v>-42.5</v>
      </c>
      <c r="H35" s="13" t="n">
        <v>-110</v>
      </c>
      <c r="I35" s="15" t="n">
        <v>0.7495068449117334</v>
      </c>
      <c r="J35" s="15" t="n">
        <v>0.5</v>
      </c>
      <c r="K35" s="15" t="n">
        <v>0.5238095238095238</v>
      </c>
      <c r="L35" s="14" t="n">
        <v>0.2256973211022095</v>
      </c>
      <c r="M35" s="14" t="n">
        <v>0.4308767039224001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UTEP @ OU</t>
        </is>
      </c>
      <c r="C36" s="17" t="inlineStr">
        <is>
          <t>2026-09-05 00:00</t>
        </is>
      </c>
      <c r="D36" s="25" t="n">
        <v>1</v>
      </c>
      <c r="E36" s="17" t="inlineStr">
        <is>
          <t>ATS</t>
        </is>
      </c>
      <c r="F36" s="17" t="inlineStr">
        <is>
          <t>UTEP +40.5</t>
        </is>
      </c>
      <c r="G36" s="26" t="n">
        <v>-40.5</v>
      </c>
      <c r="H36" s="18" t="n">
        <v>-110</v>
      </c>
      <c r="I36" s="20" t="n">
        <v>0.7491864110178605</v>
      </c>
      <c r="J36" s="20" t="n">
        <v>0.5</v>
      </c>
      <c r="K36" s="20" t="n">
        <v>0.5238095238095238</v>
      </c>
      <c r="L36" s="19" t="n">
        <v>0.2253768872083367</v>
      </c>
      <c r="M36" s="19" t="n">
        <v>0.4302649664886429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UNA @ ARK</t>
        </is>
      </c>
      <c r="C37" s="12" t="inlineStr">
        <is>
          <t>2026-09-05 20:15</t>
        </is>
      </c>
      <c r="D37" s="22" t="n">
        <v>1</v>
      </c>
      <c r="E37" s="12" t="inlineStr">
        <is>
          <t>ATS</t>
        </is>
      </c>
      <c r="F37" s="12" t="inlineStr">
        <is>
          <t>UNA +40.5</t>
        </is>
      </c>
      <c r="G37" s="23" t="n">
        <v>-40.5</v>
      </c>
      <c r="H37" s="13" t="n">
        <v>-110</v>
      </c>
      <c r="I37" s="15" t="n">
        <v>0.7491864110178605</v>
      </c>
      <c r="J37" s="15" t="n">
        <v>0.5</v>
      </c>
      <c r="K37" s="15" t="n">
        <v>0.5238095238095238</v>
      </c>
      <c r="L37" s="14" t="n">
        <v>0.2253768872083367</v>
      </c>
      <c r="M37" s="14" t="n">
        <v>0.4302649664886429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UNA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PRST @ SDSU</t>
        </is>
      </c>
      <c r="C38" s="17" t="inlineStr">
        <is>
          <t>2026-09-06 01:30</t>
        </is>
      </c>
      <c r="D38" s="25" t="n">
        <v>1</v>
      </c>
      <c r="E38" s="17" t="inlineStr">
        <is>
          <t>ATS</t>
        </is>
      </c>
      <c r="F38" s="17" t="inlineStr">
        <is>
          <t>PRST +40.5</t>
        </is>
      </c>
      <c r="G38" s="26" t="n">
        <v>-40.5</v>
      </c>
      <c r="H38" s="18" t="n">
        <v>-110</v>
      </c>
      <c r="I38" s="20" t="n">
        <v>0.7491864110178605</v>
      </c>
      <c r="J38" s="20" t="n">
        <v>0.5</v>
      </c>
      <c r="K38" s="20" t="n">
        <v>0.5238095238095238</v>
      </c>
      <c r="L38" s="19" t="n">
        <v>0.2253768872083367</v>
      </c>
      <c r="M38" s="19" t="n">
        <v>0.4302649664886429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PRST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VMI @ VT</t>
        </is>
      </c>
      <c r="C39" s="12" t="inlineStr">
        <is>
          <t>2026-09-05 23:30</t>
        </is>
      </c>
      <c r="D39" s="22" t="n">
        <v>1</v>
      </c>
      <c r="E39" s="12" t="inlineStr">
        <is>
          <t>ATS</t>
        </is>
      </c>
      <c r="F39" s="12" t="inlineStr">
        <is>
          <t>VMI +55.5</t>
        </is>
      </c>
      <c r="G39" s="23" t="n">
        <v>-55.5</v>
      </c>
      <c r="H39" s="13" t="n">
        <v>-112</v>
      </c>
      <c r="I39" s="15" t="n">
        <v>0.7521538362893326</v>
      </c>
      <c r="J39" s="15" t="n">
        <v>0.5043297540699688</v>
      </c>
      <c r="K39" s="15" t="n">
        <v>0.5283018867924528</v>
      </c>
      <c r="L39" s="14" t="n">
        <v>0.2238519494968798</v>
      </c>
      <c r="M39" s="14" t="n">
        <v>0.4237197615476653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VMI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BALL @ OSU</t>
        </is>
      </c>
      <c r="C40" s="17" t="inlineStr">
        <is>
          <t>2026-09-05 16:30</t>
        </is>
      </c>
      <c r="D40" s="25" t="n">
        <v>1</v>
      </c>
      <c r="E40" s="17" t="inlineStr">
        <is>
          <t>ATS</t>
        </is>
      </c>
      <c r="F40" s="17" t="inlineStr">
        <is>
          <t>BALL +50.5</t>
        </is>
      </c>
      <c r="G40" s="26" t="n">
        <v>-50.5</v>
      </c>
      <c r="H40" s="18" t="n">
        <v>-112</v>
      </c>
      <c r="I40" s="20" t="n">
        <v>0.7521115583182229</v>
      </c>
      <c r="J40" s="20" t="n">
        <v>0.5043297540699688</v>
      </c>
      <c r="K40" s="20" t="n">
        <v>0.5283018867924528</v>
      </c>
      <c r="L40" s="19" t="n">
        <v>0.22380967152577</v>
      </c>
      <c r="M40" s="19" t="n">
        <v>0.4236397353880647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-112</v>
      </c>
      <c r="I41" s="15" t="n">
        <v>0.7519953125518495</v>
      </c>
      <c r="J41" s="15" t="n">
        <v>0.5043297540699688</v>
      </c>
      <c r="K41" s="15" t="n">
        <v>0.5283018867924528</v>
      </c>
      <c r="L41" s="14" t="n">
        <v>0.2236934257593967</v>
      </c>
      <c r="M41" s="14" t="n">
        <v>0.4234196987588579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IDHO @ UTAH</t>
        </is>
      </c>
      <c r="C42" s="17" t="inlineStr">
        <is>
          <t>2026-09-04 01:00</t>
        </is>
      </c>
      <c r="D42" s="25" t="n">
        <v>1</v>
      </c>
      <c r="E42" s="17" t="inlineStr">
        <is>
          <t>ATS</t>
        </is>
      </c>
      <c r="F42" s="17" t="inlineStr">
        <is>
          <t>IDHO +35.5</t>
        </is>
      </c>
      <c r="G42" s="26" t="n">
        <v>-35.5</v>
      </c>
      <c r="H42" s="18" t="n">
        <v>-110</v>
      </c>
      <c r="I42" s="20" t="n">
        <v>0.7474153344008302</v>
      </c>
      <c r="J42" s="20" t="n">
        <v>0.5</v>
      </c>
      <c r="K42" s="20" t="n">
        <v>0.5238095238095238</v>
      </c>
      <c r="L42" s="19" t="n">
        <v>0.2236058105913064</v>
      </c>
      <c r="M42" s="19" t="n">
        <v>0.4268838202197668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IDHO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INST @ PUR</t>
        </is>
      </c>
      <c r="C43" s="12" t="inlineStr">
        <is>
          <t>2026-09-04 23:00</t>
        </is>
      </c>
      <c r="D43" s="22" t="n">
        <v>1</v>
      </c>
      <c r="E43" s="12" t="inlineStr">
        <is>
          <t>ATS</t>
        </is>
      </c>
      <c r="F43" s="12" t="inlineStr">
        <is>
          <t>INST +35.5</t>
        </is>
      </c>
      <c r="G43" s="23" t="n">
        <v>-35.5</v>
      </c>
      <c r="H43" s="13" t="n">
        <v>-110</v>
      </c>
      <c r="I43" s="15" t="n">
        <v>0.7474153344008302</v>
      </c>
      <c r="J43" s="15" t="n">
        <v>0.5</v>
      </c>
      <c r="K43" s="15" t="n">
        <v>0.5238095238095238</v>
      </c>
      <c r="L43" s="14" t="n">
        <v>0.2236058105913064</v>
      </c>
      <c r="M43" s="14" t="n">
        <v>0.4268838202197668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INST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MVSU @ SAC</t>
        </is>
      </c>
      <c r="C44" s="17" t="inlineStr">
        <is>
          <t>2026-09-06 02:00</t>
        </is>
      </c>
      <c r="D44" s="25" t="n">
        <v>1</v>
      </c>
      <c r="E44" s="17" t="inlineStr">
        <is>
          <t>ATS</t>
        </is>
      </c>
      <c r="F44" s="17" t="inlineStr">
        <is>
          <t>MVSU +37.5</t>
        </is>
      </c>
      <c r="G44" s="26" t="n">
        <v>-37.5</v>
      </c>
      <c r="H44" s="18" t="n">
        <v>-112</v>
      </c>
      <c r="I44" s="20" t="n">
        <v>0.7504443511010972</v>
      </c>
      <c r="J44" s="20" t="n">
        <v>0.5043297540699688</v>
      </c>
      <c r="K44" s="20" t="n">
        <v>0.5283018867924528</v>
      </c>
      <c r="L44" s="19" t="n">
        <v>0.2221424643086444</v>
      </c>
      <c r="M44" s="19" t="n">
        <v>0.4204839502985054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MVSU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MRMK @ DEL</t>
        </is>
      </c>
      <c r="C45" s="12" t="inlineStr">
        <is>
          <t>2026-09-03 23:00</t>
        </is>
      </c>
      <c r="D45" s="22" t="n">
        <v>1</v>
      </c>
      <c r="E45" s="12" t="inlineStr">
        <is>
          <t>ATS</t>
        </is>
      </c>
      <c r="F45" s="12" t="inlineStr">
        <is>
          <t>MRMK +28.5</t>
        </is>
      </c>
      <c r="G45" s="23" t="n">
        <v>-28.5</v>
      </c>
      <c r="H45" s="13" t="n">
        <v>-105</v>
      </c>
      <c r="I45" s="15" t="n">
        <v>0.7341186717326145</v>
      </c>
      <c r="J45" s="15" t="n">
        <v>0.4891657638136511</v>
      </c>
      <c r="K45" s="15" t="n">
        <v>0.5121951219512195</v>
      </c>
      <c r="L45" s="14" t="n">
        <v>0.2219235497813949</v>
      </c>
      <c r="M45" s="14" t="n">
        <v>0.4332793114779615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MRMK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DUQ @ AFA</t>
        </is>
      </c>
      <c r="C46" s="17" t="inlineStr">
        <is>
          <t>2026-09-05 17:00</t>
        </is>
      </c>
      <c r="D46" s="25" t="n">
        <v>1</v>
      </c>
      <c r="E46" s="17" t="inlineStr">
        <is>
          <t>ATS</t>
        </is>
      </c>
      <c r="F46" s="17" t="inlineStr">
        <is>
          <t>DUQ +28.5</t>
        </is>
      </c>
      <c r="G46" s="26" t="n">
        <v>-28.5</v>
      </c>
      <c r="H46" s="18" t="n">
        <v>-105</v>
      </c>
      <c r="I46" s="20" t="n">
        <v>0.7341186717326145</v>
      </c>
      <c r="J46" s="20" t="n">
        <v>0.4891657638136511</v>
      </c>
      <c r="K46" s="20" t="n">
        <v>0.5121951219512195</v>
      </c>
      <c r="L46" s="19" t="n">
        <v>0.2219235497813949</v>
      </c>
      <c r="M46" s="19" t="n">
        <v>0.4332793114779615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DUQ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TOW @ NAVY</t>
        </is>
      </c>
      <c r="C47" s="12" t="inlineStr">
        <is>
          <t>2026-09-05 19:30</t>
        </is>
      </c>
      <c r="D47" s="22" t="n">
        <v>1</v>
      </c>
      <c r="E47" s="12" t="inlineStr">
        <is>
          <t>ATS</t>
        </is>
      </c>
      <c r="F47" s="12" t="inlineStr">
        <is>
          <t>TOW +30.5</t>
        </is>
      </c>
      <c r="G47" s="23" t="n">
        <v>-30.5</v>
      </c>
      <c r="H47" s="13" t="n">
        <v>-108</v>
      </c>
      <c r="I47" s="15" t="n">
        <v>0.7405966878326566</v>
      </c>
      <c r="J47" s="15" t="n">
        <v>0.4956702459300312</v>
      </c>
      <c r="K47" s="15" t="n">
        <v>0.5192307692307693</v>
      </c>
      <c r="L47" s="14" t="n">
        <v>0.2213659186018874</v>
      </c>
      <c r="M47" s="14" t="n">
        <v>0.4263343617517833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TOW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UNH @ SYR</t>
        </is>
      </c>
      <c r="C48" s="17" t="inlineStr">
        <is>
          <t>2026-09-05 16:00</t>
        </is>
      </c>
      <c r="D48" s="25" t="n">
        <v>1</v>
      </c>
      <c r="E48" s="17" t="inlineStr">
        <is>
          <t>ATS</t>
        </is>
      </c>
      <c r="F48" s="17" t="inlineStr">
        <is>
          <t>UNH +33.5</t>
        </is>
      </c>
      <c r="G48" s="26" t="n">
        <v>-33.5</v>
      </c>
      <c r="H48" s="18" t="n">
        <v>-112</v>
      </c>
      <c r="I48" s="20" t="n">
        <v>0.748213533133389</v>
      </c>
      <c r="J48" s="20" t="n">
        <v>0.5043297540699688</v>
      </c>
      <c r="K48" s="20" t="n">
        <v>0.5283018867924528</v>
      </c>
      <c r="L48" s="19" t="n">
        <v>0.2199116463409362</v>
      </c>
      <c r="M48" s="19" t="n">
        <v>0.4162613305739149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UNH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UNT @ IU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UNT +40.5</t>
        </is>
      </c>
      <c r="G49" s="23" t="n">
        <v>-40.5</v>
      </c>
      <c r="H49" s="13" t="n">
        <v>-115</v>
      </c>
      <c r="I49" s="15" t="n">
        <v>0.754603529111035</v>
      </c>
      <c r="J49" s="15" t="n">
        <v>0.5108342361863488</v>
      </c>
      <c r="K49" s="15" t="n">
        <v>0.5348837209302325</v>
      </c>
      <c r="L49" s="14" t="n">
        <v>0.2197198081808025</v>
      </c>
      <c r="M49" s="14" t="n">
        <v>0.4107805109467175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MERC @ NMSU</t>
        </is>
      </c>
      <c r="C50" s="17" t="inlineStr">
        <is>
          <t>2026-09-06 01:00</t>
        </is>
      </c>
      <c r="D50" s="25" t="n">
        <v>1</v>
      </c>
      <c r="E50" s="17" t="inlineStr">
        <is>
          <t>ATS</t>
        </is>
      </c>
      <c r="F50" s="17" t="inlineStr">
        <is>
          <t>MERC +28.5</t>
        </is>
      </c>
      <c r="G50" s="26" t="n">
        <v>-28.5</v>
      </c>
      <c r="H50" s="18" t="n">
        <v>-108</v>
      </c>
      <c r="I50" s="20" t="n">
        <v>0.7376720460293562</v>
      </c>
      <c r="J50" s="20" t="n">
        <v>0.4956702459300312</v>
      </c>
      <c r="K50" s="20" t="n">
        <v>0.5192307692307693</v>
      </c>
      <c r="L50" s="19" t="n">
        <v>0.2184412767985869</v>
      </c>
      <c r="M50" s="19" t="n">
        <v>0.4207017182787602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MERC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0.7462521995675839</v>
      </c>
      <c r="J51" s="15" t="n">
        <v>0.5043297540699688</v>
      </c>
      <c r="K51" s="15" t="n">
        <v>0.5283018867924528</v>
      </c>
      <c r="L51" s="14" t="n">
        <v>0.2179503127751311</v>
      </c>
      <c r="M51" s="14" t="n">
        <v>0.4125488063243552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TXST @ TEX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TXST +29.5</t>
        </is>
      </c>
      <c r="G52" s="26" t="n">
        <v>-29.5</v>
      </c>
      <c r="H52" s="18" t="n">
        <v>-110</v>
      </c>
      <c r="I52" s="20" t="n">
        <v>0.7412752050592825</v>
      </c>
      <c r="J52" s="20" t="n">
        <v>0.5</v>
      </c>
      <c r="K52" s="20" t="n">
        <v>0.5238095238095238</v>
      </c>
      <c r="L52" s="19" t="n">
        <v>0.2174656812497586</v>
      </c>
      <c r="M52" s="19" t="n">
        <v>0.4151617551131757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BCU @ UCF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BCU +42.5</t>
        </is>
      </c>
      <c r="G53" s="23" t="n">
        <v>-42.5</v>
      </c>
      <c r="H53" s="13" t="n">
        <v>-118</v>
      </c>
      <c r="I53" s="15" t="n">
        <v>0.7581889077698685</v>
      </c>
      <c r="J53" s="15" t="n">
        <v>0.5173641257162701</v>
      </c>
      <c r="K53" s="15" t="n">
        <v>0.5412844036697247</v>
      </c>
      <c r="L53" s="14" t="n">
        <v>0.2169045041001437</v>
      </c>
      <c r="M53" s="14" t="n">
        <v>0.4007218804561976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BCU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UAB @ ILL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UAB +27.5</t>
        </is>
      </c>
      <c r="G54" s="26" t="n">
        <v>-27.5</v>
      </c>
      <c r="H54" s="18" t="n">
        <v>-108</v>
      </c>
      <c r="I54" s="20" t="n">
        <v>0.7350438364238352</v>
      </c>
      <c r="J54" s="20" t="n">
        <v>0.4956702459300312</v>
      </c>
      <c r="K54" s="20" t="n">
        <v>0.5192307692307693</v>
      </c>
      <c r="L54" s="19" t="n">
        <v>0.2158130671930659</v>
      </c>
      <c r="M54" s="19" t="n">
        <v>0.4156399812607198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RGV @ UTSA</t>
        </is>
      </c>
      <c r="C55" s="12" t="inlineStr">
        <is>
          <t>2026-09-05 19:30</t>
        </is>
      </c>
      <c r="D55" s="22" t="n">
        <v>1</v>
      </c>
      <c r="E55" s="12" t="inlineStr">
        <is>
          <t>ATS</t>
        </is>
      </c>
      <c r="F55" s="12" t="inlineStr">
        <is>
          <t>RGV +28.5</t>
        </is>
      </c>
      <c r="G55" s="23" t="n">
        <v>-28.5</v>
      </c>
      <c r="H55" s="13" t="n">
        <v>-110</v>
      </c>
      <c r="I55" s="15" t="n">
        <v>0.7395357898257888</v>
      </c>
      <c r="J55" s="15" t="n">
        <v>0.5</v>
      </c>
      <c r="K55" s="15" t="n">
        <v>0.5238095238095238</v>
      </c>
      <c r="L55" s="14" t="n">
        <v>0.215726266016265</v>
      </c>
      <c r="M55" s="14" t="n">
        <v>0.4118410533037787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RGV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MASS @ RUTG</t>
        </is>
      </c>
      <c r="C56" s="17" t="inlineStr">
        <is>
          <t>2026-09-03 22:00</t>
        </is>
      </c>
      <c r="D56" s="25" t="n">
        <v>1</v>
      </c>
      <c r="E56" s="17" t="inlineStr">
        <is>
          <t>ATS</t>
        </is>
      </c>
      <c r="F56" s="17" t="inlineStr">
        <is>
          <t>MASS +29.5</t>
        </is>
      </c>
      <c r="G56" s="26" t="n">
        <v>-29.5</v>
      </c>
      <c r="H56" s="18" t="n">
        <v>-112</v>
      </c>
      <c r="I56" s="20" t="n">
        <v>0.7434400820942668</v>
      </c>
      <c r="J56" s="20" t="n">
        <v>0.5043297540699688</v>
      </c>
      <c r="K56" s="20" t="n">
        <v>0.5283018867924528</v>
      </c>
      <c r="L56" s="19" t="n">
        <v>0.215138195301814</v>
      </c>
      <c r="M56" s="19" t="n">
        <v>0.4072258696784335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SEMO @ ISU</t>
        </is>
      </c>
      <c r="C57" s="12" t="inlineStr">
        <is>
          <t>2026-09-05 17:00</t>
        </is>
      </c>
      <c r="D57" s="22" t="n">
        <v>1</v>
      </c>
      <c r="E57" s="12" t="inlineStr">
        <is>
          <t>ATS</t>
        </is>
      </c>
      <c r="F57" s="12" t="inlineStr">
        <is>
          <t>SEMO +29.5</t>
        </is>
      </c>
      <c r="G57" s="23" t="n">
        <v>-29.5</v>
      </c>
      <c r="H57" s="13" t="n">
        <v>-112</v>
      </c>
      <c r="I57" s="15" t="n">
        <v>0.7434400820942668</v>
      </c>
      <c r="J57" s="15" t="n">
        <v>0.5043297540699688</v>
      </c>
      <c r="K57" s="15" t="n">
        <v>0.5283018867924528</v>
      </c>
      <c r="L57" s="14" t="n">
        <v>0.215138195301814</v>
      </c>
      <c r="M57" s="14" t="n">
        <v>0.4072258696784335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SEMO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NIU @ IOWA</t>
        </is>
      </c>
      <c r="C58" s="17" t="inlineStr">
        <is>
          <t>2026-09-05 20:15</t>
        </is>
      </c>
      <c r="D58" s="25" t="n">
        <v>1</v>
      </c>
      <c r="E58" s="17" t="inlineStr">
        <is>
          <t>ATS</t>
        </is>
      </c>
      <c r="F58" s="17" t="inlineStr">
        <is>
          <t>NIU +31.5</t>
        </is>
      </c>
      <c r="G58" s="26" t="n">
        <v>-31.5</v>
      </c>
      <c r="H58" s="18" t="n">
        <v>-115</v>
      </c>
      <c r="I58" s="20" t="n">
        <v>0.749504440625774</v>
      </c>
      <c r="J58" s="20" t="n">
        <v>0.5108342361863488</v>
      </c>
      <c r="K58" s="20" t="n">
        <v>0.5348837209302325</v>
      </c>
      <c r="L58" s="19" t="n">
        <v>0.2146207196955415</v>
      </c>
      <c r="M58" s="19" t="n">
        <v>0.4012474324742731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FAU @ FLA</t>
        </is>
      </c>
      <c r="C59" s="12" t="inlineStr">
        <is>
          <t>2026-09-05 23:45</t>
        </is>
      </c>
      <c r="D59" s="22" t="n">
        <v>1</v>
      </c>
      <c r="E59" s="12" t="inlineStr">
        <is>
          <t>ATS</t>
        </is>
      </c>
      <c r="F59" s="12" t="inlineStr">
        <is>
          <t>FAU +26.5</t>
        </is>
      </c>
      <c r="G59" s="23" t="n">
        <v>-26.5</v>
      </c>
      <c r="H59" s="13" t="n">
        <v>-108</v>
      </c>
      <c r="I59" s="15" t="n">
        <v>0.7328206486942305</v>
      </c>
      <c r="J59" s="15" t="n">
        <v>0.4956702459300312</v>
      </c>
      <c r="K59" s="15" t="n">
        <v>0.5192307692307693</v>
      </c>
      <c r="L59" s="14" t="n">
        <v>0.2135898794634612</v>
      </c>
      <c r="M59" s="14" t="n">
        <v>0.4113582863740736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WMU @ MICH</t>
        </is>
      </c>
      <c r="C60" s="17" t="inlineStr">
        <is>
          <t>2026-09-05 23:30</t>
        </is>
      </c>
      <c r="D60" s="25" t="n">
        <v>1</v>
      </c>
      <c r="E60" s="17" t="inlineStr">
        <is>
          <t>ATS</t>
        </is>
      </c>
      <c r="F60" s="17" t="inlineStr">
        <is>
          <t>WMU +27.5</t>
        </is>
      </c>
      <c r="G60" s="26" t="n">
        <v>-27.5</v>
      </c>
      <c r="H60" s="18" t="n">
        <v>-110</v>
      </c>
      <c r="I60" s="20" t="n">
        <v>0.7372087134588197</v>
      </c>
      <c r="J60" s="20" t="n">
        <v>0.5</v>
      </c>
      <c r="K60" s="20" t="n">
        <v>0.5238095238095238</v>
      </c>
      <c r="L60" s="19" t="n">
        <v>0.2133991896492958</v>
      </c>
      <c r="M60" s="19" t="n">
        <v>0.4073984529668376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MIA @ STAN</t>
        </is>
      </c>
      <c r="C61" s="12" t="inlineStr">
        <is>
          <t>2026-09-05 01:00</t>
        </is>
      </c>
      <c r="D61" s="22" t="n">
        <v>1</v>
      </c>
      <c r="E61" s="12" t="inlineStr">
        <is>
          <t>ATS</t>
        </is>
      </c>
      <c r="F61" s="12" t="inlineStr">
        <is>
          <t>STAN +24.5</t>
        </is>
      </c>
      <c r="G61" s="23" t="n">
        <v>24.5</v>
      </c>
      <c r="H61" s="13" t="n">
        <v>-115</v>
      </c>
      <c r="I61" s="15" t="n">
        <v>0.7478148743521679</v>
      </c>
      <c r="J61" s="15" t="n">
        <v>0.5108342361863488</v>
      </c>
      <c r="K61" s="15" t="n">
        <v>0.5348837209302325</v>
      </c>
      <c r="L61" s="14" t="n">
        <v>0.2129311534219354</v>
      </c>
      <c r="M61" s="14" t="n">
        <v>0.3980886781366616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OHIO @ NEB</t>
        </is>
      </c>
      <c r="C62" s="17" t="inlineStr">
        <is>
          <t>2026-09-05 16:00</t>
        </is>
      </c>
      <c r="D62" s="25" t="n">
        <v>1</v>
      </c>
      <c r="E62" s="17" t="inlineStr">
        <is>
          <t>ATS</t>
        </is>
      </c>
      <c r="F62" s="17" t="inlineStr">
        <is>
          <t>OHIO +23.5</t>
        </is>
      </c>
      <c r="G62" s="26" t="n">
        <v>-23.5</v>
      </c>
      <c r="H62" s="18" t="n">
        <v>-102</v>
      </c>
      <c r="I62" s="20" t="n">
        <v>0.7169819600169205</v>
      </c>
      <c r="J62" s="20" t="n">
        <v>0.4826358742837298</v>
      </c>
      <c r="K62" s="20" t="n">
        <v>0.504950495049505</v>
      </c>
      <c r="L62" s="19" t="n">
        <v>0.2120314649674155</v>
      </c>
      <c r="M62" s="19" t="n">
        <v>0.4199054502295877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ORE @ OKST</t>
        </is>
      </c>
      <c r="C63" s="12" t="inlineStr">
        <is>
          <t>2026-09-12 16:00</t>
        </is>
      </c>
      <c r="D63" s="22" t="n">
        <v>2</v>
      </c>
      <c r="E63" s="12" t="inlineStr">
        <is>
          <t>ATS</t>
        </is>
      </c>
      <c r="F63" s="12" t="inlineStr">
        <is>
          <t>OKST +18.5</t>
        </is>
      </c>
      <c r="G63" s="23" t="n">
        <v>18.5</v>
      </c>
      <c r="H63" s="13" t="n">
        <v>-105</v>
      </c>
      <c r="I63" s="15" t="n">
        <v>0.7238126321260866</v>
      </c>
      <c r="J63" s="15" t="n">
        <v>0.4891657638136511</v>
      </c>
      <c r="K63" s="15" t="n">
        <v>0.5121951219512195</v>
      </c>
      <c r="L63" s="14" t="n">
        <v>0.2116175101748671</v>
      </c>
      <c r="M63" s="14" t="n">
        <v>0.4131579960556928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ULM @ MSST</t>
        </is>
      </c>
      <c r="C64" s="17" t="inlineStr">
        <is>
          <t>2026-09-05 23:30</t>
        </is>
      </c>
      <c r="D64" s="25" t="n">
        <v>1</v>
      </c>
      <c r="E64" s="17" t="inlineStr">
        <is>
          <t>ATS</t>
        </is>
      </c>
      <c r="F64" s="17" t="inlineStr">
        <is>
          <t>ULM +28.5</t>
        </is>
      </c>
      <c r="G64" s="26" t="n">
        <v>-28.5</v>
      </c>
      <c r="H64" s="18" t="n">
        <v>-115</v>
      </c>
      <c r="I64" s="20" t="n">
        <v>0.7449529079189633</v>
      </c>
      <c r="J64" s="20" t="n">
        <v>0.5108342361863488</v>
      </c>
      <c r="K64" s="20" t="n">
        <v>0.5348837209302325</v>
      </c>
      <c r="L64" s="19" t="n">
        <v>0.2100691869887308</v>
      </c>
      <c r="M64" s="19" t="n">
        <v>0.3927380452398008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AKR @ WAKE</t>
        </is>
      </c>
      <c r="C65" s="12" t="inlineStr">
        <is>
          <t>2026-09-03 23:00</t>
        </is>
      </c>
      <c r="D65" s="22" t="n">
        <v>1</v>
      </c>
      <c r="E65" s="12" t="inlineStr">
        <is>
          <t>ATS</t>
        </is>
      </c>
      <c r="F65" s="12" t="inlineStr">
        <is>
          <t>AKR +24.5</t>
        </is>
      </c>
      <c r="G65" s="23" t="n">
        <v>-24.5</v>
      </c>
      <c r="H65" s="13" t="n">
        <v>-110</v>
      </c>
      <c r="I65" s="15" t="n">
        <v>0.7296814762156341</v>
      </c>
      <c r="J65" s="15" t="n">
        <v>0.5</v>
      </c>
      <c r="K65" s="15" t="n">
        <v>0.5238095238095238</v>
      </c>
      <c r="L65" s="14" t="n">
        <v>0.2058719524061102</v>
      </c>
      <c r="M65" s="14" t="n">
        <v>0.3930282727753015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BOIS @ ORE</t>
        </is>
      </c>
      <c r="C66" s="17" t="inlineStr">
        <is>
          <t>2026-09-05 19:30</t>
        </is>
      </c>
      <c r="D66" s="25" t="n">
        <v>1</v>
      </c>
      <c r="E66" s="17" t="inlineStr">
        <is>
          <t>ATS</t>
        </is>
      </c>
      <c r="F66" s="17" t="inlineStr">
        <is>
          <t>BOIS +24.5</t>
        </is>
      </c>
      <c r="G66" s="26" t="n">
        <v>-24.5</v>
      </c>
      <c r="H66" s="18" t="n">
        <v>-110</v>
      </c>
      <c r="I66" s="20" t="n">
        <v>0.7296814762156341</v>
      </c>
      <c r="J66" s="20" t="n">
        <v>0.5</v>
      </c>
      <c r="K66" s="20" t="n">
        <v>0.5238095238095238</v>
      </c>
      <c r="L66" s="19" t="n">
        <v>0.2058719524061102</v>
      </c>
      <c r="M66" s="19" t="n">
        <v>0.3930282727753015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ECU @ ALA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ECU +28.5</t>
        </is>
      </c>
      <c r="G67" s="23" t="n">
        <v>-28.5</v>
      </c>
      <c r="H67" s="13" t="n">
        <v>-120</v>
      </c>
      <c r="I67" s="15" t="n">
        <v>0.7504053550431802</v>
      </c>
      <c r="J67" s="15" t="n">
        <v>0.5217391304347826</v>
      </c>
      <c r="K67" s="15" t="n">
        <v>0.5454545454545454</v>
      </c>
      <c r="L67" s="14" t="n">
        <v>0.2049508095886348</v>
      </c>
      <c r="M67" s="14" t="n">
        <v>0.3757431509124971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APSU @ VAN</t>
        </is>
      </c>
      <c r="C68" s="17" t="inlineStr">
        <is>
          <t>2026-09-05 23:00</t>
        </is>
      </c>
      <c r="D68" s="25" t="n">
        <v>1</v>
      </c>
      <c r="E68" s="17" t="inlineStr">
        <is>
          <t>ATS</t>
        </is>
      </c>
      <c r="F68" s="17" t="inlineStr">
        <is>
          <t>APSU +29.5</t>
        </is>
      </c>
      <c r="G68" s="26" t="n">
        <v>-29.5</v>
      </c>
      <c r="H68" s="18" t="n">
        <v>-122</v>
      </c>
      <c r="I68" s="20" t="n">
        <v>0.7543184976901424</v>
      </c>
      <c r="J68" s="20" t="n">
        <v>0.5260865852617197</v>
      </c>
      <c r="K68" s="20" t="n">
        <v>0.5495495495495496</v>
      </c>
      <c r="L68" s="19" t="n">
        <v>0.2047689481405928</v>
      </c>
      <c r="M68" s="19" t="n">
        <v>0.3726123482558329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APSU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MUR @ MTSU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MUR +20.5</t>
        </is>
      </c>
      <c r="G69" s="23" t="n">
        <v>-20.5</v>
      </c>
      <c r="H69" s="13" t="n">
        <v>102</v>
      </c>
      <c r="I69" s="15" t="n">
        <v>0.6988263398469667</v>
      </c>
      <c r="J69" s="15" t="n">
        <v>0.4739134147382802</v>
      </c>
      <c r="K69" s="15" t="n">
        <v>0.495049504950495</v>
      </c>
      <c r="L69" s="14" t="n">
        <v>0.2037768348964717</v>
      </c>
      <c r="M69" s="14" t="n">
        <v>0.4116292064908729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MUR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CHSO @ GASO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CHSO +25.5</t>
        </is>
      </c>
      <c r="G70" s="26" t="n">
        <v>-25.5</v>
      </c>
      <c r="H70" s="18" t="n">
        <v>-115</v>
      </c>
      <c r="I70" s="20" t="n">
        <v>0.7377122089848563</v>
      </c>
      <c r="J70" s="20" t="n">
        <v>0.5108342361863488</v>
      </c>
      <c r="K70" s="20" t="n">
        <v>0.5348837209302325</v>
      </c>
      <c r="L70" s="19" t="n">
        <v>0.2028284880546238</v>
      </c>
      <c r="M70" s="19" t="n">
        <v>0.3792010863629922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CHSO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WSU @ WASH</t>
        </is>
      </c>
      <c r="C71" s="12" t="inlineStr">
        <is>
          <t>2026-09-06 20:00</t>
        </is>
      </c>
      <c r="D71" s="22" t="n">
        <v>1</v>
      </c>
      <c r="E71" s="12" t="inlineStr">
        <is>
          <t>ATS</t>
        </is>
      </c>
      <c r="F71" s="12" t="inlineStr">
        <is>
          <t>WSU +23.5</t>
        </is>
      </c>
      <c r="G71" s="23" t="n">
        <v>-23.5</v>
      </c>
      <c r="H71" s="13" t="n">
        <v>-110</v>
      </c>
      <c r="I71" s="15" t="n">
        <v>0.7256640228750555</v>
      </c>
      <c r="J71" s="15" t="n">
        <v>0.5</v>
      </c>
      <c r="K71" s="15" t="n">
        <v>0.5238095238095238</v>
      </c>
      <c r="L71" s="14" t="n">
        <v>0.2018544990655317</v>
      </c>
      <c r="M71" s="14" t="n">
        <v>0.385358589125106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WIS @ ND</t>
        </is>
      </c>
      <c r="C72" s="17" t="inlineStr">
        <is>
          <t>2026-09-06 23:30</t>
        </is>
      </c>
      <c r="D72" s="25" t="n">
        <v>1</v>
      </c>
      <c r="E72" s="17" t="inlineStr">
        <is>
          <t>ATS</t>
        </is>
      </c>
      <c r="F72" s="17" t="inlineStr">
        <is>
          <t>WIS +20.5</t>
        </is>
      </c>
      <c r="G72" s="26" t="n">
        <v>-20.5</v>
      </c>
      <c r="H72" s="18" t="n">
        <v>-110</v>
      </c>
      <c r="I72" s="20" t="n">
        <v>0.725219828079319</v>
      </c>
      <c r="J72" s="20" t="n">
        <v>0.5</v>
      </c>
      <c r="K72" s="20" t="n">
        <v>0.5238095238095238</v>
      </c>
      <c r="L72" s="19" t="n">
        <v>0.2014103042697951</v>
      </c>
      <c r="M72" s="19" t="n">
        <v>0.3845105808786998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WES @ KENN</t>
        </is>
      </c>
      <c r="C73" s="12" t="inlineStr">
        <is>
          <t>2026-09-03 23:00</t>
        </is>
      </c>
      <c r="D73" s="22" t="n">
        <v>1</v>
      </c>
      <c r="E73" s="12" t="inlineStr">
        <is>
          <t>ATS</t>
        </is>
      </c>
      <c r="F73" s="12" t="inlineStr">
        <is>
          <t>WES +22.5</t>
        </is>
      </c>
      <c r="G73" s="23" t="n">
        <v>-22.5</v>
      </c>
      <c r="H73" s="13" t="n">
        <v>-108</v>
      </c>
      <c r="I73" s="15" t="n">
        <v>0.7201453818005099</v>
      </c>
      <c r="J73" s="15" t="n">
        <v>0.4956702459300312</v>
      </c>
      <c r="K73" s="15" t="n">
        <v>0.5192307692307693</v>
      </c>
      <c r="L73" s="14" t="n">
        <v>0.2009146125697406</v>
      </c>
      <c r="M73" s="14" t="n">
        <v>0.3869466612454265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WES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WIS @ ND</t>
        </is>
      </c>
      <c r="C74" s="17" t="inlineStr">
        <is>
          <t>2026-09-06 23:30</t>
        </is>
      </c>
      <c r="D74" s="25" t="n">
        <v>1</v>
      </c>
      <c r="E74" s="17" t="inlineStr">
        <is>
          <t>ML</t>
        </is>
      </c>
      <c r="F74" s="17" t="inlineStr">
        <is>
          <t>WIS ML</t>
        </is>
      </c>
      <c r="G74" s="26" t="n"/>
      <c r="H74" s="18" t="n">
        <v>950</v>
      </c>
      <c r="I74" s="20" t="n">
        <v>0.2958715596330275</v>
      </c>
      <c r="J74" s="20" t="n">
        <v>0.09174311926605505</v>
      </c>
      <c r="K74" s="20" t="n">
        <v>0.09523809523809523</v>
      </c>
      <c r="L74" s="19" t="n">
        <v>0.2006334643949322</v>
      </c>
      <c r="M74" s="19" t="n">
        <v>2.106651376146788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MRSH @ PSU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MRSH +24.5</t>
        </is>
      </c>
      <c r="G75" s="23" t="n">
        <v>-24.5</v>
      </c>
      <c r="H75" s="13" t="n">
        <v>-115</v>
      </c>
      <c r="I75" s="15" t="n">
        <v>0.7350985943088086</v>
      </c>
      <c r="J75" s="15" t="n">
        <v>0.5108342361863488</v>
      </c>
      <c r="K75" s="15" t="n">
        <v>0.5348837209302325</v>
      </c>
      <c r="L75" s="14" t="n">
        <v>0.2002148733785761</v>
      </c>
      <c r="M75" s="14" t="n">
        <v>0.37431476327299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+22.5</t>
        </is>
      </c>
      <c r="G76" s="26" t="n">
        <v>-22.5</v>
      </c>
      <c r="H76" s="18" t="n">
        <v>-110</v>
      </c>
      <c r="I76" s="20" t="n">
        <v>0.7223102588354944</v>
      </c>
      <c r="J76" s="20" t="n">
        <v>0.5</v>
      </c>
      <c r="K76" s="20" t="n">
        <v>0.5238095238095238</v>
      </c>
      <c r="L76" s="19" t="n">
        <v>0.1985007350259705</v>
      </c>
      <c r="M76" s="19" t="n">
        <v>0.3789559486859438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IDHO @ UTAH</t>
        </is>
      </c>
      <c r="C77" s="12" t="inlineStr">
        <is>
          <t>2026-09-04 01:00</t>
        </is>
      </c>
      <c r="D77" s="22" t="n">
        <v>1</v>
      </c>
      <c r="E77" s="12" t="inlineStr">
        <is>
          <t>ML</t>
        </is>
      </c>
      <c r="F77" s="12" t="inlineStr">
        <is>
          <t>IDHO ML</t>
        </is>
      </c>
      <c r="G77" s="23" t="n"/>
      <c r="H77" s="13" t="n">
        <v>5000</v>
      </c>
      <c r="I77" s="15" t="n">
        <v>0.2177253892731335</v>
      </c>
      <c r="J77" s="15" t="n">
        <v>0.01924962981481125</v>
      </c>
      <c r="K77" s="15" t="n">
        <v>0.0196078431372549</v>
      </c>
      <c r="L77" s="14" t="n">
        <v>0.1981175461358786</v>
      </c>
      <c r="M77" s="14" t="n">
        <v>10.10399485292981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IDHO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KENT @ SC</t>
        </is>
      </c>
      <c r="C78" s="17" t="inlineStr">
        <is>
          <t>2026-09-05 16:45</t>
        </is>
      </c>
      <c r="D78" s="25" t="n">
        <v>1</v>
      </c>
      <c r="E78" s="17" t="inlineStr">
        <is>
          <t>ML</t>
        </is>
      </c>
      <c r="F78" s="17" t="inlineStr">
        <is>
          <t>KENT ML</t>
        </is>
      </c>
      <c r="G78" s="26" t="n"/>
      <c r="H78" s="18" t="n">
        <v>5000</v>
      </c>
      <c r="I78" s="20" t="n">
        <v>0.2177253892731335</v>
      </c>
      <c r="J78" s="20" t="n">
        <v>0.01924962981481125</v>
      </c>
      <c r="K78" s="20" t="n">
        <v>0.0196078431372549</v>
      </c>
      <c r="L78" s="19" t="n">
        <v>0.1981175461358786</v>
      </c>
      <c r="M78" s="19" t="n">
        <v>10.10399485292981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price outside allowed range</t>
        </is>
      </c>
    </row>
    <row r="79">
      <c r="A79" s="12" t="inlineStr">
        <is>
          <t>PASS</t>
        </is>
      </c>
      <c r="B79" s="12" t="inlineStr">
        <is>
          <t>NIU @ IOWA</t>
        </is>
      </c>
      <c r="C79" s="12" t="inlineStr">
        <is>
          <t>2026-09-05 20:15</t>
        </is>
      </c>
      <c r="D79" s="22" t="n">
        <v>1</v>
      </c>
      <c r="E79" s="12" t="inlineStr">
        <is>
          <t>ML</t>
        </is>
      </c>
      <c r="F79" s="12" t="inlineStr">
        <is>
          <t>NIU ML</t>
        </is>
      </c>
      <c r="G79" s="23" t="n"/>
      <c r="H79" s="13" t="n">
        <v>5000</v>
      </c>
      <c r="I79" s="15" t="n">
        <v>0.2177253892731335</v>
      </c>
      <c r="J79" s="15" t="n">
        <v>0.01924962981481125</v>
      </c>
      <c r="K79" s="15" t="n">
        <v>0.0196078431372549</v>
      </c>
      <c r="L79" s="14" t="n">
        <v>0.1981175461358786</v>
      </c>
      <c r="M79" s="14" t="n">
        <v>10.10399485292981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price outside allowed range</t>
        </is>
      </c>
    </row>
    <row r="80">
      <c r="A80" s="17" t="inlineStr">
        <is>
          <t>PASS</t>
        </is>
      </c>
      <c r="B80" s="17" t="inlineStr">
        <is>
          <t>CCU @ WVU</t>
        </is>
      </c>
      <c r="C80" s="17" t="inlineStr">
        <is>
          <t>2026-09-05 16:00</t>
        </is>
      </c>
      <c r="D80" s="25" t="n">
        <v>1</v>
      </c>
      <c r="E80" s="17" t="inlineStr">
        <is>
          <t>ATS</t>
        </is>
      </c>
      <c r="F80" s="17" t="inlineStr">
        <is>
          <t>CCU +21</t>
        </is>
      </c>
      <c r="G80" s="26" t="n">
        <v>-21</v>
      </c>
      <c r="H80" s="18" t="n">
        <v>-108</v>
      </c>
      <c r="I80" s="20" t="n">
        <v>0.7159542590242947</v>
      </c>
      <c r="J80" s="20" t="n">
        <v>0.4956702459300312</v>
      </c>
      <c r="K80" s="20" t="n">
        <v>0.5192307692307693</v>
      </c>
      <c r="L80" s="19" t="n">
        <v>0.1967234897935254</v>
      </c>
      <c r="M80" s="19" t="n">
        <v>0.3738167981774138</v>
      </c>
      <c r="N80" s="20" t="n">
        <v>0.0134</v>
      </c>
      <c r="O80" s="27" t="n">
        <v>0.4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+22.5</t>
        </is>
      </c>
      <c r="G81" s="23" t="n">
        <v>-22.5</v>
      </c>
      <c r="H81" s="13" t="n">
        <v>-112</v>
      </c>
      <c r="I81" s="15" t="n">
        <v>0.7244751358704788</v>
      </c>
      <c r="J81" s="15" t="n">
        <v>0.5043297540699688</v>
      </c>
      <c r="K81" s="15" t="n">
        <v>0.5283018867924528</v>
      </c>
      <c r="L81" s="14" t="n">
        <v>0.196173249078026</v>
      </c>
      <c r="M81" s="14" t="n">
        <v>0.3713279357548349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DUQ @ AFA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DUQ ML</t>
        </is>
      </c>
      <c r="G82" s="26" t="n"/>
      <c r="H82" s="18" t="n">
        <v>4000</v>
      </c>
      <c r="I82" s="20" t="n">
        <v>0.220028577794136</v>
      </c>
      <c r="J82" s="20" t="n">
        <v>0.02385600685681634</v>
      </c>
      <c r="K82" s="20" t="n">
        <v>0.02439024390243903</v>
      </c>
      <c r="L82" s="19" t="n">
        <v>0.195638333891697</v>
      </c>
      <c r="M82" s="19" t="n">
        <v>8.021171689559575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DUQ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4000</v>
      </c>
      <c r="I83" s="15" t="n">
        <v>0.220028577794136</v>
      </c>
      <c r="J83" s="15" t="n">
        <v>0.02385600685681634</v>
      </c>
      <c r="K83" s="15" t="n">
        <v>0.02439024390243903</v>
      </c>
      <c r="L83" s="14" t="n">
        <v>0.195638333891697</v>
      </c>
      <c r="M83" s="14" t="n">
        <v>8.021171689559575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ORST @ HOU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ORST +20.5</t>
        </is>
      </c>
      <c r="G84" s="26" t="n">
        <v>-20.5</v>
      </c>
      <c r="H84" s="18" t="n">
        <v>-105</v>
      </c>
      <c r="I84" s="20" t="n">
        <v>0.7064525143846523</v>
      </c>
      <c r="J84" s="20" t="n">
        <v>0.4891657638136511</v>
      </c>
      <c r="K84" s="20" t="n">
        <v>0.5121951219512195</v>
      </c>
      <c r="L84" s="19" t="n">
        <v>0.1942573924334328</v>
      </c>
      <c r="M84" s="19" t="n">
        <v>0.3792644328462259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MRMK @ DEL</t>
        </is>
      </c>
      <c r="C85" s="12" t="inlineStr">
        <is>
          <t>2026-09-03 23:00</t>
        </is>
      </c>
      <c r="D85" s="22" t="n">
        <v>1</v>
      </c>
      <c r="E85" s="12" t="inlineStr">
        <is>
          <t>ML</t>
        </is>
      </c>
      <c r="F85" s="12" t="inlineStr">
        <is>
          <t>MRMK ML</t>
        </is>
      </c>
      <c r="G85" s="23" t="n"/>
      <c r="H85" s="13" t="n">
        <v>3500</v>
      </c>
      <c r="I85" s="15" t="n">
        <v>0.2216798204135592</v>
      </c>
      <c r="J85" s="15" t="n">
        <v>0.02715849209566274</v>
      </c>
      <c r="K85" s="15" t="n">
        <v>0.02777777777777778</v>
      </c>
      <c r="L85" s="14" t="n">
        <v>0.1939020426357814</v>
      </c>
      <c r="M85" s="14" t="n">
        <v>6.98047353488813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MRMK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SEMO @ ISU</t>
        </is>
      </c>
      <c r="C86" s="17" t="inlineStr">
        <is>
          <t>2026-09-05 17:00</t>
        </is>
      </c>
      <c r="D86" s="25" t="n">
        <v>1</v>
      </c>
      <c r="E86" s="17" t="inlineStr">
        <is>
          <t>ML</t>
        </is>
      </c>
      <c r="F86" s="17" t="inlineStr">
        <is>
          <t>SEMO ML</t>
        </is>
      </c>
      <c r="G86" s="26" t="n"/>
      <c r="H86" s="18" t="n">
        <v>3500</v>
      </c>
      <c r="I86" s="20" t="n">
        <v>0.2216798204135592</v>
      </c>
      <c r="J86" s="20" t="n">
        <v>0.02715849209566274</v>
      </c>
      <c r="K86" s="20" t="n">
        <v>0.02777777777777778</v>
      </c>
      <c r="L86" s="19" t="n">
        <v>0.1939020426357814</v>
      </c>
      <c r="M86" s="19" t="n">
        <v>6.98047353488813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SEMO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EKU @ JVST</t>
        </is>
      </c>
      <c r="C87" s="12" t="inlineStr">
        <is>
          <t>2026-09-05 23:00</t>
        </is>
      </c>
      <c r="D87" s="22" t="n">
        <v>1</v>
      </c>
      <c r="E87" s="12" t="inlineStr">
        <is>
          <t>ATS</t>
        </is>
      </c>
      <c r="F87" s="12" t="inlineStr">
        <is>
          <t>EKU +20.5</t>
        </is>
      </c>
      <c r="G87" s="23" t="n">
        <v>-20.5</v>
      </c>
      <c r="H87" s="13" t="n">
        <v>-108</v>
      </c>
      <c r="I87" s="15" t="n">
        <v>0.7126680776601138</v>
      </c>
      <c r="J87" s="15" t="n">
        <v>0.4956702459300312</v>
      </c>
      <c r="K87" s="15" t="n">
        <v>0.5192307692307693</v>
      </c>
      <c r="L87" s="14" t="n">
        <v>0.1934373084293445</v>
      </c>
      <c r="M87" s="14" t="n">
        <v>0.3725459273454044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EKU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OKST @ TLSA</t>
        </is>
      </c>
      <c r="C88" s="17" t="inlineStr">
        <is>
          <t>2026-09-05 19:45</t>
        </is>
      </c>
      <c r="D88" s="25" t="n">
        <v>1</v>
      </c>
      <c r="E88" s="17" t="inlineStr">
        <is>
          <t>ML</t>
        </is>
      </c>
      <c r="F88" s="17" t="inlineStr">
        <is>
          <t>TLSA ML</t>
        </is>
      </c>
      <c r="G88" s="26" t="n"/>
      <c r="H88" s="18" t="n">
        <v>425</v>
      </c>
      <c r="I88" s="20" t="n">
        <v>0.3832699840099068</v>
      </c>
      <c r="J88" s="20" t="n">
        <v>0.182741116751269</v>
      </c>
      <c r="K88" s="20" t="n">
        <v>0.1904761904761905</v>
      </c>
      <c r="L88" s="19" t="n">
        <v>0.1927937935337163</v>
      </c>
      <c r="M88" s="19" t="n">
        <v>1.01216741605201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OKST @ TLSA</t>
        </is>
      </c>
      <c r="C89" s="12" t="inlineStr">
        <is>
          <t>2026-09-05 19:45</t>
        </is>
      </c>
      <c r="D89" s="22" t="n">
        <v>1</v>
      </c>
      <c r="E89" s="12" t="inlineStr">
        <is>
          <t>ATS</t>
        </is>
      </c>
      <c r="F89" s="12" t="inlineStr">
        <is>
          <t>TLSA +13.5</t>
        </is>
      </c>
      <c r="G89" s="23" t="n">
        <v>13.5</v>
      </c>
      <c r="H89" s="13" t="n">
        <v>-102</v>
      </c>
      <c r="I89" s="15" t="n">
        <v>0.6942870246256034</v>
      </c>
      <c r="J89" s="15" t="n">
        <v>0.4826358742837298</v>
      </c>
      <c r="K89" s="15" t="n">
        <v>0.504950495049505</v>
      </c>
      <c r="L89" s="14" t="n">
        <v>0.1893365295760985</v>
      </c>
      <c r="M89" s="14" t="n">
        <v>0.3749605781801166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FRES @ USC</t>
        </is>
      </c>
      <c r="C90" s="17" t="inlineStr">
        <is>
          <t>2026-09-05 01:00</t>
        </is>
      </c>
      <c r="D90" s="25" t="n">
        <v>1</v>
      </c>
      <c r="E90" s="17" t="inlineStr">
        <is>
          <t>ATS</t>
        </is>
      </c>
      <c r="F90" s="17" t="inlineStr">
        <is>
          <t>FRES +22.5</t>
        </is>
      </c>
      <c r="G90" s="26" t="n">
        <v>-22.5</v>
      </c>
      <c r="H90" s="18" t="n">
        <v>-118</v>
      </c>
      <c r="I90" s="20" t="n">
        <v>0.7305690342115905</v>
      </c>
      <c r="J90" s="20" t="n">
        <v>0.5173641257162701</v>
      </c>
      <c r="K90" s="20" t="n">
        <v>0.5412844036697247</v>
      </c>
      <c r="L90" s="19" t="n">
        <v>0.1892846305418657</v>
      </c>
      <c r="M90" s="19" t="n">
        <v>0.3496953343909044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TXST @ TEX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TXST ML</t>
        </is>
      </c>
      <c r="G91" s="23" t="n"/>
      <c r="H91" s="13" t="n">
        <v>2500</v>
      </c>
      <c r="I91" s="15" t="n">
        <v>0.2268171519058347</v>
      </c>
      <c r="J91" s="15" t="n">
        <v>0.0374331550802139</v>
      </c>
      <c r="K91" s="15" t="n">
        <v>0.03846153846153846</v>
      </c>
      <c r="L91" s="14" t="n">
        <v>0.1883556134442963</v>
      </c>
      <c r="M91" s="14" t="n">
        <v>4.897245949551704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price outside allowed range</t>
        </is>
      </c>
    </row>
    <row r="92">
      <c r="A92" s="17" t="inlineStr">
        <is>
          <t>PASS</t>
        </is>
      </c>
      <c r="B92" s="17" t="inlineStr">
        <is>
          <t>RGV @ UTSA</t>
        </is>
      </c>
      <c r="C92" s="17" t="inlineStr">
        <is>
          <t>2026-09-05 19:30</t>
        </is>
      </c>
      <c r="D92" s="25" t="n">
        <v>1</v>
      </c>
      <c r="E92" s="17" t="inlineStr">
        <is>
          <t>ML</t>
        </is>
      </c>
      <c r="F92" s="17" t="inlineStr">
        <is>
          <t>RGV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RGV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ISU @ IOWA</t>
        </is>
      </c>
      <c r="C93" s="12" t="inlineStr">
        <is>
          <t>2026-09-12 23:30</t>
        </is>
      </c>
      <c r="D93" s="22" t="n">
        <v>2</v>
      </c>
      <c r="E93" s="12" t="inlineStr">
        <is>
          <t>TOTAL</t>
        </is>
      </c>
      <c r="F93" s="12" t="inlineStr">
        <is>
          <t>Over 41.5</t>
        </is>
      </c>
      <c r="G93" s="23" t="n">
        <v>41.5</v>
      </c>
      <c r="H93" s="13" t="n">
        <v>-108</v>
      </c>
      <c r="I93" s="15" t="n">
        <v>0.7075004819638273</v>
      </c>
      <c r="J93" s="15" t="n">
        <v>0.4956702459300312</v>
      </c>
      <c r="K93" s="15" t="n">
        <v>0.5192307692307693</v>
      </c>
      <c r="L93" s="14" t="n">
        <v>0.188269712733058</v>
      </c>
      <c r="M93" s="14" t="n">
        <v>0.362593520819223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MERC @ NMSU</t>
        </is>
      </c>
      <c r="C94" s="17" t="inlineStr">
        <is>
          <t>2026-09-06 01:00</t>
        </is>
      </c>
      <c r="D94" s="25" t="n">
        <v>1</v>
      </c>
      <c r="E94" s="17" t="inlineStr">
        <is>
          <t>ML</t>
        </is>
      </c>
      <c r="F94" s="17" t="inlineStr">
        <is>
          <t>MERC ML</t>
        </is>
      </c>
      <c r="G94" s="26" t="n"/>
      <c r="H94" s="18" t="n">
        <v>2200</v>
      </c>
      <c r="I94" s="20" t="n">
        <v>0.2314420648323368</v>
      </c>
      <c r="J94" s="20" t="n">
        <v>0.04216553878188443</v>
      </c>
      <c r="K94" s="20" t="n">
        <v>0.04347826086956522</v>
      </c>
      <c r="L94" s="19" t="n">
        <v>0.1879638039627715</v>
      </c>
      <c r="M94" s="19" t="n">
        <v>4.323167491143746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MERC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LAM @ UL</t>
        </is>
      </c>
      <c r="C95" s="12" t="inlineStr">
        <is>
          <t>2026-09-06 00:00</t>
        </is>
      </c>
      <c r="D95" s="22" t="n">
        <v>1</v>
      </c>
      <c r="E95" s="12" t="inlineStr">
        <is>
          <t>ATS</t>
        </is>
      </c>
      <c r="F95" s="12" t="inlineStr">
        <is>
          <t>LAM +20.5</t>
        </is>
      </c>
      <c r="G95" s="23" t="n">
        <v>-20.5</v>
      </c>
      <c r="H95" s="13" t="n">
        <v>-112</v>
      </c>
      <c r="I95" s="15" t="n">
        <v>0.7140345095128111</v>
      </c>
      <c r="J95" s="15" t="n">
        <v>0.5043297540699688</v>
      </c>
      <c r="K95" s="15" t="n">
        <v>0.5283018867924528</v>
      </c>
      <c r="L95" s="14" t="n">
        <v>0.1857326227203583</v>
      </c>
      <c r="M95" s="14" t="n">
        <v>0.3515653215778209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LAM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NCAT @ GAST</t>
        </is>
      </c>
      <c r="C96" s="17" t="inlineStr">
        <is>
          <t>2026-09-04 23:00</t>
        </is>
      </c>
      <c r="D96" s="25" t="n">
        <v>1</v>
      </c>
      <c r="E96" s="17" t="inlineStr">
        <is>
          <t>ML</t>
        </is>
      </c>
      <c r="F96" s="17" t="inlineStr">
        <is>
          <t>NCAT ML</t>
        </is>
      </c>
      <c r="G96" s="26" t="n"/>
      <c r="H96" s="18" t="n">
        <v>2200</v>
      </c>
      <c r="I96" s="20" t="n">
        <v>0.2291833437566699</v>
      </c>
      <c r="J96" s="20" t="n">
        <v>0.04216553878188443</v>
      </c>
      <c r="K96" s="20" t="n">
        <v>0.04347826086956522</v>
      </c>
      <c r="L96" s="19" t="n">
        <v>0.1857050828871047</v>
      </c>
      <c r="M96" s="19" t="n">
        <v>4.271216906403408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NCAT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ECU @ ALA</t>
        </is>
      </c>
      <c r="C97" s="12" t="inlineStr">
        <is>
          <t>2026-09-05 16:00</t>
        </is>
      </c>
      <c r="D97" s="22" t="n">
        <v>1</v>
      </c>
      <c r="E97" s="12" t="inlineStr">
        <is>
          <t>ML</t>
        </is>
      </c>
      <c r="F97" s="12" t="inlineStr">
        <is>
          <t>ECU ML</t>
        </is>
      </c>
      <c r="G97" s="23" t="n"/>
      <c r="H97" s="13" t="n">
        <v>2200</v>
      </c>
      <c r="I97" s="15" t="n">
        <v>0.2291833437566699</v>
      </c>
      <c r="J97" s="15" t="n">
        <v>0.04216553878188443</v>
      </c>
      <c r="K97" s="15" t="n">
        <v>0.04347826086956522</v>
      </c>
      <c r="L97" s="14" t="n">
        <v>0.1857050828871047</v>
      </c>
      <c r="M97" s="14" t="n">
        <v>4.271216906403408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NAU @ ARIZ</t>
        </is>
      </c>
      <c r="C98" s="17" t="inlineStr">
        <is>
          <t>2026-09-06 01:30</t>
        </is>
      </c>
      <c r="D98" s="25" t="n">
        <v>1</v>
      </c>
      <c r="E98" s="17" t="inlineStr">
        <is>
          <t>ML</t>
        </is>
      </c>
      <c r="F98" s="17" t="inlineStr">
        <is>
          <t>NAU ML</t>
        </is>
      </c>
      <c r="G98" s="26" t="n"/>
      <c r="H98" s="18" t="n">
        <v>2200</v>
      </c>
      <c r="I98" s="20" t="n">
        <v>0.2291833437566699</v>
      </c>
      <c r="J98" s="20" t="n">
        <v>0.04216553878188443</v>
      </c>
      <c r="K98" s="20" t="n">
        <v>0.04347826086956522</v>
      </c>
      <c r="L98" s="19" t="n">
        <v>0.1857050828871047</v>
      </c>
      <c r="M98" s="19" t="n">
        <v>4.271216906403408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NAU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LAF @ CONN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LAF +19.5</t>
        </is>
      </c>
      <c r="G99" s="23" t="n">
        <v>-19.5</v>
      </c>
      <c r="H99" s="13" t="n">
        <v>-108</v>
      </c>
      <c r="I99" s="15" t="n">
        <v>0.7044928062322919</v>
      </c>
      <c r="J99" s="15" t="n">
        <v>0.4956702459300312</v>
      </c>
      <c r="K99" s="15" t="n">
        <v>0.5192307692307693</v>
      </c>
      <c r="L99" s="14" t="n">
        <v>0.1852620370015227</v>
      </c>
      <c r="M99" s="14" t="n">
        <v>0.3568009601510809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LAF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ME @ APP</t>
        </is>
      </c>
      <c r="C100" s="17" t="inlineStr">
        <is>
          <t>2026-09-05 19:30</t>
        </is>
      </c>
      <c r="D100" s="25" t="n">
        <v>1</v>
      </c>
      <c r="E100" s="17" t="inlineStr">
        <is>
          <t>ATS</t>
        </is>
      </c>
      <c r="F100" s="17" t="inlineStr">
        <is>
          <t>ME +19.5</t>
        </is>
      </c>
      <c r="G100" s="26" t="n">
        <v>-19.5</v>
      </c>
      <c r="H100" s="18" t="n">
        <v>-108</v>
      </c>
      <c r="I100" s="20" t="n">
        <v>0.7044928062322919</v>
      </c>
      <c r="J100" s="20" t="n">
        <v>0.4956702459300312</v>
      </c>
      <c r="K100" s="20" t="n">
        <v>0.5192307692307693</v>
      </c>
      <c r="L100" s="19" t="n">
        <v>0.1852620370015227</v>
      </c>
      <c r="M100" s="19" t="n">
        <v>0.3568009601510809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ME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MASS @ RUTG</t>
        </is>
      </c>
      <c r="C101" s="12" t="inlineStr">
        <is>
          <t>2026-09-03 22:00</t>
        </is>
      </c>
      <c r="D101" s="22" t="n">
        <v>1</v>
      </c>
      <c r="E101" s="12" t="inlineStr">
        <is>
          <t>ML</t>
        </is>
      </c>
      <c r="F101" s="12" t="inlineStr">
        <is>
          <t>MASS ML</t>
        </is>
      </c>
      <c r="G101" s="23" t="n"/>
      <c r="H101" s="13" t="n">
        <v>2000</v>
      </c>
      <c r="I101" s="15" t="n">
        <v>0.2311613710114301</v>
      </c>
      <c r="J101" s="15" t="n">
        <v>0.0461215932914046</v>
      </c>
      <c r="K101" s="15" t="n">
        <v>0.04761904761904762</v>
      </c>
      <c r="L101" s="14" t="n">
        <v>0.1835423233923825</v>
      </c>
      <c r="M101" s="14" t="n">
        <v>3.854388791240032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WMU @ MICH</t>
        </is>
      </c>
      <c r="C102" s="17" t="inlineStr">
        <is>
          <t>2026-09-05 23:30</t>
        </is>
      </c>
      <c r="D102" s="25" t="n">
        <v>1</v>
      </c>
      <c r="E102" s="17" t="inlineStr">
        <is>
          <t>ML</t>
        </is>
      </c>
      <c r="F102" s="17" t="inlineStr">
        <is>
          <t>WMU ML</t>
        </is>
      </c>
      <c r="G102" s="26" t="n"/>
      <c r="H102" s="18" t="n">
        <v>2000</v>
      </c>
      <c r="I102" s="20" t="n">
        <v>0.2311613710114301</v>
      </c>
      <c r="J102" s="20" t="n">
        <v>0.0461215932914046</v>
      </c>
      <c r="K102" s="20" t="n">
        <v>0.04761904761904762</v>
      </c>
      <c r="L102" s="19" t="n">
        <v>0.1835423233923825</v>
      </c>
      <c r="M102" s="19" t="n">
        <v>3.854388791240032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+20.5</t>
        </is>
      </c>
      <c r="G103" s="23" t="n">
        <v>-20.5</v>
      </c>
      <c r="H103" s="13" t="n">
        <v>-115</v>
      </c>
      <c r="I103" s="15" t="n">
        <v>0.7172867505710011</v>
      </c>
      <c r="J103" s="15" t="n">
        <v>0.5108342361863488</v>
      </c>
      <c r="K103" s="15" t="n">
        <v>0.5348837209302325</v>
      </c>
      <c r="L103" s="14" t="n">
        <v>0.1824030296407686</v>
      </c>
      <c r="M103" s="14" t="n">
        <v>0.3410143597631758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UAB @ ILL</t>
        </is>
      </c>
      <c r="C104" s="17" t="inlineStr">
        <is>
          <t>2026-09-04 01:00</t>
        </is>
      </c>
      <c r="D104" s="25" t="n">
        <v>1</v>
      </c>
      <c r="E104" s="17" t="inlineStr">
        <is>
          <t>ML</t>
        </is>
      </c>
      <c r="F104" s="17" t="inlineStr">
        <is>
          <t>UAB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APSU @ VAN</t>
        </is>
      </c>
      <c r="C105" s="12" t="inlineStr">
        <is>
          <t>2026-09-05 23:00</t>
        </is>
      </c>
      <c r="D105" s="22" t="n">
        <v>1</v>
      </c>
      <c r="E105" s="12" t="inlineStr">
        <is>
          <t>ML</t>
        </is>
      </c>
      <c r="F105" s="12" t="inlineStr">
        <is>
          <t>APSU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APSU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ALCN @ USM</t>
        </is>
      </c>
      <c r="C107" s="12" t="inlineStr">
        <is>
          <t>2026-09-05 21:00</t>
        </is>
      </c>
      <c r="D107" s="22" t="n">
        <v>1</v>
      </c>
      <c r="E107" s="12" t="inlineStr">
        <is>
          <t>ATS</t>
        </is>
      </c>
      <c r="F107" s="12" t="inlineStr">
        <is>
          <t>ALCN +20.5</t>
        </is>
      </c>
      <c r="G107" s="23" t="n">
        <v>-20.5</v>
      </c>
      <c r="H107" s="13" t="n">
        <v>-118</v>
      </c>
      <c r="I107" s="15" t="n">
        <v>0.7205516953359618</v>
      </c>
      <c r="J107" s="15" t="n">
        <v>0.5173641257162701</v>
      </c>
      <c r="K107" s="15" t="n">
        <v>0.5412844036697247</v>
      </c>
      <c r="L107" s="14" t="n">
        <v>0.179267291666237</v>
      </c>
      <c r="M107" s="14" t="n">
        <v>0.3311887252816921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ALCN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WES @ KENN</t>
        </is>
      </c>
      <c r="C108" s="17" t="inlineStr">
        <is>
          <t>2026-09-03 23:00</t>
        </is>
      </c>
      <c r="D108" s="25" t="n">
        <v>1</v>
      </c>
      <c r="E108" s="17" t="inlineStr">
        <is>
          <t>ML</t>
        </is>
      </c>
      <c r="F108" s="17" t="inlineStr">
        <is>
          <t>WES ML</t>
        </is>
      </c>
      <c r="G108" s="26" t="n"/>
      <c r="H108" s="18" t="n">
        <v>1600</v>
      </c>
      <c r="I108" s="20" t="n">
        <v>0.2365333066819553</v>
      </c>
      <c r="J108" s="20" t="n">
        <v>0.05686546463245493</v>
      </c>
      <c r="K108" s="20" t="n">
        <v>0.05882352941176471</v>
      </c>
      <c r="L108" s="19" t="n">
        <v>0.1777097772701905</v>
      </c>
      <c r="M108" s="19" t="n">
        <v>3.021066213593239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WES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ULM @ MSST</t>
        </is>
      </c>
      <c r="C109" s="12" t="inlineStr">
        <is>
          <t>2026-09-05 23:30</t>
        </is>
      </c>
      <c r="D109" s="22" t="n">
        <v>1</v>
      </c>
      <c r="E109" s="12" t="inlineStr">
        <is>
          <t>ML</t>
        </is>
      </c>
      <c r="F109" s="12" t="inlineStr">
        <is>
          <t>ULM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YSU @ UK</t>
        </is>
      </c>
      <c r="C110" s="17" t="inlineStr">
        <is>
          <t>2026-09-05 17:00</t>
        </is>
      </c>
      <c r="D110" s="25" t="n">
        <v>1</v>
      </c>
      <c r="E110" s="17" t="inlineStr">
        <is>
          <t>ML</t>
        </is>
      </c>
      <c r="F110" s="17" t="inlineStr">
        <is>
          <t>YSU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YSU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FAU @ FLA</t>
        </is>
      </c>
      <c r="C111" s="12" t="inlineStr">
        <is>
          <t>2026-09-05 23:45</t>
        </is>
      </c>
      <c r="D111" s="22" t="n">
        <v>1</v>
      </c>
      <c r="E111" s="12" t="inlineStr">
        <is>
          <t>ML</t>
        </is>
      </c>
      <c r="F111" s="12" t="inlineStr">
        <is>
          <t>FAU ML</t>
        </is>
      </c>
      <c r="G111" s="23" t="n"/>
      <c r="H111" s="13" t="n">
        <v>1500</v>
      </c>
      <c r="I111" s="15" t="n">
        <v>0.2382800197164618</v>
      </c>
      <c r="J111" s="15" t="n">
        <v>0.06035889070146819</v>
      </c>
      <c r="K111" s="15" t="n">
        <v>0.0625</v>
      </c>
      <c r="L111" s="14" t="n">
        <v>0.1757800197164618</v>
      </c>
      <c r="M111" s="14" t="n">
        <v>2.81248031546339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ALB @ BUFF</t>
        </is>
      </c>
      <c r="C112" s="17" t="inlineStr">
        <is>
          <t>2026-09-03 23:00</t>
        </is>
      </c>
      <c r="D112" s="25" t="n">
        <v>1</v>
      </c>
      <c r="E112" s="17" t="inlineStr">
        <is>
          <t>ATS</t>
        </is>
      </c>
      <c r="F112" s="17" t="inlineStr">
        <is>
          <t>ALB +18.5</t>
        </is>
      </c>
      <c r="G112" s="26" t="n">
        <v>-18.5</v>
      </c>
      <c r="H112" s="18" t="n">
        <v>-112</v>
      </c>
      <c r="I112" s="20" t="n">
        <v>0.7036788451190259</v>
      </c>
      <c r="J112" s="20" t="n">
        <v>0.5043297540699688</v>
      </c>
      <c r="K112" s="20" t="n">
        <v>0.5283018867924528</v>
      </c>
      <c r="L112" s="19" t="n">
        <v>0.1753769583265731</v>
      </c>
      <c r="M112" s="19" t="n">
        <v>0.3319635282610133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ALB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AKR @ WAKE</t>
        </is>
      </c>
      <c r="C113" s="12" t="inlineStr">
        <is>
          <t>2026-09-03 23:00</t>
        </is>
      </c>
      <c r="D113" s="22" t="n">
        <v>1</v>
      </c>
      <c r="E113" s="12" t="inlineStr">
        <is>
          <t>ML</t>
        </is>
      </c>
      <c r="F113" s="12" t="inlineStr">
        <is>
          <t>AKR ML</t>
        </is>
      </c>
      <c r="G113" s="23" t="n"/>
      <c r="H113" s="13" t="n">
        <v>1400</v>
      </c>
      <c r="I113" s="15" t="n">
        <v>0.2402643170557862</v>
      </c>
      <c r="J113" s="15" t="n">
        <v>0.06432748538011696</v>
      </c>
      <c r="K113" s="15" t="n">
        <v>0.06666666666666667</v>
      </c>
      <c r="L113" s="14" t="n">
        <v>0.1735976503891196</v>
      </c>
      <c r="M113" s="14" t="n">
        <v>2.603964755836793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EKU @ JVST</t>
        </is>
      </c>
      <c r="C114" s="17" t="inlineStr">
        <is>
          <t>2026-09-05 23:00</t>
        </is>
      </c>
      <c r="D114" s="25" t="n">
        <v>1</v>
      </c>
      <c r="E114" s="17" t="inlineStr">
        <is>
          <t>ML</t>
        </is>
      </c>
      <c r="F114" s="17" t="inlineStr">
        <is>
          <t>EKU ML</t>
        </is>
      </c>
      <c r="G114" s="26" t="n"/>
      <c r="H114" s="18" t="n">
        <v>1100</v>
      </c>
      <c r="I114" s="20" t="n">
        <v>0.2563149919988137</v>
      </c>
      <c r="J114" s="20" t="n">
        <v>0.08029197080291971</v>
      </c>
      <c r="K114" s="20" t="n">
        <v>0.08333333333333333</v>
      </c>
      <c r="L114" s="19" t="n">
        <v>0.1729816586654804</v>
      </c>
      <c r="M114" s="19" t="n">
        <v>2.075779903985764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EKU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SHSU @ TROY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SHSU +16.5</t>
        </is>
      </c>
      <c r="G115" s="23" t="n">
        <v>-16.5</v>
      </c>
      <c r="H115" s="13" t="n">
        <v>-102</v>
      </c>
      <c r="I115" s="15" t="n">
        <v>0.6763723301000999</v>
      </c>
      <c r="J115" s="15" t="n">
        <v>0.4826358742837298</v>
      </c>
      <c r="K115" s="15" t="n">
        <v>0.504950495049505</v>
      </c>
      <c r="L115" s="14" t="n">
        <v>0.1714218350505949</v>
      </c>
      <c r="M115" s="14" t="n">
        <v>0.3394824576492175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OHIO @ NEB</t>
        </is>
      </c>
      <c r="C116" s="17" t="inlineStr">
        <is>
          <t>2026-09-05 16:00</t>
        </is>
      </c>
      <c r="D116" s="25" t="n">
        <v>1</v>
      </c>
      <c r="E116" s="17" t="inlineStr">
        <is>
          <t>ML</t>
        </is>
      </c>
      <c r="F116" s="17" t="inlineStr">
        <is>
          <t>OHIO ML</t>
        </is>
      </c>
      <c r="G116" s="26" t="n"/>
      <c r="H116" s="18" t="n">
        <v>1300</v>
      </c>
      <c r="I116" s="20" t="n">
        <v>0.242542379591381</v>
      </c>
      <c r="J116" s="20" t="n">
        <v>0.06888361045130641</v>
      </c>
      <c r="K116" s="20" t="n">
        <v>0.07142857142857142</v>
      </c>
      <c r="L116" s="19" t="n">
        <v>0.1711138081628096</v>
      </c>
      <c r="M116" s="19" t="n">
        <v>2.395593314279334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MRSH @ PSU</t>
        </is>
      </c>
      <c r="C117" s="12" t="inlineStr">
        <is>
          <t>2026-09-05 19:30</t>
        </is>
      </c>
      <c r="D117" s="22" t="n">
        <v>1</v>
      </c>
      <c r="E117" s="12" t="inlineStr">
        <is>
          <t>ML</t>
        </is>
      </c>
      <c r="F117" s="12" t="inlineStr">
        <is>
          <t>MRSH ML</t>
        </is>
      </c>
      <c r="G117" s="23" t="n"/>
      <c r="H117" s="13" t="n">
        <v>1300</v>
      </c>
      <c r="I117" s="15" t="n">
        <v>0.242542379591381</v>
      </c>
      <c r="J117" s="15" t="n">
        <v>0.06888361045130641</v>
      </c>
      <c r="K117" s="15" t="n">
        <v>0.07142857142857142</v>
      </c>
      <c r="L117" s="14" t="n">
        <v>0.1711138081628096</v>
      </c>
      <c r="M117" s="14" t="n">
        <v>2.395593314279334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BOIS @ ORE</t>
        </is>
      </c>
      <c r="C118" s="17" t="inlineStr">
        <is>
          <t>2026-09-05 19:30</t>
        </is>
      </c>
      <c r="D118" s="25" t="n">
        <v>1</v>
      </c>
      <c r="E118" s="17" t="inlineStr">
        <is>
          <t>ML</t>
        </is>
      </c>
      <c r="F118" s="17" t="inlineStr">
        <is>
          <t>BOIS ML</t>
        </is>
      </c>
      <c r="G118" s="26" t="n"/>
      <c r="H118" s="18" t="n">
        <v>1200</v>
      </c>
      <c r="I118" s="20" t="n">
        <v>0.2451925624962916</v>
      </c>
      <c r="J118" s="20" t="n">
        <v>0.0741839762611276</v>
      </c>
      <c r="K118" s="20" t="n">
        <v>0.07692307692307693</v>
      </c>
      <c r="L118" s="19" t="n">
        <v>0.1682694855732147</v>
      </c>
      <c r="M118" s="19" t="n">
        <v>2.187503312451791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WSU @ WASH</t>
        </is>
      </c>
      <c r="C119" s="12" t="inlineStr">
        <is>
          <t>2026-09-06 20:00</t>
        </is>
      </c>
      <c r="D119" s="22" t="n">
        <v>1</v>
      </c>
      <c r="E119" s="12" t="inlineStr">
        <is>
          <t>ML</t>
        </is>
      </c>
      <c r="F119" s="12" t="inlineStr">
        <is>
          <t>WSU ML</t>
        </is>
      </c>
      <c r="G119" s="23" t="n"/>
      <c r="H119" s="13" t="n">
        <v>1200</v>
      </c>
      <c r="I119" s="15" t="n">
        <v>0.2451925624962916</v>
      </c>
      <c r="J119" s="15" t="n">
        <v>0.0741839762611276</v>
      </c>
      <c r="K119" s="15" t="n">
        <v>0.07692307692307693</v>
      </c>
      <c r="L119" s="14" t="n">
        <v>0.1682694855732147</v>
      </c>
      <c r="M119" s="14" t="n">
        <v>2.187503312451791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M-OH @ PITT</t>
        </is>
      </c>
      <c r="C120" s="17" t="inlineStr">
        <is>
          <t>2026-09-05 16:30</t>
        </is>
      </c>
      <c r="D120" s="25" t="n">
        <v>1</v>
      </c>
      <c r="E120" s="17" t="inlineStr">
        <is>
          <t>ATS</t>
        </is>
      </c>
      <c r="F120" s="17" t="inlineStr">
        <is>
          <t>M-OH +16.5</t>
        </is>
      </c>
      <c r="G120" s="26" t="n">
        <v>-16.5</v>
      </c>
      <c r="H120" s="18" t="n">
        <v>-105</v>
      </c>
      <c r="I120" s="20" t="n">
        <v>0.6796372748650605</v>
      </c>
      <c r="J120" s="20" t="n">
        <v>0.4891657638136511</v>
      </c>
      <c r="K120" s="20" t="n">
        <v>0.5121951219512195</v>
      </c>
      <c r="L120" s="19" t="n">
        <v>0.167442152913841</v>
      </c>
      <c r="M120" s="19" t="n">
        <v>0.3269108699746419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HCU @ RICE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HCU ML</t>
        </is>
      </c>
      <c r="G121" s="23" t="n"/>
      <c r="H121" s="13" t="n">
        <v>1100</v>
      </c>
      <c r="I121" s="15" t="n">
        <v>0.2482465597671876</v>
      </c>
      <c r="J121" s="15" t="n">
        <v>0.08029197080291971</v>
      </c>
      <c r="K121" s="15" t="n">
        <v>0.08333333333333333</v>
      </c>
      <c r="L121" s="14" t="n">
        <v>0.1649132264338543</v>
      </c>
      <c r="M121" s="14" t="n">
        <v>1.978958717206251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HCU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MUR @ MTSU</t>
        </is>
      </c>
      <c r="C122" s="17" t="inlineStr">
        <is>
          <t>2026-09-05 23:00</t>
        </is>
      </c>
      <c r="D122" s="25" t="n">
        <v>1</v>
      </c>
      <c r="E122" s="17" t="inlineStr">
        <is>
          <t>ML</t>
        </is>
      </c>
      <c r="F122" s="17" t="inlineStr">
        <is>
          <t>MUR ML</t>
        </is>
      </c>
      <c r="G122" s="26" t="n"/>
      <c r="H122" s="18" t="n">
        <v>1100</v>
      </c>
      <c r="I122" s="20" t="n">
        <v>0.2482465597671876</v>
      </c>
      <c r="J122" s="20" t="n">
        <v>0.08029197080291971</v>
      </c>
      <c r="K122" s="20" t="n">
        <v>0.08333333333333333</v>
      </c>
      <c r="L122" s="19" t="n">
        <v>0.1649132264338543</v>
      </c>
      <c r="M122" s="19" t="n">
        <v>1.978958717206251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MUR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FRES @ USC</t>
        </is>
      </c>
      <c r="C123" s="12" t="inlineStr">
        <is>
          <t>2026-09-05 01:00</t>
        </is>
      </c>
      <c r="D123" s="22" t="n">
        <v>1</v>
      </c>
      <c r="E123" s="12" t="inlineStr">
        <is>
          <t>ML</t>
        </is>
      </c>
      <c r="F123" s="12" t="inlineStr">
        <is>
          <t>FRES ML</t>
        </is>
      </c>
      <c r="G123" s="23" t="n"/>
      <c r="H123" s="13" t="n">
        <v>1100</v>
      </c>
      <c r="I123" s="15" t="n">
        <v>0.2468374718825848</v>
      </c>
      <c r="J123" s="15" t="n">
        <v>0.08029197080291971</v>
      </c>
      <c r="K123" s="15" t="n">
        <v>0.08333333333333333</v>
      </c>
      <c r="L123" s="14" t="n">
        <v>0.1635041385492514</v>
      </c>
      <c r="M123" s="14" t="n">
        <v>1.962049662591017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ORST @ HOU</t>
        </is>
      </c>
      <c r="C124" s="17" t="inlineStr">
        <is>
          <t>2026-09-05 16:00</t>
        </is>
      </c>
      <c r="D124" s="25" t="n">
        <v>1</v>
      </c>
      <c r="E124" s="17" t="inlineStr">
        <is>
          <t>ML</t>
        </is>
      </c>
      <c r="F124" s="17" t="inlineStr">
        <is>
          <t>ORST ML</t>
        </is>
      </c>
      <c r="G124" s="26" t="n"/>
      <c r="H124" s="18" t="n">
        <v>950</v>
      </c>
      <c r="I124" s="20" t="n">
        <v>0.2539721339987553</v>
      </c>
      <c r="J124" s="20" t="n">
        <v>0.09174311926605505</v>
      </c>
      <c r="K124" s="20" t="n">
        <v>0.09523809523809523</v>
      </c>
      <c r="L124" s="19" t="n">
        <v>0.1587340387606601</v>
      </c>
      <c r="M124" s="19" t="n">
        <v>1.666707406986931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price outside allowed range</t>
        </is>
      </c>
    </row>
    <row r="125">
      <c r="A125" s="12" t="inlineStr">
        <is>
          <t>PASS</t>
        </is>
      </c>
      <c r="B125" s="12" t="inlineStr">
        <is>
          <t>CCU @ WVU</t>
        </is>
      </c>
      <c r="C125" s="12" t="inlineStr">
        <is>
          <t>2026-09-05 16:00</t>
        </is>
      </c>
      <c r="D125" s="22" t="n">
        <v>1</v>
      </c>
      <c r="E125" s="12" t="inlineStr">
        <is>
          <t>ML</t>
        </is>
      </c>
      <c r="F125" s="12" t="inlineStr">
        <is>
          <t>CCU ML</t>
        </is>
      </c>
      <c r="G125" s="23" t="n"/>
      <c r="H125" s="13" t="n">
        <v>950</v>
      </c>
      <c r="I125" s="15" t="n">
        <v>0.2539721339987553</v>
      </c>
      <c r="J125" s="15" t="n">
        <v>0.09174311926605505</v>
      </c>
      <c r="K125" s="15" t="n">
        <v>0.09523809523809523</v>
      </c>
      <c r="L125" s="14" t="n">
        <v>0.1587340387606601</v>
      </c>
      <c r="M125" s="14" t="n">
        <v>1.666707406986931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CIT @ CLT</t>
        </is>
      </c>
      <c r="C126" s="17" t="inlineStr">
        <is>
          <t>2026-09-05 19:30</t>
        </is>
      </c>
      <c r="D126" s="25" t="n">
        <v>1</v>
      </c>
      <c r="E126" s="17" t="inlineStr">
        <is>
          <t>ML</t>
        </is>
      </c>
      <c r="F126" s="17" t="inlineStr">
        <is>
          <t>CIT ML</t>
        </is>
      </c>
      <c r="G126" s="26" t="n"/>
      <c r="H126" s="18" t="n">
        <v>950</v>
      </c>
      <c r="I126" s="20" t="n">
        <v>0.2539721339987553</v>
      </c>
      <c r="J126" s="20" t="n">
        <v>0.09174311926605505</v>
      </c>
      <c r="K126" s="20" t="n">
        <v>0.09523809523809523</v>
      </c>
      <c r="L126" s="19" t="n">
        <v>0.1587340387606601</v>
      </c>
      <c r="M126" s="19" t="n">
        <v>1.666707406986931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CIT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URI @ TEM</t>
        </is>
      </c>
      <c r="C127" s="12" t="inlineStr">
        <is>
          <t>2026-09-05 18:00</t>
        </is>
      </c>
      <c r="D127" s="22" t="n">
        <v>1</v>
      </c>
      <c r="E127" s="12" t="inlineStr">
        <is>
          <t>ATS</t>
        </is>
      </c>
      <c r="F127" s="12" t="inlineStr">
        <is>
          <t>URI +14.5</t>
        </is>
      </c>
      <c r="G127" s="23" t="n">
        <v>-14.5</v>
      </c>
      <c r="H127" s="13" t="n">
        <v>-102</v>
      </c>
      <c r="I127" s="15" t="n">
        <v>0.6621118568649886</v>
      </c>
      <c r="J127" s="15" t="n">
        <v>0.4826358742837298</v>
      </c>
      <c r="K127" s="15" t="n">
        <v>0.504950495049505</v>
      </c>
      <c r="L127" s="14" t="n">
        <v>0.1571613618154837</v>
      </c>
      <c r="M127" s="14" t="n">
        <v>0.3112411283012521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URI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NIU @ IOWA</t>
        </is>
      </c>
      <c r="C128" s="17" t="inlineStr">
        <is>
          <t>2026-09-05 20:15</t>
        </is>
      </c>
      <c r="D128" s="25" t="n">
        <v>1</v>
      </c>
      <c r="E128" s="17" t="inlineStr">
        <is>
          <t>TOTAL</t>
        </is>
      </c>
      <c r="F128" s="17" t="inlineStr">
        <is>
          <t>Over 44.5</t>
        </is>
      </c>
      <c r="G128" s="26" t="n">
        <v>44.5</v>
      </c>
      <c r="H128" s="18" t="n">
        <v>-110</v>
      </c>
      <c r="I128" s="20" t="n">
        <v>0.678895374987328</v>
      </c>
      <c r="J128" s="20" t="n">
        <v>0.5</v>
      </c>
      <c r="K128" s="20" t="n">
        <v>0.5238095238095238</v>
      </c>
      <c r="L128" s="19" t="n">
        <v>0.1550858511778042</v>
      </c>
      <c r="M128" s="19" t="n">
        <v>0.2960729886121717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800</v>
      </c>
      <c r="I129" s="15" t="n">
        <v>0.2614093978951395</v>
      </c>
      <c r="J129" s="15" t="n">
        <v>0.1066176470588235</v>
      </c>
      <c r="K129" s="15" t="n">
        <v>0.1111111111111111</v>
      </c>
      <c r="L129" s="14" t="n">
        <v>0.1502982867840284</v>
      </c>
      <c r="M129" s="14" t="n">
        <v>1.352684581056256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FIU @ USF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FIU +14</t>
        </is>
      </c>
      <c r="G130" s="26" t="n">
        <v>-14</v>
      </c>
      <c r="H130" s="18" t="n">
        <v>-108</v>
      </c>
      <c r="I130" s="20" t="n">
        <v>0.6662692340906191</v>
      </c>
      <c r="J130" s="20" t="n">
        <v>0.4956702459300312</v>
      </c>
      <c r="K130" s="20" t="n">
        <v>0.5192307692307693</v>
      </c>
      <c r="L130" s="19" t="n">
        <v>0.1470384648598498</v>
      </c>
      <c r="M130" s="19" t="n">
        <v>0.2749922709994763</v>
      </c>
      <c r="N130" s="20" t="n">
        <v>0.0289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ASU @ TA&amp;M</t>
        </is>
      </c>
      <c r="C131" s="12" t="inlineStr">
        <is>
          <t>2026-09-12 16:00</t>
        </is>
      </c>
      <c r="D131" s="22" t="n">
        <v>2</v>
      </c>
      <c r="E131" s="12" t="inlineStr">
        <is>
          <t>ATS</t>
        </is>
      </c>
      <c r="F131" s="12" t="inlineStr">
        <is>
          <t>ASU +14.5</t>
        </is>
      </c>
      <c r="G131" s="23" t="n">
        <v>-14.5</v>
      </c>
      <c r="H131" s="13" t="n">
        <v>-110</v>
      </c>
      <c r="I131" s="15" t="n">
        <v>0.6707939197231236</v>
      </c>
      <c r="J131" s="15" t="n">
        <v>0.5</v>
      </c>
      <c r="K131" s="15" t="n">
        <v>0.5238095238095238</v>
      </c>
      <c r="L131" s="14" t="n">
        <v>0.1469843959135998</v>
      </c>
      <c r="M131" s="14" t="n">
        <v>0.2806065740168724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ALB @ BUFF</t>
        </is>
      </c>
      <c r="C132" s="17" t="inlineStr">
        <is>
          <t>2026-09-03 23:00</t>
        </is>
      </c>
      <c r="D132" s="25" t="n">
        <v>1</v>
      </c>
      <c r="E132" s="17" t="inlineStr">
        <is>
          <t>ML</t>
        </is>
      </c>
      <c r="F132" s="17" t="inlineStr">
        <is>
          <t>ALB ML</t>
        </is>
      </c>
      <c r="G132" s="26" t="n"/>
      <c r="H132" s="18" t="n">
        <v>750</v>
      </c>
      <c r="I132" s="20" t="n">
        <v>0.2646223134961625</v>
      </c>
      <c r="J132" s="20" t="n">
        <v>0.1130434782608696</v>
      </c>
      <c r="K132" s="20" t="n">
        <v>0.1176470588235294</v>
      </c>
      <c r="L132" s="19" t="n">
        <v>0.1469752546726331</v>
      </c>
      <c r="M132" s="19" t="n">
        <v>1.249289664717381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ALB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ALCN @ USM</t>
        </is>
      </c>
      <c r="C133" s="12" t="inlineStr">
        <is>
          <t>2026-09-05 21:00</t>
        </is>
      </c>
      <c r="D133" s="22" t="n">
        <v>1</v>
      </c>
      <c r="E133" s="12" t="inlineStr">
        <is>
          <t>ML</t>
        </is>
      </c>
      <c r="F133" s="12" t="inlineStr">
        <is>
          <t>ALCN ML</t>
        </is>
      </c>
      <c r="G133" s="23" t="n"/>
      <c r="H133" s="13" t="n">
        <v>750</v>
      </c>
      <c r="I133" s="15" t="n">
        <v>0.2646223134961625</v>
      </c>
      <c r="J133" s="15" t="n">
        <v>0.1130434782608696</v>
      </c>
      <c r="K133" s="15" t="n">
        <v>0.1176470588235294</v>
      </c>
      <c r="L133" s="14" t="n">
        <v>0.1469752546726331</v>
      </c>
      <c r="M133" s="14" t="n">
        <v>1.249289664717381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ALCN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LAM @ UL</t>
        </is>
      </c>
      <c r="C134" s="17" t="inlineStr">
        <is>
          <t>2026-09-06 00:00</t>
        </is>
      </c>
      <c r="D134" s="25" t="n">
        <v>1</v>
      </c>
      <c r="E134" s="17" t="inlineStr">
        <is>
          <t>ML</t>
        </is>
      </c>
      <c r="F134" s="17" t="inlineStr">
        <is>
          <t>LAM ML</t>
        </is>
      </c>
      <c r="G134" s="26" t="n"/>
      <c r="H134" s="18" t="n">
        <v>750</v>
      </c>
      <c r="I134" s="20" t="n">
        <v>0.2646223134961625</v>
      </c>
      <c r="J134" s="20" t="n">
        <v>0.1130434782608696</v>
      </c>
      <c r="K134" s="20" t="n">
        <v>0.1176470588235294</v>
      </c>
      <c r="L134" s="19" t="n">
        <v>0.1469752546726331</v>
      </c>
      <c r="M134" s="19" t="n">
        <v>1.249289664717381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LAM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CIT @ CLT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-108</v>
      </c>
      <c r="I135" s="15" t="n">
        <v>0.6661140163513347</v>
      </c>
      <c r="J135" s="15" t="n">
        <v>0.4956702459300312</v>
      </c>
      <c r="K135" s="15" t="n">
        <v>0.5192307692307693</v>
      </c>
      <c r="L135" s="14" t="n">
        <v>0.1468832471205654</v>
      </c>
      <c r="M135" s="14" t="n">
        <v>0.2828862537136817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CIT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ME @ APP</t>
        </is>
      </c>
      <c r="C136" s="17" t="inlineStr">
        <is>
          <t>2026-09-05 19:30</t>
        </is>
      </c>
      <c r="D136" s="25" t="n">
        <v>1</v>
      </c>
      <c r="E136" s="17" t="inlineStr">
        <is>
          <t>ML</t>
        </is>
      </c>
      <c r="F136" s="17" t="inlineStr">
        <is>
          <t>ME ML</t>
        </is>
      </c>
      <c r="G136" s="26" t="n"/>
      <c r="H136" s="18" t="n">
        <v>700</v>
      </c>
      <c r="I136" s="20" t="n">
        <v>0.2681005743657277</v>
      </c>
      <c r="J136" s="20" t="n">
        <v>0.12</v>
      </c>
      <c r="K136" s="20" t="n">
        <v>0.125</v>
      </c>
      <c r="L136" s="19" t="n">
        <v>0.1431005743657277</v>
      </c>
      <c r="M136" s="19" t="n">
        <v>1.144804594925821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ME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OHIO @ NEB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-110</v>
      </c>
      <c r="I137" s="15" t="n">
        <v>0.6645222534352979</v>
      </c>
      <c r="J137" s="15" t="n">
        <v>0.5</v>
      </c>
      <c r="K137" s="15" t="n">
        <v>0.5238095238095238</v>
      </c>
      <c r="L137" s="14" t="n">
        <v>0.1407127296257741</v>
      </c>
      <c r="M137" s="14" t="n">
        <v>0.2686333929219324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+13.5</t>
        </is>
      </c>
      <c r="G138" s="26" t="n">
        <v>-13.5</v>
      </c>
      <c r="H138" s="18" t="n">
        <v>-105</v>
      </c>
      <c r="I138" s="20" t="n">
        <v>0.6509111430679857</v>
      </c>
      <c r="J138" s="20" t="n">
        <v>0.4891657638136511</v>
      </c>
      <c r="K138" s="20" t="n">
        <v>0.5121951219512195</v>
      </c>
      <c r="L138" s="19" t="n">
        <v>0.1387160211167662</v>
      </c>
      <c r="M138" s="19" t="n">
        <v>0.2708265174184482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HCU @ RICE</t>
        </is>
      </c>
      <c r="C139" s="12" t="inlineStr">
        <is>
          <t>2026-09-05 23:00</t>
        </is>
      </c>
      <c r="D139" s="22" t="n">
        <v>1</v>
      </c>
      <c r="E139" s="12" t="inlineStr">
        <is>
          <t>TOTAL</t>
        </is>
      </c>
      <c r="F139" s="12" t="inlineStr">
        <is>
          <t>Over 47.5</t>
        </is>
      </c>
      <c r="G139" s="23" t="n">
        <v>47.5</v>
      </c>
      <c r="H139" s="13" t="n">
        <v>-108</v>
      </c>
      <c r="I139" s="15" t="n">
        <v>0.6571795203535904</v>
      </c>
      <c r="J139" s="15" t="n">
        <v>0.4956702459300312</v>
      </c>
      <c r="K139" s="15" t="n">
        <v>0.5192307692307693</v>
      </c>
      <c r="L139" s="14" t="n">
        <v>0.1379487511228211</v>
      </c>
      <c r="M139" s="14" t="n">
        <v>0.2656790762365445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HCU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SDST @ NU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46.5</t>
        </is>
      </c>
      <c r="G140" s="26" t="n">
        <v>46.5</v>
      </c>
      <c r="H140" s="18" t="n">
        <v>-110</v>
      </c>
      <c r="I140" s="20" t="n">
        <v>0.6606569254202036</v>
      </c>
      <c r="J140" s="20" t="n">
        <v>0.5</v>
      </c>
      <c r="K140" s="20" t="n">
        <v>0.5238095238095238</v>
      </c>
      <c r="L140" s="19" t="n">
        <v>0.1368474016106798</v>
      </c>
      <c r="M140" s="19" t="n">
        <v>0.2612541303476614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SDST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FUR @ TENN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Under 66.5</t>
        </is>
      </c>
      <c r="G141" s="23" t="n">
        <v>66.5</v>
      </c>
      <c r="H141" s="13" t="n">
        <v>-108</v>
      </c>
      <c r="I141" s="15" t="n">
        <v>0.6558549828723687</v>
      </c>
      <c r="J141" s="15" t="n">
        <v>0.4956702459300312</v>
      </c>
      <c r="K141" s="15" t="n">
        <v>0.5192307692307693</v>
      </c>
      <c r="L141" s="14" t="n">
        <v>0.1366242136415994</v>
      </c>
      <c r="M141" s="14" t="n">
        <v>0.263128115161599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FUR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IDST @ USU</t>
        </is>
      </c>
      <c r="C142" s="17" t="inlineStr">
        <is>
          <t>2026-09-05 23:00</t>
        </is>
      </c>
      <c r="D142" s="25" t="n">
        <v>1</v>
      </c>
      <c r="E142" s="17" t="inlineStr">
        <is>
          <t>ATS</t>
        </is>
      </c>
      <c r="F142" s="17" t="inlineStr">
        <is>
          <t>IDST +13.5</t>
        </is>
      </c>
      <c r="G142" s="26" t="n">
        <v>-13.5</v>
      </c>
      <c r="H142" s="18" t="n">
        <v>-110</v>
      </c>
      <c r="I142" s="20" t="n">
        <v>0.6563282611611601</v>
      </c>
      <c r="J142" s="20" t="n">
        <v>0.5</v>
      </c>
      <c r="K142" s="20" t="n">
        <v>0.5238095238095238</v>
      </c>
      <c r="L142" s="19" t="n">
        <v>0.1325187373516362</v>
      </c>
      <c r="M142" s="19" t="n">
        <v>0.2529903167622147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IDST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CMU @ UNM</t>
        </is>
      </c>
      <c r="C143" s="12" t="inlineStr">
        <is>
          <t>2026-09-06 02:00</t>
        </is>
      </c>
      <c r="D143" s="22" t="n">
        <v>1</v>
      </c>
      <c r="E143" s="12" t="inlineStr">
        <is>
          <t>TOTAL</t>
        </is>
      </c>
      <c r="F143" s="12" t="inlineStr">
        <is>
          <t>Over 46.5</t>
        </is>
      </c>
      <c r="G143" s="23" t="n">
        <v>46.5</v>
      </c>
      <c r="H143" s="13" t="n">
        <v>-110</v>
      </c>
      <c r="I143" s="15" t="n">
        <v>0.6553348680813179</v>
      </c>
      <c r="J143" s="15" t="n">
        <v>0.5</v>
      </c>
      <c r="K143" s="15" t="n">
        <v>0.5238095238095238</v>
      </c>
      <c r="L143" s="14" t="n">
        <v>0.1315253442717941</v>
      </c>
      <c r="M143" s="14" t="n">
        <v>0.2510938390643342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TOL @ MSU</t>
        </is>
      </c>
      <c r="C144" s="17" t="inlineStr">
        <is>
          <t>2026-09-05 00:00</t>
        </is>
      </c>
      <c r="D144" s="25" t="n">
        <v>1</v>
      </c>
      <c r="E144" s="17" t="inlineStr">
        <is>
          <t>TOTAL</t>
        </is>
      </c>
      <c r="F144" s="17" t="inlineStr">
        <is>
          <t>Over 46.5</t>
        </is>
      </c>
      <c r="G144" s="26" t="n">
        <v>46.5</v>
      </c>
      <c r="H144" s="18" t="n">
        <v>-115</v>
      </c>
      <c r="I144" s="20" t="n">
        <v>0.6660740435133781</v>
      </c>
      <c r="J144" s="20" t="n">
        <v>0.5108342361863488</v>
      </c>
      <c r="K144" s="20" t="n">
        <v>0.5348837209302325</v>
      </c>
      <c r="L144" s="19" t="n">
        <v>0.1311903225831456</v>
      </c>
      <c r="M144" s="19" t="n">
        <v>0.2452688639597936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raw model/market disagreement exceeds the safety limit</t>
        </is>
      </c>
    </row>
    <row r="145">
      <c r="A145" s="12" t="inlineStr">
        <is>
          <t>PASS</t>
        </is>
      </c>
      <c r="B145" s="12" t="inlineStr">
        <is>
          <t>MIZ @ KU</t>
        </is>
      </c>
      <c r="C145" s="12" t="inlineStr">
        <is>
          <t>2026-09-12 00:00</t>
        </is>
      </c>
      <c r="D145" s="22" t="n">
        <v>2</v>
      </c>
      <c r="E145" s="12" t="inlineStr">
        <is>
          <t>ATS</t>
        </is>
      </c>
      <c r="F145" s="12" t="inlineStr">
        <is>
          <t>KU +7</t>
        </is>
      </c>
      <c r="G145" s="23" t="n">
        <v>7</v>
      </c>
      <c r="H145" s="13" t="n">
        <v>-108</v>
      </c>
      <c r="I145" s="15" t="n">
        <v>0.6479025365144176</v>
      </c>
      <c r="J145" s="15" t="n">
        <v>0.4956702459300312</v>
      </c>
      <c r="K145" s="15" t="n">
        <v>0.5192307692307693</v>
      </c>
      <c r="L145" s="14" t="n">
        <v>0.1286717672836484</v>
      </c>
      <c r="M145" s="14" t="n">
        <v>0.2384330867707378</v>
      </c>
      <c r="N145" s="15" t="n">
        <v>0.0378</v>
      </c>
      <c r="O145" s="24" t="n">
        <v>0.4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OU @ MICH</t>
        </is>
      </c>
      <c r="C146" s="17" t="inlineStr">
        <is>
          <t>2026-09-12 16:00</t>
        </is>
      </c>
      <c r="D146" s="25" t="n">
        <v>2</v>
      </c>
      <c r="E146" s="17" t="inlineStr">
        <is>
          <t>TOTAL</t>
        </is>
      </c>
      <c r="F146" s="17" t="inlineStr">
        <is>
          <t>Over 46.5</t>
        </is>
      </c>
      <c r="G146" s="26" t="n">
        <v>46.5</v>
      </c>
      <c r="H146" s="18" t="n">
        <v>-112</v>
      </c>
      <c r="I146" s="20" t="n">
        <v>0.6561393390456414</v>
      </c>
      <c r="J146" s="20" t="n">
        <v>0.5043297540699688</v>
      </c>
      <c r="K146" s="20" t="n">
        <v>0.5283018867924528</v>
      </c>
      <c r="L146" s="19" t="n">
        <v>0.1278374522531885</v>
      </c>
      <c r="M146" s="19" t="n">
        <v>0.2419780346221069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raw model/market disagreement exceeds the safety limit</t>
        </is>
      </c>
    </row>
    <row r="147">
      <c r="A147" s="12" t="inlineStr">
        <is>
          <t>PASS</t>
        </is>
      </c>
      <c r="B147" s="12" t="inlineStr">
        <is>
          <t>WYO @ CSU</t>
        </is>
      </c>
      <c r="C147" s="12" t="inlineStr">
        <is>
          <t>2026-09-05 22:00</t>
        </is>
      </c>
      <c r="D147" s="22" t="n">
        <v>1</v>
      </c>
      <c r="E147" s="12" t="inlineStr">
        <is>
          <t>TOTAL</t>
        </is>
      </c>
      <c r="F147" s="12" t="inlineStr">
        <is>
          <t>Over 46.5</t>
        </is>
      </c>
      <c r="G147" s="23" t="n">
        <v>46.5</v>
      </c>
      <c r="H147" s="13" t="n">
        <v>-110</v>
      </c>
      <c r="I147" s="15" t="n">
        <v>0.6512179933156599</v>
      </c>
      <c r="J147" s="15" t="n">
        <v>0.5</v>
      </c>
      <c r="K147" s="15" t="n">
        <v>0.5238095238095238</v>
      </c>
      <c r="L147" s="14" t="n">
        <v>0.127408469506136</v>
      </c>
      <c r="M147" s="14" t="n">
        <v>0.2432343508753507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SELA @ USA</t>
        </is>
      </c>
      <c r="C148" s="17" t="inlineStr">
        <is>
          <t>2026-09-05 23:00</t>
        </is>
      </c>
      <c r="D148" s="25" t="n">
        <v>1</v>
      </c>
      <c r="E148" s="17" t="inlineStr">
        <is>
          <t>ATS</t>
        </is>
      </c>
      <c r="F148" s="17" t="inlineStr">
        <is>
          <t>SELA +12.5</t>
        </is>
      </c>
      <c r="G148" s="26" t="n">
        <v>-12.5</v>
      </c>
      <c r="H148" s="18" t="n">
        <v>-108</v>
      </c>
      <c r="I148" s="20" t="n">
        <v>0.6450200516693515</v>
      </c>
      <c r="J148" s="20" t="n">
        <v>0.4956702459300312</v>
      </c>
      <c r="K148" s="20" t="n">
        <v>0.5192307692307693</v>
      </c>
      <c r="L148" s="19" t="n">
        <v>0.1257892824385822</v>
      </c>
      <c r="M148" s="19" t="n">
        <v>0.2422608402520845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SELA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URI @ TEM</t>
        </is>
      </c>
      <c r="C149" s="12" t="inlineStr">
        <is>
          <t>2026-09-05 18:00</t>
        </is>
      </c>
      <c r="D149" s="22" t="n">
        <v>1</v>
      </c>
      <c r="E149" s="12" t="inlineStr">
        <is>
          <t>ML</t>
        </is>
      </c>
      <c r="F149" s="12" t="inlineStr">
        <is>
          <t>URI ML</t>
        </is>
      </c>
      <c r="G149" s="23" t="n"/>
      <c r="H149" s="13" t="n">
        <v>525</v>
      </c>
      <c r="I149" s="15" t="n">
        <v>0.284850010031642</v>
      </c>
      <c r="J149" s="15" t="n">
        <v>0.1534988713318285</v>
      </c>
      <c r="K149" s="15" t="n">
        <v>0.16</v>
      </c>
      <c r="L149" s="14" t="n">
        <v>0.124850010031642</v>
      </c>
      <c r="M149" s="14" t="n">
        <v>0.7803125626977625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URI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LAM @ UL</t>
        </is>
      </c>
      <c r="C150" s="17" t="inlineStr">
        <is>
          <t>2026-09-06 00:00</t>
        </is>
      </c>
      <c r="D150" s="25" t="n">
        <v>1</v>
      </c>
      <c r="E150" s="17" t="inlineStr">
        <is>
          <t>TOTAL</t>
        </is>
      </c>
      <c r="F150" s="17" t="inlineStr">
        <is>
          <t>Over 48.5</t>
        </is>
      </c>
      <c r="G150" s="26" t="n">
        <v>48.5</v>
      </c>
      <c r="H150" s="18" t="n">
        <v>-110</v>
      </c>
      <c r="I150" s="20" t="n">
        <v>0.6469947020934557</v>
      </c>
      <c r="J150" s="20" t="n">
        <v>0.5</v>
      </c>
      <c r="K150" s="20" t="n">
        <v>0.5238095238095238</v>
      </c>
      <c r="L150" s="19" t="n">
        <v>0.1231851782839318</v>
      </c>
      <c r="M150" s="19" t="n">
        <v>0.2351717039965973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LAM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SDST @ NU</t>
        </is>
      </c>
      <c r="C151" s="12" t="inlineStr">
        <is>
          <t>2026-09-06 00:00</t>
        </is>
      </c>
      <c r="D151" s="22" t="n">
        <v>1</v>
      </c>
      <c r="E151" s="12" t="inlineStr">
        <is>
          <t>ML</t>
        </is>
      </c>
      <c r="F151" s="12" t="inlineStr">
        <is>
          <t>SDST ML</t>
        </is>
      </c>
      <c r="G151" s="23" t="n"/>
      <c r="H151" s="13" t="n">
        <v>470</v>
      </c>
      <c r="I151" s="15" t="n">
        <v>0.2922756585408119</v>
      </c>
      <c r="J151" s="15" t="n">
        <v>0.1683501683501683</v>
      </c>
      <c r="K151" s="15" t="n">
        <v>0.1754385964912281</v>
      </c>
      <c r="L151" s="14" t="n">
        <v>0.1168370620495839</v>
      </c>
      <c r="M151" s="14" t="n">
        <v>0.6659712536826281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SDST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ALB @ BUFF</t>
        </is>
      </c>
      <c r="C152" s="17" t="inlineStr">
        <is>
          <t>2026-09-03 23:00</t>
        </is>
      </c>
      <c r="D152" s="25" t="n">
        <v>1</v>
      </c>
      <c r="E152" s="17" t="inlineStr">
        <is>
          <t>TOTAL</t>
        </is>
      </c>
      <c r="F152" s="17" t="inlineStr">
        <is>
          <t>Over 48.5</t>
        </is>
      </c>
      <c r="G152" s="26" t="n">
        <v>48.5</v>
      </c>
      <c r="H152" s="18" t="n">
        <v>-110</v>
      </c>
      <c r="I152" s="20" t="n">
        <v>0.6397226417532974</v>
      </c>
      <c r="J152" s="20" t="n">
        <v>0.5</v>
      </c>
      <c r="K152" s="20" t="n">
        <v>0.5238095238095238</v>
      </c>
      <c r="L152" s="19" t="n">
        <v>0.1159131179437736</v>
      </c>
      <c r="M152" s="19" t="n">
        <v>0.2212886797108405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ALB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ISU @ IOWA</t>
        </is>
      </c>
      <c r="C153" s="12" t="inlineStr">
        <is>
          <t>2026-09-12 23:30</t>
        </is>
      </c>
      <c r="D153" s="22" t="n">
        <v>2</v>
      </c>
      <c r="E153" s="12" t="inlineStr">
        <is>
          <t>ATS</t>
        </is>
      </c>
      <c r="F153" s="12" t="inlineStr">
        <is>
          <t>ISU +11.5</t>
        </is>
      </c>
      <c r="G153" s="23" t="n">
        <v>-11.5</v>
      </c>
      <c r="H153" s="13" t="n">
        <v>-110</v>
      </c>
      <c r="I153" s="15" t="n">
        <v>0.6385274243154286</v>
      </c>
      <c r="J153" s="15" t="n">
        <v>0.5</v>
      </c>
      <c r="K153" s="15" t="n">
        <v>0.5238095238095238</v>
      </c>
      <c r="L153" s="14" t="n">
        <v>0.1147179005059048</v>
      </c>
      <c r="M153" s="14" t="n">
        <v>0.2190069009658183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M-OH @ PITT</t>
        </is>
      </c>
      <c r="C154" s="17" t="inlineStr">
        <is>
          <t>2026-09-05 16:30</t>
        </is>
      </c>
      <c r="D154" s="25" t="n">
        <v>1</v>
      </c>
      <c r="E154" s="17" t="inlineStr">
        <is>
          <t>TOTAL</t>
        </is>
      </c>
      <c r="F154" s="17" t="inlineStr">
        <is>
          <t>Over 48.5</t>
        </is>
      </c>
      <c r="G154" s="26" t="n">
        <v>48.5</v>
      </c>
      <c r="H154" s="18" t="n">
        <v>-108</v>
      </c>
      <c r="I154" s="20" t="n">
        <v>0.6330569336191896</v>
      </c>
      <c r="J154" s="20" t="n">
        <v>0.4956702459300312</v>
      </c>
      <c r="K154" s="20" t="n">
        <v>0.5192307692307693</v>
      </c>
      <c r="L154" s="19" t="n">
        <v>0.1138261643884203</v>
      </c>
      <c r="M154" s="19" t="n">
        <v>0.2192207610443652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TAR @ BGSU</t>
        </is>
      </c>
      <c r="C155" s="12" t="inlineStr">
        <is>
          <t>2026-09-05 16:00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-112</v>
      </c>
      <c r="I155" s="15" t="n">
        <v>0.6403985886477987</v>
      </c>
      <c r="J155" s="15" t="n">
        <v>0.5043297540699688</v>
      </c>
      <c r="K155" s="15" t="n">
        <v>0.5283018867924528</v>
      </c>
      <c r="L155" s="14" t="n">
        <v>0.1120967018553459</v>
      </c>
      <c r="M155" s="14" t="n">
        <v>0.212183042797619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TAR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SELA @ USA</t>
        </is>
      </c>
      <c r="C156" s="17" t="inlineStr">
        <is>
          <t>2026-09-05 23:00</t>
        </is>
      </c>
      <c r="D156" s="25" t="n">
        <v>1</v>
      </c>
      <c r="E156" s="17" t="inlineStr">
        <is>
          <t>ML</t>
        </is>
      </c>
      <c r="F156" s="17" t="inlineStr">
        <is>
          <t>SELA ML</t>
        </is>
      </c>
      <c r="G156" s="26" t="n"/>
      <c r="H156" s="18" t="n">
        <v>440</v>
      </c>
      <c r="I156" s="20" t="n">
        <v>0.2969330616753725</v>
      </c>
      <c r="J156" s="20" t="n">
        <v>0.1776649746192893</v>
      </c>
      <c r="K156" s="20" t="n">
        <v>0.1851851851851852</v>
      </c>
      <c r="L156" s="19" t="n">
        <v>0.1117478764901873</v>
      </c>
      <c r="M156" s="19" t="n">
        <v>0.6034385330470116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SELA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IDST @ USU</t>
        </is>
      </c>
      <c r="C157" s="12" t="inlineStr">
        <is>
          <t>2026-09-05 23:00</t>
        </is>
      </c>
      <c r="D157" s="22" t="n">
        <v>1</v>
      </c>
      <c r="E157" s="12" t="inlineStr">
        <is>
          <t>ML</t>
        </is>
      </c>
      <c r="F157" s="12" t="inlineStr">
        <is>
          <t>IDST ML</t>
        </is>
      </c>
      <c r="G157" s="23" t="n"/>
      <c r="H157" s="13" t="n">
        <v>400</v>
      </c>
      <c r="I157" s="15" t="n">
        <v>0.3040220245167852</v>
      </c>
      <c r="J157" s="15" t="n">
        <v>0.1918429003021148</v>
      </c>
      <c r="K157" s="15" t="n">
        <v>0.2</v>
      </c>
      <c r="L157" s="14" t="n">
        <v>0.1040220245167852</v>
      </c>
      <c r="M157" s="14" t="n">
        <v>0.5201101225839259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IDST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CLEM @ LSU</t>
        </is>
      </c>
      <c r="C158" s="17" t="inlineStr">
        <is>
          <t>2026-09-05 23:30</t>
        </is>
      </c>
      <c r="D158" s="25" t="n">
        <v>1</v>
      </c>
      <c r="E158" s="17" t="inlineStr">
        <is>
          <t>ATS</t>
        </is>
      </c>
      <c r="F158" s="17" t="inlineStr">
        <is>
          <t>CLEM +10</t>
        </is>
      </c>
      <c r="G158" s="26" t="n">
        <v>-10</v>
      </c>
      <c r="H158" s="18" t="n">
        <v>-110</v>
      </c>
      <c r="I158" s="20" t="n">
        <v>0.622304849764809</v>
      </c>
      <c r="J158" s="20" t="n">
        <v>0.5</v>
      </c>
      <c r="K158" s="20" t="n">
        <v>0.5238095238095238</v>
      </c>
      <c r="L158" s="19" t="n">
        <v>0.09849532595528521</v>
      </c>
      <c r="M158" s="19" t="n">
        <v>0.1815044117706418</v>
      </c>
      <c r="N158" s="20" t="n">
        <v>0.0347</v>
      </c>
      <c r="O158" s="27" t="n">
        <v>0.4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BAY @ AUB</t>
        </is>
      </c>
      <c r="C159" s="12" t="inlineStr">
        <is>
          <t>2026-09-05 19:30</t>
        </is>
      </c>
      <c r="D159" s="22" t="n">
        <v>1</v>
      </c>
      <c r="E159" s="12" t="inlineStr">
        <is>
          <t>ML</t>
        </is>
      </c>
      <c r="F159" s="12" t="inlineStr">
        <is>
          <t>BAY ML</t>
        </is>
      </c>
      <c r="G159" s="23" t="n"/>
      <c r="H159" s="13" t="n">
        <v>240</v>
      </c>
      <c r="I159" s="15" t="n">
        <v>0.391014739229025</v>
      </c>
      <c r="J159" s="15" t="n">
        <v>0.2820294784580499</v>
      </c>
      <c r="K159" s="15" t="n">
        <v>0.2941176470588235</v>
      </c>
      <c r="L159" s="14" t="n">
        <v>0.09689709217020143</v>
      </c>
      <c r="M159" s="14" t="n">
        <v>0.3294501133786848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PRST @ SDSU</t>
        </is>
      </c>
      <c r="C160" s="17" t="inlineStr">
        <is>
          <t>2026-09-06 01:30</t>
        </is>
      </c>
      <c r="D160" s="25" t="n">
        <v>1</v>
      </c>
      <c r="E160" s="17" t="inlineStr">
        <is>
          <t>TOTAL</t>
        </is>
      </c>
      <c r="F160" s="17" t="inlineStr">
        <is>
          <t>Under 62.5</t>
        </is>
      </c>
      <c r="G160" s="26" t="n">
        <v>62.5</v>
      </c>
      <c r="H160" s="18" t="n">
        <v>-112</v>
      </c>
      <c r="I160" s="20" t="n">
        <v>0.6248955704403454</v>
      </c>
      <c r="J160" s="20" t="n">
        <v>0.5043297540699688</v>
      </c>
      <c r="K160" s="20" t="n">
        <v>0.5283018867924528</v>
      </c>
      <c r="L160" s="19" t="n">
        <v>0.09659368364789256</v>
      </c>
      <c r="M160" s="19" t="n">
        <v>0.1828380440477966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PRST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BAY @ AUB</t>
        </is>
      </c>
      <c r="C161" s="12" t="inlineStr">
        <is>
          <t>2026-09-05 19:30</t>
        </is>
      </c>
      <c r="D161" s="22" t="n">
        <v>1</v>
      </c>
      <c r="E161" s="12" t="inlineStr">
        <is>
          <t>ATS</t>
        </is>
      </c>
      <c r="F161" s="12" t="inlineStr">
        <is>
          <t>BAY +7.5</t>
        </is>
      </c>
      <c r="G161" s="23" t="n">
        <v>-7.5</v>
      </c>
      <c r="H161" s="13" t="n">
        <v>-112</v>
      </c>
      <c r="I161" s="15" t="n">
        <v>0.6246074234488621</v>
      </c>
      <c r="J161" s="15" t="n">
        <v>0.5043297540699688</v>
      </c>
      <c r="K161" s="15" t="n">
        <v>0.5283018867924528</v>
      </c>
      <c r="L161" s="14" t="n">
        <v>0.09630553665640929</v>
      </c>
      <c r="M161" s="14" t="n">
        <v>0.1822926229567746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CMU @ UNM</t>
        </is>
      </c>
      <c r="C162" s="17" t="inlineStr">
        <is>
          <t>2026-09-06 02:00</t>
        </is>
      </c>
      <c r="D162" s="25" t="n">
        <v>1</v>
      </c>
      <c r="E162" s="17" t="inlineStr">
        <is>
          <t>ML</t>
        </is>
      </c>
      <c r="F162" s="17" t="inlineStr">
        <is>
          <t>CMU ML</t>
        </is>
      </c>
      <c r="G162" s="26" t="n"/>
      <c r="H162" s="18" t="n">
        <v>360</v>
      </c>
      <c r="I162" s="20" t="n">
        <v>0.3124197544535755</v>
      </c>
      <c r="J162" s="20" t="n">
        <v>0.2086383601756955</v>
      </c>
      <c r="K162" s="20" t="n">
        <v>0.2173913043478261</v>
      </c>
      <c r="L162" s="19" t="n">
        <v>0.09502845010574942</v>
      </c>
      <c r="M162" s="19" t="n">
        <v>0.4371308704864473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ORST @ HOU</t>
        </is>
      </c>
      <c r="C163" s="12" t="inlineStr">
        <is>
          <t>2026-09-05 16:00</t>
        </is>
      </c>
      <c r="D163" s="22" t="n">
        <v>1</v>
      </c>
      <c r="E163" s="12" t="inlineStr">
        <is>
          <t>TOTAL</t>
        </is>
      </c>
      <c r="F163" s="12" t="inlineStr">
        <is>
          <t>Over 49.5</t>
        </is>
      </c>
      <c r="G163" s="23" t="n">
        <v>49.5</v>
      </c>
      <c r="H163" s="13" t="n">
        <v>-112</v>
      </c>
      <c r="I163" s="15" t="n">
        <v>0.6232855933254724</v>
      </c>
      <c r="J163" s="15" t="n">
        <v>0.5043297540699688</v>
      </c>
      <c r="K163" s="15" t="n">
        <v>0.5283018867924528</v>
      </c>
      <c r="L163" s="14" t="n">
        <v>0.09498370653301957</v>
      </c>
      <c r="M163" s="14" t="n">
        <v>0.1797905873660727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TOTAL</t>
        </is>
      </c>
      <c r="F164" s="17" t="inlineStr">
        <is>
          <t>Under 59.5</t>
        </is>
      </c>
      <c r="G164" s="26" t="n">
        <v>59.5</v>
      </c>
      <c r="H164" s="18" t="n">
        <v>-115</v>
      </c>
      <c r="I164" s="20" t="n">
        <v>0.6297471879821821</v>
      </c>
      <c r="J164" s="20" t="n">
        <v>0.5108342361863488</v>
      </c>
      <c r="K164" s="20" t="n">
        <v>0.5348837209302325</v>
      </c>
      <c r="L164" s="19" t="n">
        <v>0.09486346705194959</v>
      </c>
      <c r="M164" s="19" t="n">
        <v>0.1773534384014708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ALCN @ USM</t>
        </is>
      </c>
      <c r="C165" s="12" t="inlineStr">
        <is>
          <t>2026-09-05 21:00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-110</v>
      </c>
      <c r="I165" s="15" t="n">
        <v>0.6178693246026306</v>
      </c>
      <c r="J165" s="15" t="n">
        <v>0.5</v>
      </c>
      <c r="K165" s="15" t="n">
        <v>0.5238095238095238</v>
      </c>
      <c r="L165" s="14" t="n">
        <v>0.09405980079310672</v>
      </c>
      <c r="M165" s="14" t="n">
        <v>0.179568710605022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ALCN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LIB @ JMU</t>
        </is>
      </c>
      <c r="C166" s="17" t="inlineStr">
        <is>
          <t>2026-09-05 16:00</t>
        </is>
      </c>
      <c r="D166" s="25" t="n">
        <v>1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-112</v>
      </c>
      <c r="I166" s="20" t="n">
        <v>0.620034201637615</v>
      </c>
      <c r="J166" s="20" t="n">
        <v>0.5043297540699688</v>
      </c>
      <c r="K166" s="20" t="n">
        <v>0.5283018867924528</v>
      </c>
      <c r="L166" s="19" t="n">
        <v>0.0917323148451622</v>
      </c>
      <c r="M166" s="19" t="n">
        <v>0.1736361673854856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YSU @ UK</t>
        </is>
      </c>
      <c r="C167" s="12" t="inlineStr">
        <is>
          <t>2026-09-05 17:00</t>
        </is>
      </c>
      <c r="D167" s="22" t="n">
        <v>1</v>
      </c>
      <c r="E167" s="12" t="inlineStr">
        <is>
          <t>TOTAL</t>
        </is>
      </c>
      <c r="F167" s="12" t="inlineStr">
        <is>
          <t>Under 62.5</t>
        </is>
      </c>
      <c r="G167" s="23" t="n">
        <v>62.5</v>
      </c>
      <c r="H167" s="13" t="n">
        <v>-110</v>
      </c>
      <c r="I167" s="15" t="n">
        <v>0.6145766714249832</v>
      </c>
      <c r="J167" s="15" t="n">
        <v>0.5</v>
      </c>
      <c r="K167" s="15" t="n">
        <v>0.5238095238095238</v>
      </c>
      <c r="L167" s="14" t="n">
        <v>0.09076714761545934</v>
      </c>
      <c r="M167" s="14" t="n">
        <v>0.1732827363567861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YSU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URI @ TEM</t>
        </is>
      </c>
      <c r="C168" s="17" t="inlineStr">
        <is>
          <t>2026-09-05 18:00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-102</v>
      </c>
      <c r="I168" s="20" t="n">
        <v>0.5940575033856935</v>
      </c>
      <c r="J168" s="20" t="n">
        <v>0.4826358742837298</v>
      </c>
      <c r="K168" s="20" t="n">
        <v>0.504950495049505</v>
      </c>
      <c r="L168" s="19" t="n">
        <v>0.08910700833618856</v>
      </c>
      <c r="M168" s="19" t="n">
        <v>0.1764668204304911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URI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TULN @ DUKE</t>
        </is>
      </c>
      <c r="C169" s="12" t="inlineStr">
        <is>
          <t>2026-09-05 19:30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-105</v>
      </c>
      <c r="I169" s="15" t="n">
        <v>0.6007528438468572</v>
      </c>
      <c r="J169" s="15" t="n">
        <v>0.4891657638136511</v>
      </c>
      <c r="K169" s="15" t="n">
        <v>0.5121951219512195</v>
      </c>
      <c r="L169" s="14" t="n">
        <v>0.08855772189563771</v>
      </c>
      <c r="M169" s="14" t="n">
        <v>0.1728984094152927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LOU @ MISS</t>
        </is>
      </c>
      <c r="C170" s="17" t="inlineStr">
        <is>
          <t>2026-09-06 23:30</t>
        </is>
      </c>
      <c r="D170" s="25" t="n">
        <v>1</v>
      </c>
      <c r="E170" s="17" t="inlineStr">
        <is>
          <t>ML</t>
        </is>
      </c>
      <c r="F170" s="17" t="inlineStr">
        <is>
          <t>LOU ML</t>
        </is>
      </c>
      <c r="G170" s="26" t="n"/>
      <c r="H170" s="18" t="n">
        <v>220</v>
      </c>
      <c r="I170" s="20" t="n">
        <v>0.3999189627228525</v>
      </c>
      <c r="J170" s="20" t="n">
        <v>0.299837925445705</v>
      </c>
      <c r="K170" s="20" t="n">
        <v>0.3125</v>
      </c>
      <c r="L170" s="19" t="n">
        <v>0.08741896272285254</v>
      </c>
      <c r="M170" s="19" t="n">
        <v>0.2797406807131282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UNLV @ HAW</t>
        </is>
      </c>
      <c r="C171" s="12" t="inlineStr">
        <is>
          <t>2026-09-06 02:00</t>
        </is>
      </c>
      <c r="D171" s="22" t="n">
        <v>1</v>
      </c>
      <c r="E171" s="12" t="inlineStr">
        <is>
          <t>ML</t>
        </is>
      </c>
      <c r="F171" s="12" t="inlineStr">
        <is>
          <t>HAW ML</t>
        </is>
      </c>
      <c r="G171" s="23" t="n"/>
      <c r="H171" s="13" t="n">
        <v>130</v>
      </c>
      <c r="I171" s="15" t="n">
        <v>0.5218390502269498</v>
      </c>
      <c r="J171" s="15" t="n">
        <v>0.4170073589533933</v>
      </c>
      <c r="K171" s="15" t="n">
        <v>0.4347826086956522</v>
      </c>
      <c r="L171" s="14" t="n">
        <v>0.0870564415312976</v>
      </c>
      <c r="M171" s="14" t="n">
        <v>0.2002298155219844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LOU @ MISS</t>
        </is>
      </c>
      <c r="C172" s="17" t="inlineStr">
        <is>
          <t>2026-09-06 23:30</t>
        </is>
      </c>
      <c r="D172" s="25" t="n">
        <v>1</v>
      </c>
      <c r="E172" s="17" t="inlineStr">
        <is>
          <t>ATS</t>
        </is>
      </c>
      <c r="F172" s="17" t="inlineStr">
        <is>
          <t>LOU +6.5</t>
        </is>
      </c>
      <c r="G172" s="26" t="n">
        <v>-6.5</v>
      </c>
      <c r="H172" s="18" t="n">
        <v>-102</v>
      </c>
      <c r="I172" s="20" t="n">
        <v>0.591904244002925</v>
      </c>
      <c r="J172" s="20" t="n">
        <v>0.4826358742837298</v>
      </c>
      <c r="K172" s="20" t="n">
        <v>0.504950495049505</v>
      </c>
      <c r="L172" s="19" t="n">
        <v>0.08695374895342001</v>
      </c>
      <c r="M172" s="19" t="n">
        <v>0.1722025224371652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VMI @ VT</t>
        </is>
      </c>
      <c r="C173" s="12" t="inlineStr">
        <is>
          <t>2026-09-05 23:30</t>
        </is>
      </c>
      <c r="D173" s="22" t="n">
        <v>1</v>
      </c>
      <c r="E173" s="12" t="inlineStr">
        <is>
          <t>TOTAL</t>
        </is>
      </c>
      <c r="F173" s="12" t="inlineStr">
        <is>
          <t>Under 62.5</t>
        </is>
      </c>
      <c r="G173" s="23" t="n">
        <v>62.5</v>
      </c>
      <c r="H173" s="13" t="n">
        <v>-112</v>
      </c>
      <c r="I173" s="15" t="n">
        <v>0.6150800025353627</v>
      </c>
      <c r="J173" s="15" t="n">
        <v>0.5043297540699688</v>
      </c>
      <c r="K173" s="15" t="n">
        <v>0.5283018867924528</v>
      </c>
      <c r="L173" s="14" t="n">
        <v>0.08677811574290983</v>
      </c>
      <c r="M173" s="14" t="n">
        <v>0.1642585762276507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VMI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TOW @ NAVY</t>
        </is>
      </c>
      <c r="C174" s="17" t="inlineStr">
        <is>
          <t>2026-09-05 19:30</t>
        </is>
      </c>
      <c r="D174" s="25" t="n">
        <v>1</v>
      </c>
      <c r="E174" s="17" t="inlineStr">
        <is>
          <t>TOTAL</t>
        </is>
      </c>
      <c r="F174" s="17" t="inlineStr">
        <is>
          <t>Over 50.5</t>
        </is>
      </c>
      <c r="G174" s="26" t="n">
        <v>50.5</v>
      </c>
      <c r="H174" s="18" t="n">
        <v>-115</v>
      </c>
      <c r="I174" s="20" t="n">
        <v>0.6216452253515738</v>
      </c>
      <c r="J174" s="20" t="n">
        <v>0.5108342361863488</v>
      </c>
      <c r="K174" s="20" t="n">
        <v>0.5348837209302325</v>
      </c>
      <c r="L174" s="19" t="n">
        <v>0.08676150442134134</v>
      </c>
      <c r="M174" s="19" t="n">
        <v>0.1622062908746814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TOW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TOL @ MSU</t>
        </is>
      </c>
      <c r="C175" s="12" t="inlineStr">
        <is>
          <t>2026-09-05 00:00</t>
        </is>
      </c>
      <c r="D175" s="22" t="n">
        <v>1</v>
      </c>
      <c r="E175" s="12" t="inlineStr">
        <is>
          <t>ATS</t>
        </is>
      </c>
      <c r="F175" s="12" t="inlineStr">
        <is>
          <t>TOL +9.5</t>
        </is>
      </c>
      <c r="G175" s="23" t="n">
        <v>-9.5</v>
      </c>
      <c r="H175" s="13" t="n">
        <v>-110</v>
      </c>
      <c r="I175" s="15" t="n">
        <v>0.6093715128856836</v>
      </c>
      <c r="J175" s="15" t="n">
        <v>0.5</v>
      </c>
      <c r="K175" s="15" t="n">
        <v>0.5238095238095238</v>
      </c>
      <c r="L175" s="14" t="n">
        <v>0.08556198907615975</v>
      </c>
      <c r="M175" s="14" t="n">
        <v>0.1633456155090324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outside the top 10 plays for this week</t>
        </is>
      </c>
    </row>
    <row r="176">
      <c r="A176" s="17" t="inlineStr">
        <is>
          <t>PASS</t>
        </is>
      </c>
      <c r="B176" s="17" t="inlineStr">
        <is>
          <t>NCAT @ GAST</t>
        </is>
      </c>
      <c r="C176" s="17" t="inlineStr">
        <is>
          <t>2026-09-04 23:00</t>
        </is>
      </c>
      <c r="D176" s="25" t="n">
        <v>1</v>
      </c>
      <c r="E176" s="17" t="inlineStr">
        <is>
          <t>TOTAL</t>
        </is>
      </c>
      <c r="F176" s="17" t="inlineStr">
        <is>
          <t>Under 62.5</t>
        </is>
      </c>
      <c r="G176" s="26" t="n">
        <v>62.5</v>
      </c>
      <c r="H176" s="18" t="n">
        <v>-108</v>
      </c>
      <c r="I176" s="20" t="n">
        <v>0.6040050827569816</v>
      </c>
      <c r="J176" s="20" t="n">
        <v>0.4956702459300312</v>
      </c>
      <c r="K176" s="20" t="n">
        <v>0.5192307692307693</v>
      </c>
      <c r="L176" s="19" t="n">
        <v>0.08477431352621234</v>
      </c>
      <c r="M176" s="19" t="n">
        <v>0.1632690482727054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NCAT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FIU @ USF</t>
        </is>
      </c>
      <c r="C177" s="12" t="inlineStr">
        <is>
          <t>2026-09-05 23:00</t>
        </is>
      </c>
      <c r="D177" s="22" t="n">
        <v>1</v>
      </c>
      <c r="E177" s="12" t="inlineStr">
        <is>
          <t>TOTAL</t>
        </is>
      </c>
      <c r="F177" s="12" t="inlineStr">
        <is>
          <t>Over 52.5</t>
        </is>
      </c>
      <c r="G177" s="23" t="n">
        <v>52.5</v>
      </c>
      <c r="H177" s="13" t="n">
        <v>-102</v>
      </c>
      <c r="I177" s="15" t="n">
        <v>0.5888423210535823</v>
      </c>
      <c r="J177" s="15" t="n">
        <v>0.4826358742837298</v>
      </c>
      <c r="K177" s="15" t="n">
        <v>0.504950495049505</v>
      </c>
      <c r="L177" s="14" t="n">
        <v>0.0838918260040773</v>
      </c>
      <c r="M177" s="14" t="n">
        <v>0.1661387142433688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UNA @ ARK</t>
        </is>
      </c>
      <c r="C178" s="17" t="inlineStr">
        <is>
          <t>2026-09-05 20:15</t>
        </is>
      </c>
      <c r="D178" s="25" t="n">
        <v>1</v>
      </c>
      <c r="E178" s="17" t="inlineStr">
        <is>
          <t>TOTAL</t>
        </is>
      </c>
      <c r="F178" s="17" t="inlineStr">
        <is>
          <t>Under 63.5</t>
        </is>
      </c>
      <c r="G178" s="26" t="n">
        <v>63.5</v>
      </c>
      <c r="H178" s="18" t="n">
        <v>-115</v>
      </c>
      <c r="I178" s="20" t="n">
        <v>0.6183322439554089</v>
      </c>
      <c r="J178" s="20" t="n">
        <v>0.5108342361863488</v>
      </c>
      <c r="K178" s="20" t="n">
        <v>0.5348837209302325</v>
      </c>
      <c r="L178" s="19" t="n">
        <v>0.08344852302517636</v>
      </c>
      <c r="M178" s="19" t="n">
        <v>0.1560124560905469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UNA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IDST @ USU</t>
        </is>
      </c>
      <c r="C179" s="12" t="inlineStr">
        <is>
          <t>2026-09-05 23:00</t>
        </is>
      </c>
      <c r="D179" s="22" t="n">
        <v>1</v>
      </c>
      <c r="E179" s="12" t="inlineStr">
        <is>
          <t>TOTAL</t>
        </is>
      </c>
      <c r="F179" s="12" t="inlineStr">
        <is>
          <t>Under 62.5</t>
        </is>
      </c>
      <c r="G179" s="23" t="n">
        <v>62.5</v>
      </c>
      <c r="H179" s="13" t="n">
        <v>-108</v>
      </c>
      <c r="I179" s="15" t="n">
        <v>0.6022946055338501</v>
      </c>
      <c r="J179" s="15" t="n">
        <v>0.4956702459300312</v>
      </c>
      <c r="K179" s="15" t="n">
        <v>0.5192307692307693</v>
      </c>
      <c r="L179" s="14" t="n">
        <v>0.08306383630308078</v>
      </c>
      <c r="M179" s="14" t="n">
        <v>0.1599747958429706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IDST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COLO @ GT</t>
        </is>
      </c>
      <c r="C180" s="17" t="inlineStr">
        <is>
          <t>2026-09-04 00:00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-102</v>
      </c>
      <c r="I180" s="20" t="n">
        <v>0.5870858727437158</v>
      </c>
      <c r="J180" s="20" t="n">
        <v>0.4826358742837298</v>
      </c>
      <c r="K180" s="20" t="n">
        <v>0.504950495049505</v>
      </c>
      <c r="L180" s="19" t="n">
        <v>0.08213537769421086</v>
      </c>
      <c r="M180" s="19" t="n">
        <v>0.1626602577865746</v>
      </c>
      <c r="N180" s="20" t="n">
        <v>0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CLEM @ LSU</t>
        </is>
      </c>
      <c r="C181" s="12" t="inlineStr">
        <is>
          <t>2026-09-05 23:30</t>
        </is>
      </c>
      <c r="D181" s="22" t="n">
        <v>1</v>
      </c>
      <c r="E181" s="12" t="inlineStr">
        <is>
          <t>ML</t>
        </is>
      </c>
      <c r="F181" s="12" t="inlineStr">
        <is>
          <t>CLEM ML</t>
        </is>
      </c>
      <c r="G181" s="23" t="n"/>
      <c r="H181" s="13" t="n">
        <v>310</v>
      </c>
      <c r="I181" s="15" t="n">
        <v>0.3251495221075107</v>
      </c>
      <c r="J181" s="15" t="n">
        <v>0.2340978954835659</v>
      </c>
      <c r="K181" s="15" t="n">
        <v>0.2439024390243902</v>
      </c>
      <c r="L181" s="14" t="n">
        <v>0.08124708308312045</v>
      </c>
      <c r="M181" s="14" t="n">
        <v>0.3331130406407936</v>
      </c>
      <c r="N181" s="15" t="n">
        <v>0</v>
      </c>
      <c r="O181" s="24" t="n">
        <v>0.4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ARST @ MEM</t>
        </is>
      </c>
      <c r="C182" s="17" t="inlineStr">
        <is>
          <t>2026-09-05 23:00</t>
        </is>
      </c>
      <c r="D182" s="25" t="n">
        <v>1</v>
      </c>
      <c r="E182" s="17" t="inlineStr">
        <is>
          <t>ML</t>
        </is>
      </c>
      <c r="F182" s="17" t="inlineStr">
        <is>
          <t>ARST ML</t>
        </is>
      </c>
      <c r="G182" s="26" t="n"/>
      <c r="H182" s="18" t="n">
        <v>360</v>
      </c>
      <c r="I182" s="20" t="n">
        <v>0.2984307853464756</v>
      </c>
      <c r="J182" s="20" t="n">
        <v>0.2086383601756955</v>
      </c>
      <c r="K182" s="20" t="n">
        <v>0.2173913043478261</v>
      </c>
      <c r="L182" s="19" t="n">
        <v>0.08103948099864952</v>
      </c>
      <c r="M182" s="19" t="n">
        <v>0.3727816125937877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TOL @ MSU</t>
        </is>
      </c>
      <c r="C183" s="12" t="inlineStr">
        <is>
          <t>2026-09-05 00:00</t>
        </is>
      </c>
      <c r="D183" s="22" t="n">
        <v>1</v>
      </c>
      <c r="E183" s="12" t="inlineStr">
        <is>
          <t>ML</t>
        </is>
      </c>
      <c r="F183" s="12" t="inlineStr">
        <is>
          <t>TOL ML</t>
        </is>
      </c>
      <c r="G183" s="23" t="n"/>
      <c r="H183" s="13" t="n">
        <v>300</v>
      </c>
      <c r="I183" s="15" t="n">
        <v>0.3281005743657277</v>
      </c>
      <c r="J183" s="15" t="n">
        <v>0.24</v>
      </c>
      <c r="K183" s="15" t="n">
        <v>0.25</v>
      </c>
      <c r="L183" s="14" t="n">
        <v>0.0781005743657277</v>
      </c>
      <c r="M183" s="14" t="n">
        <v>0.3124022974629108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CHSO @ GASO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Over 51.5</t>
        </is>
      </c>
      <c r="G184" s="26" t="n">
        <v>51.5</v>
      </c>
      <c r="H184" s="18" t="n">
        <v>-108</v>
      </c>
      <c r="I184" s="20" t="n">
        <v>0.5971070144741464</v>
      </c>
      <c r="J184" s="20" t="n">
        <v>0.4956702459300312</v>
      </c>
      <c r="K184" s="20" t="n">
        <v>0.5192307692307693</v>
      </c>
      <c r="L184" s="19" t="n">
        <v>0.07787624524337711</v>
      </c>
      <c r="M184" s="19" t="n">
        <v>0.1499838797279857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CHSO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UAPB @ MIZ</t>
        </is>
      </c>
      <c r="C185" s="12" t="inlineStr">
        <is>
          <t>2026-09-04 00:00</t>
        </is>
      </c>
      <c r="D185" s="22" t="n">
        <v>1</v>
      </c>
      <c r="E185" s="12" t="inlineStr">
        <is>
          <t>TOTAL</t>
        </is>
      </c>
      <c r="F185" s="12" t="inlineStr">
        <is>
          <t>Under 61.5</t>
        </is>
      </c>
      <c r="G185" s="23" t="n">
        <v>61.5</v>
      </c>
      <c r="H185" s="13" t="n">
        <v>-110</v>
      </c>
      <c r="I185" s="15" t="n">
        <v>0.601010324540859</v>
      </c>
      <c r="J185" s="15" t="n">
        <v>0.5</v>
      </c>
      <c r="K185" s="15" t="n">
        <v>0.5238095238095238</v>
      </c>
      <c r="L185" s="14" t="n">
        <v>0.07720080073133517</v>
      </c>
      <c r="M185" s="14" t="n">
        <v>0.1473833468507308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UAPB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UTU @ BYU</t>
        </is>
      </c>
      <c r="C186" s="17" t="inlineStr">
        <is>
          <t>2026-09-06 00:00</t>
        </is>
      </c>
      <c r="D186" s="25" t="n">
        <v>1</v>
      </c>
      <c r="E186" s="17" t="inlineStr">
        <is>
          <t>TOTAL</t>
        </is>
      </c>
      <c r="F186" s="17" t="inlineStr">
        <is>
          <t>Under 61.5</t>
        </is>
      </c>
      <c r="G186" s="26" t="n">
        <v>61.5</v>
      </c>
      <c r="H186" s="18" t="n">
        <v>-110</v>
      </c>
      <c r="I186" s="20" t="n">
        <v>0.5992718886735872</v>
      </c>
      <c r="J186" s="20" t="n">
        <v>0.5</v>
      </c>
      <c r="K186" s="20" t="n">
        <v>0.5238095238095238</v>
      </c>
      <c r="L186" s="19" t="n">
        <v>0.07546236486406332</v>
      </c>
      <c r="M186" s="19" t="n">
        <v>0.1440645147404847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UTU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SMU @ FSU</t>
        </is>
      </c>
      <c r="C187" s="12" t="inlineStr">
        <is>
          <t>2026-09-07 23:30</t>
        </is>
      </c>
      <c r="D187" s="22" t="n">
        <v>1</v>
      </c>
      <c r="E187" s="12" t="inlineStr">
        <is>
          <t>ML</t>
        </is>
      </c>
      <c r="F187" s="12" t="inlineStr">
        <is>
          <t>FSU ML</t>
        </is>
      </c>
      <c r="G187" s="23" t="n"/>
      <c r="H187" s="13" t="n">
        <v>136</v>
      </c>
      <c r="I187" s="15" t="n">
        <v>0.4970459583520543</v>
      </c>
      <c r="J187" s="15" t="n">
        <v>0.4066302458405761</v>
      </c>
      <c r="K187" s="15" t="n">
        <v>0.423728813559322</v>
      </c>
      <c r="L187" s="14" t="n">
        <v>0.07331714479273232</v>
      </c>
      <c r="M187" s="14" t="n">
        <v>0.1730284617108484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MASS @ RUTG</t>
        </is>
      </c>
      <c r="C188" s="17" t="inlineStr">
        <is>
          <t>2026-09-03 22:00</t>
        </is>
      </c>
      <c r="D188" s="25" t="n">
        <v>1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-112</v>
      </c>
      <c r="I188" s="20" t="n">
        <v>0.6014367685441151</v>
      </c>
      <c r="J188" s="20" t="n">
        <v>0.5043297540699688</v>
      </c>
      <c r="K188" s="20" t="n">
        <v>0.5283018867924528</v>
      </c>
      <c r="L188" s="19" t="n">
        <v>0.07313488175166227</v>
      </c>
      <c r="M188" s="19" t="n">
        <v>0.1384338833156464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BOIS @ ORE</t>
        </is>
      </c>
      <c r="C189" s="12" t="inlineStr">
        <is>
          <t>2026-09-05 19:30</t>
        </is>
      </c>
      <c r="D189" s="22" t="n">
        <v>1</v>
      </c>
      <c r="E189" s="12" t="inlineStr">
        <is>
          <t>TOTAL</t>
        </is>
      </c>
      <c r="F189" s="12" t="inlineStr">
        <is>
          <t>Over 51.5</t>
        </is>
      </c>
      <c r="G189" s="23" t="n">
        <v>51.5</v>
      </c>
      <c r="H189" s="13" t="n">
        <v>-108</v>
      </c>
      <c r="I189" s="15" t="n">
        <v>0.5918377978668887</v>
      </c>
      <c r="J189" s="15" t="n">
        <v>0.4956702459300312</v>
      </c>
      <c r="K189" s="15" t="n">
        <v>0.5192307692307693</v>
      </c>
      <c r="L189" s="14" t="n">
        <v>0.07260702863611945</v>
      </c>
      <c r="M189" s="14" t="n">
        <v>0.1398357588547487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SMU @ FSU</t>
        </is>
      </c>
      <c r="C190" s="17" t="inlineStr">
        <is>
          <t>2026-09-07 23:30</t>
        </is>
      </c>
      <c r="D190" s="25" t="n">
        <v>1</v>
      </c>
      <c r="E190" s="17" t="inlineStr">
        <is>
          <t>ATS</t>
        </is>
      </c>
      <c r="F190" s="17" t="inlineStr">
        <is>
          <t>FSU +3</t>
        </is>
      </c>
      <c r="G190" s="26" t="n">
        <v>3</v>
      </c>
      <c r="H190" s="18" t="n">
        <v>-108</v>
      </c>
      <c r="I190" s="20" t="n">
        <v>0.5907103396693807</v>
      </c>
      <c r="J190" s="20" t="n">
        <v>0.4956702459300312</v>
      </c>
      <c r="K190" s="20" t="n">
        <v>0.5192307692307693</v>
      </c>
      <c r="L190" s="19" t="n">
        <v>0.07147957043861142</v>
      </c>
      <c r="M190" s="19" t="n">
        <v>0.1301218689998845</v>
      </c>
      <c r="N190" s="20" t="n">
        <v>0.0548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WES @ KENN</t>
        </is>
      </c>
      <c r="C191" s="12" t="inlineStr">
        <is>
          <t>2026-09-03 23:00</t>
        </is>
      </c>
      <c r="D191" s="22" t="n">
        <v>1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-112</v>
      </c>
      <c r="I191" s="15" t="n">
        <v>0.5996892618126337</v>
      </c>
      <c r="J191" s="15" t="n">
        <v>0.5043297540699688</v>
      </c>
      <c r="K191" s="15" t="n">
        <v>0.5283018867924528</v>
      </c>
      <c r="L191" s="14" t="n">
        <v>0.07138737502018089</v>
      </c>
      <c r="M191" s="14" t="n">
        <v>0.1351261027167709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WES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BRY @ ARMY</t>
        </is>
      </c>
      <c r="C192" s="17" t="inlineStr">
        <is>
          <t>2026-09-05 16:00</t>
        </is>
      </c>
      <c r="D192" s="25" t="n">
        <v>1</v>
      </c>
      <c r="E192" s="17" t="inlineStr">
        <is>
          <t>TOTAL</t>
        </is>
      </c>
      <c r="F192" s="17" t="inlineStr">
        <is>
          <t>Over 51.5</t>
        </is>
      </c>
      <c r="G192" s="26" t="n">
        <v>51.5</v>
      </c>
      <c r="H192" s="18" t="n">
        <v>-102</v>
      </c>
      <c r="I192" s="20" t="n">
        <v>0.5745516392686915</v>
      </c>
      <c r="J192" s="20" t="n">
        <v>0.4826358742837298</v>
      </c>
      <c r="K192" s="20" t="n">
        <v>0.504950495049505</v>
      </c>
      <c r="L192" s="19" t="n">
        <v>0.06960114421918651</v>
      </c>
      <c r="M192" s="19" t="n">
        <v>0.1378375601203498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BRY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EIU @ MINN</t>
        </is>
      </c>
      <c r="C193" s="12" t="inlineStr">
        <is>
          <t>2026-09-04 00:00</t>
        </is>
      </c>
      <c r="D193" s="22" t="n">
        <v>1</v>
      </c>
      <c r="E193" s="12" t="inlineStr">
        <is>
          <t>TOTAL</t>
        </is>
      </c>
      <c r="F193" s="12" t="inlineStr">
        <is>
          <t>Over 51.5</t>
        </is>
      </c>
      <c r="G193" s="23" t="n">
        <v>51.5</v>
      </c>
      <c r="H193" s="13" t="n">
        <v>-105</v>
      </c>
      <c r="I193" s="15" t="n">
        <v>0.581439101443355</v>
      </c>
      <c r="J193" s="15" t="n">
        <v>0.4891657638136511</v>
      </c>
      <c r="K193" s="15" t="n">
        <v>0.5121951219512195</v>
      </c>
      <c r="L193" s="14" t="n">
        <v>0.06924397949213545</v>
      </c>
      <c r="M193" s="14" t="n">
        <v>0.1351906266275026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EIU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FRES @ USC</t>
        </is>
      </c>
      <c r="C194" s="17" t="inlineStr">
        <is>
          <t>2026-09-05 01:00</t>
        </is>
      </c>
      <c r="D194" s="25" t="n">
        <v>1</v>
      </c>
      <c r="E194" s="17" t="inlineStr">
        <is>
          <t>TOTAL</t>
        </is>
      </c>
      <c r="F194" s="17" t="inlineStr">
        <is>
          <t>Over 51.5</t>
        </is>
      </c>
      <c r="G194" s="26" t="n">
        <v>51.5</v>
      </c>
      <c r="H194" s="18" t="n">
        <v>-112</v>
      </c>
      <c r="I194" s="20" t="n">
        <v>0.5961675519368577</v>
      </c>
      <c r="J194" s="20" t="n">
        <v>0.5043297540699688</v>
      </c>
      <c r="K194" s="20" t="n">
        <v>0.5283018867924528</v>
      </c>
      <c r="L194" s="19" t="n">
        <v>0.06786566514440484</v>
      </c>
      <c r="M194" s="19" t="n">
        <v>0.1284600090233377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ASU @ TA&amp;M</t>
        </is>
      </c>
      <c r="C195" s="12" t="inlineStr">
        <is>
          <t>2026-09-12 16:00</t>
        </is>
      </c>
      <c r="D195" s="22" t="n">
        <v>2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-108</v>
      </c>
      <c r="I195" s="15" t="n">
        <v>0.5864904920269822</v>
      </c>
      <c r="J195" s="15" t="n">
        <v>0.4956702459300312</v>
      </c>
      <c r="K195" s="15" t="n">
        <v>0.5192307692307693</v>
      </c>
      <c r="L195" s="14" t="n">
        <v>0.06725972279621295</v>
      </c>
      <c r="M195" s="14" t="n">
        <v>0.1295372439038177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MRSH @ PSU</t>
        </is>
      </c>
      <c r="C196" s="17" t="inlineStr">
        <is>
          <t>2026-09-05 19:30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-102</v>
      </c>
      <c r="I196" s="20" t="n">
        <v>0.5708978072678739</v>
      </c>
      <c r="J196" s="20" t="n">
        <v>0.4826358742837298</v>
      </c>
      <c r="K196" s="20" t="n">
        <v>0.504950495049505</v>
      </c>
      <c r="L196" s="19" t="n">
        <v>0.06594731221836891</v>
      </c>
      <c r="M196" s="19" t="n">
        <v>0.1306015398834365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TULN @ DUKE</t>
        </is>
      </c>
      <c r="C197" s="12" t="inlineStr">
        <is>
          <t>2026-09-05 19:30</t>
        </is>
      </c>
      <c r="D197" s="22" t="n">
        <v>1</v>
      </c>
      <c r="E197" s="12" t="inlineStr">
        <is>
          <t>ATS</t>
        </is>
      </c>
      <c r="F197" s="12" t="inlineStr">
        <is>
          <t>TULN +7.5</t>
        </is>
      </c>
      <c r="G197" s="23" t="n">
        <v>-7.5</v>
      </c>
      <c r="H197" s="13" t="n">
        <v>-108</v>
      </c>
      <c r="I197" s="15" t="n">
        <v>0.5840788373538441</v>
      </c>
      <c r="J197" s="15" t="n">
        <v>0.4956702459300312</v>
      </c>
      <c r="K197" s="15" t="n">
        <v>0.5192307692307693</v>
      </c>
      <c r="L197" s="14" t="n">
        <v>0.06484806812307486</v>
      </c>
      <c r="M197" s="14" t="n">
        <v>0.1248925756444407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CLEM @ LSU</t>
        </is>
      </c>
      <c r="C198" s="17" t="inlineStr">
        <is>
          <t>2026-09-05 23:30</t>
        </is>
      </c>
      <c r="D198" s="25" t="n">
        <v>1</v>
      </c>
      <c r="E198" s="17" t="inlineStr">
        <is>
          <t>TOTAL</t>
        </is>
      </c>
      <c r="F198" s="17" t="inlineStr">
        <is>
          <t>Over 50.5</t>
        </is>
      </c>
      <c r="G198" s="26" t="n">
        <v>50.5</v>
      </c>
      <c r="H198" s="18" t="n">
        <v>-112</v>
      </c>
      <c r="I198" s="20" t="n">
        <v>0.5926111336227422</v>
      </c>
      <c r="J198" s="20" t="n">
        <v>0.5043297540699688</v>
      </c>
      <c r="K198" s="20" t="n">
        <v>0.5283018867924528</v>
      </c>
      <c r="L198" s="19" t="n">
        <v>0.06430924683028938</v>
      </c>
      <c r="M198" s="19" t="n">
        <v>0.1217282172144762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LAF @ CONN</t>
        </is>
      </c>
      <c r="C199" s="12" t="inlineStr">
        <is>
          <t>2026-09-05 16:00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-112</v>
      </c>
      <c r="I199" s="15" t="n">
        <v>0.592611130674054</v>
      </c>
      <c r="J199" s="15" t="n">
        <v>0.5043297540699688</v>
      </c>
      <c r="K199" s="15" t="n">
        <v>0.5283018867924528</v>
      </c>
      <c r="L199" s="14" t="n">
        <v>0.0643092438816012</v>
      </c>
      <c r="M199" s="14" t="n">
        <v>0.1217282116330308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LAF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TULN @ DUKE</t>
        </is>
      </c>
      <c r="C200" s="17" t="inlineStr">
        <is>
          <t>2026-09-05 19:30</t>
        </is>
      </c>
      <c r="D200" s="25" t="n">
        <v>1</v>
      </c>
      <c r="E200" s="17" t="inlineStr">
        <is>
          <t>ML</t>
        </is>
      </c>
      <c r="F200" s="17" t="inlineStr">
        <is>
          <t>TULN ML</t>
        </is>
      </c>
      <c r="G200" s="26" t="n"/>
      <c r="H200" s="18" t="n">
        <v>260</v>
      </c>
      <c r="I200" s="20" t="n">
        <v>0.3413294144911196</v>
      </c>
      <c r="J200" s="20" t="n">
        <v>0.2664576802507838</v>
      </c>
      <c r="K200" s="20" t="n">
        <v>0.2777777777777778</v>
      </c>
      <c r="L200" s="19" t="n">
        <v>0.06355163671334185</v>
      </c>
      <c r="M200" s="19" t="n">
        <v>0.2287858921680307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WIS @ ND</t>
        </is>
      </c>
      <c r="C201" s="12" t="inlineStr">
        <is>
          <t>2026-09-06 23:30</t>
        </is>
      </c>
      <c r="D201" s="22" t="n">
        <v>1</v>
      </c>
      <c r="E201" s="12" t="inlineStr">
        <is>
          <t>TOTAL</t>
        </is>
      </c>
      <c r="F201" s="12" t="inlineStr">
        <is>
          <t>Over 47.5</t>
        </is>
      </c>
      <c r="G201" s="23" t="n">
        <v>47.5</v>
      </c>
      <c r="H201" s="13" t="n">
        <v>-105</v>
      </c>
      <c r="I201" s="15" t="n">
        <v>0.5741627809544091</v>
      </c>
      <c r="J201" s="15" t="n">
        <v>0.4891657638136511</v>
      </c>
      <c r="K201" s="15" t="n">
        <v>0.5121951219512195</v>
      </c>
      <c r="L201" s="14" t="n">
        <v>0.06196765900318957</v>
      </c>
      <c r="M201" s="14" t="n">
        <v>0.1209844771014653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SELA @ USA</t>
        </is>
      </c>
      <c r="C202" s="17" t="inlineStr">
        <is>
          <t>2026-09-05 23:00</t>
        </is>
      </c>
      <c r="D202" s="25" t="n">
        <v>1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-108</v>
      </c>
      <c r="I202" s="20" t="n">
        <v>0.581068823779724</v>
      </c>
      <c r="J202" s="20" t="n">
        <v>0.4956702459300312</v>
      </c>
      <c r="K202" s="20" t="n">
        <v>0.5192307692307693</v>
      </c>
      <c r="L202" s="19" t="n">
        <v>0.06183805454895475</v>
      </c>
      <c r="M202" s="19" t="n">
        <v>0.1190955124646538</v>
      </c>
      <c r="N202" s="20" t="n">
        <v>0</v>
      </c>
      <c r="O202" s="27" t="n">
        <v>0.4</v>
      </c>
      <c r="P202" s="17" t="inlineStr">
        <is>
          <t>DraftKings</t>
        </is>
      </c>
      <c r="Q202" s="17" t="inlineStr">
        <is>
          <t>SELA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WSU @ WASH</t>
        </is>
      </c>
      <c r="C203" s="12" t="inlineStr">
        <is>
          <t>2026-09-06 20:00</t>
        </is>
      </c>
      <c r="D203" s="22" t="n">
        <v>1</v>
      </c>
      <c r="E203" s="12" t="inlineStr">
        <is>
          <t>TOTAL</t>
        </is>
      </c>
      <c r="F203" s="12" t="inlineStr">
        <is>
          <t>Over 50.5</t>
        </is>
      </c>
      <c r="G203" s="23" t="n">
        <v>50.5</v>
      </c>
      <c r="H203" s="13" t="n">
        <v>-118</v>
      </c>
      <c r="I203" s="15" t="n">
        <v>0.6026847394586734</v>
      </c>
      <c r="J203" s="15" t="n">
        <v>0.5173641257162701</v>
      </c>
      <c r="K203" s="15" t="n">
        <v>0.5412844036697247</v>
      </c>
      <c r="L203" s="14" t="n">
        <v>0.06140033578894866</v>
      </c>
      <c r="M203" s="14" t="n">
        <v>0.113434518660939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ORE @ OKST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-112</v>
      </c>
      <c r="I204" s="20" t="n">
        <v>0.5890210926148389</v>
      </c>
      <c r="J204" s="20" t="n">
        <v>0.5043297540699688</v>
      </c>
      <c r="K204" s="20" t="n">
        <v>0.5283018867924528</v>
      </c>
      <c r="L204" s="19" t="n">
        <v>0.0607192058223861</v>
      </c>
      <c r="M204" s="19" t="n">
        <v>0.1149327824495165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BC @ CIN</t>
        </is>
      </c>
      <c r="C205" s="12" t="inlineStr">
        <is>
          <t>2026-09-05 19:30</t>
        </is>
      </c>
      <c r="D205" s="22" t="n">
        <v>1</v>
      </c>
      <c r="E205" s="12" t="inlineStr">
        <is>
          <t>ATS</t>
        </is>
      </c>
      <c r="F205" s="12" t="inlineStr">
        <is>
          <t>BC +7.5</t>
        </is>
      </c>
      <c r="G205" s="23" t="n">
        <v>-7.5</v>
      </c>
      <c r="H205" s="13" t="n">
        <v>-112</v>
      </c>
      <c r="I205" s="15" t="n">
        <v>0.588408591423813</v>
      </c>
      <c r="J205" s="15" t="n">
        <v>0.5043297540699688</v>
      </c>
      <c r="K205" s="15" t="n">
        <v>0.5283018867924528</v>
      </c>
      <c r="L205" s="14" t="n">
        <v>0.06010670463136014</v>
      </c>
      <c r="M205" s="14" t="n">
        <v>0.1137734051950745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UTEP @ OU</t>
        </is>
      </c>
      <c r="C206" s="17" t="inlineStr">
        <is>
          <t>2026-09-05 00:00</t>
        </is>
      </c>
      <c r="D206" s="25" t="n">
        <v>1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0.5814106265351628</v>
      </c>
      <c r="J206" s="20" t="n">
        <v>0.5</v>
      </c>
      <c r="K206" s="20" t="n">
        <v>0.5238095238095238</v>
      </c>
      <c r="L206" s="19" t="n">
        <v>0.05760110272563901</v>
      </c>
      <c r="M206" s="19" t="n">
        <v>0.1099657415671291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BC @ CIN</t>
        </is>
      </c>
      <c r="C207" s="12" t="inlineStr">
        <is>
          <t>2026-09-05 19:30</t>
        </is>
      </c>
      <c r="D207" s="22" t="n">
        <v>1</v>
      </c>
      <c r="E207" s="12" t="inlineStr">
        <is>
          <t>ML</t>
        </is>
      </c>
      <c r="F207" s="12" t="inlineStr">
        <is>
          <t>BC ML</t>
        </is>
      </c>
      <c r="G207" s="23" t="n"/>
      <c r="H207" s="13" t="n">
        <v>245</v>
      </c>
      <c r="I207" s="15" t="n">
        <v>0.3470609449267159</v>
      </c>
      <c r="J207" s="15" t="n">
        <v>0.2779207411219763</v>
      </c>
      <c r="K207" s="15" t="n">
        <v>0.2898550724637681</v>
      </c>
      <c r="L207" s="14" t="n">
        <v>0.05720587246294778</v>
      </c>
      <c r="M207" s="14" t="n">
        <v>0.19736025999717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MERC @ NMSU</t>
        </is>
      </c>
      <c r="C208" s="17" t="inlineStr">
        <is>
          <t>2026-09-06 01:00</t>
        </is>
      </c>
      <c r="D208" s="25" t="n">
        <v>1</v>
      </c>
      <c r="E208" s="17" t="inlineStr">
        <is>
          <t>TOTAL</t>
        </is>
      </c>
      <c r="F208" s="17" t="inlineStr">
        <is>
          <t>Over 52.5</t>
        </is>
      </c>
      <c r="G208" s="26" t="n">
        <v>52.5</v>
      </c>
      <c r="H208" s="18" t="n">
        <v>-105</v>
      </c>
      <c r="I208" s="20" t="n">
        <v>0.5667660028533977</v>
      </c>
      <c r="J208" s="20" t="n">
        <v>0.4891657638136511</v>
      </c>
      <c r="K208" s="20" t="n">
        <v>0.5121951219512195</v>
      </c>
      <c r="L208" s="19" t="n">
        <v>0.05457088090217821</v>
      </c>
      <c r="M208" s="19" t="n">
        <v>0.1065431484280622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MERC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MORG @ ASU</t>
        </is>
      </c>
      <c r="C209" s="12" t="inlineStr">
        <is>
          <t>2026-09-06 02:00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-112</v>
      </c>
      <c r="I209" s="15" t="n">
        <v>0.5799064644072576</v>
      </c>
      <c r="J209" s="15" t="n">
        <v>0.5043297540699688</v>
      </c>
      <c r="K209" s="15" t="n">
        <v>0.5283018867924528</v>
      </c>
      <c r="L209" s="14" t="n">
        <v>0.05160457761480475</v>
      </c>
      <c r="M209" s="14" t="n">
        <v>0.09768009334230898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MORG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NORF @ ODU</t>
        </is>
      </c>
      <c r="C210" s="17" t="inlineStr">
        <is>
          <t>2026-09-05 22:00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-112</v>
      </c>
      <c r="I210" s="20" t="n">
        <v>0.5762079329182457</v>
      </c>
      <c r="J210" s="20" t="n">
        <v>0.5043297540699688</v>
      </c>
      <c r="K210" s="20" t="n">
        <v>0.5283018867924528</v>
      </c>
      <c r="L210" s="19" t="n">
        <v>0.04790604612579286</v>
      </c>
      <c r="M210" s="19" t="n">
        <v>0.09067930159525073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NORF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ARST @ MEM</t>
        </is>
      </c>
      <c r="C211" s="12" t="inlineStr">
        <is>
          <t>2026-09-05 23:00</t>
        </is>
      </c>
      <c r="D211" s="22" t="n">
        <v>1</v>
      </c>
      <c r="E211" s="12" t="inlineStr">
        <is>
          <t>TOTAL</t>
        </is>
      </c>
      <c r="F211" s="12" t="inlineStr">
        <is>
          <t>Over 52.5</t>
        </is>
      </c>
      <c r="G211" s="23" t="n">
        <v>52.5</v>
      </c>
      <c r="H211" s="13" t="n">
        <v>-108</v>
      </c>
      <c r="I211" s="15" t="n">
        <v>0.5662778353406628</v>
      </c>
      <c r="J211" s="15" t="n">
        <v>0.4956702459300312</v>
      </c>
      <c r="K211" s="15" t="n">
        <v>0.5192307692307693</v>
      </c>
      <c r="L211" s="14" t="n">
        <v>0.04704706610989351</v>
      </c>
      <c r="M211" s="14" t="n">
        <v>0.09060916435979505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COLO @ GT</t>
        </is>
      </c>
      <c r="C212" s="17" t="inlineStr">
        <is>
          <t>2026-09-04 00:00</t>
        </is>
      </c>
      <c r="D212" s="25" t="n">
        <v>1</v>
      </c>
      <c r="E212" s="17" t="inlineStr">
        <is>
          <t>ATS</t>
        </is>
      </c>
      <c r="F212" s="17" t="inlineStr">
        <is>
          <t>COLO +6.5</t>
        </is>
      </c>
      <c r="G212" s="26" t="n">
        <v>-6.5</v>
      </c>
      <c r="H212" s="18" t="n">
        <v>-105</v>
      </c>
      <c r="I212" s="20" t="n">
        <v>0.5567038915037148</v>
      </c>
      <c r="J212" s="20" t="n">
        <v>0.4891657638136511</v>
      </c>
      <c r="K212" s="20" t="n">
        <v>0.5121951219512195</v>
      </c>
      <c r="L212" s="19" t="n">
        <v>0.04450876955249528</v>
      </c>
      <c r="M212" s="19" t="n">
        <v>0.08689807388820503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UCLA @ CAL</t>
        </is>
      </c>
      <c r="C213" s="12" t="inlineStr">
        <is>
          <t>2026-09-06 02:30</t>
        </is>
      </c>
      <c r="D213" s="22" t="n">
        <v>1</v>
      </c>
      <c r="E213" s="12" t="inlineStr">
        <is>
          <t>ML</t>
        </is>
      </c>
      <c r="F213" s="12" t="inlineStr">
        <is>
          <t>CAL ML</t>
        </is>
      </c>
      <c r="G213" s="23" t="n"/>
      <c r="H213" s="13" t="n">
        <v>110</v>
      </c>
      <c r="I213" s="15" t="n">
        <v>0.5205276562505744</v>
      </c>
      <c r="J213" s="15" t="n">
        <v>0.4572564612326044</v>
      </c>
      <c r="K213" s="15" t="n">
        <v>0.4761904761904762</v>
      </c>
      <c r="L213" s="14" t="n">
        <v>0.04433718006009824</v>
      </c>
      <c r="M213" s="14" t="n">
        <v>0.09310807812620625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SMU @ FSU</t>
        </is>
      </c>
      <c r="C214" s="17" t="inlineStr">
        <is>
          <t>2026-09-07 23:30</t>
        </is>
      </c>
      <c r="D214" s="25" t="n">
        <v>1</v>
      </c>
      <c r="E214" s="17" t="inlineStr">
        <is>
          <t>TOTAL</t>
        </is>
      </c>
      <c r="F214" s="17" t="inlineStr">
        <is>
          <t>Over 52.5</t>
        </is>
      </c>
      <c r="G214" s="26" t="n">
        <v>52.5</v>
      </c>
      <c r="H214" s="18" t="n">
        <v>-112</v>
      </c>
      <c r="I214" s="20" t="n">
        <v>0.5706075894106316</v>
      </c>
      <c r="J214" s="20" t="n">
        <v>0.5043297540699688</v>
      </c>
      <c r="K214" s="20" t="n">
        <v>0.5283018867924528</v>
      </c>
      <c r="L214" s="19" t="n">
        <v>0.04230570261817879</v>
      </c>
      <c r="M214" s="19" t="n">
        <v>0.08007865138440984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ECU @ ALA</t>
        </is>
      </c>
      <c r="C215" s="12" t="inlineStr">
        <is>
          <t>2026-09-05 16:00</t>
        </is>
      </c>
      <c r="D215" s="22" t="n">
        <v>1</v>
      </c>
      <c r="E215" s="12" t="inlineStr">
        <is>
          <t>TOTAL</t>
        </is>
      </c>
      <c r="F215" s="12" t="inlineStr">
        <is>
          <t>Over 52.5</t>
        </is>
      </c>
      <c r="G215" s="23" t="n">
        <v>52.5</v>
      </c>
      <c r="H215" s="13" t="n">
        <v>-110</v>
      </c>
      <c r="I215" s="15" t="n">
        <v>0.5646760079938933</v>
      </c>
      <c r="J215" s="15" t="n">
        <v>0.5</v>
      </c>
      <c r="K215" s="15" t="n">
        <v>0.5238095238095238</v>
      </c>
      <c r="L215" s="14" t="n">
        <v>0.04086648418436944</v>
      </c>
      <c r="M215" s="14" t="n">
        <v>0.07801783344288726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OKST @ TLSA</t>
        </is>
      </c>
      <c r="C216" s="17" t="inlineStr">
        <is>
          <t>2026-09-05 19:45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-115</v>
      </c>
      <c r="I216" s="20" t="n">
        <v>0.5757333999979973</v>
      </c>
      <c r="J216" s="20" t="n">
        <v>0.5108342361863488</v>
      </c>
      <c r="K216" s="20" t="n">
        <v>0.5348837209302325</v>
      </c>
      <c r="L216" s="19" t="n">
        <v>0.04084967906776482</v>
      </c>
      <c r="M216" s="19" t="n">
        <v>0.07637113912669058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APSU @ VAN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Under 60.5</t>
        </is>
      </c>
      <c r="G217" s="23" t="n">
        <v>60.5</v>
      </c>
      <c r="H217" s="13" t="n">
        <v>-112</v>
      </c>
      <c r="I217" s="15" t="n">
        <v>0.5687274381414105</v>
      </c>
      <c r="J217" s="15" t="n">
        <v>0.5043297540699688</v>
      </c>
      <c r="K217" s="15" t="n">
        <v>0.5283018867924528</v>
      </c>
      <c r="L217" s="14" t="n">
        <v>0.04042555134895764</v>
      </c>
      <c r="M217" s="14" t="n">
        <v>0.07651979362481265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APSU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SEMO @ ISU</t>
        </is>
      </c>
      <c r="C218" s="17" t="inlineStr">
        <is>
          <t>2026-09-05 17:00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-105</v>
      </c>
      <c r="I218" s="20" t="n">
        <v>0.5497359038380673</v>
      </c>
      <c r="J218" s="20" t="n">
        <v>0.4891657638136511</v>
      </c>
      <c r="K218" s="20" t="n">
        <v>0.5121951219512195</v>
      </c>
      <c r="L218" s="19" t="n">
        <v>0.03754078188684773</v>
      </c>
      <c r="M218" s="19" t="n">
        <v>0.07329390749336939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SEMO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COLO @ GT</t>
        </is>
      </c>
      <c r="C219" s="12" t="inlineStr">
        <is>
          <t>2026-09-04 00:00</t>
        </is>
      </c>
      <c r="D219" s="22" t="n">
        <v>1</v>
      </c>
      <c r="E219" s="12" t="inlineStr">
        <is>
          <t>ML</t>
        </is>
      </c>
      <c r="F219" s="12" t="inlineStr">
        <is>
          <t>COLO ML</t>
        </is>
      </c>
      <c r="G219" s="23" t="n"/>
      <c r="H219" s="13" t="n">
        <v>205</v>
      </c>
      <c r="I219" s="15" t="n">
        <v>0.3654039451522446</v>
      </c>
      <c r="J219" s="15" t="n">
        <v>0.3146067415730336</v>
      </c>
      <c r="K219" s="15" t="n">
        <v>0.3278688524590164</v>
      </c>
      <c r="L219" s="14" t="n">
        <v>0.03753509269322824</v>
      </c>
      <c r="M219" s="14" t="n">
        <v>0.114482032714346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WKU @ NEV</t>
        </is>
      </c>
      <c r="C220" s="17" t="inlineStr">
        <is>
          <t>2026-09-06 02:30</t>
        </is>
      </c>
      <c r="D220" s="25" t="n">
        <v>1</v>
      </c>
      <c r="E220" s="17" t="inlineStr">
        <is>
          <t>TOTAL</t>
        </is>
      </c>
      <c r="F220" s="17" t="inlineStr">
        <is>
          <t>Over 52.5</t>
        </is>
      </c>
      <c r="G220" s="26" t="n">
        <v>52.5</v>
      </c>
      <c r="H220" s="18" t="n">
        <v>-115</v>
      </c>
      <c r="I220" s="20" t="n">
        <v>0.5700931260870677</v>
      </c>
      <c r="J220" s="20" t="n">
        <v>0.5108342361863488</v>
      </c>
      <c r="K220" s="20" t="n">
        <v>0.5348837209302325</v>
      </c>
      <c r="L220" s="19" t="n">
        <v>0.03520940515683524</v>
      </c>
      <c r="M220" s="19" t="n">
        <v>0.065826279206257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ACU @ TTU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-115</v>
      </c>
      <c r="I221" s="15" t="n">
        <v>0.5700931219848807</v>
      </c>
      <c r="J221" s="15" t="n">
        <v>0.5108342361863488</v>
      </c>
      <c r="K221" s="15" t="n">
        <v>0.5348837209302325</v>
      </c>
      <c r="L221" s="14" t="n">
        <v>0.0352094010546482</v>
      </c>
      <c r="M221" s="14" t="n">
        <v>0.06582627153695081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ACU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ME @ APP</t>
        </is>
      </c>
      <c r="C222" s="17" t="inlineStr">
        <is>
          <t>2026-09-05 19:30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-110</v>
      </c>
      <c r="I222" s="20" t="n">
        <v>0.5589795699155846</v>
      </c>
      <c r="J222" s="20" t="n">
        <v>0.5</v>
      </c>
      <c r="K222" s="20" t="n">
        <v>0.5238095238095238</v>
      </c>
      <c r="L222" s="19" t="n">
        <v>0.03517004610606078</v>
      </c>
      <c r="M222" s="19" t="n">
        <v>0.06714281529338884</v>
      </c>
      <c r="N222" s="20" t="n">
        <v>0</v>
      </c>
      <c r="O222" s="27" t="n">
        <v>0.4</v>
      </c>
      <c r="P222" s="17" t="inlineStr">
        <is>
          <t>DraftKings</t>
        </is>
      </c>
      <c r="Q222" s="17" t="inlineStr">
        <is>
          <t>ME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UCLA @ CAL</t>
        </is>
      </c>
      <c r="C223" s="12" t="inlineStr">
        <is>
          <t>2026-09-06 02:30</t>
        </is>
      </c>
      <c r="D223" s="22" t="n">
        <v>1</v>
      </c>
      <c r="E223" s="12" t="inlineStr">
        <is>
          <t>TOTAL</t>
        </is>
      </c>
      <c r="F223" s="12" t="inlineStr">
        <is>
          <t>Over 53.5</t>
        </is>
      </c>
      <c r="G223" s="23" t="n">
        <v>53.5</v>
      </c>
      <c r="H223" s="13" t="n">
        <v>-108</v>
      </c>
      <c r="I223" s="15" t="n">
        <v>0.5529881448962572</v>
      </c>
      <c r="J223" s="15" t="n">
        <v>0.4956702459300312</v>
      </c>
      <c r="K223" s="15" t="n">
        <v>0.5192307692307693</v>
      </c>
      <c r="L223" s="14" t="n">
        <v>0.03375737566548798</v>
      </c>
      <c r="M223" s="14" t="n">
        <v>0.06501420498538435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WKU @ NEV</t>
        </is>
      </c>
      <c r="C224" s="17" t="inlineStr">
        <is>
          <t>2026-09-06 02:30</t>
        </is>
      </c>
      <c r="D224" s="25" t="n">
        <v>1</v>
      </c>
      <c r="E224" s="17" t="inlineStr">
        <is>
          <t>ATS</t>
        </is>
      </c>
      <c r="F224" s="17" t="inlineStr">
        <is>
          <t>NEV +1.5</t>
        </is>
      </c>
      <c r="G224" s="26" t="n">
        <v>1.5</v>
      </c>
      <c r="H224" s="18" t="n">
        <v>-112</v>
      </c>
      <c r="I224" s="20" t="n">
        <v>0.5618209245383499</v>
      </c>
      <c r="J224" s="20" t="n">
        <v>0.5043297540699688</v>
      </c>
      <c r="K224" s="20" t="n">
        <v>0.5283018867924528</v>
      </c>
      <c r="L224" s="19" t="n">
        <v>0.03351903774589704</v>
      </c>
      <c r="M224" s="19" t="n">
        <v>0.06344675001901934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LIB @ JMU</t>
        </is>
      </c>
      <c r="C225" s="12" t="inlineStr">
        <is>
          <t>2026-09-05 16:00</t>
        </is>
      </c>
      <c r="D225" s="22" t="n">
        <v>1</v>
      </c>
      <c r="E225" s="12" t="inlineStr">
        <is>
          <t>ATS</t>
        </is>
      </c>
      <c r="F225" s="12" t="inlineStr">
        <is>
          <t>LIB +6</t>
        </is>
      </c>
      <c r="G225" s="23" t="n">
        <v>-6</v>
      </c>
      <c r="H225" s="13" t="n">
        <v>-110</v>
      </c>
      <c r="I225" s="15" t="n">
        <v>0.5567493410811013</v>
      </c>
      <c r="J225" s="15" t="n">
        <v>0.5</v>
      </c>
      <c r="K225" s="15" t="n">
        <v>0.5238095238095238</v>
      </c>
      <c r="L225" s="14" t="n">
        <v>0.03293981727157747</v>
      </c>
      <c r="M225" s="14" t="n">
        <v>0.06113712748229549</v>
      </c>
      <c r="N225" s="15" t="n">
        <v>0.0278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MOST @ TA&amp;M</t>
        </is>
      </c>
      <c r="C226" s="17" t="inlineStr">
        <is>
          <t>2026-09-05 23:00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-112</v>
      </c>
      <c r="I226" s="20" t="n">
        <v>0.559233949493164</v>
      </c>
      <c r="J226" s="20" t="n">
        <v>0.5043297540699688</v>
      </c>
      <c r="K226" s="20" t="n">
        <v>0.5283018867924528</v>
      </c>
      <c r="L226" s="19" t="n">
        <v>0.03093206270071114</v>
      </c>
      <c r="M226" s="19" t="n">
        <v>0.05854997582634602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LOU @ MISS</t>
        </is>
      </c>
      <c r="C227" s="12" t="inlineStr">
        <is>
          <t>2026-09-06 23:30</t>
        </is>
      </c>
      <c r="D227" s="22" t="n">
        <v>1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-112</v>
      </c>
      <c r="I227" s="15" t="n">
        <v>0.5592339371219386</v>
      </c>
      <c r="J227" s="15" t="n">
        <v>0.5043297540699688</v>
      </c>
      <c r="K227" s="15" t="n">
        <v>0.5283018867924528</v>
      </c>
      <c r="L227" s="14" t="n">
        <v>0.03093205032948576</v>
      </c>
      <c r="M227" s="14" t="n">
        <v>0.05854995240938371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MUR @ MTSU</t>
        </is>
      </c>
      <c r="C228" s="17" t="inlineStr">
        <is>
          <t>2026-09-05 23:00</t>
        </is>
      </c>
      <c r="D228" s="25" t="n">
        <v>1</v>
      </c>
      <c r="E228" s="17" t="inlineStr">
        <is>
          <t>TOTAL</t>
        </is>
      </c>
      <c r="F228" s="17" t="inlineStr">
        <is>
          <t>Under 59.5</t>
        </is>
      </c>
      <c r="G228" s="26" t="n">
        <v>59.5</v>
      </c>
      <c r="H228" s="18" t="n">
        <v>-112</v>
      </c>
      <c r="I228" s="20" t="n">
        <v>0.5573178959160068</v>
      </c>
      <c r="J228" s="20" t="n">
        <v>0.5043297540699688</v>
      </c>
      <c r="K228" s="20" t="n">
        <v>0.5283018867924528</v>
      </c>
      <c r="L228" s="19" t="n">
        <v>0.02901600912355395</v>
      </c>
      <c r="M228" s="19" t="n">
        <v>0.0549231601267271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MUR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MIZ @ KU</t>
        </is>
      </c>
      <c r="C229" s="12" t="inlineStr">
        <is>
          <t>2026-09-12 00:00</t>
        </is>
      </c>
      <c r="D229" s="22" t="n">
        <v>2</v>
      </c>
      <c r="E229" s="12" t="inlineStr">
        <is>
          <t>TOTAL</t>
        </is>
      </c>
      <c r="F229" s="12" t="inlineStr">
        <is>
          <t>Over 53.5</t>
        </is>
      </c>
      <c r="G229" s="23" t="n">
        <v>53.5</v>
      </c>
      <c r="H229" s="13" t="n">
        <v>-108</v>
      </c>
      <c r="I229" s="15" t="n">
        <v>0.54720844441673</v>
      </c>
      <c r="J229" s="15" t="n">
        <v>0.4956702459300312</v>
      </c>
      <c r="K229" s="15" t="n">
        <v>0.5192307692307693</v>
      </c>
      <c r="L229" s="14" t="n">
        <v>0.02797767518596073</v>
      </c>
      <c r="M229" s="14" t="n">
        <v>0.05388292998777633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FAU @ FLA</t>
        </is>
      </c>
      <c r="C230" s="17" t="inlineStr">
        <is>
          <t>2026-09-05 23:45</t>
        </is>
      </c>
      <c r="D230" s="25" t="n">
        <v>1</v>
      </c>
      <c r="E230" s="17" t="inlineStr">
        <is>
          <t>TOTAL</t>
        </is>
      </c>
      <c r="F230" s="17" t="inlineStr">
        <is>
          <t>Under 59.5</t>
        </is>
      </c>
      <c r="G230" s="26" t="n">
        <v>59.5</v>
      </c>
      <c r="H230" s="18" t="n">
        <v>-112</v>
      </c>
      <c r="I230" s="20" t="n">
        <v>0.5553964684308079</v>
      </c>
      <c r="J230" s="20" t="n">
        <v>0.5043297540699688</v>
      </c>
      <c r="K230" s="20" t="n">
        <v>0.5283018867924528</v>
      </c>
      <c r="L230" s="19" t="n">
        <v>0.0270945816383551</v>
      </c>
      <c r="M230" s="19" t="n">
        <v>0.05128617238688638</v>
      </c>
      <c r="N230" s="20" t="n">
        <v>0</v>
      </c>
      <c r="O230" s="27" t="n">
        <v>0.4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LIB @ JMU</t>
        </is>
      </c>
      <c r="C231" s="12" t="inlineStr">
        <is>
          <t>2026-09-05 16:00</t>
        </is>
      </c>
      <c r="D231" s="22" t="n">
        <v>1</v>
      </c>
      <c r="E231" s="12" t="inlineStr">
        <is>
          <t>ML</t>
        </is>
      </c>
      <c r="F231" s="12" t="inlineStr">
        <is>
          <t>LIB ML</t>
        </is>
      </c>
      <c r="G231" s="23" t="n"/>
      <c r="H231" s="13" t="n">
        <v>185</v>
      </c>
      <c r="I231" s="15" t="n">
        <v>0.3762765122699969</v>
      </c>
      <c r="J231" s="15" t="n">
        <v>0.3363518758085381</v>
      </c>
      <c r="K231" s="15" t="n">
        <v>0.3508771929824561</v>
      </c>
      <c r="L231" s="14" t="n">
        <v>0.0253993192875408</v>
      </c>
      <c r="M231" s="14" t="n">
        <v>0.07238805996949127</v>
      </c>
      <c r="N231" s="15" t="n">
        <v>0</v>
      </c>
      <c r="O231" s="24" t="n">
        <v>0.4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WKU @ NEV</t>
        </is>
      </c>
      <c r="C232" s="17" t="inlineStr">
        <is>
          <t>2026-09-06 02:30</t>
        </is>
      </c>
      <c r="D232" s="25" t="n">
        <v>1</v>
      </c>
      <c r="E232" s="17" t="inlineStr">
        <is>
          <t>ML</t>
        </is>
      </c>
      <c r="F232" s="17" t="inlineStr">
        <is>
          <t>NEV ML</t>
        </is>
      </c>
      <c r="G232" s="26" t="n"/>
      <c r="H232" s="18" t="n">
        <v>-105</v>
      </c>
      <c r="I232" s="20" t="n">
        <v>0.5364823075410978</v>
      </c>
      <c r="J232" s="20" t="n">
        <v>0.4891657638136511</v>
      </c>
      <c r="K232" s="20" t="n">
        <v>0.5121951219512195</v>
      </c>
      <c r="L232" s="19" t="n">
        <v>0.0242871855898783</v>
      </c>
      <c r="M232" s="19" t="n">
        <v>0.04741783853261949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LIU @ KU</t>
        </is>
      </c>
      <c r="C233" s="12" t="inlineStr">
        <is>
          <t>2026-09-05 00:00</t>
        </is>
      </c>
      <c r="D233" s="22" t="n">
        <v>1</v>
      </c>
      <c r="E233" s="12" t="inlineStr">
        <is>
          <t>TOTAL</t>
        </is>
      </c>
      <c r="F233" s="12" t="inlineStr">
        <is>
          <t>Over 53.5</t>
        </is>
      </c>
      <c r="G233" s="23" t="n">
        <v>53.5</v>
      </c>
      <c r="H233" s="13" t="n">
        <v>-125</v>
      </c>
      <c r="I233" s="15" t="n">
        <v>0.5790169753225609</v>
      </c>
      <c r="J233" s="15" t="n">
        <v>0.5324675324675325</v>
      </c>
      <c r="K233" s="15" t="n">
        <v>0.5555555555555556</v>
      </c>
      <c r="L233" s="14" t="n">
        <v>0.02346141976700533</v>
      </c>
      <c r="M233" s="14" t="n">
        <v>0.04223055558060967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LIU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ULM @ MSST</t>
        </is>
      </c>
      <c r="C234" s="17" t="inlineStr">
        <is>
          <t>2026-09-05 23:30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100</v>
      </c>
      <c r="I234" s="20" t="n">
        <v>0.5226575979944532</v>
      </c>
      <c r="J234" s="20" t="n">
        <v>0.4975369458128079</v>
      </c>
      <c r="K234" s="20" t="n">
        <v>0.5</v>
      </c>
      <c r="L234" s="19" t="n">
        <v>0.02265759799445322</v>
      </c>
      <c r="M234" s="19" t="n">
        <v>0.04531519598890643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BCU @ UCF</t>
        </is>
      </c>
      <c r="C235" s="12" t="inlineStr">
        <is>
          <t>2026-09-03 23:00</t>
        </is>
      </c>
      <c r="D235" s="22" t="n">
        <v>1</v>
      </c>
      <c r="E235" s="12" t="inlineStr">
        <is>
          <t>TOTAL</t>
        </is>
      </c>
      <c r="F235" s="12" t="inlineStr">
        <is>
          <t>Under 58.5</t>
        </is>
      </c>
      <c r="G235" s="23" t="n">
        <v>58.5</v>
      </c>
      <c r="H235" s="13" t="n">
        <v>-110</v>
      </c>
      <c r="I235" s="15" t="n">
        <v>0.5454956891489576</v>
      </c>
      <c r="J235" s="15" t="n">
        <v>0.5</v>
      </c>
      <c r="K235" s="15" t="n">
        <v>0.5238095238095238</v>
      </c>
      <c r="L235" s="14" t="n">
        <v>0.02168616533943379</v>
      </c>
      <c r="M235" s="14" t="n">
        <v>0.04140086110255553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BCU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UAB @ ILL</t>
        </is>
      </c>
      <c r="C236" s="17" t="inlineStr">
        <is>
          <t>2026-09-04 01:00</t>
        </is>
      </c>
      <c r="D236" s="25" t="n">
        <v>1</v>
      </c>
      <c r="E236" s="17" t="inlineStr">
        <is>
          <t>TOTAL</t>
        </is>
      </c>
      <c r="F236" s="17" t="inlineStr">
        <is>
          <t>Over 54.5</t>
        </is>
      </c>
      <c r="G236" s="26" t="n">
        <v>54.5</v>
      </c>
      <c r="H236" s="18" t="n">
        <v>-112</v>
      </c>
      <c r="I236" s="20" t="n">
        <v>0.5496017117570674</v>
      </c>
      <c r="J236" s="20" t="n">
        <v>0.5043297540699688</v>
      </c>
      <c r="K236" s="20" t="n">
        <v>0.5283018867924528</v>
      </c>
      <c r="L236" s="19" t="n">
        <v>0.02129982496461458</v>
      </c>
      <c r="M236" s="19" t="n">
        <v>0.04031752582587755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UNT @ IU</t>
        </is>
      </c>
      <c r="C237" s="12" t="inlineStr">
        <is>
          <t>2026-09-05 16:00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-112</v>
      </c>
      <c r="I237" s="15" t="n">
        <v>0.547660568431118</v>
      </c>
      <c r="J237" s="15" t="n">
        <v>0.5043297540699688</v>
      </c>
      <c r="K237" s="15" t="n">
        <v>0.5283018867924528</v>
      </c>
      <c r="L237" s="14" t="n">
        <v>0.01935868163866517</v>
      </c>
      <c r="M237" s="14" t="n">
        <v>0.03664321881604471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TXST @ TEX</t>
        </is>
      </c>
      <c r="C238" s="17" t="inlineStr">
        <is>
          <t>2026-09-05 19:30</t>
        </is>
      </c>
      <c r="D238" s="25" t="n">
        <v>1</v>
      </c>
      <c r="E238" s="17" t="inlineStr">
        <is>
          <t>TOTAL</t>
        </is>
      </c>
      <c r="F238" s="17" t="inlineStr">
        <is>
          <t>Under 59.5</t>
        </is>
      </c>
      <c r="G238" s="26" t="n">
        <v>59.5</v>
      </c>
      <c r="H238" s="18" t="n">
        <v>-112</v>
      </c>
      <c r="I238" s="20" t="n">
        <v>0.5476605668250438</v>
      </c>
      <c r="J238" s="20" t="n">
        <v>0.5043297540699688</v>
      </c>
      <c r="K238" s="20" t="n">
        <v>0.5283018867924528</v>
      </c>
      <c r="L238" s="19" t="n">
        <v>0.019358680032591</v>
      </c>
      <c r="M238" s="19" t="n">
        <v>0.03664321577597579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RGV @ UTSA</t>
        </is>
      </c>
      <c r="C239" s="12" t="inlineStr">
        <is>
          <t>2026-09-05 19:30</t>
        </is>
      </c>
      <c r="D239" s="22" t="n">
        <v>1</v>
      </c>
      <c r="E239" s="12" t="inlineStr">
        <is>
          <t>TOTAL</t>
        </is>
      </c>
      <c r="F239" s="12" t="inlineStr">
        <is>
          <t>Under 59.5</t>
        </is>
      </c>
      <c r="G239" s="23" t="n">
        <v>59.5</v>
      </c>
      <c r="H239" s="13" t="n">
        <v>-110</v>
      </c>
      <c r="I239" s="15" t="n">
        <v>0.5416001688389518</v>
      </c>
      <c r="J239" s="15" t="n">
        <v>0.5</v>
      </c>
      <c r="K239" s="15" t="n">
        <v>0.5238095238095238</v>
      </c>
      <c r="L239" s="14" t="n">
        <v>0.01779064502942795</v>
      </c>
      <c r="M239" s="14" t="n">
        <v>0.03396395869254437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RGV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OU @ MICH</t>
        </is>
      </c>
      <c r="C240" s="17" t="inlineStr">
        <is>
          <t>2026-09-12 16:00</t>
        </is>
      </c>
      <c r="D240" s="25" t="n">
        <v>2</v>
      </c>
      <c r="E240" s="17" t="inlineStr">
        <is>
          <t>ML</t>
        </is>
      </c>
      <c r="F240" s="17" t="inlineStr">
        <is>
          <t>MICH ML</t>
        </is>
      </c>
      <c r="G240" s="26" t="n"/>
      <c r="H240" s="18" t="n">
        <v>-115</v>
      </c>
      <c r="I240" s="20" t="n">
        <v>0.5473165437274466</v>
      </c>
      <c r="J240" s="20" t="n">
        <v>0.5108342361863488</v>
      </c>
      <c r="K240" s="20" t="n">
        <v>0.5348837209302325</v>
      </c>
      <c r="L240" s="19" t="n">
        <v>0.01243282279721414</v>
      </c>
      <c r="M240" s="19" t="n">
        <v>0.02324397305566106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NAU @ ARIZ</t>
        </is>
      </c>
      <c r="C241" s="12" t="inlineStr">
        <is>
          <t>2026-09-06 01:30</t>
        </is>
      </c>
      <c r="D241" s="22" t="n">
        <v>1</v>
      </c>
      <c r="E241" s="12" t="inlineStr">
        <is>
          <t>TOTAL</t>
        </is>
      </c>
      <c r="F241" s="12" t="inlineStr">
        <is>
          <t>Under 58.5</t>
        </is>
      </c>
      <c r="G241" s="23" t="n">
        <v>58.5</v>
      </c>
      <c r="H241" s="13" t="n">
        <v>-115</v>
      </c>
      <c r="I241" s="15" t="n">
        <v>0.5470172863495428</v>
      </c>
      <c r="J241" s="15" t="n">
        <v>0.5108342361863488</v>
      </c>
      <c r="K241" s="15" t="n">
        <v>0.5348837209302325</v>
      </c>
      <c r="L241" s="14" t="n">
        <v>0.01213356541931032</v>
      </c>
      <c r="M241" s="14" t="n">
        <v>0.02268449187088434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NAU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SHSU @ TROY</t>
        </is>
      </c>
      <c r="C242" s="17" t="inlineStr">
        <is>
          <t>2026-09-05 23:00</t>
        </is>
      </c>
      <c r="D242" s="25" t="n">
        <v>1</v>
      </c>
      <c r="E242" s="17" t="inlineStr">
        <is>
          <t>TOTAL</t>
        </is>
      </c>
      <c r="F242" s="17" t="inlineStr">
        <is>
          <t>Over 54.5</t>
        </is>
      </c>
      <c r="G242" s="26" t="n">
        <v>54.5</v>
      </c>
      <c r="H242" s="18" t="n">
        <v>-105</v>
      </c>
      <c r="I242" s="20" t="n">
        <v>0.5224294190119387</v>
      </c>
      <c r="J242" s="20" t="n">
        <v>0.4891657638136511</v>
      </c>
      <c r="K242" s="20" t="n">
        <v>0.5121951219512195</v>
      </c>
      <c r="L242" s="19" t="n">
        <v>0.01023429706071921</v>
      </c>
      <c r="M242" s="19" t="n">
        <v>0.01998124664235656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OU @ MICH</t>
        </is>
      </c>
      <c r="C243" s="12" t="inlineStr">
        <is>
          <t>2026-09-12 16:00</t>
        </is>
      </c>
      <c r="D243" s="22" t="n">
        <v>2</v>
      </c>
      <c r="E243" s="12" t="inlineStr">
        <is>
          <t>ATS</t>
        </is>
      </c>
      <c r="F243" s="12" t="inlineStr">
        <is>
          <t>MICH -1.5</t>
        </is>
      </c>
      <c r="G243" s="23" t="n">
        <v>-1.5</v>
      </c>
      <c r="H243" s="13" t="n">
        <v>-102</v>
      </c>
      <c r="I243" s="15" t="n">
        <v>0.5149571354058088</v>
      </c>
      <c r="J243" s="15" t="n">
        <v>0.4826358742837298</v>
      </c>
      <c r="K243" s="15" t="n">
        <v>0.504950495049505</v>
      </c>
      <c r="L243" s="14" t="n">
        <v>0.01000664035630383</v>
      </c>
      <c r="M243" s="14" t="n">
        <v>0.01981707207817041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OSU @ TEX</t>
        </is>
      </c>
      <c r="C244" s="17" t="inlineStr">
        <is>
          <t>2026-09-12 23:30</t>
        </is>
      </c>
      <c r="D244" s="25" t="n">
        <v>2</v>
      </c>
      <c r="E244" s="17" t="inlineStr">
        <is>
          <t>ML</t>
        </is>
      </c>
      <c r="F244" s="17" t="inlineStr">
        <is>
          <t>TEX ML</t>
        </is>
      </c>
      <c r="G244" s="26" t="n"/>
      <c r="H244" s="18" t="n">
        <v>-118</v>
      </c>
      <c r="I244" s="20" t="n">
        <v>0.5505814884924073</v>
      </c>
      <c r="J244" s="20" t="n">
        <v>0.5173641257162701</v>
      </c>
      <c r="K244" s="20" t="n">
        <v>0.5412844036697247</v>
      </c>
      <c r="L244" s="19" t="n">
        <v>0.009297084822682544</v>
      </c>
      <c r="M244" s="19" t="n">
        <v>0.01717597026563378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NICH @ KSU</t>
        </is>
      </c>
      <c r="C245" s="12" t="inlineStr">
        <is>
          <t>2026-09-05 23:00</t>
        </is>
      </c>
      <c r="D245" s="22" t="n">
        <v>1</v>
      </c>
      <c r="E245" s="12" t="inlineStr">
        <is>
          <t>TOTAL</t>
        </is>
      </c>
      <c r="F245" s="12" t="inlineStr">
        <is>
          <t>Over 54.5</t>
        </is>
      </c>
      <c r="G245" s="23" t="n">
        <v>54.5</v>
      </c>
      <c r="H245" s="13" t="n">
        <v>-120</v>
      </c>
      <c r="I245" s="15" t="n">
        <v>0.5544196411402307</v>
      </c>
      <c r="J245" s="15" t="n">
        <v>0.5217391304347826</v>
      </c>
      <c r="K245" s="15" t="n">
        <v>0.5454545454545454</v>
      </c>
      <c r="L245" s="14" t="n">
        <v>0.008965095685685265</v>
      </c>
      <c r="M245" s="14" t="n">
        <v>0.01643600875708967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NICH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KENT @ SC</t>
        </is>
      </c>
      <c r="C246" s="17" t="inlineStr">
        <is>
          <t>2026-09-05 16:45</t>
        </is>
      </c>
      <c r="D246" s="25" t="n">
        <v>1</v>
      </c>
      <c r="E246" s="17" t="inlineStr">
        <is>
          <t>TOTAL</t>
        </is>
      </c>
      <c r="F246" s="17" t="inlineStr">
        <is>
          <t>Over 54.5</t>
        </is>
      </c>
      <c r="G246" s="26" t="n">
        <v>54.5</v>
      </c>
      <c r="H246" s="18" t="n">
        <v>-108</v>
      </c>
      <c r="I246" s="20" t="n">
        <v>0.5276563095632306</v>
      </c>
      <c r="J246" s="20" t="n">
        <v>0.4956702459300312</v>
      </c>
      <c r="K246" s="20" t="n">
        <v>0.5192307692307693</v>
      </c>
      <c r="L246" s="19" t="n">
        <v>0.008425540332461345</v>
      </c>
      <c r="M246" s="19" t="n">
        <v>0.01622696656622197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FOR @ NDSU</t>
        </is>
      </c>
      <c r="C247" s="12" t="inlineStr">
        <is>
          <t>2026-09-05 19:30</t>
        </is>
      </c>
      <c r="D247" s="22" t="n">
        <v>1</v>
      </c>
      <c r="E247" s="12" t="inlineStr">
        <is>
          <t>TOTAL</t>
        </is>
      </c>
      <c r="F247" s="12" t="inlineStr">
        <is>
          <t>Under 57.5</t>
        </is>
      </c>
      <c r="G247" s="23" t="n">
        <v>57.5</v>
      </c>
      <c r="H247" s="13" t="n">
        <v>-108</v>
      </c>
      <c r="I247" s="15" t="n">
        <v>0.5276563056065557</v>
      </c>
      <c r="J247" s="15" t="n">
        <v>0.4956702459300312</v>
      </c>
      <c r="K247" s="15" t="n">
        <v>0.5192307692307693</v>
      </c>
      <c r="L247" s="14" t="n">
        <v>0.008425536375786469</v>
      </c>
      <c r="M247" s="14" t="n">
        <v>0.01622695894595927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FOR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MRMK @ DEL</t>
        </is>
      </c>
      <c r="C248" s="17" t="inlineStr">
        <is>
          <t>2026-09-03 23:00</t>
        </is>
      </c>
      <c r="D248" s="25" t="n">
        <v>1</v>
      </c>
      <c r="E248" s="17" t="inlineStr">
        <is>
          <t>TOTAL</t>
        </is>
      </c>
      <c r="F248" s="17" t="inlineStr">
        <is>
          <t>Over 55.5</t>
        </is>
      </c>
      <c r="G248" s="26" t="n">
        <v>55.5</v>
      </c>
      <c r="H248" s="18" t="n">
        <v>-108</v>
      </c>
      <c r="I248" s="20" t="n">
        <v>0.5256816590365501</v>
      </c>
      <c r="J248" s="20" t="n">
        <v>0.4956702459300312</v>
      </c>
      <c r="K248" s="20" t="n">
        <v>0.5192307692307693</v>
      </c>
      <c r="L248" s="19" t="n">
        <v>0.006450889805780791</v>
      </c>
      <c r="M248" s="19" t="n">
        <v>0.01242393592224461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MRMK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EKU @ JVST</t>
        </is>
      </c>
      <c r="C249" s="12" t="inlineStr">
        <is>
          <t>2026-09-05 23:00</t>
        </is>
      </c>
      <c r="D249" s="22" t="n">
        <v>1</v>
      </c>
      <c r="E249" s="12" t="inlineStr">
        <is>
          <t>TOTAL</t>
        </is>
      </c>
      <c r="F249" s="12" t="inlineStr">
        <is>
          <t>Over 54.5</t>
        </is>
      </c>
      <c r="G249" s="23" t="n">
        <v>54.5</v>
      </c>
      <c r="H249" s="13" t="n">
        <v>-105</v>
      </c>
      <c r="I249" s="15" t="n">
        <v>0.5184720081362997</v>
      </c>
      <c r="J249" s="15" t="n">
        <v>0.4891657638136511</v>
      </c>
      <c r="K249" s="15" t="n">
        <v>0.5121951219512195</v>
      </c>
      <c r="L249" s="14" t="n">
        <v>0.006276886185080155</v>
      </c>
      <c r="M249" s="14" t="n">
        <v>0.01225487302801365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EKU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OSU @ TEX</t>
        </is>
      </c>
      <c r="C250" s="17" t="inlineStr">
        <is>
          <t>2026-09-12 23:30</t>
        </is>
      </c>
      <c r="D250" s="25" t="n">
        <v>2</v>
      </c>
      <c r="E250" s="17" t="inlineStr">
        <is>
          <t>ATS</t>
        </is>
      </c>
      <c r="F250" s="17" t="inlineStr">
        <is>
          <t>TEX -1.5</t>
        </is>
      </c>
      <c r="G250" s="26" t="n">
        <v>-1.5</v>
      </c>
      <c r="H250" s="18" t="n">
        <v>-108</v>
      </c>
      <c r="I250" s="20" t="n">
        <v>0.5214743212289594</v>
      </c>
      <c r="J250" s="20" t="n">
        <v>0.4956702459300312</v>
      </c>
      <c r="K250" s="20" t="n">
        <v>0.5192307692307693</v>
      </c>
      <c r="L250" s="19" t="n">
        <v>0.002243551998190152</v>
      </c>
      <c r="M250" s="19" t="n">
        <v>0.004320914959477451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NWST @ LT</t>
        </is>
      </c>
      <c r="C251" s="12" t="inlineStr">
        <is>
          <t>2026-09-05 23:30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-105</v>
      </c>
      <c r="I251" s="15" t="n">
        <v>0.5125185363218664</v>
      </c>
      <c r="J251" s="15" t="n">
        <v>0.4891657638136511</v>
      </c>
      <c r="K251" s="15" t="n">
        <v>0.5121951219512195</v>
      </c>
      <c r="L251" s="14" t="n">
        <v>0.0003234143706468684</v>
      </c>
      <c r="M251" s="14" t="n">
        <v>0.0006314280569771902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NWST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UNH @ SYR</t>
        </is>
      </c>
      <c r="C252" s="17" t="inlineStr">
        <is>
          <t>2026-09-05 16:00</t>
        </is>
      </c>
      <c r="D252" s="25" t="n">
        <v>1</v>
      </c>
      <c r="E252" s="17" t="inlineStr">
        <is>
          <t>TOTAL</t>
        </is>
      </c>
      <c r="F252" s="17" t="inlineStr">
        <is>
          <t>Over 55.5</t>
        </is>
      </c>
      <c r="G252" s="26" t="n">
        <v>55.5</v>
      </c>
      <c r="H252" s="18" t="n">
        <v>-110</v>
      </c>
      <c r="I252" s="20" t="n">
        <v>0.5238891250880493</v>
      </c>
      <c r="J252" s="20" t="n">
        <v>0.5</v>
      </c>
      <c r="K252" s="20" t="n">
        <v>0.5238095238095238</v>
      </c>
      <c r="L252" s="19" t="n">
        <v>7.960127852546517e-05</v>
      </c>
      <c r="M252" s="19" t="n">
        <v>0.000151966077185095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UNH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DUQ @ AFA</t>
        </is>
      </c>
      <c r="C253" s="12" t="inlineStr">
        <is>
          <t>2026-09-05 17:00</t>
        </is>
      </c>
      <c r="D253" s="22" t="n">
        <v>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-118</v>
      </c>
      <c r="I253" s="15" t="n">
        <v>0.5404749336355049</v>
      </c>
      <c r="J253" s="15" t="n">
        <v>0.5173641257162701</v>
      </c>
      <c r="K253" s="15" t="n">
        <v>0.5412844036697247</v>
      </c>
      <c r="L253" s="14" t="n">
        <v>-0.000809470034219828</v>
      </c>
      <c r="M253" s="14" t="n">
        <v>-0.001495461588643499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DUQ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TAR @ BGSU</t>
        </is>
      </c>
      <c r="C254" s="17" t="inlineStr">
        <is>
          <t>2026-09-05 16:00</t>
        </is>
      </c>
      <c r="D254" s="25" t="n">
        <v>1</v>
      </c>
      <c r="E254" s="17" t="inlineStr">
        <is>
          <t>ML</t>
        </is>
      </c>
      <c r="F254" s="17" t="inlineStr">
        <is>
          <t>BGSU ML</t>
        </is>
      </c>
      <c r="G254" s="26" t="n"/>
      <c r="H254" s="18" t="n">
        <v>-135</v>
      </c>
      <c r="I254" s="20" t="n">
        <v>0.5676199829925468</v>
      </c>
      <c r="J254" s="20" t="n">
        <v>0.551441114716549</v>
      </c>
      <c r="K254" s="20" t="n">
        <v>0.574468085106383</v>
      </c>
      <c r="L254" s="19" t="n">
        <v>-0.006848102113836241</v>
      </c>
      <c r="M254" s="19" t="n">
        <v>-0.01192077034630745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TAR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BALL @ OSU</t>
        </is>
      </c>
      <c r="C255" s="12" t="inlineStr">
        <is>
          <t>2026-09-05 16:30</t>
        </is>
      </c>
      <c r="D255" s="22" t="n">
        <v>1</v>
      </c>
      <c r="E255" s="12" t="inlineStr">
        <is>
          <t>TOTAL</t>
        </is>
      </c>
      <c r="F255" s="12" t="inlineStr">
        <is>
          <t>Under 55.5</t>
        </is>
      </c>
      <c r="G255" s="23" t="n">
        <v>55.5</v>
      </c>
      <c r="H255" s="13" t="n">
        <v>-105</v>
      </c>
      <c r="I255" s="15" t="n">
        <v>0.5045564355334444</v>
      </c>
      <c r="J255" s="15" t="n">
        <v>0.4891657638136511</v>
      </c>
      <c r="K255" s="15" t="n">
        <v>0.5121951219512195</v>
      </c>
      <c r="L255" s="14" t="n">
        <v>-0.007638686417775098</v>
      </c>
      <c r="M255" s="14" t="n">
        <v>-0.01491362586327521</v>
      </c>
      <c r="N255" s="15" t="n">
        <v>0</v>
      </c>
      <c r="O255" s="24" t="n">
        <v>0.4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UNLV @ HAW</t>
        </is>
      </c>
      <c r="C256" s="17" t="inlineStr">
        <is>
          <t>2026-09-06 02:00</t>
        </is>
      </c>
      <c r="D256" s="25" t="n">
        <v>1</v>
      </c>
      <c r="E256" s="17" t="inlineStr">
        <is>
          <t>TOTAL</t>
        </is>
      </c>
      <c r="F256" s="17" t="inlineStr">
        <is>
          <t>Over 56.5</t>
        </is>
      </c>
      <c r="G256" s="26" t="n">
        <v>56.5</v>
      </c>
      <c r="H256" s="18" t="n">
        <v>-105</v>
      </c>
      <c r="I256" s="20" t="n">
        <v>0.502562926306694</v>
      </c>
      <c r="J256" s="20" t="n">
        <v>0.4891657638136511</v>
      </c>
      <c r="K256" s="20" t="n">
        <v>0.5121951219512195</v>
      </c>
      <c r="L256" s="19" t="n">
        <v>-0.009632195644525554</v>
      </c>
      <c r="M256" s="19" t="n">
        <v>-0.01880571530597847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WYO @ CSU</t>
        </is>
      </c>
      <c r="C257" s="12" t="inlineStr">
        <is>
          <t>2026-09-05 22:00</t>
        </is>
      </c>
      <c r="D257" s="22" t="n">
        <v>1</v>
      </c>
      <c r="E257" s="12" t="inlineStr">
        <is>
          <t>ML</t>
        </is>
      </c>
      <c r="F257" s="12" t="inlineStr">
        <is>
          <t>WYO ML</t>
        </is>
      </c>
      <c r="G257" s="23" t="n"/>
      <c r="H257" s="13" t="n">
        <v>136</v>
      </c>
      <c r="I257" s="15" t="n">
        <v>0.4114156972860158</v>
      </c>
      <c r="J257" s="15" t="n">
        <v>0.4066302458405761</v>
      </c>
      <c r="K257" s="15" t="n">
        <v>0.423728813559322</v>
      </c>
      <c r="L257" s="14" t="n">
        <v>-0.01231311627330622</v>
      </c>
      <c r="M257" s="14" t="n">
        <v>-0.02905895440500261</v>
      </c>
      <c r="N257" s="15" t="n">
        <v>0</v>
      </c>
      <c r="O257" s="24" t="n">
        <v>0.4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TAR @ BGSU</t>
        </is>
      </c>
      <c r="C258" s="17" t="inlineStr">
        <is>
          <t>2026-09-05 16:00</t>
        </is>
      </c>
      <c r="D258" s="25" t="n">
        <v>1</v>
      </c>
      <c r="E258" s="17" t="inlineStr">
        <is>
          <t>ATS</t>
        </is>
      </c>
      <c r="F258" s="17" t="inlineStr">
        <is>
          <t>BGSU -2.5</t>
        </is>
      </c>
      <c r="G258" s="26" t="n">
        <v>-2.5</v>
      </c>
      <c r="H258" s="18" t="n">
        <v>-110</v>
      </c>
      <c r="I258" s="20" t="n">
        <v>0.5100324753803556</v>
      </c>
      <c r="J258" s="20" t="n">
        <v>0.5</v>
      </c>
      <c r="K258" s="20" t="n">
        <v>0.5238095238095238</v>
      </c>
      <c r="L258" s="19" t="n">
        <v>-0.01377704842916827</v>
      </c>
      <c r="M258" s="19" t="n">
        <v>-0.02630163791023027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TAR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IDHO @ UTAH</t>
        </is>
      </c>
      <c r="C259" s="12" t="inlineStr">
        <is>
          <t>2026-09-04 01:00</t>
        </is>
      </c>
      <c r="D259" s="22" t="n">
        <v>1</v>
      </c>
      <c r="E259" s="12" t="inlineStr">
        <is>
          <t>TOTAL</t>
        </is>
      </c>
      <c r="F259" s="12" t="inlineStr">
        <is>
          <t>Under 57.5</t>
        </is>
      </c>
      <c r="G259" s="23" t="n">
        <v>57.5</v>
      </c>
      <c r="H259" s="13" t="n">
        <v>-110</v>
      </c>
      <c r="I259" s="15" t="n">
        <v>0.5099735559540945</v>
      </c>
      <c r="J259" s="15" t="n">
        <v>0.5</v>
      </c>
      <c r="K259" s="15" t="n">
        <v>0.5238095238095238</v>
      </c>
      <c r="L259" s="14" t="n">
        <v>-0.01383596785542929</v>
      </c>
      <c r="M259" s="14" t="n">
        <v>-0.026414120451274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IDHO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WYO @ CSU</t>
        </is>
      </c>
      <c r="C260" s="17" t="inlineStr">
        <is>
          <t>2026-09-05 22:00</t>
        </is>
      </c>
      <c r="D260" s="25" t="n">
        <v>1</v>
      </c>
      <c r="E260" s="17" t="inlineStr">
        <is>
          <t>ATS</t>
        </is>
      </c>
      <c r="F260" s="17" t="inlineStr">
        <is>
          <t>WYO +3</t>
        </is>
      </c>
      <c r="G260" s="26" t="n">
        <v>-3</v>
      </c>
      <c r="H260" s="18" t="n">
        <v>-108</v>
      </c>
      <c r="I260" s="20" t="n">
        <v>0.5034083172423699</v>
      </c>
      <c r="J260" s="20" t="n">
        <v>0.4956702459300312</v>
      </c>
      <c r="K260" s="20" t="n">
        <v>0.5192307692307693</v>
      </c>
      <c r="L260" s="19" t="n">
        <v>-0.01582245198839938</v>
      </c>
      <c r="M260" s="19" t="n">
        <v>-0.02861215285780999</v>
      </c>
      <c r="N260" s="20" t="n">
        <v>0.0611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SJSU @ EMU</t>
        </is>
      </c>
      <c r="C261" s="12" t="inlineStr">
        <is>
          <t>2026-09-04 22:30</t>
        </is>
      </c>
      <c r="D261" s="22" t="n">
        <v>1</v>
      </c>
      <c r="E261" s="12" t="inlineStr">
        <is>
          <t>ML</t>
        </is>
      </c>
      <c r="F261" s="12" t="inlineStr">
        <is>
          <t>SJSU ML</t>
        </is>
      </c>
      <c r="G261" s="23" t="n"/>
      <c r="H261" s="13" t="n">
        <v>130</v>
      </c>
      <c r="I261" s="15" t="n">
        <v>0.4174506819533895</v>
      </c>
      <c r="J261" s="15" t="n">
        <v>0.4170073589533933</v>
      </c>
      <c r="K261" s="15" t="n">
        <v>0.4347826086956522</v>
      </c>
      <c r="L261" s="14" t="n">
        <v>-0.01733192674226264</v>
      </c>
      <c r="M261" s="14" t="n">
        <v>-0.03986343150720417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TNST @ UGA</t>
        </is>
      </c>
      <c r="C262" s="17" t="inlineStr">
        <is>
          <t>2026-09-05 19:00</t>
        </is>
      </c>
      <c r="D262" s="25" t="n">
        <v>1</v>
      </c>
      <c r="E262" s="17" t="inlineStr">
        <is>
          <t>TOTAL</t>
        </is>
      </c>
      <c r="F262" s="17" t="inlineStr">
        <is>
          <t>Over 56.5</t>
        </is>
      </c>
      <c r="G262" s="26" t="n">
        <v>56.5</v>
      </c>
      <c r="H262" s="18" t="n">
        <v>-102</v>
      </c>
      <c r="I262" s="20" t="n">
        <v>0.4873271185344649</v>
      </c>
      <c r="J262" s="20" t="n">
        <v>0.4826358742837298</v>
      </c>
      <c r="K262" s="20" t="n">
        <v>0.504950495049505</v>
      </c>
      <c r="L262" s="19" t="n">
        <v>-0.01762337651504009</v>
      </c>
      <c r="M262" s="19" t="n">
        <v>-0.03490119662782443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TNST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CCU @ WVU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-108</v>
      </c>
      <c r="I263" s="15" t="n">
        <v>0.499830634342373</v>
      </c>
      <c r="J263" s="15" t="n">
        <v>0.4956702459300312</v>
      </c>
      <c r="K263" s="15" t="n">
        <v>0.5192307692307693</v>
      </c>
      <c r="L263" s="14" t="n">
        <v>-0.01940013488839626</v>
      </c>
      <c r="M263" s="14" t="n">
        <v>-0.03736322274802223</v>
      </c>
      <c r="N263" s="15" t="n">
        <v>0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SJSU @ EMU</t>
        </is>
      </c>
      <c r="C264" s="17" t="inlineStr">
        <is>
          <t>2026-09-04 22:30</t>
        </is>
      </c>
      <c r="D264" s="25" t="n">
        <v>1</v>
      </c>
      <c r="E264" s="17" t="inlineStr">
        <is>
          <t>ATS</t>
        </is>
      </c>
      <c r="F264" s="17" t="inlineStr">
        <is>
          <t>SJSU +3</t>
        </is>
      </c>
      <c r="G264" s="26" t="n">
        <v>-3</v>
      </c>
      <c r="H264" s="18" t="n">
        <v>-112</v>
      </c>
      <c r="I264" s="20" t="n">
        <v>0.5086525107544768</v>
      </c>
      <c r="J264" s="20" t="n">
        <v>0.5043297540699688</v>
      </c>
      <c r="K264" s="20" t="n">
        <v>0.5283018867924528</v>
      </c>
      <c r="L264" s="19" t="n">
        <v>-0.01964937603797601</v>
      </c>
      <c r="M264" s="19" t="n">
        <v>-0.03492270303066269</v>
      </c>
      <c r="N264" s="20" t="n">
        <v>0.0611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HAMP @ MD</t>
        </is>
      </c>
      <c r="C265" s="12" t="inlineStr">
        <is>
          <t>2026-09-06 00:00</t>
        </is>
      </c>
      <c r="D265" s="22" t="n">
        <v>1</v>
      </c>
      <c r="E265" s="12" t="inlineStr">
        <is>
          <t>TOTAL</t>
        </is>
      </c>
      <c r="F265" s="12" t="inlineStr">
        <is>
          <t>Under 56.5</t>
        </is>
      </c>
      <c r="G265" s="23" t="n">
        <v>56.5</v>
      </c>
      <c r="H265" s="13" t="n">
        <v>-108</v>
      </c>
      <c r="I265" s="15" t="n">
        <v>0.4978351214881438</v>
      </c>
      <c r="J265" s="15" t="n">
        <v>0.4956702459300312</v>
      </c>
      <c r="K265" s="15" t="n">
        <v>0.5192307692307693</v>
      </c>
      <c r="L265" s="14" t="n">
        <v>-0.02139564774262548</v>
      </c>
      <c r="M265" s="14" t="n">
        <v>-0.0412064326895008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HAMP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MVSU @ SAC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-108</v>
      </c>
      <c r="I266" s="20" t="n">
        <v>0.4978351214881438</v>
      </c>
      <c r="J266" s="20" t="n">
        <v>0.4956702459300312</v>
      </c>
      <c r="K266" s="20" t="n">
        <v>0.5192307692307693</v>
      </c>
      <c r="L266" s="19" t="n">
        <v>-0.02139564774262548</v>
      </c>
      <c r="M266" s="19" t="n">
        <v>-0.0412064326895008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MVSU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SJSU @ EMU</t>
        </is>
      </c>
      <c r="C267" s="12" t="inlineStr">
        <is>
          <t>2026-09-04 22:30</t>
        </is>
      </c>
      <c r="D267" s="22" t="n">
        <v>1</v>
      </c>
      <c r="E267" s="12" t="inlineStr">
        <is>
          <t>TOTAL</t>
        </is>
      </c>
      <c r="F267" s="12" t="inlineStr">
        <is>
          <t>Over 56.5</t>
        </is>
      </c>
      <c r="G267" s="23" t="n">
        <v>56.5</v>
      </c>
      <c r="H267" s="13" t="n">
        <v>-108</v>
      </c>
      <c r="I267" s="15" t="n">
        <v>0.4958396145449643</v>
      </c>
      <c r="J267" s="15" t="n">
        <v>0.4956702459300312</v>
      </c>
      <c r="K267" s="15" t="n">
        <v>0.5192307692307693</v>
      </c>
      <c r="L267" s="14" t="n">
        <v>-0.02339115468580499</v>
      </c>
      <c r="M267" s="14" t="n">
        <v>-0.04504963124673539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INST @ PUR</t>
        </is>
      </c>
      <c r="C268" s="17" t="inlineStr">
        <is>
          <t>2026-09-04 23:00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0.5000000014768718</v>
      </c>
      <c r="J268" s="20" t="n">
        <v>0.5</v>
      </c>
      <c r="K268" s="20" t="n">
        <v>0.5238095238095238</v>
      </c>
      <c r="L268" s="19" t="n">
        <v>-0.02380952233265199</v>
      </c>
      <c r="M268" s="19" t="n">
        <v>-0.04545454263506282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INST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INST @ PUR</t>
        </is>
      </c>
      <c r="C269" s="12" t="inlineStr">
        <is>
          <t>2026-09-04 23:00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-110</v>
      </c>
      <c r="I269" s="15" t="n">
        <v>0.4999999985231282</v>
      </c>
      <c r="J269" s="15" t="n">
        <v>0.5</v>
      </c>
      <c r="K269" s="15" t="n">
        <v>0.5238095238095238</v>
      </c>
      <c r="L269" s="14" t="n">
        <v>-0.02380952528639568</v>
      </c>
      <c r="M269" s="14" t="n">
        <v>-0.04545454827402801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INST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SJSU @ EMU</t>
        </is>
      </c>
      <c r="C270" s="17" t="inlineStr">
        <is>
          <t>2026-09-04 22:30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-112</v>
      </c>
      <c r="I270" s="20" t="n">
        <v>0.5041603854550357</v>
      </c>
      <c r="J270" s="20" t="n">
        <v>0.5043297540699688</v>
      </c>
      <c r="K270" s="20" t="n">
        <v>0.5283018867924528</v>
      </c>
      <c r="L270" s="19" t="n">
        <v>-0.0241415013374171</v>
      </c>
      <c r="M270" s="19" t="n">
        <v>-0.0456964132458253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ML</t>
        </is>
      </c>
      <c r="F271" s="12" t="inlineStr">
        <is>
          <t>EMU ML</t>
        </is>
      </c>
      <c r="G271" s="23" t="n"/>
      <c r="H271" s="13" t="n">
        <v>-155</v>
      </c>
      <c r="I271" s="15" t="n">
        <v>0.5825493180466105</v>
      </c>
      <c r="J271" s="15" t="n">
        <v>0.5829926410466066</v>
      </c>
      <c r="K271" s="15" t="n">
        <v>0.6078431372549019</v>
      </c>
      <c r="L271" s="14" t="n">
        <v>-0.02529381920829143</v>
      </c>
      <c r="M271" s="14" t="n">
        <v>-0.04161241224589896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HAMP @ MD</t>
        </is>
      </c>
      <c r="C272" s="17" t="inlineStr">
        <is>
          <t>2026-09-06 00:00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-112</v>
      </c>
      <c r="I272" s="20" t="n">
        <v>0.5021648785118562</v>
      </c>
      <c r="J272" s="20" t="n">
        <v>0.5043297540699688</v>
      </c>
      <c r="K272" s="20" t="n">
        <v>0.5283018867924528</v>
      </c>
      <c r="L272" s="19" t="n">
        <v>-0.02613700828059662</v>
      </c>
      <c r="M272" s="19" t="n">
        <v>-0.04947362281684364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HAMP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MVSU @ SAC</t>
        </is>
      </c>
      <c r="C273" s="12" t="inlineStr">
        <is>
          <t>2026-09-06 02:00</t>
        </is>
      </c>
      <c r="D273" s="22" t="n">
        <v>1</v>
      </c>
      <c r="E273" s="12" t="inlineStr">
        <is>
          <t>TOTAL</t>
        </is>
      </c>
      <c r="F273" s="12" t="inlineStr">
        <is>
          <t>Over 56.5</t>
        </is>
      </c>
      <c r="G273" s="23" t="n">
        <v>56.5</v>
      </c>
      <c r="H273" s="13" t="n">
        <v>-112</v>
      </c>
      <c r="I273" s="15" t="n">
        <v>0.5021648785118562</v>
      </c>
      <c r="J273" s="15" t="n">
        <v>0.5043297540699688</v>
      </c>
      <c r="K273" s="15" t="n">
        <v>0.5283018867924528</v>
      </c>
      <c r="L273" s="14" t="n">
        <v>-0.02613700828059662</v>
      </c>
      <c r="M273" s="14" t="n">
        <v>-0.04947362281684364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MVSU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ULM @ MSST</t>
        </is>
      </c>
      <c r="C274" s="17" t="inlineStr">
        <is>
          <t>2026-09-05 23:30</t>
        </is>
      </c>
      <c r="D274" s="25" t="n">
        <v>1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-102</v>
      </c>
      <c r="I274" s="20" t="n">
        <v>0.4773424020055468</v>
      </c>
      <c r="J274" s="20" t="n">
        <v>0.5024630541871922</v>
      </c>
      <c r="K274" s="20" t="n">
        <v>0.504950495049505</v>
      </c>
      <c r="L274" s="19" t="n">
        <v>-0.02760809304395817</v>
      </c>
      <c r="M274" s="19" t="n">
        <v>-0.05467485093019164</v>
      </c>
      <c r="N274" s="20" t="n">
        <v>0</v>
      </c>
      <c r="O274" s="27" t="n">
        <v>0.4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SJSU @ EMU</t>
        </is>
      </c>
      <c r="C275" s="12" t="inlineStr">
        <is>
          <t>2026-09-04 22:30</t>
        </is>
      </c>
      <c r="D275" s="22" t="n">
        <v>1</v>
      </c>
      <c r="E275" s="12" t="inlineStr">
        <is>
          <t>ATS</t>
        </is>
      </c>
      <c r="F275" s="12" t="inlineStr">
        <is>
          <t>EMU -3</t>
        </is>
      </c>
      <c r="G275" s="23" t="n">
        <v>-3</v>
      </c>
      <c r="H275" s="13" t="n">
        <v>-108</v>
      </c>
      <c r="I275" s="15" t="n">
        <v>0.4913474892455232</v>
      </c>
      <c r="J275" s="15" t="n">
        <v>0.4956702459300312</v>
      </c>
      <c r="K275" s="15" t="n">
        <v>0.5192307692307693</v>
      </c>
      <c r="L275" s="14" t="n">
        <v>-0.02788327998524603</v>
      </c>
      <c r="M275" s="14" t="n">
        <v>-0.05042253635497151</v>
      </c>
      <c r="N275" s="15" t="n">
        <v>0.0611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CCU @ WVU</t>
        </is>
      </c>
      <c r="C276" s="17" t="inlineStr">
        <is>
          <t>2026-09-05 16:00</t>
        </is>
      </c>
      <c r="D276" s="25" t="n">
        <v>1</v>
      </c>
      <c r="E276" s="17" t="inlineStr">
        <is>
          <t>TOTAL</t>
        </is>
      </c>
      <c r="F276" s="17" t="inlineStr">
        <is>
          <t>Under 56.5</t>
        </is>
      </c>
      <c r="G276" s="26" t="n">
        <v>56.5</v>
      </c>
      <c r="H276" s="18" t="n">
        <v>-112</v>
      </c>
      <c r="I276" s="20" t="n">
        <v>0.5001693656576269</v>
      </c>
      <c r="J276" s="20" t="n">
        <v>0.5043297540699688</v>
      </c>
      <c r="K276" s="20" t="n">
        <v>0.5283018867924528</v>
      </c>
      <c r="L276" s="19" t="n">
        <v>-0.02813252113482589</v>
      </c>
      <c r="M276" s="19" t="n">
        <v>-0.05325084357663479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TNST @ UGA</t>
        </is>
      </c>
      <c r="C277" s="12" t="inlineStr">
        <is>
          <t>2026-09-05 19:00</t>
        </is>
      </c>
      <c r="D277" s="22" t="n">
        <v>1</v>
      </c>
      <c r="E277" s="12" t="inlineStr">
        <is>
          <t>TOTAL</t>
        </is>
      </c>
      <c r="F277" s="12" t="inlineStr">
        <is>
          <t>Under 56.5</t>
        </is>
      </c>
      <c r="G277" s="23" t="n">
        <v>56.5</v>
      </c>
      <c r="H277" s="13" t="n">
        <v>-118</v>
      </c>
      <c r="I277" s="15" t="n">
        <v>0.5126728814655351</v>
      </c>
      <c r="J277" s="15" t="n">
        <v>0.5173641257162701</v>
      </c>
      <c r="K277" s="15" t="n">
        <v>0.5412844036697247</v>
      </c>
      <c r="L277" s="14" t="n">
        <v>-0.02861152220418961</v>
      </c>
      <c r="M277" s="14" t="n">
        <v>-0.05285857491960461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TNST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WYO @ CSU</t>
        </is>
      </c>
      <c r="C278" s="17" t="inlineStr">
        <is>
          <t>2026-09-05 22:00</t>
        </is>
      </c>
      <c r="D278" s="25" t="n">
        <v>1</v>
      </c>
      <c r="E278" s="17" t="inlineStr">
        <is>
          <t>ML</t>
        </is>
      </c>
      <c r="F278" s="17" t="inlineStr">
        <is>
          <t>CSU ML</t>
        </is>
      </c>
      <c r="G278" s="26" t="n"/>
      <c r="H278" s="18" t="n">
        <v>-162</v>
      </c>
      <c r="I278" s="20" t="n">
        <v>0.5885843027139842</v>
      </c>
      <c r="J278" s="20" t="n">
        <v>0.5933697541594239</v>
      </c>
      <c r="K278" s="20" t="n">
        <v>0.6183206106870229</v>
      </c>
      <c r="L278" s="19" t="n">
        <v>-0.02973630797303872</v>
      </c>
      <c r="M278" s="19" t="n">
        <v>-0.04809205363540819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WYO @ CSU</t>
        </is>
      </c>
      <c r="C279" s="12" t="inlineStr">
        <is>
          <t>2026-09-05 22:00</t>
        </is>
      </c>
      <c r="D279" s="22" t="n">
        <v>1</v>
      </c>
      <c r="E279" s="12" t="inlineStr">
        <is>
          <t>ATS</t>
        </is>
      </c>
      <c r="F279" s="12" t="inlineStr">
        <is>
          <t>CSU -3</t>
        </is>
      </c>
      <c r="G279" s="23" t="n">
        <v>-3</v>
      </c>
      <c r="H279" s="13" t="n">
        <v>-112</v>
      </c>
      <c r="I279" s="15" t="n">
        <v>0.4965916827576301</v>
      </c>
      <c r="J279" s="15" t="n">
        <v>0.5043297540699688</v>
      </c>
      <c r="K279" s="15" t="n">
        <v>0.5283018867924528</v>
      </c>
      <c r="L279" s="14" t="n">
        <v>-0.03171020403482272</v>
      </c>
      <c r="M279" s="14" t="n">
        <v>-0.05635780178266442</v>
      </c>
      <c r="N279" s="15" t="n">
        <v>0.0611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IDHO @ UTAH</t>
        </is>
      </c>
      <c r="C280" s="17" t="inlineStr">
        <is>
          <t>2026-09-04 01:00</t>
        </is>
      </c>
      <c r="D280" s="25" t="n">
        <v>1</v>
      </c>
      <c r="E280" s="17" t="inlineStr">
        <is>
          <t>TOTAL</t>
        </is>
      </c>
      <c r="F280" s="17" t="inlineStr">
        <is>
          <t>Over 57.5</t>
        </is>
      </c>
      <c r="G280" s="26" t="n">
        <v>57.5</v>
      </c>
      <c r="H280" s="18" t="n">
        <v>-110</v>
      </c>
      <c r="I280" s="20" t="n">
        <v>0.4900264440459055</v>
      </c>
      <c r="J280" s="20" t="n">
        <v>0.5</v>
      </c>
      <c r="K280" s="20" t="n">
        <v>0.5238095238095238</v>
      </c>
      <c r="L280" s="19" t="n">
        <v>-0.03378307976361838</v>
      </c>
      <c r="M280" s="19" t="n">
        <v>-0.06449497045781682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IDHO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TAR @ BGSU</t>
        </is>
      </c>
      <c r="C281" s="12" t="inlineStr">
        <is>
          <t>2026-09-05 16:00</t>
        </is>
      </c>
      <c r="D281" s="22" t="n">
        <v>1</v>
      </c>
      <c r="E281" s="12" t="inlineStr">
        <is>
          <t>ATS</t>
        </is>
      </c>
      <c r="F281" s="12" t="inlineStr">
        <is>
          <t>TAR +2.5</t>
        </is>
      </c>
      <c r="G281" s="23" t="n">
        <v>-2.5</v>
      </c>
      <c r="H281" s="13" t="n">
        <v>-110</v>
      </c>
      <c r="I281" s="15" t="n">
        <v>0.4899675246196444</v>
      </c>
      <c r="J281" s="15" t="n">
        <v>0.5</v>
      </c>
      <c r="K281" s="15" t="n">
        <v>0.5238095238095238</v>
      </c>
      <c r="L281" s="14" t="n">
        <v>-0.0338419991898794</v>
      </c>
      <c r="M281" s="14" t="n">
        <v>-0.06460745299886056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TAR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TAR @ BGSU</t>
        </is>
      </c>
      <c r="C282" s="17" t="inlineStr">
        <is>
          <t>2026-09-05 16:00</t>
        </is>
      </c>
      <c r="D282" s="25" t="n">
        <v>1</v>
      </c>
      <c r="E282" s="17" t="inlineStr">
        <is>
          <t>ML</t>
        </is>
      </c>
      <c r="F282" s="17" t="inlineStr">
        <is>
          <t>TAR ML</t>
        </is>
      </c>
      <c r="G282" s="26" t="n"/>
      <c r="H282" s="18" t="n">
        <v>114</v>
      </c>
      <c r="I282" s="20" t="n">
        <v>0.4323800170074532</v>
      </c>
      <c r="J282" s="20" t="n">
        <v>0.448558885283451</v>
      </c>
      <c r="K282" s="20" t="n">
        <v>0.4672897196261682</v>
      </c>
      <c r="L282" s="19" t="n">
        <v>-0.03490970261871501</v>
      </c>
      <c r="M282" s="19" t="n">
        <v>-0.07470676360405026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TAR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UNLV @ HAW</t>
        </is>
      </c>
      <c r="C283" s="12" t="inlineStr">
        <is>
          <t>2026-09-06 02:00</t>
        </is>
      </c>
      <c r="D283" s="22" t="n">
        <v>1</v>
      </c>
      <c r="E283" s="12" t="inlineStr">
        <is>
          <t>TOTAL</t>
        </is>
      </c>
      <c r="F283" s="12" t="inlineStr">
        <is>
          <t>Under 56.5</t>
        </is>
      </c>
      <c r="G283" s="23" t="n">
        <v>56.5</v>
      </c>
      <c r="H283" s="13" t="n">
        <v>-115</v>
      </c>
      <c r="I283" s="15" t="n">
        <v>0.497437073693306</v>
      </c>
      <c r="J283" s="15" t="n">
        <v>0.5108342361863488</v>
      </c>
      <c r="K283" s="15" t="n">
        <v>0.5348837209302325</v>
      </c>
      <c r="L283" s="14" t="n">
        <v>-0.03744664723692648</v>
      </c>
      <c r="M283" s="14" t="n">
        <v>-0.07000894918208012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BALL @ OSU</t>
        </is>
      </c>
      <c r="C284" s="17" t="inlineStr">
        <is>
          <t>2026-09-05 16:30</t>
        </is>
      </c>
      <c r="D284" s="25" t="n">
        <v>1</v>
      </c>
      <c r="E284" s="17" t="inlineStr">
        <is>
          <t>TOTAL</t>
        </is>
      </c>
      <c r="F284" s="17" t="inlineStr">
        <is>
          <t>Over 55.5</t>
        </is>
      </c>
      <c r="G284" s="26" t="n">
        <v>55.5</v>
      </c>
      <c r="H284" s="18" t="n">
        <v>-115</v>
      </c>
      <c r="I284" s="20" t="n">
        <v>0.4954435644665556</v>
      </c>
      <c r="J284" s="20" t="n">
        <v>0.5108342361863488</v>
      </c>
      <c r="K284" s="20" t="n">
        <v>0.5348837209302325</v>
      </c>
      <c r="L284" s="19" t="n">
        <v>-0.03944015646367693</v>
      </c>
      <c r="M284" s="19" t="n">
        <v>-0.07373594469296141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DUQ @ AFA</t>
        </is>
      </c>
      <c r="C285" s="12" t="inlineStr">
        <is>
          <t>2026-09-05 17:00</t>
        </is>
      </c>
      <c r="D285" s="22" t="n">
        <v>1</v>
      </c>
      <c r="E285" s="12" t="inlineStr">
        <is>
          <t>TOTAL</t>
        </is>
      </c>
      <c r="F285" s="12" t="inlineStr">
        <is>
          <t>Over 58.5</t>
        </is>
      </c>
      <c r="G285" s="23" t="n">
        <v>58.5</v>
      </c>
      <c r="H285" s="13" t="n">
        <v>-102</v>
      </c>
      <c r="I285" s="15" t="n">
        <v>0.4595250663644951</v>
      </c>
      <c r="J285" s="15" t="n">
        <v>0.4826358742837298</v>
      </c>
      <c r="K285" s="15" t="n">
        <v>0.504950495049505</v>
      </c>
      <c r="L285" s="14" t="n">
        <v>-0.04542542868500987</v>
      </c>
      <c r="M285" s="14" t="n">
        <v>-0.08996016268992146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DUQ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NWST @ LT</t>
        </is>
      </c>
      <c r="C286" s="17" t="inlineStr">
        <is>
          <t>2026-09-05 23:30</t>
        </is>
      </c>
      <c r="D286" s="25" t="n">
        <v>1</v>
      </c>
      <c r="E286" s="17" t="inlineStr">
        <is>
          <t>TOTAL</t>
        </is>
      </c>
      <c r="F286" s="17" t="inlineStr">
        <is>
          <t>Under 55.5</t>
        </is>
      </c>
      <c r="G286" s="26" t="n">
        <v>55.5</v>
      </c>
      <c r="H286" s="18" t="n">
        <v>-115</v>
      </c>
      <c r="I286" s="20" t="n">
        <v>0.4874814636781336</v>
      </c>
      <c r="J286" s="20" t="n">
        <v>0.5108342361863488</v>
      </c>
      <c r="K286" s="20" t="n">
        <v>0.5348837209302325</v>
      </c>
      <c r="L286" s="19" t="n">
        <v>-0.0474022572520989</v>
      </c>
      <c r="M286" s="19" t="n">
        <v>-0.08862161138435898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NWST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UNH @ SYR</t>
        </is>
      </c>
      <c r="C287" s="12" t="inlineStr">
        <is>
          <t>2026-09-05 16:00</t>
        </is>
      </c>
      <c r="D287" s="22" t="n">
        <v>1</v>
      </c>
      <c r="E287" s="12" t="inlineStr">
        <is>
          <t>TOTAL</t>
        </is>
      </c>
      <c r="F287" s="12" t="inlineStr">
        <is>
          <t>Under 55.5</t>
        </is>
      </c>
      <c r="G287" s="23" t="n">
        <v>55.5</v>
      </c>
      <c r="H287" s="13" t="n">
        <v>-110</v>
      </c>
      <c r="I287" s="15" t="n">
        <v>0.4761108749119507</v>
      </c>
      <c r="J287" s="15" t="n">
        <v>0.5</v>
      </c>
      <c r="K287" s="15" t="n">
        <v>0.5238095238095238</v>
      </c>
      <c r="L287" s="14" t="n">
        <v>-0.04769864889757314</v>
      </c>
      <c r="M287" s="14" t="n">
        <v>-0.09106105698627592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UNH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OSU @ TEX</t>
        </is>
      </c>
      <c r="C288" s="17" t="inlineStr">
        <is>
          <t>2026-09-12 23:30</t>
        </is>
      </c>
      <c r="D288" s="25" t="n">
        <v>2</v>
      </c>
      <c r="E288" s="17" t="inlineStr">
        <is>
          <t>ATS</t>
        </is>
      </c>
      <c r="F288" s="17" t="inlineStr">
        <is>
          <t>OSU +1.5</t>
        </is>
      </c>
      <c r="G288" s="26" t="n">
        <v>-1.5</v>
      </c>
      <c r="H288" s="18" t="n">
        <v>-112</v>
      </c>
      <c r="I288" s="20" t="n">
        <v>0.4785256787710406</v>
      </c>
      <c r="J288" s="20" t="n">
        <v>0.5043297540699688</v>
      </c>
      <c r="K288" s="20" t="n">
        <v>0.5283018867924528</v>
      </c>
      <c r="L288" s="19" t="n">
        <v>-0.04977620802141225</v>
      </c>
      <c r="M288" s="19" t="n">
        <v>-0.09421925089767325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EKU @ JVST</t>
        </is>
      </c>
      <c r="C289" s="12" t="inlineStr">
        <is>
          <t>2026-09-05 23:00</t>
        </is>
      </c>
      <c r="D289" s="22" t="n">
        <v>1</v>
      </c>
      <c r="E289" s="12" t="inlineStr">
        <is>
          <t>TOTAL</t>
        </is>
      </c>
      <c r="F289" s="12" t="inlineStr">
        <is>
          <t>Under 54.5</t>
        </is>
      </c>
      <c r="G289" s="23" t="n">
        <v>54.5</v>
      </c>
      <c r="H289" s="13" t="n">
        <v>-115</v>
      </c>
      <c r="I289" s="15" t="n">
        <v>0.4815279918637003</v>
      </c>
      <c r="J289" s="15" t="n">
        <v>0.5108342361863488</v>
      </c>
      <c r="K289" s="15" t="n">
        <v>0.5348837209302325</v>
      </c>
      <c r="L289" s="14" t="n">
        <v>-0.05335572906653219</v>
      </c>
      <c r="M289" s="14" t="n">
        <v>-0.09975201521134291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EKU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MRMK @ DEL</t>
        </is>
      </c>
      <c r="C290" s="17" t="inlineStr">
        <is>
          <t>2026-09-03 23:00</t>
        </is>
      </c>
      <c r="D290" s="25" t="n">
        <v>1</v>
      </c>
      <c r="E290" s="17" t="inlineStr">
        <is>
          <t>TOTAL</t>
        </is>
      </c>
      <c r="F290" s="17" t="inlineStr">
        <is>
          <t>Under 55.5</t>
        </is>
      </c>
      <c r="G290" s="26" t="n">
        <v>55.5</v>
      </c>
      <c r="H290" s="18" t="n">
        <v>-112</v>
      </c>
      <c r="I290" s="20" t="n">
        <v>0.4743183409634499</v>
      </c>
      <c r="J290" s="20" t="n">
        <v>0.5043297540699688</v>
      </c>
      <c r="K290" s="20" t="n">
        <v>0.5283018867924528</v>
      </c>
      <c r="L290" s="19" t="n">
        <v>-0.05398354582900289</v>
      </c>
      <c r="M290" s="19" t="n">
        <v>-0.1021831403191841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MRMK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NICH @ KSU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Under 54.5</t>
        </is>
      </c>
      <c r="G291" s="23" t="n">
        <v>54.5</v>
      </c>
      <c r="H291" s="13" t="n">
        <v>100</v>
      </c>
      <c r="I291" s="15" t="n">
        <v>0.4455803588597693</v>
      </c>
      <c r="J291" s="15" t="n">
        <v>0.4782608695652174</v>
      </c>
      <c r="K291" s="15" t="n">
        <v>0.5</v>
      </c>
      <c r="L291" s="14" t="n">
        <v>-0.05441964114023068</v>
      </c>
      <c r="M291" s="14" t="n">
        <v>-0.1088392822804614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NICH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OSU @ TEX</t>
        </is>
      </c>
      <c r="C292" s="17" t="inlineStr">
        <is>
          <t>2026-09-12 23:30</t>
        </is>
      </c>
      <c r="D292" s="25" t="n">
        <v>2</v>
      </c>
      <c r="E292" s="17" t="inlineStr">
        <is>
          <t>ML</t>
        </is>
      </c>
      <c r="F292" s="17" t="inlineStr">
        <is>
          <t>OSU ML</t>
        </is>
      </c>
      <c r="G292" s="26" t="n"/>
      <c r="H292" s="18" t="n">
        <v>-102</v>
      </c>
      <c r="I292" s="20" t="n">
        <v>0.4494185115075927</v>
      </c>
      <c r="J292" s="20" t="n">
        <v>0.4826358742837298</v>
      </c>
      <c r="K292" s="20" t="n">
        <v>0.504950495049505</v>
      </c>
      <c r="L292" s="19" t="n">
        <v>-0.05553198354191224</v>
      </c>
      <c r="M292" s="19" t="n">
        <v>-0.109975104661434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FOR @ NDSU</t>
        </is>
      </c>
      <c r="C293" s="12" t="inlineStr">
        <is>
          <t>2026-09-05 19:30</t>
        </is>
      </c>
      <c r="D293" s="22" t="n">
        <v>1</v>
      </c>
      <c r="E293" s="12" t="inlineStr">
        <is>
          <t>TOTAL</t>
        </is>
      </c>
      <c r="F293" s="12" t="inlineStr">
        <is>
          <t>Over 57.5</t>
        </is>
      </c>
      <c r="G293" s="23" t="n">
        <v>57.5</v>
      </c>
      <c r="H293" s="13" t="n">
        <v>-112</v>
      </c>
      <c r="I293" s="15" t="n">
        <v>0.4723436943934442</v>
      </c>
      <c r="J293" s="15" t="n">
        <v>0.5043297540699688</v>
      </c>
      <c r="K293" s="15" t="n">
        <v>0.5283018867924528</v>
      </c>
      <c r="L293" s="14" t="n">
        <v>-0.05595819239900862</v>
      </c>
      <c r="M293" s="14" t="n">
        <v>-0.1059208641838377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FOR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KENT @ SC</t>
        </is>
      </c>
      <c r="C294" s="17" t="inlineStr">
        <is>
          <t>2026-09-05 16:45</t>
        </is>
      </c>
      <c r="D294" s="25" t="n">
        <v>1</v>
      </c>
      <c r="E294" s="17" t="inlineStr">
        <is>
          <t>TOTAL</t>
        </is>
      </c>
      <c r="F294" s="17" t="inlineStr">
        <is>
          <t>Under 54.5</t>
        </is>
      </c>
      <c r="G294" s="26" t="n">
        <v>54.5</v>
      </c>
      <c r="H294" s="18" t="n">
        <v>-112</v>
      </c>
      <c r="I294" s="20" t="n">
        <v>0.4723436904367694</v>
      </c>
      <c r="J294" s="20" t="n">
        <v>0.5043297540699688</v>
      </c>
      <c r="K294" s="20" t="n">
        <v>0.5283018867924528</v>
      </c>
      <c r="L294" s="19" t="n">
        <v>-0.05595819635568344</v>
      </c>
      <c r="M294" s="19" t="n">
        <v>-0.105920871673258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OU @ MICH</t>
        </is>
      </c>
      <c r="C295" s="12" t="inlineStr">
        <is>
          <t>2026-09-12 16:00</t>
        </is>
      </c>
      <c r="D295" s="22" t="n">
        <v>2</v>
      </c>
      <c r="E295" s="12" t="inlineStr">
        <is>
          <t>ATS</t>
        </is>
      </c>
      <c r="F295" s="12" t="inlineStr">
        <is>
          <t>OU +1.5</t>
        </is>
      </c>
      <c r="G295" s="23" t="n">
        <v>-1.5</v>
      </c>
      <c r="H295" s="13" t="n">
        <v>-118</v>
      </c>
      <c r="I295" s="15" t="n">
        <v>0.4850428645941912</v>
      </c>
      <c r="J295" s="15" t="n">
        <v>0.5173641257162701</v>
      </c>
      <c r="K295" s="15" t="n">
        <v>0.5412844036697247</v>
      </c>
      <c r="L295" s="14" t="n">
        <v>-0.05624153907553353</v>
      </c>
      <c r="M295" s="14" t="n">
        <v>-0.1039038603259858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SHSU @ TROY</t>
        </is>
      </c>
      <c r="C296" s="17" t="inlineStr">
        <is>
          <t>2026-09-05 23:00</t>
        </is>
      </c>
      <c r="D296" s="25" t="n">
        <v>1</v>
      </c>
      <c r="E296" s="17" t="inlineStr">
        <is>
          <t>TOTAL</t>
        </is>
      </c>
      <c r="F296" s="17" t="inlineStr">
        <is>
          <t>Under 54.5</t>
        </is>
      </c>
      <c r="G296" s="26" t="n">
        <v>54.5</v>
      </c>
      <c r="H296" s="18" t="n">
        <v>-115</v>
      </c>
      <c r="I296" s="20" t="n">
        <v>0.4775705809880613</v>
      </c>
      <c r="J296" s="20" t="n">
        <v>0.5108342361863488</v>
      </c>
      <c r="K296" s="20" t="n">
        <v>0.5348837209302325</v>
      </c>
      <c r="L296" s="19" t="n">
        <v>-0.05731313994217124</v>
      </c>
      <c r="M296" s="19" t="n">
        <v>-0.1071506529353638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NAU @ ARIZ</t>
        </is>
      </c>
      <c r="C297" s="12" t="inlineStr">
        <is>
          <t>2026-09-06 01:30</t>
        </is>
      </c>
      <c r="D297" s="22" t="n">
        <v>1</v>
      </c>
      <c r="E297" s="12" t="inlineStr">
        <is>
          <t>TOTAL</t>
        </is>
      </c>
      <c r="F297" s="12" t="inlineStr">
        <is>
          <t>Over 58.5</t>
        </is>
      </c>
      <c r="G297" s="23" t="n">
        <v>58.5</v>
      </c>
      <c r="H297" s="13" t="n">
        <v>-105</v>
      </c>
      <c r="I297" s="15" t="n">
        <v>0.4529827136504572</v>
      </c>
      <c r="J297" s="15" t="n">
        <v>0.4891657638136511</v>
      </c>
      <c r="K297" s="15" t="n">
        <v>0.5121951219512195</v>
      </c>
      <c r="L297" s="14" t="n">
        <v>-0.05921240830076235</v>
      </c>
      <c r="M297" s="14" t="n">
        <v>-0.1156051781110122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NAU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OU @ MICH</t>
        </is>
      </c>
      <c r="C298" s="17" t="inlineStr">
        <is>
          <t>2026-09-12 16:00</t>
        </is>
      </c>
      <c r="D298" s="25" t="n">
        <v>2</v>
      </c>
      <c r="E298" s="17" t="inlineStr">
        <is>
          <t>ML</t>
        </is>
      </c>
      <c r="F298" s="17" t="inlineStr">
        <is>
          <t>OU ML</t>
        </is>
      </c>
      <c r="G298" s="26" t="n"/>
      <c r="H298" s="18" t="n">
        <v>-105</v>
      </c>
      <c r="I298" s="20" t="n">
        <v>0.4526834562725534</v>
      </c>
      <c r="J298" s="20" t="n">
        <v>0.4891657638136511</v>
      </c>
      <c r="K298" s="20" t="n">
        <v>0.5121951219512195</v>
      </c>
      <c r="L298" s="19" t="n">
        <v>-0.05951166567866617</v>
      </c>
      <c r="M298" s="19" t="n">
        <v>-0.1161894425154911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RGV @ UTSA</t>
        </is>
      </c>
      <c r="C299" s="12" t="inlineStr">
        <is>
          <t>2026-09-05 19:30</t>
        </is>
      </c>
      <c r="D299" s="22" t="n">
        <v>1</v>
      </c>
      <c r="E299" s="12" t="inlineStr">
        <is>
          <t>TOTAL</t>
        </is>
      </c>
      <c r="F299" s="12" t="inlineStr">
        <is>
          <t>Over 59.5</t>
        </is>
      </c>
      <c r="G299" s="23" t="n">
        <v>59.5</v>
      </c>
      <c r="H299" s="13" t="n">
        <v>-110</v>
      </c>
      <c r="I299" s="15" t="n">
        <v>0.4583998311610482</v>
      </c>
      <c r="J299" s="15" t="n">
        <v>0.5</v>
      </c>
      <c r="K299" s="15" t="n">
        <v>0.5238095238095238</v>
      </c>
      <c r="L299" s="14" t="n">
        <v>-0.06540969264847563</v>
      </c>
      <c r="M299" s="14" t="n">
        <v>-0.1248730496016352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RGV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LIU @ KU</t>
        </is>
      </c>
      <c r="C300" s="17" t="inlineStr">
        <is>
          <t>2026-09-05 00:00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105</v>
      </c>
      <c r="I300" s="20" t="n">
        <v>0.4209830246774391</v>
      </c>
      <c r="J300" s="20" t="n">
        <v>0.4675324675324675</v>
      </c>
      <c r="K300" s="20" t="n">
        <v>0.4878048780487805</v>
      </c>
      <c r="L300" s="19" t="n">
        <v>-0.06682185337134139</v>
      </c>
      <c r="M300" s="19" t="n">
        <v>-0.13698479941125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LIU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TXST @ TEX</t>
        </is>
      </c>
      <c r="C301" s="12" t="inlineStr">
        <is>
          <t>2026-09-05 19:30</t>
        </is>
      </c>
      <c r="D301" s="22" t="n">
        <v>1</v>
      </c>
      <c r="E301" s="12" t="inlineStr">
        <is>
          <t>TOTAL</t>
        </is>
      </c>
      <c r="F301" s="12" t="inlineStr">
        <is>
          <t>Over 59.5</t>
        </is>
      </c>
      <c r="G301" s="23" t="n">
        <v>59.5</v>
      </c>
      <c r="H301" s="13" t="n">
        <v>-108</v>
      </c>
      <c r="I301" s="15" t="n">
        <v>0.4523394331749562</v>
      </c>
      <c r="J301" s="15" t="n">
        <v>0.4956702459300312</v>
      </c>
      <c r="K301" s="15" t="n">
        <v>0.5192307692307693</v>
      </c>
      <c r="L301" s="14" t="n">
        <v>-0.0668913360558131</v>
      </c>
      <c r="M301" s="14" t="n">
        <v>-0.128827758329714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UNT @ IU</t>
        </is>
      </c>
      <c r="C302" s="17" t="inlineStr">
        <is>
          <t>2026-09-05 16:00</t>
        </is>
      </c>
      <c r="D302" s="25" t="n">
        <v>1</v>
      </c>
      <c r="E302" s="17" t="inlineStr">
        <is>
          <t>TOTAL</t>
        </is>
      </c>
      <c r="F302" s="17" t="inlineStr">
        <is>
          <t>Under 55.5</t>
        </is>
      </c>
      <c r="G302" s="26" t="n">
        <v>55.5</v>
      </c>
      <c r="H302" s="18" t="n">
        <v>-108</v>
      </c>
      <c r="I302" s="20" t="n">
        <v>0.452339431568882</v>
      </c>
      <c r="J302" s="20" t="n">
        <v>0.4956702459300312</v>
      </c>
      <c r="K302" s="20" t="n">
        <v>0.5192307692307693</v>
      </c>
      <c r="L302" s="19" t="n">
        <v>-0.06689133766188726</v>
      </c>
      <c r="M302" s="19" t="n">
        <v>-0.1288277614228939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LIB @ JMU</t>
        </is>
      </c>
      <c r="C303" s="12" t="inlineStr">
        <is>
          <t>2026-09-05 16:00</t>
        </is>
      </c>
      <c r="D303" s="22" t="n">
        <v>1</v>
      </c>
      <c r="E303" s="12" t="inlineStr">
        <is>
          <t>ML</t>
        </is>
      </c>
      <c r="F303" s="12" t="inlineStr">
        <is>
          <t>JMU ML</t>
        </is>
      </c>
      <c r="G303" s="23" t="n"/>
      <c r="H303" s="13" t="n">
        <v>-225</v>
      </c>
      <c r="I303" s="15" t="n">
        <v>0.6237234877300031</v>
      </c>
      <c r="J303" s="15" t="n">
        <v>0.6636481241914618</v>
      </c>
      <c r="K303" s="15" t="n">
        <v>0.6923076923076923</v>
      </c>
      <c r="L303" s="14" t="n">
        <v>-0.06858420457768921</v>
      </c>
      <c r="M303" s="14" t="n">
        <v>-0.09906607327888445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UAB @ ILL</t>
        </is>
      </c>
      <c r="C304" s="17" t="inlineStr">
        <is>
          <t>2026-09-04 01:00</t>
        </is>
      </c>
      <c r="D304" s="25" t="n">
        <v>1</v>
      </c>
      <c r="E304" s="17" t="inlineStr">
        <is>
          <t>TOTAL</t>
        </is>
      </c>
      <c r="F304" s="17" t="inlineStr">
        <is>
          <t>Under 54.5</t>
        </is>
      </c>
      <c r="G304" s="26" t="n">
        <v>54.5</v>
      </c>
      <c r="H304" s="18" t="n">
        <v>-108</v>
      </c>
      <c r="I304" s="20" t="n">
        <v>0.4503982882429326</v>
      </c>
      <c r="J304" s="20" t="n">
        <v>0.4956702459300312</v>
      </c>
      <c r="K304" s="20" t="n">
        <v>0.5192307692307693</v>
      </c>
      <c r="L304" s="19" t="n">
        <v>-0.06883248098783668</v>
      </c>
      <c r="M304" s="19" t="n">
        <v>-0.1325662596802779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BCU @ UCF</t>
        </is>
      </c>
      <c r="C305" s="12" t="inlineStr">
        <is>
          <t>2026-09-03 23:00</t>
        </is>
      </c>
      <c r="D305" s="22" t="n">
        <v>1</v>
      </c>
      <c r="E305" s="12" t="inlineStr">
        <is>
          <t>TOTAL</t>
        </is>
      </c>
      <c r="F305" s="12" t="inlineStr">
        <is>
          <t>Over 58.5</t>
        </is>
      </c>
      <c r="G305" s="23" t="n">
        <v>58.5</v>
      </c>
      <c r="H305" s="13" t="n">
        <v>-110</v>
      </c>
      <c r="I305" s="15" t="n">
        <v>0.4545043108510424</v>
      </c>
      <c r="J305" s="15" t="n">
        <v>0.5</v>
      </c>
      <c r="K305" s="15" t="n">
        <v>0.5238095238095238</v>
      </c>
      <c r="L305" s="14" t="n">
        <v>-0.06930521295848147</v>
      </c>
      <c r="M305" s="14" t="n">
        <v>-0.1323099520116464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BCU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WKU @ NEV</t>
        </is>
      </c>
      <c r="C306" s="17" t="inlineStr">
        <is>
          <t>2026-09-06 02:30</t>
        </is>
      </c>
      <c r="D306" s="25" t="n">
        <v>1</v>
      </c>
      <c r="E306" s="17" t="inlineStr">
        <is>
          <t>ML</t>
        </is>
      </c>
      <c r="F306" s="17" t="inlineStr">
        <is>
          <t>WKU ML</t>
        </is>
      </c>
      <c r="G306" s="26" t="n"/>
      <c r="H306" s="18" t="n">
        <v>-115</v>
      </c>
      <c r="I306" s="20" t="n">
        <v>0.4635176924589022</v>
      </c>
      <c r="J306" s="20" t="n">
        <v>0.5108342361863488</v>
      </c>
      <c r="K306" s="20" t="n">
        <v>0.5348837209302325</v>
      </c>
      <c r="L306" s="19" t="n">
        <v>-0.07136602847133033</v>
      </c>
      <c r="M306" s="19" t="n">
        <v>-0.1334234445333569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FAU @ FLA</t>
        </is>
      </c>
      <c r="C307" s="12" t="inlineStr">
        <is>
          <t>2026-09-05 23:45</t>
        </is>
      </c>
      <c r="D307" s="22" t="n">
        <v>1</v>
      </c>
      <c r="E307" s="12" t="inlineStr">
        <is>
          <t>TOTAL</t>
        </is>
      </c>
      <c r="F307" s="12" t="inlineStr">
        <is>
          <t>Over 59.5</t>
        </is>
      </c>
      <c r="G307" s="23" t="n">
        <v>59.5</v>
      </c>
      <c r="H307" s="13" t="n">
        <v>-108</v>
      </c>
      <c r="I307" s="15" t="n">
        <v>0.4446035315691921</v>
      </c>
      <c r="J307" s="15" t="n">
        <v>0.4956702459300312</v>
      </c>
      <c r="K307" s="15" t="n">
        <v>0.5192307692307693</v>
      </c>
      <c r="L307" s="14" t="n">
        <v>-0.07462723766157714</v>
      </c>
      <c r="M307" s="14" t="n">
        <v>-0.143726531792667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MIZ @ KU</t>
        </is>
      </c>
      <c r="C308" s="17" t="inlineStr">
        <is>
          <t>2026-09-12 00:00</t>
        </is>
      </c>
      <c r="D308" s="25" t="n">
        <v>2</v>
      </c>
      <c r="E308" s="17" t="inlineStr">
        <is>
          <t>TOTAL</t>
        </is>
      </c>
      <c r="F308" s="17" t="inlineStr">
        <is>
          <t>Under 53.5</t>
        </is>
      </c>
      <c r="G308" s="26" t="n">
        <v>53.5</v>
      </c>
      <c r="H308" s="18" t="n">
        <v>-112</v>
      </c>
      <c r="I308" s="20" t="n">
        <v>0.45279155558327</v>
      </c>
      <c r="J308" s="20" t="n">
        <v>0.5043297540699688</v>
      </c>
      <c r="K308" s="20" t="n">
        <v>0.5283018867924528</v>
      </c>
      <c r="L308" s="19" t="n">
        <v>-0.07551033120918282</v>
      </c>
      <c r="M308" s="19" t="n">
        <v>-0.1429302697888104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MUR @ MTSU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Over 59.5</t>
        </is>
      </c>
      <c r="G309" s="23" t="n">
        <v>59.5</v>
      </c>
      <c r="H309" s="13" t="n">
        <v>-108</v>
      </c>
      <c r="I309" s="15" t="n">
        <v>0.4426821040839932</v>
      </c>
      <c r="J309" s="15" t="n">
        <v>0.4956702459300312</v>
      </c>
      <c r="K309" s="15" t="n">
        <v>0.5192307692307693</v>
      </c>
      <c r="L309" s="14" t="n">
        <v>-0.07654866514677605</v>
      </c>
      <c r="M309" s="14" t="n">
        <v>-0.1474270588011982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MUR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LOU @ MISS</t>
        </is>
      </c>
      <c r="C310" s="17" t="inlineStr">
        <is>
          <t>2026-09-06 23:30</t>
        </is>
      </c>
      <c r="D310" s="25" t="n">
        <v>1</v>
      </c>
      <c r="E310" s="17" t="inlineStr">
        <is>
          <t>TOTAL</t>
        </is>
      </c>
      <c r="F310" s="17" t="inlineStr">
        <is>
          <t>Over 55.5</t>
        </is>
      </c>
      <c r="G310" s="26" t="n">
        <v>55.5</v>
      </c>
      <c r="H310" s="18" t="n">
        <v>-108</v>
      </c>
      <c r="I310" s="20" t="n">
        <v>0.4407660628780614</v>
      </c>
      <c r="J310" s="20" t="n">
        <v>0.4956702459300312</v>
      </c>
      <c r="K310" s="20" t="n">
        <v>0.5192307692307693</v>
      </c>
      <c r="L310" s="19" t="n">
        <v>-0.07846470635270786</v>
      </c>
      <c r="M310" s="19" t="n">
        <v>-0.1511172122348446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MOST @ TA&amp;M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53.5</t>
        </is>
      </c>
      <c r="G311" s="23" t="n">
        <v>53.5</v>
      </c>
      <c r="H311" s="13" t="n">
        <v>-108</v>
      </c>
      <c r="I311" s="15" t="n">
        <v>0.440766050506836</v>
      </c>
      <c r="J311" s="15" t="n">
        <v>0.4956702459300312</v>
      </c>
      <c r="K311" s="15" t="n">
        <v>0.5192307692307693</v>
      </c>
      <c r="L311" s="14" t="n">
        <v>-0.07846471872393324</v>
      </c>
      <c r="M311" s="14" t="n">
        <v>-0.1511172360609083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COLO @ GT</t>
        </is>
      </c>
      <c r="C312" s="17" t="inlineStr">
        <is>
          <t>2026-09-04 00:00</t>
        </is>
      </c>
      <c r="D312" s="25" t="n">
        <v>1</v>
      </c>
      <c r="E312" s="17" t="inlineStr">
        <is>
          <t>ML</t>
        </is>
      </c>
      <c r="F312" s="17" t="inlineStr">
        <is>
          <t>GT ML</t>
        </is>
      </c>
      <c r="G312" s="26" t="n"/>
      <c r="H312" s="18" t="n">
        <v>-250</v>
      </c>
      <c r="I312" s="20" t="n">
        <v>0.6345960548477554</v>
      </c>
      <c r="J312" s="20" t="n">
        <v>0.6853932584269663</v>
      </c>
      <c r="K312" s="20" t="n">
        <v>0.7142857142857143</v>
      </c>
      <c r="L312" s="19" t="n">
        <v>-0.07968965943795892</v>
      </c>
      <c r="M312" s="19" t="n">
        <v>-0.1115655232131425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LIB @ JMU</t>
        </is>
      </c>
      <c r="C313" s="12" t="inlineStr">
        <is>
          <t>2026-09-05 16:00</t>
        </is>
      </c>
      <c r="D313" s="22" t="n">
        <v>1</v>
      </c>
      <c r="E313" s="12" t="inlineStr">
        <is>
          <t>ATS</t>
        </is>
      </c>
      <c r="F313" s="12" t="inlineStr">
        <is>
          <t>JMU -6</t>
        </is>
      </c>
      <c r="G313" s="23" t="n">
        <v>-6</v>
      </c>
      <c r="H313" s="13" t="n">
        <v>-110</v>
      </c>
      <c r="I313" s="15" t="n">
        <v>0.4432506589188987</v>
      </c>
      <c r="J313" s="15" t="n">
        <v>0.5</v>
      </c>
      <c r="K313" s="15" t="n">
        <v>0.5238095238095238</v>
      </c>
      <c r="L313" s="14" t="n">
        <v>-0.08055886489062514</v>
      </c>
      <c r="M313" s="14" t="n">
        <v>-0.1495192748654643</v>
      </c>
      <c r="N313" s="15" t="n">
        <v>0.0278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WKU @ NEV</t>
        </is>
      </c>
      <c r="C314" s="17" t="inlineStr">
        <is>
          <t>2026-09-06 02:30</t>
        </is>
      </c>
      <c r="D314" s="25" t="n">
        <v>1</v>
      </c>
      <c r="E314" s="17" t="inlineStr">
        <is>
          <t>ATS</t>
        </is>
      </c>
      <c r="F314" s="17" t="inlineStr">
        <is>
          <t>WKU -1.5</t>
        </is>
      </c>
      <c r="G314" s="26" t="n">
        <v>1.5</v>
      </c>
      <c r="H314" s="18" t="n">
        <v>-108</v>
      </c>
      <c r="I314" s="20" t="n">
        <v>0.4381790754616501</v>
      </c>
      <c r="J314" s="20" t="n">
        <v>0.4956702459300312</v>
      </c>
      <c r="K314" s="20" t="n">
        <v>0.5192307692307693</v>
      </c>
      <c r="L314" s="19" t="n">
        <v>-0.08105169376911914</v>
      </c>
      <c r="M314" s="19" t="n">
        <v>-0.1560995583701553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UCLA @ CAL</t>
        </is>
      </c>
      <c r="C315" s="12" t="inlineStr">
        <is>
          <t>2026-09-06 02:30</t>
        </is>
      </c>
      <c r="D315" s="22" t="n">
        <v>1</v>
      </c>
      <c r="E315" s="12" t="inlineStr">
        <is>
          <t>TOTAL</t>
        </is>
      </c>
      <c r="F315" s="12" t="inlineStr">
        <is>
          <t>Under 53.5</t>
        </is>
      </c>
      <c r="G315" s="23" t="n">
        <v>53.5</v>
      </c>
      <c r="H315" s="13" t="n">
        <v>-112</v>
      </c>
      <c r="I315" s="15" t="n">
        <v>0.4470118551037428</v>
      </c>
      <c r="J315" s="15" t="n">
        <v>0.5043297540699688</v>
      </c>
      <c r="K315" s="15" t="n">
        <v>0.5283018867924528</v>
      </c>
      <c r="L315" s="14" t="n">
        <v>-0.08129003168871007</v>
      </c>
      <c r="M315" s="14" t="n">
        <v>-0.1538704171250584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ACU @ TTU</t>
        </is>
      </c>
      <c r="C316" s="17" t="inlineStr">
        <is>
          <t>2026-09-05 23:00</t>
        </is>
      </c>
      <c r="D316" s="25" t="n">
        <v>1</v>
      </c>
      <c r="E316" s="17" t="inlineStr">
        <is>
          <t>TOTAL</t>
        </is>
      </c>
      <c r="F316" s="17" t="inlineStr">
        <is>
          <t>Over 59.5</t>
        </is>
      </c>
      <c r="G316" s="26" t="n">
        <v>59.5</v>
      </c>
      <c r="H316" s="18" t="n">
        <v>-105</v>
      </c>
      <c r="I316" s="20" t="n">
        <v>0.4299068780151193</v>
      </c>
      <c r="J316" s="20" t="n">
        <v>0.4891657638136511</v>
      </c>
      <c r="K316" s="20" t="n">
        <v>0.5121951219512195</v>
      </c>
      <c r="L316" s="19" t="n">
        <v>-0.08228824393610024</v>
      </c>
      <c r="M316" s="19" t="n">
        <v>-0.1606580000657195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ACU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WKU @ NEV</t>
        </is>
      </c>
      <c r="C317" s="12" t="inlineStr">
        <is>
          <t>2026-09-06 02:30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-105</v>
      </c>
      <c r="I317" s="15" t="n">
        <v>0.4299068739129323</v>
      </c>
      <c r="J317" s="15" t="n">
        <v>0.4891657638136511</v>
      </c>
      <c r="K317" s="15" t="n">
        <v>0.5121951219512195</v>
      </c>
      <c r="L317" s="14" t="n">
        <v>-0.08228824803828727</v>
      </c>
      <c r="M317" s="14" t="n">
        <v>-0.1606580080747513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ME @ APP</t>
        </is>
      </c>
      <c r="C318" s="17" t="inlineStr">
        <is>
          <t>2026-09-05 19:30</t>
        </is>
      </c>
      <c r="D318" s="25" t="n">
        <v>1</v>
      </c>
      <c r="E318" s="17" t="inlineStr">
        <is>
          <t>TOTAL</t>
        </is>
      </c>
      <c r="F318" s="17" t="inlineStr">
        <is>
          <t>Under 53.5</t>
        </is>
      </c>
      <c r="G318" s="26" t="n">
        <v>53.5</v>
      </c>
      <c r="H318" s="18" t="n">
        <v>-110</v>
      </c>
      <c r="I318" s="20" t="n">
        <v>0.4410204300844154</v>
      </c>
      <c r="J318" s="20" t="n">
        <v>0.5</v>
      </c>
      <c r="K318" s="20" t="n">
        <v>0.5238095238095238</v>
      </c>
      <c r="L318" s="19" t="n">
        <v>-0.08278909372510845</v>
      </c>
      <c r="M318" s="19" t="n">
        <v>-0.1580519062024797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ME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SEMO @ ISU</t>
        </is>
      </c>
      <c r="C319" s="12" t="inlineStr">
        <is>
          <t>2026-09-05 17:00</t>
        </is>
      </c>
      <c r="D319" s="22" t="n">
        <v>1</v>
      </c>
      <c r="E319" s="12" t="inlineStr">
        <is>
          <t>TOTAL</t>
        </is>
      </c>
      <c r="F319" s="12" t="inlineStr">
        <is>
          <t>Under 53.5</t>
        </is>
      </c>
      <c r="G319" s="23" t="n">
        <v>53.5</v>
      </c>
      <c r="H319" s="13" t="n">
        <v>-115</v>
      </c>
      <c r="I319" s="15" t="n">
        <v>0.4502640961619327</v>
      </c>
      <c r="J319" s="15" t="n">
        <v>0.5108342361863488</v>
      </c>
      <c r="K319" s="15" t="n">
        <v>0.5348837209302325</v>
      </c>
      <c r="L319" s="14" t="n">
        <v>-0.08461962476829976</v>
      </c>
      <c r="M319" s="14" t="n">
        <v>-0.1582019071755171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SEMO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UCLA @ CAL</t>
        </is>
      </c>
      <c r="C320" s="17" t="inlineStr">
        <is>
          <t>2026-09-06 02:30</t>
        </is>
      </c>
      <c r="D320" s="25" t="n">
        <v>1</v>
      </c>
      <c r="E320" s="17" t="inlineStr">
        <is>
          <t>ML</t>
        </is>
      </c>
      <c r="F320" s="17" t="inlineStr">
        <is>
          <t>UCLA ML</t>
        </is>
      </c>
      <c r="G320" s="26" t="n"/>
      <c r="H320" s="18" t="n">
        <v>-130</v>
      </c>
      <c r="I320" s="20" t="n">
        <v>0.4794723437494256</v>
      </c>
      <c r="J320" s="20" t="n">
        <v>0.5427435387673957</v>
      </c>
      <c r="K320" s="20" t="n">
        <v>0.5652173913043478</v>
      </c>
      <c r="L320" s="19" t="n">
        <v>-0.08574504755492218</v>
      </c>
      <c r="M320" s="19" t="n">
        <v>-0.151702776443324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OKST @ TLSA</t>
        </is>
      </c>
      <c r="C321" s="12" t="inlineStr">
        <is>
          <t>2026-09-05 19:45</t>
        </is>
      </c>
      <c r="D321" s="22" t="n">
        <v>1</v>
      </c>
      <c r="E321" s="12" t="inlineStr">
        <is>
          <t>TOTAL</t>
        </is>
      </c>
      <c r="F321" s="12" t="inlineStr">
        <is>
          <t>Over 59.5</t>
        </is>
      </c>
      <c r="G321" s="23" t="n">
        <v>59.5</v>
      </c>
      <c r="H321" s="13" t="n">
        <v>-105</v>
      </c>
      <c r="I321" s="15" t="n">
        <v>0.4242666000020027</v>
      </c>
      <c r="J321" s="15" t="n">
        <v>0.4891657638136511</v>
      </c>
      <c r="K321" s="15" t="n">
        <v>0.5121951219512195</v>
      </c>
      <c r="L321" s="14" t="n">
        <v>-0.08792852194921685</v>
      </c>
      <c r="M321" s="14" t="n">
        <v>-0.1716699714246614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APSU @ VAN</t>
        </is>
      </c>
      <c r="C322" s="17" t="inlineStr">
        <is>
          <t>2026-09-05 23:00</t>
        </is>
      </c>
      <c r="D322" s="25" t="n">
        <v>1</v>
      </c>
      <c r="E322" s="17" t="inlineStr">
        <is>
          <t>TOTAL</t>
        </is>
      </c>
      <c r="F322" s="17" t="inlineStr">
        <is>
          <t>Over 60.5</t>
        </is>
      </c>
      <c r="G322" s="26" t="n">
        <v>60.5</v>
      </c>
      <c r="H322" s="18" t="n">
        <v>-108</v>
      </c>
      <c r="I322" s="20" t="n">
        <v>0.4312725618585895</v>
      </c>
      <c r="J322" s="20" t="n">
        <v>0.4956702459300312</v>
      </c>
      <c r="K322" s="20" t="n">
        <v>0.5192307692307693</v>
      </c>
      <c r="L322" s="19" t="n">
        <v>-0.0879582073721798</v>
      </c>
      <c r="M322" s="19" t="n">
        <v>-0.1694009919760498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APSU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ECU @ ALA</t>
        </is>
      </c>
      <c r="C323" s="12" t="inlineStr">
        <is>
          <t>2026-09-05 16:00</t>
        </is>
      </c>
      <c r="D323" s="22" t="n">
        <v>1</v>
      </c>
      <c r="E323" s="12" t="inlineStr">
        <is>
          <t>TOTAL</t>
        </is>
      </c>
      <c r="F323" s="12" t="inlineStr">
        <is>
          <t>Under 52.5</t>
        </is>
      </c>
      <c r="G323" s="23" t="n">
        <v>52.5</v>
      </c>
      <c r="H323" s="13" t="n">
        <v>-110</v>
      </c>
      <c r="I323" s="15" t="n">
        <v>0.4353239920061067</v>
      </c>
      <c r="J323" s="15" t="n">
        <v>0.5</v>
      </c>
      <c r="K323" s="15" t="n">
        <v>0.5238095238095238</v>
      </c>
      <c r="L323" s="14" t="n">
        <v>-0.08848553180341712</v>
      </c>
      <c r="M323" s="14" t="n">
        <v>-0.168926924351978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SMU @ FSU</t>
        </is>
      </c>
      <c r="C324" s="17" t="inlineStr">
        <is>
          <t>2026-09-07 23:30</t>
        </is>
      </c>
      <c r="D324" s="25" t="n">
        <v>1</v>
      </c>
      <c r="E324" s="17" t="inlineStr">
        <is>
          <t>TOTAL</t>
        </is>
      </c>
      <c r="F324" s="17" t="inlineStr">
        <is>
          <t>Under 52.5</t>
        </is>
      </c>
      <c r="G324" s="26" t="n">
        <v>52.5</v>
      </c>
      <c r="H324" s="18" t="n">
        <v>-108</v>
      </c>
      <c r="I324" s="20" t="n">
        <v>0.4293924105893684</v>
      </c>
      <c r="J324" s="20" t="n">
        <v>0.4956702459300312</v>
      </c>
      <c r="K324" s="20" t="n">
        <v>0.5192307692307693</v>
      </c>
      <c r="L324" s="19" t="n">
        <v>-0.08983835864140088</v>
      </c>
      <c r="M324" s="19" t="n">
        <v>-0.1730220240501052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COLO @ GT</t>
        </is>
      </c>
      <c r="C325" s="12" t="inlineStr">
        <is>
          <t>2026-09-04 00:00</t>
        </is>
      </c>
      <c r="D325" s="22" t="n">
        <v>1</v>
      </c>
      <c r="E325" s="12" t="inlineStr">
        <is>
          <t>ATS</t>
        </is>
      </c>
      <c r="F325" s="12" t="inlineStr">
        <is>
          <t>GT -6.5</t>
        </is>
      </c>
      <c r="G325" s="23" t="n">
        <v>-6.5</v>
      </c>
      <c r="H325" s="13" t="n">
        <v>-115</v>
      </c>
      <c r="I325" s="15" t="n">
        <v>0.4432961084962852</v>
      </c>
      <c r="J325" s="15" t="n">
        <v>0.5108342361863488</v>
      </c>
      <c r="K325" s="15" t="n">
        <v>0.5348837209302325</v>
      </c>
      <c r="L325" s="14" t="n">
        <v>-0.09158761243394731</v>
      </c>
      <c r="M325" s="14" t="n">
        <v>-0.1712290145504234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ARST @ MEM</t>
        </is>
      </c>
      <c r="C326" s="17" t="inlineStr">
        <is>
          <t>2026-09-05 23:00</t>
        </is>
      </c>
      <c r="D326" s="25" t="n">
        <v>1</v>
      </c>
      <c r="E326" s="17" t="inlineStr">
        <is>
          <t>TOTAL</t>
        </is>
      </c>
      <c r="F326" s="17" t="inlineStr">
        <is>
          <t>Under 52.5</t>
        </is>
      </c>
      <c r="G326" s="26" t="n">
        <v>52.5</v>
      </c>
      <c r="H326" s="18" t="n">
        <v>-112</v>
      </c>
      <c r="I326" s="20" t="n">
        <v>0.4337221646593372</v>
      </c>
      <c r="J326" s="20" t="n">
        <v>0.5043297540699688</v>
      </c>
      <c r="K326" s="20" t="n">
        <v>0.5283018867924528</v>
      </c>
      <c r="L326" s="19" t="n">
        <v>-0.09457972213311561</v>
      </c>
      <c r="M326" s="19" t="n">
        <v>-0.1790259026091117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NORF @ ODU</t>
        </is>
      </c>
      <c r="C327" s="12" t="inlineStr">
        <is>
          <t>2026-09-05 22:00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-108</v>
      </c>
      <c r="I327" s="15" t="n">
        <v>0.4237920670817543</v>
      </c>
      <c r="J327" s="15" t="n">
        <v>0.4956702459300312</v>
      </c>
      <c r="K327" s="15" t="n">
        <v>0.5192307692307693</v>
      </c>
      <c r="L327" s="14" t="n">
        <v>-0.09543870214901495</v>
      </c>
      <c r="M327" s="14" t="n">
        <v>-0.1838078708055101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NORF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MORG @ ASU</t>
        </is>
      </c>
      <c r="C328" s="17" t="inlineStr">
        <is>
          <t>2026-09-06 02:00</t>
        </is>
      </c>
      <c r="D328" s="25" t="n">
        <v>1</v>
      </c>
      <c r="E328" s="17" t="inlineStr">
        <is>
          <t>TOTAL</t>
        </is>
      </c>
      <c r="F328" s="17" t="inlineStr">
        <is>
          <t>Under 52.5</t>
        </is>
      </c>
      <c r="G328" s="26" t="n">
        <v>52.5</v>
      </c>
      <c r="H328" s="18" t="n">
        <v>-108</v>
      </c>
      <c r="I328" s="20" t="n">
        <v>0.4200935355927424</v>
      </c>
      <c r="J328" s="20" t="n">
        <v>0.4956702459300312</v>
      </c>
      <c r="K328" s="20" t="n">
        <v>0.5192307692307693</v>
      </c>
      <c r="L328" s="19" t="n">
        <v>-0.09913723363802684</v>
      </c>
      <c r="M328" s="19" t="n">
        <v>-0.1909309684880516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MORG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BC @ CIN</t>
        </is>
      </c>
      <c r="C329" s="12" t="inlineStr">
        <is>
          <t>2026-09-05 19:30</t>
        </is>
      </c>
      <c r="D329" s="22" t="n">
        <v>1</v>
      </c>
      <c r="E329" s="12" t="inlineStr">
        <is>
          <t>ML</t>
        </is>
      </c>
      <c r="F329" s="12" t="inlineStr">
        <is>
          <t>CIN ML</t>
        </is>
      </c>
      <c r="G329" s="23" t="n"/>
      <c r="H329" s="13" t="n">
        <v>-305</v>
      </c>
      <c r="I329" s="15" t="n">
        <v>0.6529390550732841</v>
      </c>
      <c r="J329" s="15" t="n">
        <v>0.7220792588780237</v>
      </c>
      <c r="K329" s="15" t="n">
        <v>0.7530864197530864</v>
      </c>
      <c r="L329" s="14" t="n">
        <v>-0.1001473646798023</v>
      </c>
      <c r="M329" s="14" t="n">
        <v>-0.1329825662141638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MERC @ NMSU</t>
        </is>
      </c>
      <c r="C330" s="17" t="inlineStr">
        <is>
          <t>2026-09-06 01:00</t>
        </is>
      </c>
      <c r="D330" s="25" t="n">
        <v>1</v>
      </c>
      <c r="E330" s="17" t="inlineStr">
        <is>
          <t>TOTAL</t>
        </is>
      </c>
      <c r="F330" s="17" t="inlineStr">
        <is>
          <t>Under 52.5</t>
        </is>
      </c>
      <c r="G330" s="26" t="n">
        <v>52.5</v>
      </c>
      <c r="H330" s="18" t="n">
        <v>-115</v>
      </c>
      <c r="I330" s="20" t="n">
        <v>0.4332339971466023</v>
      </c>
      <c r="J330" s="20" t="n">
        <v>0.5108342361863488</v>
      </c>
      <c r="K330" s="20" t="n">
        <v>0.5348837209302325</v>
      </c>
      <c r="L330" s="19" t="n">
        <v>-0.1016497237836302</v>
      </c>
      <c r="M330" s="19" t="n">
        <v>-0.1900407879433089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MERC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UTEP @ OU</t>
        </is>
      </c>
      <c r="C331" s="12" t="inlineStr">
        <is>
          <t>2026-09-05 00:00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-110</v>
      </c>
      <c r="I331" s="15" t="n">
        <v>0.4185893734648372</v>
      </c>
      <c r="J331" s="15" t="n">
        <v>0.5</v>
      </c>
      <c r="K331" s="15" t="n">
        <v>0.5238095238095238</v>
      </c>
      <c r="L331" s="14" t="n">
        <v>-0.1052201503446867</v>
      </c>
      <c r="M331" s="14" t="n">
        <v>-0.20087483247622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TULN @ DUKE</t>
        </is>
      </c>
      <c r="C332" s="17" t="inlineStr">
        <is>
          <t>2026-09-05 19:30</t>
        </is>
      </c>
      <c r="D332" s="25" t="n">
        <v>1</v>
      </c>
      <c r="E332" s="17" t="inlineStr">
        <is>
          <t>ML</t>
        </is>
      </c>
      <c r="F332" s="17" t="inlineStr">
        <is>
          <t>DUKE ML</t>
        </is>
      </c>
      <c r="G332" s="26" t="n"/>
      <c r="H332" s="18" t="n">
        <v>-325</v>
      </c>
      <c r="I332" s="20" t="n">
        <v>0.6586705855088804</v>
      </c>
      <c r="J332" s="20" t="n">
        <v>0.7335423197492164</v>
      </c>
      <c r="K332" s="20" t="n">
        <v>0.7647058823529411</v>
      </c>
      <c r="L332" s="19" t="n">
        <v>-0.1060352968440608</v>
      </c>
      <c r="M332" s="19" t="n">
        <v>-0.1386615420268487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WSU @ WASH</t>
        </is>
      </c>
      <c r="C333" s="12" t="inlineStr">
        <is>
          <t>2026-09-06 20:00</t>
        </is>
      </c>
      <c r="D333" s="22" t="n">
        <v>1</v>
      </c>
      <c r="E333" s="12" t="inlineStr">
        <is>
          <t>TOTAL</t>
        </is>
      </c>
      <c r="F333" s="12" t="inlineStr">
        <is>
          <t>Under 50.5</t>
        </is>
      </c>
      <c r="G333" s="23" t="n">
        <v>50.5</v>
      </c>
      <c r="H333" s="13" t="n">
        <v>-102</v>
      </c>
      <c r="I333" s="15" t="n">
        <v>0.3973152605413266</v>
      </c>
      <c r="J333" s="15" t="n">
        <v>0.4826358742837298</v>
      </c>
      <c r="K333" s="15" t="n">
        <v>0.504950495049505</v>
      </c>
      <c r="L333" s="14" t="n">
        <v>-0.1076352345081784</v>
      </c>
      <c r="M333" s="14" t="n">
        <v>-0.2131599742220787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BC @ CIN</t>
        </is>
      </c>
      <c r="C334" s="17" t="inlineStr">
        <is>
          <t>2026-09-05 19:30</t>
        </is>
      </c>
      <c r="D334" s="25" t="n">
        <v>1</v>
      </c>
      <c r="E334" s="17" t="inlineStr">
        <is>
          <t>ATS</t>
        </is>
      </c>
      <c r="F334" s="17" t="inlineStr">
        <is>
          <t>CIN -7.5</t>
        </is>
      </c>
      <c r="G334" s="26" t="n">
        <v>-7.5</v>
      </c>
      <c r="H334" s="18" t="n">
        <v>-108</v>
      </c>
      <c r="I334" s="20" t="n">
        <v>0.411591408576187</v>
      </c>
      <c r="J334" s="20" t="n">
        <v>0.4956702459300312</v>
      </c>
      <c r="K334" s="20" t="n">
        <v>0.5192307692307693</v>
      </c>
      <c r="L334" s="19" t="n">
        <v>-0.1076393606545822</v>
      </c>
      <c r="M334" s="19" t="n">
        <v>-0.2073054353347509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ORE @ OKST</t>
        </is>
      </c>
      <c r="C335" s="12" t="inlineStr">
        <is>
          <t>2026-09-12 16:00</t>
        </is>
      </c>
      <c r="D335" s="22" t="n">
        <v>2</v>
      </c>
      <c r="E335" s="12" t="inlineStr">
        <is>
          <t>TOTAL</t>
        </is>
      </c>
      <c r="F335" s="12" t="inlineStr">
        <is>
          <t>Over 60.5</t>
        </is>
      </c>
      <c r="G335" s="23" t="n">
        <v>60.5</v>
      </c>
      <c r="H335" s="13" t="n">
        <v>-108</v>
      </c>
      <c r="I335" s="15" t="n">
        <v>0.410978907385161</v>
      </c>
      <c r="J335" s="15" t="n">
        <v>0.4956702459300312</v>
      </c>
      <c r="K335" s="15" t="n">
        <v>0.5192307692307693</v>
      </c>
      <c r="L335" s="14" t="n">
        <v>-0.1082518618456083</v>
      </c>
      <c r="M335" s="14" t="n">
        <v>-0.2084850672582083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WIS @ ND</t>
        </is>
      </c>
      <c r="C336" s="17" t="inlineStr">
        <is>
          <t>2026-09-06 23:30</t>
        </is>
      </c>
      <c r="D336" s="25" t="n">
        <v>1</v>
      </c>
      <c r="E336" s="17" t="inlineStr">
        <is>
          <t>TOTAL</t>
        </is>
      </c>
      <c r="F336" s="17" t="inlineStr">
        <is>
          <t>Under 47.5</t>
        </is>
      </c>
      <c r="G336" s="26" t="n">
        <v>47.5</v>
      </c>
      <c r="H336" s="18" t="n">
        <v>-115</v>
      </c>
      <c r="I336" s="20" t="n">
        <v>0.4258372190455909</v>
      </c>
      <c r="J336" s="20" t="n">
        <v>0.5108342361863488</v>
      </c>
      <c r="K336" s="20" t="n">
        <v>0.5348837209302325</v>
      </c>
      <c r="L336" s="19" t="n">
        <v>-0.1090465018846416</v>
      </c>
      <c r="M336" s="19" t="n">
        <v>-0.2038695470017214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SELA @ USA</t>
        </is>
      </c>
      <c r="C337" s="12" t="inlineStr">
        <is>
          <t>2026-09-05 23:00</t>
        </is>
      </c>
      <c r="D337" s="22" t="n">
        <v>1</v>
      </c>
      <c r="E337" s="12" t="inlineStr">
        <is>
          <t>TOTAL</t>
        </is>
      </c>
      <c r="F337" s="12" t="inlineStr">
        <is>
          <t>Under 52.5</t>
        </is>
      </c>
      <c r="G337" s="23" t="n">
        <v>52.5</v>
      </c>
      <c r="H337" s="13" t="n">
        <v>-112</v>
      </c>
      <c r="I337" s="15" t="n">
        <v>0.418931176220276</v>
      </c>
      <c r="J337" s="15" t="n">
        <v>0.5043297540699688</v>
      </c>
      <c r="K337" s="15" t="n">
        <v>0.5283018867924528</v>
      </c>
      <c r="L337" s="14" t="n">
        <v>-0.1093707105721768</v>
      </c>
      <c r="M337" s="14" t="n">
        <v>-0.2070231307259062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SELA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LAF @ CONN</t>
        </is>
      </c>
      <c r="C338" s="17" t="inlineStr">
        <is>
          <t>2026-09-05 16:00</t>
        </is>
      </c>
      <c r="D338" s="25" t="n">
        <v>1</v>
      </c>
      <c r="E338" s="17" t="inlineStr">
        <is>
          <t>TOTAL</t>
        </is>
      </c>
      <c r="F338" s="17" t="inlineStr">
        <is>
          <t>Under 52.5</t>
        </is>
      </c>
      <c r="G338" s="26" t="n">
        <v>52.5</v>
      </c>
      <c r="H338" s="18" t="n">
        <v>-108</v>
      </c>
      <c r="I338" s="20" t="n">
        <v>0.407388869325946</v>
      </c>
      <c r="J338" s="20" t="n">
        <v>0.4956702459300312</v>
      </c>
      <c r="K338" s="20" t="n">
        <v>0.5192307692307693</v>
      </c>
      <c r="L338" s="19" t="n">
        <v>-0.1118418999048233</v>
      </c>
      <c r="M338" s="19" t="n">
        <v>-0.2153992146315114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LAF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CLEM @ LSU</t>
        </is>
      </c>
      <c r="C339" s="12" t="inlineStr">
        <is>
          <t>2026-09-05 23:30</t>
        </is>
      </c>
      <c r="D339" s="22" t="n">
        <v>1</v>
      </c>
      <c r="E339" s="12" t="inlineStr">
        <is>
          <t>TOTAL</t>
        </is>
      </c>
      <c r="F339" s="12" t="inlineStr">
        <is>
          <t>Under 50.5</t>
        </is>
      </c>
      <c r="G339" s="23" t="n">
        <v>50.5</v>
      </c>
      <c r="H339" s="13" t="n">
        <v>-108</v>
      </c>
      <c r="I339" s="15" t="n">
        <v>0.4073888663772578</v>
      </c>
      <c r="J339" s="15" t="n">
        <v>0.4956702459300312</v>
      </c>
      <c r="K339" s="15" t="n">
        <v>0.5192307692307693</v>
      </c>
      <c r="L339" s="14" t="n">
        <v>-0.1118419028535115</v>
      </c>
      <c r="M339" s="14" t="n">
        <v>-0.2153992203104664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MRSH @ PSU</t>
        </is>
      </c>
      <c r="C340" s="17" t="inlineStr">
        <is>
          <t>2026-09-05 19:30</t>
        </is>
      </c>
      <c r="D340" s="25" t="n">
        <v>1</v>
      </c>
      <c r="E340" s="17" t="inlineStr">
        <is>
          <t>TOTAL</t>
        </is>
      </c>
      <c r="F340" s="17" t="inlineStr">
        <is>
          <t>Under 52.5</t>
        </is>
      </c>
      <c r="G340" s="26" t="n">
        <v>52.5</v>
      </c>
      <c r="H340" s="18" t="n">
        <v>-118</v>
      </c>
      <c r="I340" s="20" t="n">
        <v>0.4291021927321261</v>
      </c>
      <c r="J340" s="20" t="n">
        <v>0.5173641257162701</v>
      </c>
      <c r="K340" s="20" t="n">
        <v>0.5412844036697247</v>
      </c>
      <c r="L340" s="19" t="n">
        <v>-0.1121822109375986</v>
      </c>
      <c r="M340" s="19" t="n">
        <v>-0.2072518812236992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TULN @ DUKE</t>
        </is>
      </c>
      <c r="C341" s="12" t="inlineStr">
        <is>
          <t>2026-09-05 19:30</t>
        </is>
      </c>
      <c r="D341" s="22" t="n">
        <v>1</v>
      </c>
      <c r="E341" s="12" t="inlineStr">
        <is>
          <t>ATS</t>
        </is>
      </c>
      <c r="F341" s="12" t="inlineStr">
        <is>
          <t>DUKE -7.5</t>
        </is>
      </c>
      <c r="G341" s="23" t="n">
        <v>-7.5</v>
      </c>
      <c r="H341" s="13" t="n">
        <v>-112</v>
      </c>
      <c r="I341" s="15" t="n">
        <v>0.4159211626461559</v>
      </c>
      <c r="J341" s="15" t="n">
        <v>0.5043297540699688</v>
      </c>
      <c r="K341" s="15" t="n">
        <v>0.5283018867924528</v>
      </c>
      <c r="L341" s="14" t="n">
        <v>-0.112380724146297</v>
      </c>
      <c r="M341" s="14" t="n">
        <v>-0.2127206564197764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ASU @ TA&amp;M</t>
        </is>
      </c>
      <c r="C342" s="17" t="inlineStr">
        <is>
          <t>2026-09-12 16:00</t>
        </is>
      </c>
      <c r="D342" s="25" t="n">
        <v>2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-112</v>
      </c>
      <c r="I342" s="20" t="n">
        <v>0.4135095079730178</v>
      </c>
      <c r="J342" s="20" t="n">
        <v>0.5043297540699688</v>
      </c>
      <c r="K342" s="20" t="n">
        <v>0.5283018867924528</v>
      </c>
      <c r="L342" s="19" t="n">
        <v>-0.114792378819435</v>
      </c>
      <c r="M342" s="19" t="n">
        <v>-0.2172855741939307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SMU @ FSU</t>
        </is>
      </c>
      <c r="C343" s="12" t="inlineStr">
        <is>
          <t>2026-09-07 23:30</t>
        </is>
      </c>
      <c r="D343" s="22" t="n">
        <v>1</v>
      </c>
      <c r="E343" s="12" t="inlineStr">
        <is>
          <t>ML</t>
        </is>
      </c>
      <c r="F343" s="12" t="inlineStr">
        <is>
          <t>SMU ML</t>
        </is>
      </c>
      <c r="G343" s="23" t="n"/>
      <c r="H343" s="13" t="n">
        <v>-162</v>
      </c>
      <c r="I343" s="15" t="n">
        <v>0.5029540416479457</v>
      </c>
      <c r="J343" s="15" t="n">
        <v>0.5933697541594239</v>
      </c>
      <c r="K343" s="15" t="n">
        <v>0.6183206106870229</v>
      </c>
      <c r="L343" s="14" t="n">
        <v>-0.1153665690390773</v>
      </c>
      <c r="M343" s="14" t="n">
        <v>-0.1865805005446804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FRES @ USC</t>
        </is>
      </c>
      <c r="C344" s="17" t="inlineStr">
        <is>
          <t>2026-09-05 01:00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-108</v>
      </c>
      <c r="I344" s="20" t="n">
        <v>0.4038324480631423</v>
      </c>
      <c r="J344" s="20" t="n">
        <v>0.4956702459300312</v>
      </c>
      <c r="K344" s="20" t="n">
        <v>0.5192307692307693</v>
      </c>
      <c r="L344" s="19" t="n">
        <v>-0.1153983211676269</v>
      </c>
      <c r="M344" s="19" t="n">
        <v>-0.2222486185450592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BRY @ ARMY</t>
        </is>
      </c>
      <c r="C345" s="12" t="inlineStr">
        <is>
          <t>2026-09-05 16:00</t>
        </is>
      </c>
      <c r="D345" s="22" t="n">
        <v>1</v>
      </c>
      <c r="E345" s="12" t="inlineStr">
        <is>
          <t>TOTAL</t>
        </is>
      </c>
      <c r="F345" s="12" t="inlineStr">
        <is>
          <t>Under 51.5</t>
        </is>
      </c>
      <c r="G345" s="23" t="n">
        <v>51.5</v>
      </c>
      <c r="H345" s="13" t="n">
        <v>-118</v>
      </c>
      <c r="I345" s="15" t="n">
        <v>0.4254483607313085</v>
      </c>
      <c r="J345" s="15" t="n">
        <v>0.5173641257162701</v>
      </c>
      <c r="K345" s="15" t="n">
        <v>0.5412844036697247</v>
      </c>
      <c r="L345" s="14" t="n">
        <v>-0.1158360429384162</v>
      </c>
      <c r="M345" s="14" t="n">
        <v>-0.2140021810218198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BRY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EIU @ MINN</t>
        </is>
      </c>
      <c r="C346" s="17" t="inlineStr">
        <is>
          <t>2026-09-04 00:00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-115</v>
      </c>
      <c r="I346" s="20" t="n">
        <v>0.418560898556645</v>
      </c>
      <c r="J346" s="20" t="n">
        <v>0.5108342361863488</v>
      </c>
      <c r="K346" s="20" t="n">
        <v>0.5348837209302325</v>
      </c>
      <c r="L346" s="19" t="n">
        <v>-0.1163228223735875</v>
      </c>
      <c r="M346" s="19" t="n">
        <v>-0.2174731026984463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EIU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WES @ KENN</t>
        </is>
      </c>
      <c r="C347" s="12" t="inlineStr">
        <is>
          <t>2026-09-03 23:00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-108</v>
      </c>
      <c r="I347" s="15" t="n">
        <v>0.4003107381873663</v>
      </c>
      <c r="J347" s="15" t="n">
        <v>0.4956702459300312</v>
      </c>
      <c r="K347" s="15" t="n">
        <v>0.5192307692307693</v>
      </c>
      <c r="L347" s="14" t="n">
        <v>-0.118920031043403</v>
      </c>
      <c r="M347" s="14" t="n">
        <v>-0.2290311708984056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WES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SMU @ FSU</t>
        </is>
      </c>
      <c r="C348" s="17" t="inlineStr">
        <is>
          <t>2026-09-07 23:30</t>
        </is>
      </c>
      <c r="D348" s="25" t="n">
        <v>1</v>
      </c>
      <c r="E348" s="17" t="inlineStr">
        <is>
          <t>ATS</t>
        </is>
      </c>
      <c r="F348" s="17" t="inlineStr">
        <is>
          <t>SMU -3</t>
        </is>
      </c>
      <c r="G348" s="26" t="n">
        <v>3</v>
      </c>
      <c r="H348" s="18" t="n">
        <v>-112</v>
      </c>
      <c r="I348" s="20" t="n">
        <v>0.4092896603306193</v>
      </c>
      <c r="J348" s="20" t="n">
        <v>0.5043297540699688</v>
      </c>
      <c r="K348" s="20" t="n">
        <v>0.5283018867924528</v>
      </c>
      <c r="L348" s="19" t="n">
        <v>-0.1190122264618335</v>
      </c>
      <c r="M348" s="19" t="n">
        <v>-0.2129306586439471</v>
      </c>
      <c r="N348" s="20" t="n">
        <v>0.0548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TOL @ MSU</t>
        </is>
      </c>
      <c r="C349" s="12" t="inlineStr">
        <is>
          <t>2026-09-05 00:00</t>
        </is>
      </c>
      <c r="D349" s="22" t="n">
        <v>1</v>
      </c>
      <c r="E349" s="12" t="inlineStr">
        <is>
          <t>ML</t>
        </is>
      </c>
      <c r="F349" s="12" t="inlineStr">
        <is>
          <t>MSU ML</t>
        </is>
      </c>
      <c r="G349" s="23" t="n"/>
      <c r="H349" s="13" t="n">
        <v>-380</v>
      </c>
      <c r="I349" s="15" t="n">
        <v>0.6718994256342723</v>
      </c>
      <c r="J349" s="15" t="n">
        <v>0.7600000000000001</v>
      </c>
      <c r="K349" s="15" t="n">
        <v>0.7916666666666666</v>
      </c>
      <c r="L349" s="14" t="n">
        <v>-0.1197672410323943</v>
      </c>
      <c r="M349" s="14" t="n">
        <v>-0.1512849360409192</v>
      </c>
      <c r="N349" s="15" t="n">
        <v>0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BOIS @ ORE</t>
        </is>
      </c>
      <c r="C350" s="17" t="inlineStr">
        <is>
          <t>2026-09-05 19:30</t>
        </is>
      </c>
      <c r="D350" s="25" t="n">
        <v>1</v>
      </c>
      <c r="E350" s="17" t="inlineStr">
        <is>
          <t>TOTAL</t>
        </is>
      </c>
      <c r="F350" s="17" t="inlineStr">
        <is>
          <t>Under 51.5</t>
        </is>
      </c>
      <c r="G350" s="26" t="n">
        <v>51.5</v>
      </c>
      <c r="H350" s="18" t="n">
        <v>-112</v>
      </c>
      <c r="I350" s="20" t="n">
        <v>0.4081622021331113</v>
      </c>
      <c r="J350" s="20" t="n">
        <v>0.5043297540699688</v>
      </c>
      <c r="K350" s="20" t="n">
        <v>0.5283018867924528</v>
      </c>
      <c r="L350" s="19" t="n">
        <v>-0.1201396846593416</v>
      </c>
      <c r="M350" s="19" t="n">
        <v>-0.2274072602480394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MASS @ RUTG</t>
        </is>
      </c>
      <c r="C351" s="12" t="inlineStr">
        <is>
          <t>2026-09-03 22:00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-108</v>
      </c>
      <c r="I351" s="15" t="n">
        <v>0.3985632314558849</v>
      </c>
      <c r="J351" s="15" t="n">
        <v>0.4956702459300312</v>
      </c>
      <c r="K351" s="15" t="n">
        <v>0.5192307692307693</v>
      </c>
      <c r="L351" s="14" t="n">
        <v>-0.1206675377748844</v>
      </c>
      <c r="M351" s="14" t="n">
        <v>-0.2323967394182957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ARST @ MEM</t>
        </is>
      </c>
      <c r="C352" s="17" t="inlineStr">
        <is>
          <t>2026-09-05 23:00</t>
        </is>
      </c>
      <c r="D352" s="25" t="n">
        <v>1</v>
      </c>
      <c r="E352" s="17" t="inlineStr">
        <is>
          <t>ML</t>
        </is>
      </c>
      <c r="F352" s="17" t="inlineStr">
        <is>
          <t>MEM ML</t>
        </is>
      </c>
      <c r="G352" s="26" t="n"/>
      <c r="H352" s="18" t="n">
        <v>-470</v>
      </c>
      <c r="I352" s="20" t="n">
        <v>0.7015692146535244</v>
      </c>
      <c r="J352" s="20" t="n">
        <v>0.7913616398243045</v>
      </c>
      <c r="K352" s="20" t="n">
        <v>0.8245614035087719</v>
      </c>
      <c r="L352" s="19" t="n">
        <v>-0.1229921888552475</v>
      </c>
      <c r="M352" s="19" t="n">
        <v>-0.1491607396755129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price outside allowed range</t>
        </is>
      </c>
    </row>
    <row r="353">
      <c r="A353" s="12" t="inlineStr">
        <is>
          <t>PASS</t>
        </is>
      </c>
      <c r="B353" s="12" t="inlineStr">
        <is>
          <t>UTU @ BYU</t>
        </is>
      </c>
      <c r="C353" s="12" t="inlineStr">
        <is>
          <t>2026-09-06 00:00</t>
        </is>
      </c>
      <c r="D353" s="22" t="n">
        <v>1</v>
      </c>
      <c r="E353" s="12" t="inlineStr">
        <is>
          <t>TOTAL</t>
        </is>
      </c>
      <c r="F353" s="12" t="inlineStr">
        <is>
          <t>Over 61.5</t>
        </is>
      </c>
      <c r="G353" s="23" t="n">
        <v>61.5</v>
      </c>
      <c r="H353" s="13" t="n">
        <v>-110</v>
      </c>
      <c r="I353" s="15" t="n">
        <v>0.4007281113264128</v>
      </c>
      <c r="J353" s="15" t="n">
        <v>0.5</v>
      </c>
      <c r="K353" s="15" t="n">
        <v>0.5238095238095238</v>
      </c>
      <c r="L353" s="14" t="n">
        <v>-0.123081412483111</v>
      </c>
      <c r="M353" s="14" t="n">
        <v>-0.2349736056495755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UTU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CLEM @ LSU</t>
        </is>
      </c>
      <c r="C354" s="17" t="inlineStr">
        <is>
          <t>2026-09-05 23:30</t>
        </is>
      </c>
      <c r="D354" s="25" t="n">
        <v>1</v>
      </c>
      <c r="E354" s="17" t="inlineStr">
        <is>
          <t>ML</t>
        </is>
      </c>
      <c r="F354" s="17" t="inlineStr">
        <is>
          <t>LSU ML</t>
        </is>
      </c>
      <c r="G354" s="26" t="n"/>
      <c r="H354" s="18" t="n">
        <v>-395</v>
      </c>
      <c r="I354" s="20" t="n">
        <v>0.6748504778924893</v>
      </c>
      <c r="J354" s="20" t="n">
        <v>0.7659021045164341</v>
      </c>
      <c r="K354" s="20" t="n">
        <v>0.797979797979798</v>
      </c>
      <c r="L354" s="19" t="n">
        <v>-0.1231293200873087</v>
      </c>
      <c r="M354" s="19" t="n">
        <v>-0.1543012998562476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UAPB @ MIZ</t>
        </is>
      </c>
      <c r="C355" s="12" t="inlineStr">
        <is>
          <t>2026-09-04 00:00</t>
        </is>
      </c>
      <c r="D355" s="22" t="n">
        <v>1</v>
      </c>
      <c r="E355" s="12" t="inlineStr">
        <is>
          <t>TOTAL</t>
        </is>
      </c>
      <c r="F355" s="12" t="inlineStr">
        <is>
          <t>Over 61.5</t>
        </is>
      </c>
      <c r="G355" s="23" t="n">
        <v>61.5</v>
      </c>
      <c r="H355" s="13" t="n">
        <v>-110</v>
      </c>
      <c r="I355" s="15" t="n">
        <v>0.398989675459141</v>
      </c>
      <c r="J355" s="15" t="n">
        <v>0.5</v>
      </c>
      <c r="K355" s="15" t="n">
        <v>0.5238095238095238</v>
      </c>
      <c r="L355" s="14" t="n">
        <v>-0.1248198483503828</v>
      </c>
      <c r="M355" s="14" t="n">
        <v>-0.2382924377598217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UAPB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CHSO @ GASO</t>
        </is>
      </c>
      <c r="C356" s="17" t="inlineStr">
        <is>
          <t>2026-09-05 23:00</t>
        </is>
      </c>
      <c r="D356" s="25" t="n">
        <v>1</v>
      </c>
      <c r="E356" s="17" t="inlineStr">
        <is>
          <t>TOTAL</t>
        </is>
      </c>
      <c r="F356" s="17" t="inlineStr">
        <is>
          <t>Under 51.5</t>
        </is>
      </c>
      <c r="G356" s="26" t="n">
        <v>51.5</v>
      </c>
      <c r="H356" s="18" t="n">
        <v>-112</v>
      </c>
      <c r="I356" s="20" t="n">
        <v>0.4028929855258536</v>
      </c>
      <c r="J356" s="20" t="n">
        <v>0.5043297540699688</v>
      </c>
      <c r="K356" s="20" t="n">
        <v>0.5283018867924528</v>
      </c>
      <c r="L356" s="19" t="n">
        <v>-0.1254089012665992</v>
      </c>
      <c r="M356" s="19" t="n">
        <v>-0.2373811345403485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CHSO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COLO @ GT</t>
        </is>
      </c>
      <c r="C357" s="12" t="inlineStr">
        <is>
          <t>2026-09-04 00:00</t>
        </is>
      </c>
      <c r="D357" s="22" t="n">
        <v>1</v>
      </c>
      <c r="E357" s="12" t="inlineStr">
        <is>
          <t>TOTAL</t>
        </is>
      </c>
      <c r="F357" s="12" t="inlineStr">
        <is>
          <t>Under 51.5</t>
        </is>
      </c>
      <c r="G357" s="23" t="n">
        <v>51.5</v>
      </c>
      <c r="H357" s="13" t="n">
        <v>-118</v>
      </c>
      <c r="I357" s="15" t="n">
        <v>0.4129141272562842</v>
      </c>
      <c r="J357" s="15" t="n">
        <v>0.5173641257162701</v>
      </c>
      <c r="K357" s="15" t="n">
        <v>0.5412844036697247</v>
      </c>
      <c r="L357" s="14" t="n">
        <v>-0.1283702764134406</v>
      </c>
      <c r="M357" s="14" t="n">
        <v>-0.2371586462553394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LOU @ MISS</t>
        </is>
      </c>
      <c r="C358" s="17" t="inlineStr">
        <is>
          <t>2026-09-06 23:30</t>
        </is>
      </c>
      <c r="D358" s="25" t="n">
        <v>1</v>
      </c>
      <c r="E358" s="17" t="inlineStr">
        <is>
          <t>ML</t>
        </is>
      </c>
      <c r="F358" s="17" t="inlineStr">
        <is>
          <t>MISS ML</t>
        </is>
      </c>
      <c r="G358" s="26" t="n"/>
      <c r="H358" s="18" t="n">
        <v>-270</v>
      </c>
      <c r="I358" s="20" t="n">
        <v>0.6000810372771475</v>
      </c>
      <c r="J358" s="20" t="n">
        <v>0.7001620745542949</v>
      </c>
      <c r="K358" s="20" t="n">
        <v>0.7297297297297297</v>
      </c>
      <c r="L358" s="19" t="n">
        <v>-0.1296486924525823</v>
      </c>
      <c r="M358" s="19" t="n">
        <v>-0.1776667266942795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UNLV @ HAW</t>
        </is>
      </c>
      <c r="C359" s="12" t="inlineStr">
        <is>
          <t>2026-09-06 02:00</t>
        </is>
      </c>
      <c r="D359" s="22" t="n">
        <v>1</v>
      </c>
      <c r="E359" s="12" t="inlineStr">
        <is>
          <t>ML</t>
        </is>
      </c>
      <c r="F359" s="12" t="inlineStr">
        <is>
          <t>UNLV ML</t>
        </is>
      </c>
      <c r="G359" s="23" t="n"/>
      <c r="H359" s="13" t="n">
        <v>-155</v>
      </c>
      <c r="I359" s="15" t="n">
        <v>0.4781609497730502</v>
      </c>
      <c r="J359" s="15" t="n">
        <v>0.5829926410466066</v>
      </c>
      <c r="K359" s="15" t="n">
        <v>0.6078431372549019</v>
      </c>
      <c r="L359" s="14" t="n">
        <v>-0.1296821874818517</v>
      </c>
      <c r="M359" s="14" t="n">
        <v>-0.2133481148894981</v>
      </c>
      <c r="N359" s="15" t="n">
        <v>0</v>
      </c>
      <c r="O359" s="24" t="n">
        <v>0.725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FIU @ USF</t>
        </is>
      </c>
      <c r="C360" s="17" t="inlineStr">
        <is>
          <t>2026-09-05 23:00</t>
        </is>
      </c>
      <c r="D360" s="25" t="n">
        <v>1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-118</v>
      </c>
      <c r="I360" s="20" t="n">
        <v>0.4111576789464177</v>
      </c>
      <c r="J360" s="20" t="n">
        <v>0.5173641257162701</v>
      </c>
      <c r="K360" s="20" t="n">
        <v>0.5412844036697247</v>
      </c>
      <c r="L360" s="19" t="n">
        <v>-0.130126724723307</v>
      </c>
      <c r="M360" s="19" t="n">
        <v>-0.2404036100820418</v>
      </c>
      <c r="N360" s="20" t="n">
        <v>0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UNA @ ARK</t>
        </is>
      </c>
      <c r="C361" s="12" t="inlineStr">
        <is>
          <t>2026-09-05 20:15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-105</v>
      </c>
      <c r="I361" s="15" t="n">
        <v>0.3816677560445912</v>
      </c>
      <c r="J361" s="15" t="n">
        <v>0.4891657638136511</v>
      </c>
      <c r="K361" s="15" t="n">
        <v>0.5121951219512195</v>
      </c>
      <c r="L361" s="14" t="n">
        <v>-0.1305273659066283</v>
      </c>
      <c r="M361" s="14" t="n">
        <v>-0.2548391429605601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UNA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IDST @ USU</t>
        </is>
      </c>
      <c r="C362" s="17" t="inlineStr">
        <is>
          <t>2026-09-05 23:00</t>
        </is>
      </c>
      <c r="D362" s="25" t="n">
        <v>1</v>
      </c>
      <c r="E362" s="17" t="inlineStr">
        <is>
          <t>TOTAL</t>
        </is>
      </c>
      <c r="F362" s="17" t="inlineStr">
        <is>
          <t>Over 62.5</t>
        </is>
      </c>
      <c r="G362" s="26" t="n">
        <v>62.5</v>
      </c>
      <c r="H362" s="18" t="n">
        <v>-112</v>
      </c>
      <c r="I362" s="20" t="n">
        <v>0.3977053944661499</v>
      </c>
      <c r="J362" s="20" t="n">
        <v>0.5043297540699688</v>
      </c>
      <c r="K362" s="20" t="n">
        <v>0.5283018867924528</v>
      </c>
      <c r="L362" s="19" t="n">
        <v>-0.1305964923263029</v>
      </c>
      <c r="M362" s="19" t="n">
        <v>-0.2472005033319306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IDST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NCAT @ GAST</t>
        </is>
      </c>
      <c r="C363" s="12" t="inlineStr">
        <is>
          <t>2026-09-04 23:00</t>
        </is>
      </c>
      <c r="D363" s="22" t="n">
        <v>1</v>
      </c>
      <c r="E363" s="12" t="inlineStr">
        <is>
          <t>TOTAL</t>
        </is>
      </c>
      <c r="F363" s="12" t="inlineStr">
        <is>
          <t>Over 62.5</t>
        </is>
      </c>
      <c r="G363" s="23" t="n">
        <v>62.5</v>
      </c>
      <c r="H363" s="13" t="n">
        <v>-112</v>
      </c>
      <c r="I363" s="15" t="n">
        <v>0.3959949172430184</v>
      </c>
      <c r="J363" s="15" t="n">
        <v>0.5043297540699688</v>
      </c>
      <c r="K363" s="15" t="n">
        <v>0.5283018867924528</v>
      </c>
      <c r="L363" s="14" t="n">
        <v>-0.1323069695494344</v>
      </c>
      <c r="M363" s="14" t="n">
        <v>-0.2504381923614295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NCAT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TOL @ MSU</t>
        </is>
      </c>
      <c r="C364" s="17" t="inlineStr">
        <is>
          <t>2026-09-05 00:00</t>
        </is>
      </c>
      <c r="D364" s="25" t="n">
        <v>1</v>
      </c>
      <c r="E364" s="17" t="inlineStr">
        <is>
          <t>ATS</t>
        </is>
      </c>
      <c r="F364" s="17" t="inlineStr">
        <is>
          <t>MSU -9.5</t>
        </is>
      </c>
      <c r="G364" s="26" t="n">
        <v>-9.5</v>
      </c>
      <c r="H364" s="18" t="n">
        <v>-110</v>
      </c>
      <c r="I364" s="20" t="n">
        <v>0.3906284871143165</v>
      </c>
      <c r="J364" s="20" t="n">
        <v>0.5</v>
      </c>
      <c r="K364" s="20" t="n">
        <v>0.5238095238095238</v>
      </c>
      <c r="L364" s="19" t="n">
        <v>-0.1331810366952074</v>
      </c>
      <c r="M364" s="19" t="n">
        <v>-0.2542547064181231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LOU @ MISS</t>
        </is>
      </c>
      <c r="C365" s="12" t="inlineStr">
        <is>
          <t>2026-09-06 23:30</t>
        </is>
      </c>
      <c r="D365" s="22" t="n">
        <v>1</v>
      </c>
      <c r="E365" s="12" t="inlineStr">
        <is>
          <t>ATS</t>
        </is>
      </c>
      <c r="F365" s="12" t="inlineStr">
        <is>
          <t>MISS -6.5</t>
        </is>
      </c>
      <c r="G365" s="23" t="n">
        <v>-6.5</v>
      </c>
      <c r="H365" s="13" t="n">
        <v>-118</v>
      </c>
      <c r="I365" s="15" t="n">
        <v>0.408095755997075</v>
      </c>
      <c r="J365" s="15" t="n">
        <v>0.5173641257162701</v>
      </c>
      <c r="K365" s="15" t="n">
        <v>0.5412844036697247</v>
      </c>
      <c r="L365" s="14" t="n">
        <v>-0.1331886476726497</v>
      </c>
      <c r="M365" s="14" t="n">
        <v>-0.2460603829884546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TOW @ NAVY</t>
        </is>
      </c>
      <c r="C366" s="17" t="inlineStr">
        <is>
          <t>2026-09-05 19:30</t>
        </is>
      </c>
      <c r="D366" s="25" t="n">
        <v>1</v>
      </c>
      <c r="E366" s="17" t="inlineStr">
        <is>
          <t>TOTAL</t>
        </is>
      </c>
      <c r="F366" s="17" t="inlineStr">
        <is>
          <t>Under 50.5</t>
        </is>
      </c>
      <c r="G366" s="26" t="n">
        <v>50.5</v>
      </c>
      <c r="H366" s="18" t="n">
        <v>-105</v>
      </c>
      <c r="I366" s="20" t="n">
        <v>0.3783547746484262</v>
      </c>
      <c r="J366" s="20" t="n">
        <v>0.4891657638136511</v>
      </c>
      <c r="K366" s="20" t="n">
        <v>0.5121951219512195</v>
      </c>
      <c r="L366" s="19" t="n">
        <v>-0.1338403473027934</v>
      </c>
      <c r="M366" s="19" t="n">
        <v>-0.2613073447340252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TOW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VMI @ VT</t>
        </is>
      </c>
      <c r="C367" s="12" t="inlineStr">
        <is>
          <t>2026-09-05 23:30</t>
        </is>
      </c>
      <c r="D367" s="22" t="n">
        <v>1</v>
      </c>
      <c r="E367" s="12" t="inlineStr">
        <is>
          <t>TOTAL</t>
        </is>
      </c>
      <c r="F367" s="12" t="inlineStr">
        <is>
          <t>Over 62.5</t>
        </is>
      </c>
      <c r="G367" s="23" t="n">
        <v>62.5</v>
      </c>
      <c r="H367" s="13" t="n">
        <v>-108</v>
      </c>
      <c r="I367" s="15" t="n">
        <v>0.3849199974646373</v>
      </c>
      <c r="J367" s="15" t="n">
        <v>0.4956702459300312</v>
      </c>
      <c r="K367" s="15" t="n">
        <v>0.5192307692307693</v>
      </c>
      <c r="L367" s="14" t="n">
        <v>-0.1343107717661319</v>
      </c>
      <c r="M367" s="14" t="n">
        <v>-0.2586725974755132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VMI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URI @ TEM</t>
        </is>
      </c>
      <c r="C368" s="17" t="inlineStr">
        <is>
          <t>2026-09-05 18:00</t>
        </is>
      </c>
      <c r="D368" s="25" t="n">
        <v>1</v>
      </c>
      <c r="E368" s="17" t="inlineStr">
        <is>
          <t>TOTAL</t>
        </is>
      </c>
      <c r="F368" s="17" t="inlineStr">
        <is>
          <t>Under 51.5</t>
        </is>
      </c>
      <c r="G368" s="26" t="n">
        <v>51.5</v>
      </c>
      <c r="H368" s="18" t="n">
        <v>-118</v>
      </c>
      <c r="I368" s="20" t="n">
        <v>0.4059424966143065</v>
      </c>
      <c r="J368" s="20" t="n">
        <v>0.5173641257162701</v>
      </c>
      <c r="K368" s="20" t="n">
        <v>0.5412844036697247</v>
      </c>
      <c r="L368" s="19" t="n">
        <v>-0.1353419070554183</v>
      </c>
      <c r="M368" s="19" t="n">
        <v>-0.2500384384583151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URI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TULN @ DUKE</t>
        </is>
      </c>
      <c r="C369" s="12" t="inlineStr">
        <is>
          <t>2026-09-05 19:30</t>
        </is>
      </c>
      <c r="D369" s="22" t="n">
        <v>1</v>
      </c>
      <c r="E369" s="12" t="inlineStr">
        <is>
          <t>TOTAL</t>
        </is>
      </c>
      <c r="F369" s="12" t="inlineStr">
        <is>
          <t>Under 51.5</t>
        </is>
      </c>
      <c r="G369" s="23" t="n">
        <v>51.5</v>
      </c>
      <c r="H369" s="13" t="n">
        <v>-115</v>
      </c>
      <c r="I369" s="15" t="n">
        <v>0.3992471561531428</v>
      </c>
      <c r="J369" s="15" t="n">
        <v>0.5108342361863488</v>
      </c>
      <c r="K369" s="15" t="n">
        <v>0.5348837209302325</v>
      </c>
      <c r="L369" s="14" t="n">
        <v>-0.1356365647770897</v>
      </c>
      <c r="M369" s="14" t="n">
        <v>-0.2535814037136896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CMU @ UNM</t>
        </is>
      </c>
      <c r="C370" s="17" t="inlineStr">
        <is>
          <t>2026-09-06 02:00</t>
        </is>
      </c>
      <c r="D370" s="25" t="n">
        <v>1</v>
      </c>
      <c r="E370" s="17" t="inlineStr">
        <is>
          <t>ML</t>
        </is>
      </c>
      <c r="F370" s="17" t="inlineStr">
        <is>
          <t>UNM ML</t>
        </is>
      </c>
      <c r="G370" s="26" t="n"/>
      <c r="H370" s="18" t="n">
        <v>-470</v>
      </c>
      <c r="I370" s="20" t="n">
        <v>0.6875802455464245</v>
      </c>
      <c r="J370" s="20" t="n">
        <v>0.7913616398243045</v>
      </c>
      <c r="K370" s="20" t="n">
        <v>0.8245614035087719</v>
      </c>
      <c r="L370" s="19" t="n">
        <v>-0.1369811579623474</v>
      </c>
      <c r="M370" s="19" t="n">
        <v>-0.1661260851883787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price outside allowed range</t>
        </is>
      </c>
    </row>
    <row r="371">
      <c r="A371" s="12" t="inlineStr">
        <is>
          <t>PASS</t>
        </is>
      </c>
      <c r="B371" s="12" t="inlineStr">
        <is>
          <t>UNLV @ HAW</t>
        </is>
      </c>
      <c r="C371" s="12" t="inlineStr">
        <is>
          <t>2026-09-06 02:00</t>
        </is>
      </c>
      <c r="D371" s="22" t="n">
        <v>1</v>
      </c>
      <c r="E371" s="12" t="inlineStr">
        <is>
          <t>ATS</t>
        </is>
      </c>
      <c r="F371" s="12" t="inlineStr">
        <is>
          <t>UNLV -3</t>
        </is>
      </c>
      <c r="G371" s="23" t="n">
        <v>3</v>
      </c>
      <c r="H371" s="13" t="n">
        <v>-112</v>
      </c>
      <c r="I371" s="15" t="n">
        <v>0.3908605747531</v>
      </c>
      <c r="J371" s="15" t="n">
        <v>0.5043297540699688</v>
      </c>
      <c r="K371" s="15" t="n">
        <v>0.5283018867924528</v>
      </c>
      <c r="L371" s="14" t="n">
        <v>-0.1374413120393528</v>
      </c>
      <c r="M371" s="14" t="n">
        <v>-0.2466409081228476</v>
      </c>
      <c r="N371" s="15" t="n">
        <v>0.052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YSU @ UK</t>
        </is>
      </c>
      <c r="C372" s="17" t="inlineStr">
        <is>
          <t>2026-09-05 17:00</t>
        </is>
      </c>
      <c r="D372" s="25" t="n">
        <v>1</v>
      </c>
      <c r="E372" s="17" t="inlineStr">
        <is>
          <t>TOTAL</t>
        </is>
      </c>
      <c r="F372" s="17" t="inlineStr">
        <is>
          <t>Over 62.5</t>
        </is>
      </c>
      <c r="G372" s="26" t="n">
        <v>62.5</v>
      </c>
      <c r="H372" s="18" t="n">
        <v>-110</v>
      </c>
      <c r="I372" s="20" t="n">
        <v>0.3854233285750168</v>
      </c>
      <c r="J372" s="20" t="n">
        <v>0.5</v>
      </c>
      <c r="K372" s="20" t="n">
        <v>0.5238095238095238</v>
      </c>
      <c r="L372" s="19" t="n">
        <v>-0.1383861952345071</v>
      </c>
      <c r="M372" s="19" t="n">
        <v>-0.264191827265877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YSU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LIB @ JMU</t>
        </is>
      </c>
      <c r="C373" s="12" t="inlineStr">
        <is>
          <t>2026-09-05 16:00</t>
        </is>
      </c>
      <c r="D373" s="22" t="n">
        <v>1</v>
      </c>
      <c r="E373" s="12" t="inlineStr">
        <is>
          <t>TOTAL</t>
        </is>
      </c>
      <c r="F373" s="12" t="inlineStr">
        <is>
          <t>Under 50.5</t>
        </is>
      </c>
      <c r="G373" s="23" t="n">
        <v>50.5</v>
      </c>
      <c r="H373" s="13" t="n">
        <v>-108</v>
      </c>
      <c r="I373" s="15" t="n">
        <v>0.379965798362385</v>
      </c>
      <c r="J373" s="15" t="n">
        <v>0.4956702459300312</v>
      </c>
      <c r="K373" s="15" t="n">
        <v>0.5192307692307693</v>
      </c>
      <c r="L373" s="14" t="n">
        <v>-0.1392649708683843</v>
      </c>
      <c r="M373" s="14" t="n">
        <v>-0.26821401796874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BAY @ AUB</t>
        </is>
      </c>
      <c r="C374" s="17" t="inlineStr">
        <is>
          <t>2026-09-05 19:30</t>
        </is>
      </c>
      <c r="D374" s="25" t="n">
        <v>1</v>
      </c>
      <c r="E374" s="17" t="inlineStr">
        <is>
          <t>ML</t>
        </is>
      </c>
      <c r="F374" s="17" t="inlineStr">
        <is>
          <t>AUB ML</t>
        </is>
      </c>
      <c r="G374" s="26" t="n"/>
      <c r="H374" s="18" t="n">
        <v>-298</v>
      </c>
      <c r="I374" s="20" t="n">
        <v>0.608985260770975</v>
      </c>
      <c r="J374" s="20" t="n">
        <v>0.7179705215419501</v>
      </c>
      <c r="K374" s="20" t="n">
        <v>0.7487437185929648</v>
      </c>
      <c r="L374" s="19" t="n">
        <v>-0.1397584578219898</v>
      </c>
      <c r="M374" s="19" t="n">
        <v>-0.1866572691716508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CMU @ UNM</t>
        </is>
      </c>
      <c r="C375" s="12" t="inlineStr">
        <is>
          <t>2026-09-06 02:00</t>
        </is>
      </c>
      <c r="D375" s="22" t="n">
        <v>1</v>
      </c>
      <c r="E375" s="12" t="inlineStr">
        <is>
          <t>ATS</t>
        </is>
      </c>
      <c r="F375" s="12" t="inlineStr">
        <is>
          <t>UNM -10.5</t>
        </is>
      </c>
      <c r="G375" s="23" t="n">
        <v>-10.5</v>
      </c>
      <c r="H375" s="13" t="n">
        <v>-105</v>
      </c>
      <c r="I375" s="15" t="n">
        <v>0.3715538831333736</v>
      </c>
      <c r="J375" s="15" t="n">
        <v>0.4965893587994543</v>
      </c>
      <c r="K375" s="15" t="n">
        <v>0.5121951219512195</v>
      </c>
      <c r="L375" s="14" t="n">
        <v>-0.1406412388178459</v>
      </c>
      <c r="M375" s="14" t="n">
        <v>-0.274585275787223</v>
      </c>
      <c r="N375" s="15" t="n">
        <v>0</v>
      </c>
      <c r="O375" s="24" t="n">
        <v>0.4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ALCN @ USM</t>
        </is>
      </c>
      <c r="C376" s="17" t="inlineStr">
        <is>
          <t>2026-09-05 21:00</t>
        </is>
      </c>
      <c r="D376" s="25" t="n">
        <v>1</v>
      </c>
      <c r="E376" s="17" t="inlineStr">
        <is>
          <t>TOTAL</t>
        </is>
      </c>
      <c r="F376" s="17" t="inlineStr">
        <is>
          <t>Under 50.5</t>
        </is>
      </c>
      <c r="G376" s="26" t="n">
        <v>50.5</v>
      </c>
      <c r="H376" s="18" t="n">
        <v>-110</v>
      </c>
      <c r="I376" s="20" t="n">
        <v>0.3821306753973694</v>
      </c>
      <c r="J376" s="20" t="n">
        <v>0.5</v>
      </c>
      <c r="K376" s="20" t="n">
        <v>0.5238095238095238</v>
      </c>
      <c r="L376" s="19" t="n">
        <v>-0.1416788484121544</v>
      </c>
      <c r="M376" s="19" t="n">
        <v>-0.2704778015141128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ALCN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BAY @ AUB</t>
        </is>
      </c>
      <c r="C377" s="12" t="inlineStr">
        <is>
          <t>2026-09-05 19:30</t>
        </is>
      </c>
      <c r="D377" s="22" t="n">
        <v>1</v>
      </c>
      <c r="E377" s="12" t="inlineStr">
        <is>
          <t>TOTAL</t>
        </is>
      </c>
      <c r="F377" s="12" t="inlineStr">
        <is>
          <t>Over 59.5</t>
        </is>
      </c>
      <c r="G377" s="23" t="n">
        <v>59.5</v>
      </c>
      <c r="H377" s="13" t="n">
        <v>-105</v>
      </c>
      <c r="I377" s="15" t="n">
        <v>0.3702528120178179</v>
      </c>
      <c r="J377" s="15" t="n">
        <v>0.4891657638136511</v>
      </c>
      <c r="K377" s="15" t="n">
        <v>0.5121951219512195</v>
      </c>
      <c r="L377" s="14" t="n">
        <v>-0.1419423099334016</v>
      </c>
      <c r="M377" s="14" t="n">
        <v>-0.277125462250927</v>
      </c>
      <c r="N377" s="15" t="n">
        <v>0</v>
      </c>
      <c r="O377" s="24" t="n">
        <v>0.4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ORST @ HOU</t>
        </is>
      </c>
      <c r="C378" s="17" t="inlineStr">
        <is>
          <t>2026-09-05 16:00</t>
        </is>
      </c>
      <c r="D378" s="25" t="n">
        <v>1</v>
      </c>
      <c r="E378" s="17" t="inlineStr">
        <is>
          <t>TOTAL</t>
        </is>
      </c>
      <c r="F378" s="17" t="inlineStr">
        <is>
          <t>Under 49.5</t>
        </is>
      </c>
      <c r="G378" s="26" t="n">
        <v>49.5</v>
      </c>
      <c r="H378" s="18" t="n">
        <v>-108</v>
      </c>
      <c r="I378" s="20" t="n">
        <v>0.3767144066745276</v>
      </c>
      <c r="J378" s="20" t="n">
        <v>0.4956702459300312</v>
      </c>
      <c r="K378" s="20" t="n">
        <v>0.5192307692307693</v>
      </c>
      <c r="L378" s="19" t="n">
        <v>-0.1425163625562417</v>
      </c>
      <c r="M378" s="19" t="n">
        <v>-0.2744759575157246</v>
      </c>
      <c r="N378" s="20" t="n">
        <v>0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BAY @ AUB</t>
        </is>
      </c>
      <c r="C379" s="12" t="inlineStr">
        <is>
          <t>2026-09-05 19:30</t>
        </is>
      </c>
      <c r="D379" s="22" t="n">
        <v>1</v>
      </c>
      <c r="E379" s="12" t="inlineStr">
        <is>
          <t>ATS</t>
        </is>
      </c>
      <c r="F379" s="12" t="inlineStr">
        <is>
          <t>AUB -7.5</t>
        </is>
      </c>
      <c r="G379" s="23" t="n">
        <v>-7.5</v>
      </c>
      <c r="H379" s="13" t="n">
        <v>-108</v>
      </c>
      <c r="I379" s="15" t="n">
        <v>0.3753925765511379</v>
      </c>
      <c r="J379" s="15" t="n">
        <v>0.4956702459300312</v>
      </c>
      <c r="K379" s="15" t="n">
        <v>0.5192307692307693</v>
      </c>
      <c r="L379" s="14" t="n">
        <v>-0.1438381926796313</v>
      </c>
      <c r="M379" s="14" t="n">
        <v>-0.2770217044200307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PRST @ SDSU</t>
        </is>
      </c>
      <c r="C380" s="17" t="inlineStr">
        <is>
          <t>2026-09-06 01:30</t>
        </is>
      </c>
      <c r="D380" s="25" t="n">
        <v>1</v>
      </c>
      <c r="E380" s="17" t="inlineStr">
        <is>
          <t>TOTAL</t>
        </is>
      </c>
      <c r="F380" s="17" t="inlineStr">
        <is>
          <t>Over 62.5</t>
        </is>
      </c>
      <c r="G380" s="26" t="n">
        <v>62.5</v>
      </c>
      <c r="H380" s="18" t="n">
        <v>-108</v>
      </c>
      <c r="I380" s="20" t="n">
        <v>0.3751044295596547</v>
      </c>
      <c r="J380" s="20" t="n">
        <v>0.4956702459300312</v>
      </c>
      <c r="K380" s="20" t="n">
        <v>0.5192307692307693</v>
      </c>
      <c r="L380" s="19" t="n">
        <v>-0.1441263396711146</v>
      </c>
      <c r="M380" s="19" t="n">
        <v>-0.2775766541814058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PRST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CLEM @ LSU</t>
        </is>
      </c>
      <c r="C381" s="12" t="inlineStr">
        <is>
          <t>2026-09-05 23:30</t>
        </is>
      </c>
      <c r="D381" s="22" t="n">
        <v>1</v>
      </c>
      <c r="E381" s="12" t="inlineStr">
        <is>
          <t>ATS</t>
        </is>
      </c>
      <c r="F381" s="12" t="inlineStr">
        <is>
          <t>LSU -10</t>
        </is>
      </c>
      <c r="G381" s="23" t="n">
        <v>-10</v>
      </c>
      <c r="H381" s="13" t="n">
        <v>-110</v>
      </c>
      <c r="I381" s="15" t="n">
        <v>0.377695150235191</v>
      </c>
      <c r="J381" s="15" t="n">
        <v>0.5</v>
      </c>
      <c r="K381" s="15" t="n">
        <v>0.5238095238095238</v>
      </c>
      <c r="L381" s="14" t="n">
        <v>-0.1461143735743329</v>
      </c>
      <c r="M381" s="14" t="n">
        <v>-0.2692554511559744</v>
      </c>
      <c r="N381" s="15" t="n">
        <v>0.0347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IDST @ USU</t>
        </is>
      </c>
      <c r="C382" s="17" t="inlineStr">
        <is>
          <t>2026-09-05 23:00</t>
        </is>
      </c>
      <c r="D382" s="25" t="n">
        <v>1</v>
      </c>
      <c r="E382" s="17" t="inlineStr">
        <is>
          <t>ML</t>
        </is>
      </c>
      <c r="F382" s="17" t="inlineStr">
        <is>
          <t>USU ML</t>
        </is>
      </c>
      <c r="G382" s="26" t="n"/>
      <c r="H382" s="18" t="n">
        <v>-535</v>
      </c>
      <c r="I382" s="20" t="n">
        <v>0.6959779754832148</v>
      </c>
      <c r="J382" s="20" t="n">
        <v>0.8081570996978852</v>
      </c>
      <c r="K382" s="20" t="n">
        <v>0.84251968503937</v>
      </c>
      <c r="L382" s="19" t="n">
        <v>-0.1465417095561552</v>
      </c>
      <c r="M382" s="19" t="n">
        <v>-0.1739326833049693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IDST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WMU @ MICH</t>
        </is>
      </c>
      <c r="C383" s="12" t="inlineStr">
        <is>
          <t>2026-09-05 23:30</t>
        </is>
      </c>
      <c r="D383" s="22" t="n">
        <v>1</v>
      </c>
      <c r="E383" s="12" t="inlineStr">
        <is>
          <t>TOTAL</t>
        </is>
      </c>
      <c r="F383" s="12" t="inlineStr">
        <is>
          <t>Under 48.5</t>
        </is>
      </c>
      <c r="G383" s="23" t="n">
        <v>48.5</v>
      </c>
      <c r="H383" s="13" t="n">
        <v>-110</v>
      </c>
      <c r="I383" s="15" t="n">
        <v>0.3756699193098785</v>
      </c>
      <c r="J383" s="15" t="n">
        <v>0.5</v>
      </c>
      <c r="K383" s="15" t="n">
        <v>0.5238095238095238</v>
      </c>
      <c r="L383" s="14" t="n">
        <v>-0.1481396044996454</v>
      </c>
      <c r="M383" s="14" t="n">
        <v>-0.2828119722265956</v>
      </c>
      <c r="N383" s="15" t="n">
        <v>0</v>
      </c>
      <c r="O383" s="24" t="n">
        <v>0.4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ARST @ MEM</t>
        </is>
      </c>
      <c r="C384" s="17" t="inlineStr">
        <is>
          <t>2026-09-05 23:00</t>
        </is>
      </c>
      <c r="D384" s="25" t="n">
        <v>1</v>
      </c>
      <c r="E384" s="17" t="inlineStr">
        <is>
          <t>ATS</t>
        </is>
      </c>
      <c r="F384" s="17" t="inlineStr">
        <is>
          <t>MEM -11.5</t>
        </is>
      </c>
      <c r="G384" s="26" t="n">
        <v>-11.5</v>
      </c>
      <c r="H384" s="18" t="n">
        <v>-110</v>
      </c>
      <c r="I384" s="20" t="n">
        <v>0.3727237425715088</v>
      </c>
      <c r="J384" s="20" t="n">
        <v>0.5</v>
      </c>
      <c r="K384" s="20" t="n">
        <v>0.5238095238095238</v>
      </c>
      <c r="L384" s="19" t="n">
        <v>-0.1510857812380151</v>
      </c>
      <c r="M384" s="19" t="n">
        <v>-0.2884364914543924</v>
      </c>
      <c r="N384" s="20" t="n">
        <v>0</v>
      </c>
      <c r="O384" s="27" t="n">
        <v>0.4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TA&amp;M</t>
        </is>
      </c>
      <c r="C385" s="12" t="inlineStr">
        <is>
          <t>2026-09-12 16:00</t>
        </is>
      </c>
      <c r="D385" s="22" t="n">
        <v>2</v>
      </c>
      <c r="E385" s="12" t="inlineStr">
        <is>
          <t>ML</t>
        </is>
      </c>
      <c r="F385" s="12" t="inlineStr">
        <is>
          <t>TA&amp;M ML</t>
        </is>
      </c>
      <c r="G385" s="23" t="n"/>
      <c r="H385" s="13" t="n">
        <v>-575</v>
      </c>
      <c r="I385" s="15" t="n">
        <v>0.7005288672586377</v>
      </c>
      <c r="J385" s="15" t="n">
        <v>0.817258883248731</v>
      </c>
      <c r="K385" s="15" t="n">
        <v>0.8518518518518519</v>
      </c>
      <c r="L385" s="14" t="n">
        <v>-0.1513229845932141</v>
      </c>
      <c r="M385" s="14" t="n">
        <v>-0.1776400253920341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SELA @ USA</t>
        </is>
      </c>
      <c r="C386" s="17" t="inlineStr">
        <is>
          <t>2026-09-05 23:00</t>
        </is>
      </c>
      <c r="D386" s="25" t="n">
        <v>1</v>
      </c>
      <c r="E386" s="17" t="inlineStr">
        <is>
          <t>ML</t>
        </is>
      </c>
      <c r="F386" s="17" t="inlineStr">
        <is>
          <t>USA ML</t>
        </is>
      </c>
      <c r="G386" s="26" t="n"/>
      <c r="H386" s="18" t="n">
        <v>-600</v>
      </c>
      <c r="I386" s="20" t="n">
        <v>0.7030669383246275</v>
      </c>
      <c r="J386" s="20" t="n">
        <v>0.8223350253807106</v>
      </c>
      <c r="K386" s="20" t="n">
        <v>0.8571428571428571</v>
      </c>
      <c r="L386" s="19" t="n">
        <v>-0.1540759188182296</v>
      </c>
      <c r="M386" s="19" t="n">
        <v>-0.1797552386212679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SELA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FIU @ USF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USF ML</t>
        </is>
      </c>
      <c r="G387" s="23" t="n"/>
      <c r="H387" s="13" t="n">
        <v>-650</v>
      </c>
      <c r="I387" s="15" t="n">
        <v>0.7077243414591881</v>
      </c>
      <c r="J387" s="15" t="n">
        <v>0.8316498316498315</v>
      </c>
      <c r="K387" s="15" t="n">
        <v>0.8666666666666667</v>
      </c>
      <c r="L387" s="14" t="n">
        <v>-0.1589423252074786</v>
      </c>
      <c r="M387" s="14" t="n">
        <v>-0.1833949906240138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SDST @ NU</t>
        </is>
      </c>
      <c r="C388" s="17" t="inlineStr">
        <is>
          <t>2026-09-06 00:00</t>
        </is>
      </c>
      <c r="D388" s="25" t="n">
        <v>1</v>
      </c>
      <c r="E388" s="17" t="inlineStr">
        <is>
          <t>ML</t>
        </is>
      </c>
      <c r="F388" s="17" t="inlineStr">
        <is>
          <t>NU ML</t>
        </is>
      </c>
      <c r="G388" s="26" t="n"/>
      <c r="H388" s="18" t="n">
        <v>-650</v>
      </c>
      <c r="I388" s="20" t="n">
        <v>0.7077243414591881</v>
      </c>
      <c r="J388" s="20" t="n">
        <v>0.8316498316498315</v>
      </c>
      <c r="K388" s="20" t="n">
        <v>0.8666666666666667</v>
      </c>
      <c r="L388" s="19" t="n">
        <v>-0.1589423252074786</v>
      </c>
      <c r="M388" s="19" t="n">
        <v>-0.1833949906240138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SDST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TAR @ BGSU</t>
        </is>
      </c>
      <c r="C389" s="12" t="inlineStr">
        <is>
          <t>2026-09-05 16:00</t>
        </is>
      </c>
      <c r="D389" s="22" t="n">
        <v>1</v>
      </c>
      <c r="E389" s="12" t="inlineStr">
        <is>
          <t>TOTAL</t>
        </is>
      </c>
      <c r="F389" s="12" t="inlineStr">
        <is>
          <t>Under 48.5</t>
        </is>
      </c>
      <c r="G389" s="23" t="n">
        <v>48.5</v>
      </c>
      <c r="H389" s="13" t="n">
        <v>-108</v>
      </c>
      <c r="I389" s="15" t="n">
        <v>0.3596014113522013</v>
      </c>
      <c r="J389" s="15" t="n">
        <v>0.4956702459300312</v>
      </c>
      <c r="K389" s="15" t="n">
        <v>0.5192307692307693</v>
      </c>
      <c r="L389" s="14" t="n">
        <v>-0.159629357878568</v>
      </c>
      <c r="M389" s="14" t="n">
        <v>-0.307434318877242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TAR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BC @ CIN</t>
        </is>
      </c>
      <c r="C390" s="17" t="inlineStr">
        <is>
          <t>2026-09-05 19:30</t>
        </is>
      </c>
      <c r="D390" s="25" t="n">
        <v>1</v>
      </c>
      <c r="E390" s="17" t="inlineStr">
        <is>
          <t>TOTAL</t>
        </is>
      </c>
      <c r="F390" s="17" t="inlineStr">
        <is>
          <t>Under 49.5</t>
        </is>
      </c>
      <c r="G390" s="26" t="n">
        <v>49.5</v>
      </c>
      <c r="H390" s="18" t="n">
        <v>-112</v>
      </c>
      <c r="I390" s="20" t="n">
        <v>0.3684659069684265</v>
      </c>
      <c r="J390" s="20" t="n">
        <v>0.5043297540699688</v>
      </c>
      <c r="K390" s="20" t="n">
        <v>0.5283018867924528</v>
      </c>
      <c r="L390" s="19" t="n">
        <v>-0.1598359798240263</v>
      </c>
      <c r="M390" s="19" t="n">
        <v>-0.3025466760954784</v>
      </c>
      <c r="N390" s="20" t="n">
        <v>0</v>
      </c>
      <c r="O390" s="27" t="n">
        <v>0.4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M-OH @ PITT</t>
        </is>
      </c>
      <c r="C391" s="12" t="inlineStr">
        <is>
          <t>2026-09-05 16:30</t>
        </is>
      </c>
      <c r="D391" s="22" t="n">
        <v>1</v>
      </c>
      <c r="E391" s="12" t="inlineStr">
        <is>
          <t>TOTAL</t>
        </is>
      </c>
      <c r="F391" s="12" t="inlineStr">
        <is>
          <t>Under 48.5</t>
        </is>
      </c>
      <c r="G391" s="23" t="n">
        <v>48.5</v>
      </c>
      <c r="H391" s="13" t="n">
        <v>-112</v>
      </c>
      <c r="I391" s="15" t="n">
        <v>0.3669430663808104</v>
      </c>
      <c r="J391" s="15" t="n">
        <v>0.5043297540699688</v>
      </c>
      <c r="K391" s="15" t="n">
        <v>0.5283018867924528</v>
      </c>
      <c r="L391" s="14" t="n">
        <v>-0.1613588204116424</v>
      </c>
      <c r="M391" s="14" t="n">
        <v>-0.3054291957791803</v>
      </c>
      <c r="N391" s="15" t="n">
        <v>0</v>
      </c>
      <c r="O391" s="24" t="n">
        <v>0.4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ISU @ IOWA</t>
        </is>
      </c>
      <c r="C392" s="17" t="inlineStr">
        <is>
          <t>2026-09-12 23:30</t>
        </is>
      </c>
      <c r="D392" s="25" t="n">
        <v>2</v>
      </c>
      <c r="E392" s="17" t="inlineStr">
        <is>
          <t>ATS</t>
        </is>
      </c>
      <c r="F392" s="17" t="inlineStr">
        <is>
          <t>IOWA -11.5</t>
        </is>
      </c>
      <c r="G392" s="26" t="n">
        <v>-11.5</v>
      </c>
      <c r="H392" s="18" t="n">
        <v>-110</v>
      </c>
      <c r="I392" s="20" t="n">
        <v>0.3614725756845714</v>
      </c>
      <c r="J392" s="20" t="n">
        <v>0.5</v>
      </c>
      <c r="K392" s="20" t="n">
        <v>0.5238095238095238</v>
      </c>
      <c r="L392" s="19" t="n">
        <v>-0.1623369481249525</v>
      </c>
      <c r="M392" s="19" t="n">
        <v>-0.3099159918749092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MIZ @ KU</t>
        </is>
      </c>
      <c r="C393" s="12" t="inlineStr">
        <is>
          <t>2026-09-12 00:00</t>
        </is>
      </c>
      <c r="D393" s="22" t="n">
        <v>2</v>
      </c>
      <c r="E393" s="12" t="inlineStr">
        <is>
          <t>ML</t>
        </is>
      </c>
      <c r="F393" s="12" t="inlineStr">
        <is>
          <t>MIZ ML</t>
        </is>
      </c>
      <c r="G393" s="23" t="n"/>
      <c r="H393" s="13" t="n">
        <v>-250</v>
      </c>
      <c r="I393" s="15" t="n">
        <v>0.5507972035792109</v>
      </c>
      <c r="J393" s="15" t="n">
        <v>0.6853932584269663</v>
      </c>
      <c r="K393" s="15" t="n">
        <v>0.7142857142857143</v>
      </c>
      <c r="L393" s="14" t="n">
        <v>-0.1634885107065034</v>
      </c>
      <c r="M393" s="14" t="n">
        <v>-0.2288839149891048</v>
      </c>
      <c r="N393" s="15" t="n">
        <v>0</v>
      </c>
      <c r="O393" s="24" t="n">
        <v>0.4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ALB @ BUFF</t>
        </is>
      </c>
      <c r="C394" s="17" t="inlineStr">
        <is>
          <t>2026-09-03 23:00</t>
        </is>
      </c>
      <c r="D394" s="25" t="n">
        <v>1</v>
      </c>
      <c r="E394" s="17" t="inlineStr">
        <is>
          <t>TOTAL</t>
        </is>
      </c>
      <c r="F394" s="17" t="inlineStr">
        <is>
          <t>Under 48.5</t>
        </is>
      </c>
      <c r="G394" s="26" t="n">
        <v>48.5</v>
      </c>
      <c r="H394" s="18" t="n">
        <v>-110</v>
      </c>
      <c r="I394" s="20" t="n">
        <v>0.3602773582467026</v>
      </c>
      <c r="J394" s="20" t="n">
        <v>0.5</v>
      </c>
      <c r="K394" s="20" t="n">
        <v>0.5238095238095238</v>
      </c>
      <c r="L394" s="19" t="n">
        <v>-0.1635321655628212</v>
      </c>
      <c r="M394" s="19" t="n">
        <v>-0.3121977706199314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ALB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MIA @ STAN</t>
        </is>
      </c>
      <c r="C395" s="12" t="inlineStr">
        <is>
          <t>2026-09-05 01:00</t>
        </is>
      </c>
      <c r="D395" s="22" t="n">
        <v>1</v>
      </c>
      <c r="E395" s="12" t="inlineStr">
        <is>
          <t>TOTAL</t>
        </is>
      </c>
      <c r="F395" s="12" t="inlineStr">
        <is>
          <t>Under 48.5</t>
        </is>
      </c>
      <c r="G395" s="23" t="n">
        <v>48.5</v>
      </c>
      <c r="H395" s="13" t="n">
        <v>-120</v>
      </c>
      <c r="I395" s="15" t="n">
        <v>0.3818058169154148</v>
      </c>
      <c r="J395" s="15" t="n">
        <v>0.5217391304347826</v>
      </c>
      <c r="K395" s="15" t="n">
        <v>0.5454545454545454</v>
      </c>
      <c r="L395" s="14" t="n">
        <v>-0.1636487285391306</v>
      </c>
      <c r="M395" s="14" t="n">
        <v>-0.3000226689884061</v>
      </c>
      <c r="N395" s="15" t="n">
        <v>0</v>
      </c>
      <c r="O395" s="24" t="n">
        <v>0.4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AKR @ WAKE</t>
        </is>
      </c>
      <c r="C396" s="17" t="inlineStr">
        <is>
          <t>2026-09-03 23:00</t>
        </is>
      </c>
      <c r="D396" s="25" t="n">
        <v>1</v>
      </c>
      <c r="E396" s="17" t="inlineStr">
        <is>
          <t>TOTAL</t>
        </is>
      </c>
      <c r="F396" s="17" t="inlineStr">
        <is>
          <t>Under 48.5</t>
        </is>
      </c>
      <c r="G396" s="26" t="n">
        <v>48.5</v>
      </c>
      <c r="H396" s="18" t="n">
        <v>-112</v>
      </c>
      <c r="I396" s="20" t="n">
        <v>0.36393116542217</v>
      </c>
      <c r="J396" s="20" t="n">
        <v>0.5043297540699688</v>
      </c>
      <c r="K396" s="20" t="n">
        <v>0.5283018867924528</v>
      </c>
      <c r="L396" s="19" t="n">
        <v>-0.1643707213702829</v>
      </c>
      <c r="M396" s="19" t="n">
        <v>-0.3111302940223212</v>
      </c>
      <c r="N396" s="20" t="n">
        <v>0</v>
      </c>
      <c r="O396" s="27" t="n">
        <v>0.4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OSU @ TEX</t>
        </is>
      </c>
      <c r="C397" s="12" t="inlineStr">
        <is>
          <t>2026-09-12 23:30</t>
        </is>
      </c>
      <c r="D397" s="22" t="n">
        <v>2</v>
      </c>
      <c r="E397" s="12" t="inlineStr">
        <is>
          <t>TOTAL</t>
        </is>
      </c>
      <c r="F397" s="12" t="inlineStr">
        <is>
          <t>Under 47.5</t>
        </is>
      </c>
      <c r="G397" s="23" t="n">
        <v>47.5</v>
      </c>
      <c r="H397" s="13" t="n">
        <v>-110</v>
      </c>
      <c r="I397" s="15" t="n">
        <v>0.3573338453903234</v>
      </c>
      <c r="J397" s="15" t="n">
        <v>0.5</v>
      </c>
      <c r="K397" s="15" t="n">
        <v>0.5238095238095238</v>
      </c>
      <c r="L397" s="14" t="n">
        <v>-0.1664756784192004</v>
      </c>
      <c r="M397" s="14" t="n">
        <v>-0.3178172042548371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URI @ TEM</t>
        </is>
      </c>
      <c r="C398" s="17" t="inlineStr">
        <is>
          <t>2026-09-05 18:00</t>
        </is>
      </c>
      <c r="D398" s="25" t="n">
        <v>1</v>
      </c>
      <c r="E398" s="17" t="inlineStr">
        <is>
          <t>ML</t>
        </is>
      </c>
      <c r="F398" s="17" t="inlineStr">
        <is>
          <t>TEM ML</t>
        </is>
      </c>
      <c r="G398" s="26" t="n"/>
      <c r="H398" s="18" t="n">
        <v>-750</v>
      </c>
      <c r="I398" s="20" t="n">
        <v>0.715149989968358</v>
      </c>
      <c r="J398" s="20" t="n">
        <v>0.8465011286681716</v>
      </c>
      <c r="K398" s="20" t="n">
        <v>0.8823529411764706</v>
      </c>
      <c r="L398" s="19" t="n">
        <v>-0.1672029512081126</v>
      </c>
      <c r="M398" s="19" t="n">
        <v>-0.189496678035861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URI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M-OH @ PITT</t>
        </is>
      </c>
      <c r="C399" s="12" t="inlineStr">
        <is>
          <t>2026-09-05 16:30</t>
        </is>
      </c>
      <c r="D399" s="22" t="n">
        <v>1</v>
      </c>
      <c r="E399" s="12" t="inlineStr">
        <is>
          <t>ML</t>
        </is>
      </c>
      <c r="F399" s="12" t="inlineStr">
        <is>
          <t>PITT ML</t>
        </is>
      </c>
      <c r="G399" s="23" t="n"/>
      <c r="H399" s="13" t="n">
        <v>-800</v>
      </c>
      <c r="I399" s="15" t="n">
        <v>0.7181289338309935</v>
      </c>
      <c r="J399" s="15" t="n">
        <v>0.8524590163934427</v>
      </c>
      <c r="K399" s="15" t="n">
        <v>0.8888888888888888</v>
      </c>
      <c r="L399" s="14" t="n">
        <v>-0.1707599550578953</v>
      </c>
      <c r="M399" s="14" t="n">
        <v>-0.1921049494401323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price outside allowed range</t>
        </is>
      </c>
    </row>
    <row r="400">
      <c r="A400" s="17" t="inlineStr">
        <is>
          <t>PASS</t>
        </is>
      </c>
      <c r="B400" s="17" t="inlineStr">
        <is>
          <t>ISU @ IOWA</t>
        </is>
      </c>
      <c r="C400" s="17" t="inlineStr">
        <is>
          <t>2026-09-12 23:30</t>
        </is>
      </c>
      <c r="D400" s="25" t="n">
        <v>2</v>
      </c>
      <c r="E400" s="17" t="inlineStr">
        <is>
          <t>ML</t>
        </is>
      </c>
      <c r="F400" s="17" t="inlineStr">
        <is>
          <t>IOWA ML</t>
        </is>
      </c>
      <c r="G400" s="26" t="n"/>
      <c r="H400" s="18" t="n">
        <v>-800</v>
      </c>
      <c r="I400" s="20" t="n">
        <v>0.7181289338309935</v>
      </c>
      <c r="J400" s="20" t="n">
        <v>0.8524590163934427</v>
      </c>
      <c r="K400" s="20" t="n">
        <v>0.8888888888888888</v>
      </c>
      <c r="L400" s="19" t="n">
        <v>-0.1707599550578953</v>
      </c>
      <c r="M400" s="19" t="n">
        <v>-0.1921049494401323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LAM @ UL</t>
        </is>
      </c>
      <c r="C401" s="12" t="inlineStr">
        <is>
          <t>2026-09-06 00:00</t>
        </is>
      </c>
      <c r="D401" s="22" t="n">
        <v>1</v>
      </c>
      <c r="E401" s="12" t="inlineStr">
        <is>
          <t>TOTAL</t>
        </is>
      </c>
      <c r="F401" s="12" t="inlineStr">
        <is>
          <t>Under 48.5</t>
        </is>
      </c>
      <c r="G401" s="23" t="n">
        <v>48.5</v>
      </c>
      <c r="H401" s="13" t="n">
        <v>-110</v>
      </c>
      <c r="I401" s="15" t="n">
        <v>0.3530052979065443</v>
      </c>
      <c r="J401" s="15" t="n">
        <v>0.5</v>
      </c>
      <c r="K401" s="15" t="n">
        <v>0.5238095238095238</v>
      </c>
      <c r="L401" s="14" t="n">
        <v>-0.1708042259029795</v>
      </c>
      <c r="M401" s="14" t="n">
        <v>-0.326080794905688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LAM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SELA @ USA</t>
        </is>
      </c>
      <c r="C402" s="17" t="inlineStr">
        <is>
          <t>2026-09-05 23:00</t>
        </is>
      </c>
      <c r="D402" s="25" t="n">
        <v>1</v>
      </c>
      <c r="E402" s="17" t="inlineStr">
        <is>
          <t>ATS</t>
        </is>
      </c>
      <c r="F402" s="17" t="inlineStr">
        <is>
          <t>USA -12.5</t>
        </is>
      </c>
      <c r="G402" s="26" t="n">
        <v>-12.5</v>
      </c>
      <c r="H402" s="18" t="n">
        <v>-112</v>
      </c>
      <c r="I402" s="20" t="n">
        <v>0.3549799483306485</v>
      </c>
      <c r="J402" s="20" t="n">
        <v>0.5043297540699688</v>
      </c>
      <c r="K402" s="20" t="n">
        <v>0.5283018867924528</v>
      </c>
      <c r="L402" s="19" t="n">
        <v>-0.1733219384618043</v>
      </c>
      <c r="M402" s="19" t="n">
        <v>-0.3280736692312725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SELA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WYO @ CSU</t>
        </is>
      </c>
      <c r="C403" s="12" t="inlineStr">
        <is>
          <t>2026-09-05 22:00</t>
        </is>
      </c>
      <c r="D403" s="22" t="n">
        <v>1</v>
      </c>
      <c r="E403" s="12" t="inlineStr">
        <is>
          <t>TOTAL</t>
        </is>
      </c>
      <c r="F403" s="12" t="inlineStr">
        <is>
          <t>Under 46.5</t>
        </is>
      </c>
      <c r="G403" s="23" t="n">
        <v>46.5</v>
      </c>
      <c r="H403" s="13" t="n">
        <v>-110</v>
      </c>
      <c r="I403" s="15" t="n">
        <v>0.3487820066843401</v>
      </c>
      <c r="J403" s="15" t="n">
        <v>0.5</v>
      </c>
      <c r="K403" s="15" t="n">
        <v>0.5238095238095238</v>
      </c>
      <c r="L403" s="14" t="n">
        <v>-0.1750275171251837</v>
      </c>
      <c r="M403" s="14" t="n">
        <v>-0.3341434417844416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raw model/market disagreement exceeds the safety limit</t>
        </is>
      </c>
    </row>
    <row r="404">
      <c r="A404" s="17" t="inlineStr">
        <is>
          <t>PASS</t>
        </is>
      </c>
      <c r="B404" s="17" t="inlineStr">
        <is>
          <t>OU @ MICH</t>
        </is>
      </c>
      <c r="C404" s="17" t="inlineStr">
        <is>
          <t>2026-09-12 16:00</t>
        </is>
      </c>
      <c r="D404" s="25" t="n">
        <v>2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-108</v>
      </c>
      <c r="I404" s="20" t="n">
        <v>0.3438606609543586</v>
      </c>
      <c r="J404" s="20" t="n">
        <v>0.4956702459300312</v>
      </c>
      <c r="K404" s="20" t="n">
        <v>0.5192307692307693</v>
      </c>
      <c r="L404" s="19" t="n">
        <v>-0.1753701082764106</v>
      </c>
      <c r="M404" s="19" t="n">
        <v>-0.3377498381619759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MIZ @ KU</t>
        </is>
      </c>
      <c r="C405" s="12" t="inlineStr">
        <is>
          <t>2026-09-12 00:00</t>
        </is>
      </c>
      <c r="D405" s="22" t="n">
        <v>2</v>
      </c>
      <c r="E405" s="12" t="inlineStr">
        <is>
          <t>ATS</t>
        </is>
      </c>
      <c r="F405" s="12" t="inlineStr">
        <is>
          <t>MIZ -7</t>
        </is>
      </c>
      <c r="G405" s="23" t="n">
        <v>7</v>
      </c>
      <c r="H405" s="13" t="n">
        <v>-112</v>
      </c>
      <c r="I405" s="15" t="n">
        <v>0.3520974634855824</v>
      </c>
      <c r="J405" s="15" t="n">
        <v>0.5043297540699688</v>
      </c>
      <c r="K405" s="15" t="n">
        <v>0.5283018867924528</v>
      </c>
      <c r="L405" s="14" t="n">
        <v>-0.1762044233068705</v>
      </c>
      <c r="M405" s="14" t="n">
        <v>-0.320906357094711</v>
      </c>
      <c r="N405" s="15" t="n">
        <v>0.0378</v>
      </c>
      <c r="O405" s="24" t="n">
        <v>0.4</v>
      </c>
      <c r="P405" s="12" t="inlineStr">
        <is>
          <t>DraftKings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SHSU @ TROY</t>
        </is>
      </c>
      <c r="C406" s="17" t="inlineStr">
        <is>
          <t>2026-09-05 23:00</t>
        </is>
      </c>
      <c r="D406" s="25" t="n">
        <v>1</v>
      </c>
      <c r="E406" s="17" t="inlineStr">
        <is>
          <t>ML</t>
        </is>
      </c>
      <c r="F406" s="17" t="inlineStr">
        <is>
          <t>TROY ML</t>
        </is>
      </c>
      <c r="G406" s="26" t="n"/>
      <c r="H406" s="18" t="n">
        <v>-900</v>
      </c>
      <c r="I406" s="20" t="n">
        <v>0.7234062749493407</v>
      </c>
      <c r="J406" s="20" t="n">
        <v>0.863013698630137</v>
      </c>
      <c r="K406" s="20" t="n">
        <v>0.9</v>
      </c>
      <c r="L406" s="19" t="n">
        <v>-0.1765937250506593</v>
      </c>
      <c r="M406" s="19" t="n">
        <v>-0.196215250056288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TOL @ MSU</t>
        </is>
      </c>
      <c r="C407" s="12" t="inlineStr">
        <is>
          <t>2026-09-05 00:00</t>
        </is>
      </c>
      <c r="D407" s="22" t="n">
        <v>1</v>
      </c>
      <c r="E407" s="12" t="inlineStr">
        <is>
          <t>TOTAL</t>
        </is>
      </c>
      <c r="F407" s="12" t="inlineStr">
        <is>
          <t>Under 46.5</t>
        </is>
      </c>
      <c r="G407" s="23" t="n">
        <v>46.5</v>
      </c>
      <c r="H407" s="13" t="n">
        <v>-105</v>
      </c>
      <c r="I407" s="15" t="n">
        <v>0.3339259564866219</v>
      </c>
      <c r="J407" s="15" t="n">
        <v>0.4891657638136511</v>
      </c>
      <c r="K407" s="15" t="n">
        <v>0.5121951219512195</v>
      </c>
      <c r="L407" s="14" t="n">
        <v>-0.1782691654645976</v>
      </c>
      <c r="M407" s="14" t="n">
        <v>-0.3480493230499286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raw model/market disagreement exceeds the safety limit</t>
        </is>
      </c>
    </row>
    <row r="408">
      <c r="A408" s="17" t="inlineStr">
        <is>
          <t>PASS</t>
        </is>
      </c>
      <c r="B408" s="17" t="inlineStr">
        <is>
          <t>CMU @ UNM</t>
        </is>
      </c>
      <c r="C408" s="17" t="inlineStr">
        <is>
          <t>2026-09-06 02:00</t>
        </is>
      </c>
      <c r="D408" s="25" t="n">
        <v>1</v>
      </c>
      <c r="E408" s="17" t="inlineStr">
        <is>
          <t>TOTAL</t>
        </is>
      </c>
      <c r="F408" s="17" t="inlineStr">
        <is>
          <t>Under 46.5</t>
        </is>
      </c>
      <c r="G408" s="26" t="n">
        <v>46.5</v>
      </c>
      <c r="H408" s="18" t="n">
        <v>-110</v>
      </c>
      <c r="I408" s="20" t="n">
        <v>0.3446651319186821</v>
      </c>
      <c r="J408" s="20" t="n">
        <v>0.5</v>
      </c>
      <c r="K408" s="20" t="n">
        <v>0.5238095238095238</v>
      </c>
      <c r="L408" s="19" t="n">
        <v>-0.1791443918908417</v>
      </c>
      <c r="M408" s="19" t="n">
        <v>-0.3420029299734251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IDST @ USU</t>
        </is>
      </c>
      <c r="C409" s="12" t="inlineStr">
        <is>
          <t>2026-09-05 23:00</t>
        </is>
      </c>
      <c r="D409" s="22" t="n">
        <v>1</v>
      </c>
      <c r="E409" s="12" t="inlineStr">
        <is>
          <t>ATS</t>
        </is>
      </c>
      <c r="F409" s="12" t="inlineStr">
        <is>
          <t>USU -13.5</t>
        </is>
      </c>
      <c r="G409" s="23" t="n">
        <v>-13.5</v>
      </c>
      <c r="H409" s="13" t="n">
        <v>-110</v>
      </c>
      <c r="I409" s="15" t="n">
        <v>0.3436717388388399</v>
      </c>
      <c r="J409" s="15" t="n">
        <v>0.5</v>
      </c>
      <c r="K409" s="15" t="n">
        <v>0.5238095238095238</v>
      </c>
      <c r="L409" s="14" t="n">
        <v>-0.1801377849706839</v>
      </c>
      <c r="M409" s="14" t="n">
        <v>-0.3438994076713056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IDST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FUR @ TENN</t>
        </is>
      </c>
      <c r="C410" s="17" t="inlineStr">
        <is>
          <t>2026-09-05 19:30</t>
        </is>
      </c>
      <c r="D410" s="25" t="n">
        <v>1</v>
      </c>
      <c r="E410" s="17" t="inlineStr">
        <is>
          <t>TOTAL</t>
        </is>
      </c>
      <c r="F410" s="17" t="inlineStr">
        <is>
          <t>Over 66.5</t>
        </is>
      </c>
      <c r="G410" s="26" t="n">
        <v>66.5</v>
      </c>
      <c r="H410" s="18" t="n">
        <v>-112</v>
      </c>
      <c r="I410" s="20" t="n">
        <v>0.3441450171276313</v>
      </c>
      <c r="J410" s="20" t="n">
        <v>0.5043297540699688</v>
      </c>
      <c r="K410" s="20" t="n">
        <v>0.5283018867924528</v>
      </c>
      <c r="L410" s="19" t="n">
        <v>-0.1841568696648215</v>
      </c>
      <c r="M410" s="19" t="n">
        <v>-0.3485826461512693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FUR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SDST @ NU</t>
        </is>
      </c>
      <c r="C411" s="12" t="inlineStr">
        <is>
          <t>2026-09-06 00:00</t>
        </is>
      </c>
      <c r="D411" s="22" t="n">
        <v>1</v>
      </c>
      <c r="E411" s="12" t="inlineStr">
        <is>
          <t>TOTAL</t>
        </is>
      </c>
      <c r="F411" s="12" t="inlineStr">
        <is>
          <t>Under 46.5</t>
        </is>
      </c>
      <c r="G411" s="23" t="n">
        <v>46.5</v>
      </c>
      <c r="H411" s="13" t="n">
        <v>-110</v>
      </c>
      <c r="I411" s="15" t="n">
        <v>0.3393430745797964</v>
      </c>
      <c r="J411" s="15" t="n">
        <v>0.5</v>
      </c>
      <c r="K411" s="15" t="n">
        <v>0.5238095238095238</v>
      </c>
      <c r="L411" s="14" t="n">
        <v>-0.1844664492297274</v>
      </c>
      <c r="M411" s="14" t="n">
        <v>-0.3521632212567523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SDST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ME @ APP</t>
        </is>
      </c>
      <c r="C412" s="17" t="inlineStr">
        <is>
          <t>2026-09-05 19:30</t>
        </is>
      </c>
      <c r="D412" s="25" t="n">
        <v>1</v>
      </c>
      <c r="E412" s="17" t="inlineStr">
        <is>
          <t>ML</t>
        </is>
      </c>
      <c r="F412" s="17" t="inlineStr">
        <is>
          <t>APP ML</t>
        </is>
      </c>
      <c r="G412" s="26" t="n"/>
      <c r="H412" s="18" t="n">
        <v>-1100</v>
      </c>
      <c r="I412" s="20" t="n">
        <v>0.7318994256342723</v>
      </c>
      <c r="J412" s="20" t="n">
        <v>0.8800000000000001</v>
      </c>
      <c r="K412" s="20" t="n">
        <v>0.9166666666666666</v>
      </c>
      <c r="L412" s="19" t="n">
        <v>-0.1847672410323943</v>
      </c>
      <c r="M412" s="19" t="n">
        <v>-0.2015642629444302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ME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HCU @ RICE</t>
        </is>
      </c>
      <c r="C413" s="12" t="inlineStr">
        <is>
          <t>2026-09-05 23:00</t>
        </is>
      </c>
      <c r="D413" s="22" t="n">
        <v>1</v>
      </c>
      <c r="E413" s="12" t="inlineStr">
        <is>
          <t>TOTAL</t>
        </is>
      </c>
      <c r="F413" s="12" t="inlineStr">
        <is>
          <t>Under 47.5</t>
        </is>
      </c>
      <c r="G413" s="23" t="n">
        <v>47.5</v>
      </c>
      <c r="H413" s="13" t="n">
        <v>-112</v>
      </c>
      <c r="I413" s="15" t="n">
        <v>0.3428204796464096</v>
      </c>
      <c r="J413" s="15" t="n">
        <v>0.5043297540699688</v>
      </c>
      <c r="K413" s="15" t="n">
        <v>0.5283018867924528</v>
      </c>
      <c r="L413" s="14" t="n">
        <v>-0.1854814071460432</v>
      </c>
      <c r="M413" s="14" t="n">
        <v>-0.3510898063835818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HCU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SDST @ NU</t>
        </is>
      </c>
      <c r="C414" s="17" t="inlineStr">
        <is>
          <t>2026-09-06 00:00</t>
        </is>
      </c>
      <c r="D414" s="25" t="n">
        <v>1</v>
      </c>
      <c r="E414" s="17" t="inlineStr">
        <is>
          <t>ATS</t>
        </is>
      </c>
      <c r="F414" s="17" t="inlineStr">
        <is>
          <t>NU -13.5</t>
        </is>
      </c>
      <c r="G414" s="26" t="n">
        <v>-13.5</v>
      </c>
      <c r="H414" s="18" t="n">
        <v>-115</v>
      </c>
      <c r="I414" s="20" t="n">
        <v>0.3490888569320143</v>
      </c>
      <c r="J414" s="20" t="n">
        <v>0.5108342361863488</v>
      </c>
      <c r="K414" s="20" t="n">
        <v>0.5348837209302325</v>
      </c>
      <c r="L414" s="19" t="n">
        <v>-0.1857948639982182</v>
      </c>
      <c r="M414" s="19" t="n">
        <v>-0.3473556153010168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SDST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ALB @ BUFF</t>
        </is>
      </c>
      <c r="C415" s="12" t="inlineStr">
        <is>
          <t>2026-09-03 23:00</t>
        </is>
      </c>
      <c r="D415" s="22" t="n">
        <v>1</v>
      </c>
      <c r="E415" s="12" t="inlineStr">
        <is>
          <t>ML</t>
        </is>
      </c>
      <c r="F415" s="12" t="inlineStr">
        <is>
          <t>BUFF ML</t>
        </is>
      </c>
      <c r="G415" s="23" t="n"/>
      <c r="H415" s="13" t="n">
        <v>-1200</v>
      </c>
      <c r="I415" s="15" t="n">
        <v>0.7353776865038375</v>
      </c>
      <c r="J415" s="15" t="n">
        <v>0.8869565217391304</v>
      </c>
      <c r="K415" s="15" t="n">
        <v>0.9230769230769231</v>
      </c>
      <c r="L415" s="14" t="n">
        <v>-0.1876992365730856</v>
      </c>
      <c r="M415" s="14" t="n">
        <v>-0.2033408396208428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ALB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ALCN @ USM</t>
        </is>
      </c>
      <c r="C416" s="17" t="inlineStr">
        <is>
          <t>2026-09-05 21:00</t>
        </is>
      </c>
      <c r="D416" s="25" t="n">
        <v>1</v>
      </c>
      <c r="E416" s="17" t="inlineStr">
        <is>
          <t>ML</t>
        </is>
      </c>
      <c r="F416" s="17" t="inlineStr">
        <is>
          <t>USM ML</t>
        </is>
      </c>
      <c r="G416" s="26" t="n"/>
      <c r="H416" s="18" t="n">
        <v>-1200</v>
      </c>
      <c r="I416" s="20" t="n">
        <v>0.7353776865038375</v>
      </c>
      <c r="J416" s="20" t="n">
        <v>0.8869565217391304</v>
      </c>
      <c r="K416" s="20" t="n">
        <v>0.9230769230769231</v>
      </c>
      <c r="L416" s="19" t="n">
        <v>-0.1876992365730856</v>
      </c>
      <c r="M416" s="19" t="n">
        <v>-0.2033408396208428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ALCN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LAM @ UL</t>
        </is>
      </c>
      <c r="C417" s="12" t="inlineStr">
        <is>
          <t>2026-09-06 00:00</t>
        </is>
      </c>
      <c r="D417" s="22" t="n">
        <v>1</v>
      </c>
      <c r="E417" s="12" t="inlineStr">
        <is>
          <t>ML</t>
        </is>
      </c>
      <c r="F417" s="12" t="inlineStr">
        <is>
          <t>UL ML</t>
        </is>
      </c>
      <c r="G417" s="23" t="n"/>
      <c r="H417" s="13" t="n">
        <v>-1200</v>
      </c>
      <c r="I417" s="15" t="n">
        <v>0.7353776865038375</v>
      </c>
      <c r="J417" s="15" t="n">
        <v>0.8869565217391304</v>
      </c>
      <c r="K417" s="15" t="n">
        <v>0.9230769230769231</v>
      </c>
      <c r="L417" s="14" t="n">
        <v>-0.1876992365730856</v>
      </c>
      <c r="M417" s="14" t="n">
        <v>-0.2033408396208428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LAM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OHIO @ NEB</t>
        </is>
      </c>
      <c r="C418" s="17" t="inlineStr">
        <is>
          <t>2026-09-05 16:00</t>
        </is>
      </c>
      <c r="D418" s="25" t="n">
        <v>1</v>
      </c>
      <c r="E418" s="17" t="inlineStr">
        <is>
          <t>TOTAL</t>
        </is>
      </c>
      <c r="F418" s="17" t="inlineStr">
        <is>
          <t>Under 46.5</t>
        </is>
      </c>
      <c r="G418" s="26" t="n">
        <v>46.5</v>
      </c>
      <c r="H418" s="18" t="n">
        <v>-110</v>
      </c>
      <c r="I418" s="20" t="n">
        <v>0.3354777465647021</v>
      </c>
      <c r="J418" s="20" t="n">
        <v>0.5</v>
      </c>
      <c r="K418" s="20" t="n">
        <v>0.5238095238095238</v>
      </c>
      <c r="L418" s="19" t="n">
        <v>-0.1883317772448218</v>
      </c>
      <c r="M418" s="19" t="n">
        <v>-0.3595424838310233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LAF @ CONN</t>
        </is>
      </c>
      <c r="C419" s="12" t="inlineStr">
        <is>
          <t>2026-09-05 16:00</t>
        </is>
      </c>
      <c r="D419" s="22" t="n">
        <v>1</v>
      </c>
      <c r="E419" s="12" t="inlineStr">
        <is>
          <t>ML</t>
        </is>
      </c>
      <c r="F419" s="12" t="inlineStr">
        <is>
          <t>CONN ML</t>
        </is>
      </c>
      <c r="G419" s="23" t="n"/>
      <c r="H419" s="13" t="n">
        <v>-1350</v>
      </c>
      <c r="I419" s="15" t="n">
        <v>0.7385906021048605</v>
      </c>
      <c r="J419" s="15" t="n">
        <v>0.8933823529411765</v>
      </c>
      <c r="K419" s="15" t="n">
        <v>0.9310344827586207</v>
      </c>
      <c r="L419" s="14" t="n">
        <v>-0.1924438806537602</v>
      </c>
      <c r="M419" s="14" t="n">
        <v>-0.2066989829244092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LAF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CIT @ CLT</t>
        </is>
      </c>
      <c r="C420" s="17" t="inlineStr">
        <is>
          <t>2026-09-05 19:30</t>
        </is>
      </c>
      <c r="D420" s="25" t="n">
        <v>1</v>
      </c>
      <c r="E420" s="17" t="inlineStr">
        <is>
          <t>TOTAL</t>
        </is>
      </c>
      <c r="F420" s="17" t="inlineStr">
        <is>
          <t>Under 46.5</t>
        </is>
      </c>
      <c r="G420" s="26" t="n">
        <v>46.5</v>
      </c>
      <c r="H420" s="18" t="n">
        <v>-112</v>
      </c>
      <c r="I420" s="20" t="n">
        <v>0.3338859836486653</v>
      </c>
      <c r="J420" s="20" t="n">
        <v>0.5043297540699688</v>
      </c>
      <c r="K420" s="20" t="n">
        <v>0.5283018867924528</v>
      </c>
      <c r="L420" s="19" t="n">
        <v>-0.1944159031437875</v>
      </c>
      <c r="M420" s="19" t="n">
        <v>-0.3680015309507407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CIT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FIU @ USF</t>
        </is>
      </c>
      <c r="C421" s="12" t="inlineStr">
        <is>
          <t>2026-09-05 23:00</t>
        </is>
      </c>
      <c r="D421" s="22" t="n">
        <v>1</v>
      </c>
      <c r="E421" s="12" t="inlineStr">
        <is>
          <t>ATS</t>
        </is>
      </c>
      <c r="F421" s="12" t="inlineStr">
        <is>
          <t>USF -14</t>
        </is>
      </c>
      <c r="G421" s="23" t="n">
        <v>-14</v>
      </c>
      <c r="H421" s="13" t="n">
        <v>-112</v>
      </c>
      <c r="I421" s="15" t="n">
        <v>0.3337307659093809</v>
      </c>
      <c r="J421" s="15" t="n">
        <v>0.5043297540699688</v>
      </c>
      <c r="K421" s="15" t="n">
        <v>0.5283018867924528</v>
      </c>
      <c r="L421" s="14" t="n">
        <v>-0.1945711208830719</v>
      </c>
      <c r="M421" s="14" t="n">
        <v>-0.3576400667974011</v>
      </c>
      <c r="N421" s="15" t="n">
        <v>0.0289</v>
      </c>
      <c r="O421" s="24" t="n">
        <v>0.4</v>
      </c>
      <c r="P421" s="12" t="inlineStr">
        <is>
          <t>DraftKings</t>
        </is>
      </c>
      <c r="Q421" s="12" t="inlineStr">
        <is>
          <t>raw model/market disagreement exceeds the safety limit</t>
        </is>
      </c>
    </row>
    <row r="422">
      <c r="A422" s="17" t="inlineStr">
        <is>
          <t>PASS</t>
        </is>
      </c>
      <c r="B422" s="17" t="inlineStr">
        <is>
          <t>ASU @ TA&amp;M</t>
        </is>
      </c>
      <c r="C422" s="17" t="inlineStr">
        <is>
          <t>2026-09-12 16:00</t>
        </is>
      </c>
      <c r="D422" s="25" t="n">
        <v>2</v>
      </c>
      <c r="E422" s="17" t="inlineStr">
        <is>
          <t>ATS</t>
        </is>
      </c>
      <c r="F422" s="17" t="inlineStr">
        <is>
          <t>TA&amp;M -14.5</t>
        </is>
      </c>
      <c r="G422" s="26" t="n">
        <v>-14.5</v>
      </c>
      <c r="H422" s="18" t="n">
        <v>-110</v>
      </c>
      <c r="I422" s="20" t="n">
        <v>0.3292060802768764</v>
      </c>
      <c r="J422" s="20" t="n">
        <v>0.5</v>
      </c>
      <c r="K422" s="20" t="n">
        <v>0.5238095238095238</v>
      </c>
      <c r="L422" s="19" t="n">
        <v>-0.1946034435326475</v>
      </c>
      <c r="M422" s="19" t="n">
        <v>-0.3715156649259633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ORST @ HOU</t>
        </is>
      </c>
      <c r="C423" s="12" t="inlineStr">
        <is>
          <t>2026-09-05 16:00</t>
        </is>
      </c>
      <c r="D423" s="22" t="n">
        <v>1</v>
      </c>
      <c r="E423" s="12" t="inlineStr">
        <is>
          <t>ML</t>
        </is>
      </c>
      <c r="F423" s="12" t="inlineStr">
        <is>
          <t>HOU ML</t>
        </is>
      </c>
      <c r="G423" s="23" t="n"/>
      <c r="H423" s="13" t="n">
        <v>-1650</v>
      </c>
      <c r="I423" s="15" t="n">
        <v>0.7460278660012447</v>
      </c>
      <c r="J423" s="15" t="n">
        <v>0.9082568807339451</v>
      </c>
      <c r="K423" s="15" t="n">
        <v>0.9428571428571428</v>
      </c>
      <c r="L423" s="14" t="n">
        <v>-0.1968292768558981</v>
      </c>
      <c r="M423" s="14" t="n">
        <v>-0.2087583239380738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CCU @ WVU</t>
        </is>
      </c>
      <c r="C424" s="17" t="inlineStr">
        <is>
          <t>2026-09-05 16:00</t>
        </is>
      </c>
      <c r="D424" s="25" t="n">
        <v>1</v>
      </c>
      <c r="E424" s="17" t="inlineStr">
        <is>
          <t>ML</t>
        </is>
      </c>
      <c r="F424" s="17" t="inlineStr">
        <is>
          <t>WVU ML</t>
        </is>
      </c>
      <c r="G424" s="26" t="n"/>
      <c r="H424" s="18" t="n">
        <v>-1650</v>
      </c>
      <c r="I424" s="20" t="n">
        <v>0.7460278660012447</v>
      </c>
      <c r="J424" s="20" t="n">
        <v>0.9082568807339451</v>
      </c>
      <c r="K424" s="20" t="n">
        <v>0.9428571428571428</v>
      </c>
      <c r="L424" s="19" t="n">
        <v>-0.1968292768558981</v>
      </c>
      <c r="M424" s="19" t="n">
        <v>-0.2087583239380738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CIT @ CLT</t>
        </is>
      </c>
      <c r="C425" s="12" t="inlineStr">
        <is>
          <t>2026-09-05 19:30</t>
        </is>
      </c>
      <c r="D425" s="22" t="n">
        <v>1</v>
      </c>
      <c r="E425" s="12" t="inlineStr">
        <is>
          <t>ML</t>
        </is>
      </c>
      <c r="F425" s="12" t="inlineStr">
        <is>
          <t>CLT ML</t>
        </is>
      </c>
      <c r="G425" s="23" t="n"/>
      <c r="H425" s="13" t="n">
        <v>-1650</v>
      </c>
      <c r="I425" s="15" t="n">
        <v>0.7460278660012447</v>
      </c>
      <c r="J425" s="15" t="n">
        <v>0.9082568807339451</v>
      </c>
      <c r="K425" s="15" t="n">
        <v>0.9428571428571428</v>
      </c>
      <c r="L425" s="14" t="n">
        <v>-0.1968292768558981</v>
      </c>
      <c r="M425" s="14" t="n">
        <v>-0.2087583239380738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CIT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FRES @ USC</t>
        </is>
      </c>
      <c r="C426" s="17" t="inlineStr">
        <is>
          <t>2026-09-05 01:00</t>
        </is>
      </c>
      <c r="D426" s="25" t="n">
        <v>1</v>
      </c>
      <c r="E426" s="17" t="inlineStr">
        <is>
          <t>ML</t>
        </is>
      </c>
      <c r="F426" s="17" t="inlineStr">
        <is>
          <t>USC ML</t>
        </is>
      </c>
      <c r="G426" s="26" t="n"/>
      <c r="H426" s="18" t="n">
        <v>-2100</v>
      </c>
      <c r="I426" s="20" t="n">
        <v>0.7531625281174152</v>
      </c>
      <c r="J426" s="20" t="n">
        <v>0.9197080291970804</v>
      </c>
      <c r="K426" s="20" t="n">
        <v>0.9545454545454546</v>
      </c>
      <c r="L426" s="19" t="n">
        <v>-0.2013829264280393</v>
      </c>
      <c r="M426" s="19" t="n">
        <v>-0.2109725895912792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NIU @ IOWA</t>
        </is>
      </c>
      <c r="C427" s="12" t="inlineStr">
        <is>
          <t>2026-09-05 20:15</t>
        </is>
      </c>
      <c r="D427" s="22" t="n">
        <v>1</v>
      </c>
      <c r="E427" s="12" t="inlineStr">
        <is>
          <t>TOTAL</t>
        </is>
      </c>
      <c r="F427" s="12" t="inlineStr">
        <is>
          <t>Under 44.5</t>
        </is>
      </c>
      <c r="G427" s="23" t="n">
        <v>44.5</v>
      </c>
      <c r="H427" s="13" t="n">
        <v>-110</v>
      </c>
      <c r="I427" s="15" t="n">
        <v>0.321104625012672</v>
      </c>
      <c r="J427" s="15" t="n">
        <v>0.5</v>
      </c>
      <c r="K427" s="15" t="n">
        <v>0.5238095238095238</v>
      </c>
      <c r="L427" s="14" t="n">
        <v>-0.2027048987968518</v>
      </c>
      <c r="M427" s="14" t="n">
        <v>-0.3869820795212625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HCU @ RICE</t>
        </is>
      </c>
      <c r="C428" s="17" t="inlineStr">
        <is>
          <t>2026-09-05 23:00</t>
        </is>
      </c>
      <c r="D428" s="25" t="n">
        <v>1</v>
      </c>
      <c r="E428" s="17" t="inlineStr">
        <is>
          <t>ML</t>
        </is>
      </c>
      <c r="F428" s="17" t="inlineStr">
        <is>
          <t>RICE ML</t>
        </is>
      </c>
      <c r="G428" s="26" t="n"/>
      <c r="H428" s="18" t="n">
        <v>-2100</v>
      </c>
      <c r="I428" s="20" t="n">
        <v>0.7517534402328124</v>
      </c>
      <c r="J428" s="20" t="n">
        <v>0.9197080291970804</v>
      </c>
      <c r="K428" s="20" t="n">
        <v>0.9545454545454546</v>
      </c>
      <c r="L428" s="19" t="n">
        <v>-0.2027920143126422</v>
      </c>
      <c r="M428" s="19" t="n">
        <v>-0.2124487768989584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HCU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MUR @ MTSU</t>
        </is>
      </c>
      <c r="C429" s="12" t="inlineStr">
        <is>
          <t>2026-09-05 23:00</t>
        </is>
      </c>
      <c r="D429" s="22" t="n">
        <v>1</v>
      </c>
      <c r="E429" s="12" t="inlineStr">
        <is>
          <t>ML</t>
        </is>
      </c>
      <c r="F429" s="12" t="inlineStr">
        <is>
          <t>MTSU ML</t>
        </is>
      </c>
      <c r="G429" s="23" t="n"/>
      <c r="H429" s="13" t="n">
        <v>-2100</v>
      </c>
      <c r="I429" s="15" t="n">
        <v>0.7517534402328124</v>
      </c>
      <c r="J429" s="15" t="n">
        <v>0.9197080291970804</v>
      </c>
      <c r="K429" s="15" t="n">
        <v>0.9545454545454546</v>
      </c>
      <c r="L429" s="14" t="n">
        <v>-0.2027920143126422</v>
      </c>
      <c r="M429" s="14" t="n">
        <v>-0.2124487768989584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MUR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URI @ TEM</t>
        </is>
      </c>
      <c r="C430" s="17" t="inlineStr">
        <is>
          <t>2026-09-05 18:00</t>
        </is>
      </c>
      <c r="D430" s="25" t="n">
        <v>1</v>
      </c>
      <c r="E430" s="17" t="inlineStr">
        <is>
          <t>ATS</t>
        </is>
      </c>
      <c r="F430" s="17" t="inlineStr">
        <is>
          <t>TEM -14.5</t>
        </is>
      </c>
      <c r="G430" s="26" t="n">
        <v>-14.5</v>
      </c>
      <c r="H430" s="18" t="n">
        <v>-118</v>
      </c>
      <c r="I430" s="20" t="n">
        <v>0.3378881431350114</v>
      </c>
      <c r="J430" s="20" t="n">
        <v>0.5173641257162701</v>
      </c>
      <c r="K430" s="20" t="n">
        <v>0.5412844036697247</v>
      </c>
      <c r="L430" s="19" t="n">
        <v>-0.2033962605347134</v>
      </c>
      <c r="M430" s="19" t="n">
        <v>-0.3757659728522671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URI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BOIS @ ORE</t>
        </is>
      </c>
      <c r="C431" s="12" t="inlineStr">
        <is>
          <t>2026-09-05 19:30</t>
        </is>
      </c>
      <c r="D431" s="22" t="n">
        <v>1</v>
      </c>
      <c r="E431" s="12" t="inlineStr">
        <is>
          <t>ML</t>
        </is>
      </c>
      <c r="F431" s="12" t="inlineStr">
        <is>
          <t>ORE ML</t>
        </is>
      </c>
      <c r="G431" s="23" t="n"/>
      <c r="H431" s="13" t="n">
        <v>-2400</v>
      </c>
      <c r="I431" s="15" t="n">
        <v>0.7548074375037084</v>
      </c>
      <c r="J431" s="15" t="n">
        <v>0.9258160237388724</v>
      </c>
      <c r="K431" s="15" t="n">
        <v>0.96</v>
      </c>
      <c r="L431" s="14" t="n">
        <v>-0.2051925624962916</v>
      </c>
      <c r="M431" s="14" t="n">
        <v>-0.2137422526003037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price outside allowed range</t>
        </is>
      </c>
    </row>
    <row r="432">
      <c r="A432" s="17" t="inlineStr">
        <is>
          <t>PASS</t>
        </is>
      </c>
      <c r="B432" s="17" t="inlineStr">
        <is>
          <t>WSU @ WASH</t>
        </is>
      </c>
      <c r="C432" s="17" t="inlineStr">
        <is>
          <t>2026-09-06 20:00</t>
        </is>
      </c>
      <c r="D432" s="25" t="n">
        <v>1</v>
      </c>
      <c r="E432" s="17" t="inlineStr">
        <is>
          <t>ML</t>
        </is>
      </c>
      <c r="F432" s="17" t="inlineStr">
        <is>
          <t>WASH ML</t>
        </is>
      </c>
      <c r="G432" s="26" t="n"/>
      <c r="H432" s="18" t="n">
        <v>-2400</v>
      </c>
      <c r="I432" s="20" t="n">
        <v>0.7548074375037084</v>
      </c>
      <c r="J432" s="20" t="n">
        <v>0.9258160237388724</v>
      </c>
      <c r="K432" s="20" t="n">
        <v>0.96</v>
      </c>
      <c r="L432" s="19" t="n">
        <v>-0.2051925624962916</v>
      </c>
      <c r="M432" s="19" t="n">
        <v>-0.2137422526003037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OHIO @ NEB</t>
        </is>
      </c>
      <c r="C433" s="12" t="inlineStr">
        <is>
          <t>2026-09-05 16:00</t>
        </is>
      </c>
      <c r="D433" s="22" t="n">
        <v>1</v>
      </c>
      <c r="E433" s="12" t="inlineStr">
        <is>
          <t>ML</t>
        </is>
      </c>
      <c r="F433" s="12" t="inlineStr">
        <is>
          <t>NEB ML</t>
        </is>
      </c>
      <c r="G433" s="23" t="n"/>
      <c r="H433" s="13" t="n">
        <v>-2800</v>
      </c>
      <c r="I433" s="15" t="n">
        <v>0.757457620408619</v>
      </c>
      <c r="J433" s="15" t="n">
        <v>0.9311163895486935</v>
      </c>
      <c r="K433" s="15" t="n">
        <v>0.9655172413793104</v>
      </c>
      <c r="L433" s="14" t="n">
        <v>-0.2080596209706914</v>
      </c>
      <c r="M433" s="14" t="n">
        <v>-0.2154903217196446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MRSH @ PSU</t>
        </is>
      </c>
      <c r="C434" s="17" t="inlineStr">
        <is>
          <t>2026-09-05 19:30</t>
        </is>
      </c>
      <c r="D434" s="25" t="n">
        <v>1</v>
      </c>
      <c r="E434" s="17" t="inlineStr">
        <is>
          <t>ML</t>
        </is>
      </c>
      <c r="F434" s="17" t="inlineStr">
        <is>
          <t>PSU ML</t>
        </is>
      </c>
      <c r="G434" s="26" t="n"/>
      <c r="H434" s="18" t="n">
        <v>-2800</v>
      </c>
      <c r="I434" s="20" t="n">
        <v>0.757457620408619</v>
      </c>
      <c r="J434" s="20" t="n">
        <v>0.9311163895486935</v>
      </c>
      <c r="K434" s="20" t="n">
        <v>0.9655172413793104</v>
      </c>
      <c r="L434" s="19" t="n">
        <v>-0.2080596209706914</v>
      </c>
      <c r="M434" s="19" t="n">
        <v>-0.2154903217196446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AKR @ WAKE</t>
        </is>
      </c>
      <c r="C435" s="12" t="inlineStr">
        <is>
          <t>2026-09-03 23:00</t>
        </is>
      </c>
      <c r="D435" s="22" t="n">
        <v>1</v>
      </c>
      <c r="E435" s="12" t="inlineStr">
        <is>
          <t>ML</t>
        </is>
      </c>
      <c r="F435" s="12" t="inlineStr">
        <is>
          <t>WAKE ML</t>
        </is>
      </c>
      <c r="G435" s="23" t="n"/>
      <c r="H435" s="13" t="n">
        <v>-3200</v>
      </c>
      <c r="I435" s="15" t="n">
        <v>0.7597356829442138</v>
      </c>
      <c r="J435" s="15" t="n">
        <v>0.9356725146198831</v>
      </c>
      <c r="K435" s="15" t="n">
        <v>0.9696969696969697</v>
      </c>
      <c r="L435" s="14" t="n">
        <v>-0.2099612867527559</v>
      </c>
      <c r="M435" s="14" t="n">
        <v>-0.2165225769637795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EKU @ JVST</t>
        </is>
      </c>
      <c r="C436" s="17" t="inlineStr">
        <is>
          <t>2026-09-05 23:00</t>
        </is>
      </c>
      <c r="D436" s="25" t="n">
        <v>1</v>
      </c>
      <c r="E436" s="17" t="inlineStr">
        <is>
          <t>ML</t>
        </is>
      </c>
      <c r="F436" s="17" t="inlineStr">
        <is>
          <t>JVST ML</t>
        </is>
      </c>
      <c r="G436" s="26" t="n"/>
      <c r="H436" s="18" t="n">
        <v>-2100</v>
      </c>
      <c r="I436" s="20" t="n">
        <v>0.7436850080011863</v>
      </c>
      <c r="J436" s="20" t="n">
        <v>0.9197080291970804</v>
      </c>
      <c r="K436" s="20" t="n">
        <v>0.9545454545454546</v>
      </c>
      <c r="L436" s="19" t="n">
        <v>-0.2108604465442683</v>
      </c>
      <c r="M436" s="19" t="n">
        <v>-0.2209014201892334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EKU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YSU @ UK</t>
        </is>
      </c>
      <c r="C437" s="12" t="inlineStr">
        <is>
          <t>2026-09-05 17:00</t>
        </is>
      </c>
      <c r="D437" s="22" t="n">
        <v>1</v>
      </c>
      <c r="E437" s="12" t="inlineStr">
        <is>
          <t>ML</t>
        </is>
      </c>
      <c r="F437" s="12" t="inlineStr">
        <is>
          <t>UK ML</t>
        </is>
      </c>
      <c r="G437" s="23" t="n"/>
      <c r="H437" s="13" t="n">
        <v>-3600</v>
      </c>
      <c r="I437" s="15" t="n">
        <v>0.7617199802835382</v>
      </c>
      <c r="J437" s="15" t="n">
        <v>0.9396411092985318</v>
      </c>
      <c r="K437" s="15" t="n">
        <v>0.972972972972973</v>
      </c>
      <c r="L437" s="14" t="n">
        <v>-0.2112529926894349</v>
      </c>
      <c r="M437" s="14" t="n">
        <v>-0.2171211313752525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YSU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FAU @ FLA</t>
        </is>
      </c>
      <c r="C438" s="17" t="inlineStr">
        <is>
          <t>2026-09-05 23:45</t>
        </is>
      </c>
      <c r="D438" s="25" t="n">
        <v>1</v>
      </c>
      <c r="E438" s="17" t="inlineStr">
        <is>
          <t>ML</t>
        </is>
      </c>
      <c r="F438" s="17" t="inlineStr">
        <is>
          <t>FLA ML</t>
        </is>
      </c>
      <c r="G438" s="26" t="n"/>
      <c r="H438" s="18" t="n">
        <v>-3600</v>
      </c>
      <c r="I438" s="20" t="n">
        <v>0.7617199802835382</v>
      </c>
      <c r="J438" s="20" t="n">
        <v>0.9396411092985318</v>
      </c>
      <c r="K438" s="20" t="n">
        <v>0.972972972972973</v>
      </c>
      <c r="L438" s="19" t="n">
        <v>-0.2112529926894349</v>
      </c>
      <c r="M438" s="19" t="n">
        <v>-0.2171211313752525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price outside allowed range</t>
        </is>
      </c>
    </row>
    <row r="439">
      <c r="A439" s="12" t="inlineStr">
        <is>
          <t>PASS</t>
        </is>
      </c>
      <c r="B439" s="12" t="inlineStr">
        <is>
          <t>WES @ KENN</t>
        </is>
      </c>
      <c r="C439" s="12" t="inlineStr">
        <is>
          <t>2026-09-03 23:00</t>
        </is>
      </c>
      <c r="D439" s="22" t="n">
        <v>1</v>
      </c>
      <c r="E439" s="12" t="inlineStr">
        <is>
          <t>ML</t>
        </is>
      </c>
      <c r="F439" s="12" t="inlineStr">
        <is>
          <t>KENN ML</t>
        </is>
      </c>
      <c r="G439" s="23" t="n"/>
      <c r="H439" s="13" t="n">
        <v>-4000</v>
      </c>
      <c r="I439" s="15" t="n">
        <v>0.7634666933180447</v>
      </c>
      <c r="J439" s="15" t="n">
        <v>0.9431345353675451</v>
      </c>
      <c r="K439" s="15" t="n">
        <v>0.975609756097561</v>
      </c>
      <c r="L439" s="14" t="n">
        <v>-0.2121430627795162</v>
      </c>
      <c r="M439" s="14" t="n">
        <v>-0.2174466393490042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WES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ULM @ MSST</t>
        </is>
      </c>
      <c r="C440" s="17" t="inlineStr">
        <is>
          <t>2026-09-05 23:30</t>
        </is>
      </c>
      <c r="D440" s="25" t="n">
        <v>1</v>
      </c>
      <c r="E440" s="17" t="inlineStr">
        <is>
          <t>ML</t>
        </is>
      </c>
      <c r="F440" s="17" t="inlineStr">
        <is>
          <t>MSST ML</t>
        </is>
      </c>
      <c r="G440" s="26" t="n"/>
      <c r="H440" s="18" t="n">
        <v>-4000</v>
      </c>
      <c r="I440" s="20" t="n">
        <v>0.7634666933180447</v>
      </c>
      <c r="J440" s="20" t="n">
        <v>0.9431345353675451</v>
      </c>
      <c r="K440" s="20" t="n">
        <v>0.975609756097561</v>
      </c>
      <c r="L440" s="19" t="n">
        <v>-0.2121430627795162</v>
      </c>
      <c r="M440" s="19" t="n">
        <v>-0.2174466393490042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UAB @ ILL</t>
        </is>
      </c>
      <c r="C441" s="12" t="inlineStr">
        <is>
          <t>2026-09-04 01:00</t>
        </is>
      </c>
      <c r="D441" s="22" t="n">
        <v>1</v>
      </c>
      <c r="E441" s="12" t="inlineStr">
        <is>
          <t>ML</t>
        </is>
      </c>
      <c r="F441" s="12" t="inlineStr">
        <is>
          <t>ILL ML</t>
        </is>
      </c>
      <c r="G441" s="23" t="n"/>
      <c r="H441" s="13" t="n">
        <v>-4500</v>
      </c>
      <c r="I441" s="15" t="n">
        <v>0.7650302667557676</v>
      </c>
      <c r="J441" s="15" t="n">
        <v>0.9462616822429908</v>
      </c>
      <c r="K441" s="15" t="n">
        <v>0.9782608695652174</v>
      </c>
      <c r="L441" s="14" t="n">
        <v>-0.2132306028094498</v>
      </c>
      <c r="M441" s="14" t="n">
        <v>-0.2179690606496599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APSU @ VAN</t>
        </is>
      </c>
      <c r="C442" s="17" t="inlineStr">
        <is>
          <t>2026-09-05 23:00</t>
        </is>
      </c>
      <c r="D442" s="25" t="n">
        <v>1</v>
      </c>
      <c r="E442" s="17" t="inlineStr">
        <is>
          <t>ML</t>
        </is>
      </c>
      <c r="F442" s="17" t="inlineStr">
        <is>
          <t>VAN ML</t>
        </is>
      </c>
      <c r="G442" s="26" t="n"/>
      <c r="H442" s="18" t="n">
        <v>-4500</v>
      </c>
      <c r="I442" s="20" t="n">
        <v>0.7650302667557676</v>
      </c>
      <c r="J442" s="20" t="n">
        <v>0.9462616822429908</v>
      </c>
      <c r="K442" s="20" t="n">
        <v>0.9782608695652174</v>
      </c>
      <c r="L442" s="19" t="n">
        <v>-0.2132306028094498</v>
      </c>
      <c r="M442" s="19" t="n">
        <v>-0.2179690606496599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APSU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CHSO @ GASO</t>
        </is>
      </c>
      <c r="C443" s="12" t="inlineStr">
        <is>
          <t>2026-09-05 23:00</t>
        </is>
      </c>
      <c r="D443" s="22" t="n">
        <v>1</v>
      </c>
      <c r="E443" s="12" t="inlineStr">
        <is>
          <t>ML</t>
        </is>
      </c>
      <c r="F443" s="12" t="inlineStr">
        <is>
          <t>GASO ML</t>
        </is>
      </c>
      <c r="G443" s="23" t="n"/>
      <c r="H443" s="13" t="n">
        <v>-4500</v>
      </c>
      <c r="I443" s="15" t="n">
        <v>0.7650302667557676</v>
      </c>
      <c r="J443" s="15" t="n">
        <v>0.9462616822429908</v>
      </c>
      <c r="K443" s="15" t="n">
        <v>0.9782608695652174</v>
      </c>
      <c r="L443" s="14" t="n">
        <v>-0.2132306028094498</v>
      </c>
      <c r="M443" s="14" t="n">
        <v>-0.2179690606496599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CHSO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M-OH @ PITT</t>
        </is>
      </c>
      <c r="C444" s="17" t="inlineStr">
        <is>
          <t>2026-09-05 16:30</t>
        </is>
      </c>
      <c r="D444" s="25" t="n">
        <v>1</v>
      </c>
      <c r="E444" s="17" t="inlineStr">
        <is>
          <t>ATS</t>
        </is>
      </c>
      <c r="F444" s="17" t="inlineStr">
        <is>
          <t>PITT -16.5</t>
        </is>
      </c>
      <c r="G444" s="26" t="n">
        <v>-16.5</v>
      </c>
      <c r="H444" s="18" t="n">
        <v>-115</v>
      </c>
      <c r="I444" s="20" t="n">
        <v>0.3203627251349395</v>
      </c>
      <c r="J444" s="20" t="n">
        <v>0.5108342361863488</v>
      </c>
      <c r="K444" s="20" t="n">
        <v>0.5348837209302325</v>
      </c>
      <c r="L444" s="19" t="n">
        <v>-0.214520995795293</v>
      </c>
      <c r="M444" s="19" t="n">
        <v>-0.4010609921390262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TXST @ TEX</t>
        </is>
      </c>
      <c r="C445" s="12" t="inlineStr">
        <is>
          <t>2026-09-05 19:30</t>
        </is>
      </c>
      <c r="D445" s="22" t="n">
        <v>1</v>
      </c>
      <c r="E445" s="12" t="inlineStr">
        <is>
          <t>ML</t>
        </is>
      </c>
      <c r="F445" s="12" t="inlineStr">
        <is>
          <t>TEX ML</t>
        </is>
      </c>
      <c r="G445" s="23" t="n"/>
      <c r="H445" s="13" t="n">
        <v>-9000</v>
      </c>
      <c r="I445" s="15" t="n">
        <v>0.7731828480941653</v>
      </c>
      <c r="J445" s="15" t="n">
        <v>0.9625668449197861</v>
      </c>
      <c r="K445" s="15" t="n">
        <v>0.9890109890109891</v>
      </c>
      <c r="L445" s="14" t="n">
        <v>-0.2158281409168238</v>
      </c>
      <c r="M445" s="14" t="n">
        <v>-0.2182262313714551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price outside allowed range</t>
        </is>
      </c>
    </row>
    <row r="446">
      <c r="A446" s="17" t="inlineStr">
        <is>
          <t>PASS</t>
        </is>
      </c>
      <c r="B446" s="17" t="inlineStr">
        <is>
          <t>RGV @ UTSA</t>
        </is>
      </c>
      <c r="C446" s="17" t="inlineStr">
        <is>
          <t>2026-09-05 19:30</t>
        </is>
      </c>
      <c r="D446" s="25" t="n">
        <v>1</v>
      </c>
      <c r="E446" s="17" t="inlineStr">
        <is>
          <t>ML</t>
        </is>
      </c>
      <c r="F446" s="17" t="inlineStr">
        <is>
          <t>UTSA ML</t>
        </is>
      </c>
      <c r="G446" s="26" t="n"/>
      <c r="H446" s="18" t="n">
        <v>-9000</v>
      </c>
      <c r="I446" s="20" t="n">
        <v>0.7731828480941653</v>
      </c>
      <c r="J446" s="20" t="n">
        <v>0.9625668449197861</v>
      </c>
      <c r="K446" s="20" t="n">
        <v>0.9890109890109891</v>
      </c>
      <c r="L446" s="19" t="n">
        <v>-0.2158281409168238</v>
      </c>
      <c r="M446" s="19" t="n">
        <v>-0.2182262313714551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RGV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MASS @ RUTG</t>
        </is>
      </c>
      <c r="C447" s="12" t="inlineStr">
        <is>
          <t>2026-09-03 22:00</t>
        </is>
      </c>
      <c r="D447" s="22" t="n">
        <v>1</v>
      </c>
      <c r="E447" s="12" t="inlineStr">
        <is>
          <t>ML</t>
        </is>
      </c>
      <c r="F447" s="12" t="inlineStr">
        <is>
          <t>RUTG ML</t>
        </is>
      </c>
      <c r="G447" s="23" t="n"/>
      <c r="H447" s="13" t="n">
        <v>-6500</v>
      </c>
      <c r="I447" s="15" t="n">
        <v>0.7688386289885699</v>
      </c>
      <c r="J447" s="15" t="n">
        <v>0.9538784067085954</v>
      </c>
      <c r="K447" s="15" t="n">
        <v>0.9848484848484849</v>
      </c>
      <c r="L447" s="14" t="n">
        <v>-0.2160098558599149</v>
      </c>
      <c r="M447" s="14" t="n">
        <v>-0.219333084411606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price outside allowed range</t>
        </is>
      </c>
    </row>
    <row r="448">
      <c r="A448" s="17" t="inlineStr">
        <is>
          <t>PASS</t>
        </is>
      </c>
      <c r="B448" s="17" t="inlineStr">
        <is>
          <t>WMU @ MICH</t>
        </is>
      </c>
      <c r="C448" s="17" t="inlineStr">
        <is>
          <t>2026-09-05 23:30</t>
        </is>
      </c>
      <c r="D448" s="25" t="n">
        <v>1</v>
      </c>
      <c r="E448" s="17" t="inlineStr">
        <is>
          <t>ML</t>
        </is>
      </c>
      <c r="F448" s="17" t="inlineStr">
        <is>
          <t>MICH ML</t>
        </is>
      </c>
      <c r="G448" s="26" t="n"/>
      <c r="H448" s="18" t="n">
        <v>-6500</v>
      </c>
      <c r="I448" s="20" t="n">
        <v>0.7688386289885699</v>
      </c>
      <c r="J448" s="20" t="n">
        <v>0.9538784067085954</v>
      </c>
      <c r="K448" s="20" t="n">
        <v>0.9848484848484849</v>
      </c>
      <c r="L448" s="19" t="n">
        <v>-0.2160098558599149</v>
      </c>
      <c r="M448" s="19" t="n">
        <v>-0.219333084411606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MRMK @ DEL</t>
        </is>
      </c>
      <c r="C449" s="12" t="inlineStr">
        <is>
          <t>2026-09-03 23:00</t>
        </is>
      </c>
      <c r="D449" s="22" t="n">
        <v>1</v>
      </c>
      <c r="E449" s="12" t="inlineStr">
        <is>
          <t>ML</t>
        </is>
      </c>
      <c r="F449" s="12" t="inlineStr">
        <is>
          <t>DEL ML</t>
        </is>
      </c>
      <c r="G449" s="23" t="n"/>
      <c r="H449" s="13" t="n">
        <v>-20000</v>
      </c>
      <c r="I449" s="15" t="n">
        <v>0.7783201795864408</v>
      </c>
      <c r="J449" s="15" t="n">
        <v>0.9728415079043372</v>
      </c>
      <c r="K449" s="15" t="n">
        <v>0.9950248756218906</v>
      </c>
      <c r="L449" s="14" t="n">
        <v>-0.2167046960354497</v>
      </c>
      <c r="M449" s="14" t="n">
        <v>-0.217788219515627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MRMK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SEMO @ ISU</t>
        </is>
      </c>
      <c r="C450" s="17" t="inlineStr">
        <is>
          <t>2026-09-05 17:00</t>
        </is>
      </c>
      <c r="D450" s="25" t="n">
        <v>1</v>
      </c>
      <c r="E450" s="17" t="inlineStr">
        <is>
          <t>ML</t>
        </is>
      </c>
      <c r="F450" s="17" t="inlineStr">
        <is>
          <t>ISU ML</t>
        </is>
      </c>
      <c r="G450" s="26" t="n"/>
      <c r="H450" s="18" t="n">
        <v>-20000</v>
      </c>
      <c r="I450" s="20" t="n">
        <v>0.7783201795864408</v>
      </c>
      <c r="J450" s="20" t="n">
        <v>0.9728415079043372</v>
      </c>
      <c r="K450" s="20" t="n">
        <v>0.9950248756218906</v>
      </c>
      <c r="L450" s="19" t="n">
        <v>-0.2167046960354497</v>
      </c>
      <c r="M450" s="19" t="n">
        <v>-0.217788219515627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SEMO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IDHO @ UTAH</t>
        </is>
      </c>
      <c r="C451" s="12" t="inlineStr">
        <is>
          <t>2026-09-04 01:00</t>
        </is>
      </c>
      <c r="D451" s="22" t="n">
        <v>1</v>
      </c>
      <c r="E451" s="12" t="inlineStr">
        <is>
          <t>ML</t>
        </is>
      </c>
      <c r="F451" s="12" t="inlineStr">
        <is>
          <t>UTAH ML</t>
        </is>
      </c>
      <c r="G451" s="23" t="n"/>
      <c r="H451" s="13" t="n">
        <v>-100000</v>
      </c>
      <c r="I451" s="15" t="n">
        <v>0.7822746107268665</v>
      </c>
      <c r="J451" s="15" t="n">
        <v>0.9807503701851887</v>
      </c>
      <c r="K451" s="15" t="n">
        <v>0.999000999000999</v>
      </c>
      <c r="L451" s="14" t="n">
        <v>-0.2167263882741325</v>
      </c>
      <c r="M451" s="14" t="n">
        <v>-0.2169431146624067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IDHO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KENT @ SC</t>
        </is>
      </c>
      <c r="C452" s="17" t="inlineStr">
        <is>
          <t>2026-09-05 16:45</t>
        </is>
      </c>
      <c r="D452" s="25" t="n">
        <v>1</v>
      </c>
      <c r="E452" s="17" t="inlineStr">
        <is>
          <t>ML</t>
        </is>
      </c>
      <c r="F452" s="17" t="inlineStr">
        <is>
          <t>SC ML</t>
        </is>
      </c>
      <c r="G452" s="26" t="n"/>
      <c r="H452" s="18" t="n">
        <v>-100000</v>
      </c>
      <c r="I452" s="20" t="n">
        <v>0.7822746107268665</v>
      </c>
      <c r="J452" s="20" t="n">
        <v>0.9807503701851887</v>
      </c>
      <c r="K452" s="20" t="n">
        <v>0.999000999000999</v>
      </c>
      <c r="L452" s="19" t="n">
        <v>-0.2167263882741325</v>
      </c>
      <c r="M452" s="19" t="n">
        <v>-0.2169431146624067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NIU @ IOWA</t>
        </is>
      </c>
      <c r="C453" s="12" t="inlineStr">
        <is>
          <t>2026-09-05 20:15</t>
        </is>
      </c>
      <c r="D453" s="22" t="n">
        <v>1</v>
      </c>
      <c r="E453" s="12" t="inlineStr">
        <is>
          <t>ML</t>
        </is>
      </c>
      <c r="F453" s="12" t="inlineStr">
        <is>
          <t>IOWA ML</t>
        </is>
      </c>
      <c r="G453" s="23" t="n"/>
      <c r="H453" s="13" t="n">
        <v>-100000</v>
      </c>
      <c r="I453" s="15" t="n">
        <v>0.7822746107268665</v>
      </c>
      <c r="J453" s="15" t="n">
        <v>0.9807503701851887</v>
      </c>
      <c r="K453" s="15" t="n">
        <v>0.999000999000999</v>
      </c>
      <c r="L453" s="14" t="n">
        <v>-0.2167263882741325</v>
      </c>
      <c r="M453" s="14" t="n">
        <v>-0.2169431146624067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NCAT @ GAST</t>
        </is>
      </c>
      <c r="C454" s="17" t="inlineStr">
        <is>
          <t>2026-09-04 23:00</t>
        </is>
      </c>
      <c r="D454" s="25" t="n">
        <v>1</v>
      </c>
      <c r="E454" s="17" t="inlineStr">
        <is>
          <t>ML</t>
        </is>
      </c>
      <c r="F454" s="17" t="inlineStr">
        <is>
          <t>GAST ML</t>
        </is>
      </c>
      <c r="G454" s="26" t="n"/>
      <c r="H454" s="18" t="n">
        <v>-8000</v>
      </c>
      <c r="I454" s="20" t="n">
        <v>0.7708166562433301</v>
      </c>
      <c r="J454" s="20" t="n">
        <v>0.9578344612181156</v>
      </c>
      <c r="K454" s="20" t="n">
        <v>0.9876543209876543</v>
      </c>
      <c r="L454" s="19" t="n">
        <v>-0.2168376647443242</v>
      </c>
      <c r="M454" s="19" t="n">
        <v>-0.2195481355536283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NCAT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ECU @ ALA</t>
        </is>
      </c>
      <c r="C455" s="12" t="inlineStr">
        <is>
          <t>2026-09-05 16:00</t>
        </is>
      </c>
      <c r="D455" s="22" t="n">
        <v>1</v>
      </c>
      <c r="E455" s="12" t="inlineStr">
        <is>
          <t>ML</t>
        </is>
      </c>
      <c r="F455" s="12" t="inlineStr">
        <is>
          <t>ALA ML</t>
        </is>
      </c>
      <c r="G455" s="23" t="n"/>
      <c r="H455" s="13" t="n">
        <v>-8000</v>
      </c>
      <c r="I455" s="15" t="n">
        <v>0.7708166562433301</v>
      </c>
      <c r="J455" s="15" t="n">
        <v>0.9578344612181156</v>
      </c>
      <c r="K455" s="15" t="n">
        <v>0.9876543209876543</v>
      </c>
      <c r="L455" s="14" t="n">
        <v>-0.2168376647443242</v>
      </c>
      <c r="M455" s="14" t="n">
        <v>-0.2195481355536283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price outside allowed range</t>
        </is>
      </c>
    </row>
    <row r="456">
      <c r="A456" s="17" t="inlineStr">
        <is>
          <t>PASS</t>
        </is>
      </c>
      <c r="B456" s="17" t="inlineStr">
        <is>
          <t>NAU @ ARIZ</t>
        </is>
      </c>
      <c r="C456" s="17" t="inlineStr">
        <is>
          <t>2026-09-06 01:30</t>
        </is>
      </c>
      <c r="D456" s="25" t="n">
        <v>1</v>
      </c>
      <c r="E456" s="17" t="inlineStr">
        <is>
          <t>ML</t>
        </is>
      </c>
      <c r="F456" s="17" t="inlineStr">
        <is>
          <t>ARIZ ML</t>
        </is>
      </c>
      <c r="G456" s="26" t="n"/>
      <c r="H456" s="18" t="n">
        <v>-8000</v>
      </c>
      <c r="I456" s="20" t="n">
        <v>0.7708166562433301</v>
      </c>
      <c r="J456" s="20" t="n">
        <v>0.9578344612181156</v>
      </c>
      <c r="K456" s="20" t="n">
        <v>0.9876543209876543</v>
      </c>
      <c r="L456" s="19" t="n">
        <v>-0.2168376647443242</v>
      </c>
      <c r="M456" s="19" t="n">
        <v>-0.2195481355536283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NAU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SHSU @ TROY</t>
        </is>
      </c>
      <c r="C457" s="12" t="inlineStr">
        <is>
          <t>2026-09-05 23:00</t>
        </is>
      </c>
      <c r="D457" s="22" t="n">
        <v>1</v>
      </c>
      <c r="E457" s="12" t="inlineStr">
        <is>
          <t>ATS</t>
        </is>
      </c>
      <c r="F457" s="12" t="inlineStr">
        <is>
          <t>TROY -16.5</t>
        </is>
      </c>
      <c r="G457" s="23" t="n">
        <v>-16.5</v>
      </c>
      <c r="H457" s="13" t="n">
        <v>-118</v>
      </c>
      <c r="I457" s="15" t="n">
        <v>0.3236276698999002</v>
      </c>
      <c r="J457" s="15" t="n">
        <v>0.5173641257162701</v>
      </c>
      <c r="K457" s="15" t="n">
        <v>0.5412844036697247</v>
      </c>
      <c r="L457" s="14" t="n">
        <v>-0.2176567337698246</v>
      </c>
      <c r="M457" s="14" t="n">
        <v>-0.4021115928967947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DUQ @ AFA</t>
        </is>
      </c>
      <c r="C458" s="17" t="inlineStr">
        <is>
          <t>2026-09-05 17:00</t>
        </is>
      </c>
      <c r="D458" s="25" t="n">
        <v>1</v>
      </c>
      <c r="E458" s="17" t="inlineStr">
        <is>
          <t>ML</t>
        </is>
      </c>
      <c r="F458" s="17" t="inlineStr">
        <is>
          <t>AFA ML</t>
        </is>
      </c>
      <c r="G458" s="26" t="n"/>
      <c r="H458" s="18" t="n">
        <v>-50000</v>
      </c>
      <c r="I458" s="20" t="n">
        <v>0.779971422205864</v>
      </c>
      <c r="J458" s="20" t="n">
        <v>0.9761439931431837</v>
      </c>
      <c r="K458" s="20" t="n">
        <v>0.998003992015968</v>
      </c>
      <c r="L458" s="19" t="n">
        <v>-0.218032569810104</v>
      </c>
      <c r="M458" s="19" t="n">
        <v>-0.2184686349497243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DUQ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ML</t>
        </is>
      </c>
      <c r="F459" s="12" t="inlineStr">
        <is>
          <t>NAVY ML</t>
        </is>
      </c>
      <c r="G459" s="23" t="n"/>
      <c r="H459" s="13" t="n">
        <v>-50000</v>
      </c>
      <c r="I459" s="15" t="n">
        <v>0.779971422205864</v>
      </c>
      <c r="J459" s="15" t="n">
        <v>0.9761439931431837</v>
      </c>
      <c r="K459" s="15" t="n">
        <v>0.998003992015968</v>
      </c>
      <c r="L459" s="14" t="n">
        <v>-0.218032569810104</v>
      </c>
      <c r="M459" s="14" t="n">
        <v>-0.2184686349497243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MERC @ NMSU</t>
        </is>
      </c>
      <c r="C460" s="17" t="inlineStr">
        <is>
          <t>2026-09-06 01:00</t>
        </is>
      </c>
      <c r="D460" s="25" t="n">
        <v>1</v>
      </c>
      <c r="E460" s="17" t="inlineStr">
        <is>
          <t>ML</t>
        </is>
      </c>
      <c r="F460" s="17" t="inlineStr">
        <is>
          <t>NMSU ML</t>
        </is>
      </c>
      <c r="G460" s="26" t="n"/>
      <c r="H460" s="18" t="n">
        <v>-8000</v>
      </c>
      <c r="I460" s="20" t="n">
        <v>0.7685579351676632</v>
      </c>
      <c r="J460" s="20" t="n">
        <v>0.9578344612181156</v>
      </c>
      <c r="K460" s="20" t="n">
        <v>0.9876543209876543</v>
      </c>
      <c r="L460" s="19" t="n">
        <v>-0.219096385819991</v>
      </c>
      <c r="M460" s="19" t="n">
        <v>-0.221835090642741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MERC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ALB @ BUFF</t>
        </is>
      </c>
      <c r="C461" s="12" t="inlineStr">
        <is>
          <t>2026-09-03 23:00</t>
        </is>
      </c>
      <c r="D461" s="22" t="n">
        <v>1</v>
      </c>
      <c r="E461" s="12" t="inlineStr">
        <is>
          <t>ATS</t>
        </is>
      </c>
      <c r="F461" s="12" t="inlineStr">
        <is>
          <t>BUFF -18.5</t>
        </is>
      </c>
      <c r="G461" s="23" t="n">
        <v>-18.5</v>
      </c>
      <c r="H461" s="13" t="n">
        <v>-108</v>
      </c>
      <c r="I461" s="15" t="n">
        <v>0.2963211548809741</v>
      </c>
      <c r="J461" s="15" t="n">
        <v>0.4956702459300312</v>
      </c>
      <c r="K461" s="15" t="n">
        <v>0.5192307692307693</v>
      </c>
      <c r="L461" s="14" t="n">
        <v>-0.2229096143497952</v>
      </c>
      <c r="M461" s="14" t="n">
        <v>-0.4293074054144202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ALB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ALCN @ USM</t>
        </is>
      </c>
      <c r="C462" s="17" t="inlineStr">
        <is>
          <t>2026-09-05 21:00</t>
        </is>
      </c>
      <c r="D462" s="25" t="n">
        <v>1</v>
      </c>
      <c r="E462" s="17" t="inlineStr">
        <is>
          <t>ATS</t>
        </is>
      </c>
      <c r="F462" s="17" t="inlineStr">
        <is>
          <t>USM -20.5</t>
        </is>
      </c>
      <c r="G462" s="26" t="n">
        <v>-20.5</v>
      </c>
      <c r="H462" s="18" t="n">
        <v>-102</v>
      </c>
      <c r="I462" s="20" t="n">
        <v>0.2794483046640382</v>
      </c>
      <c r="J462" s="20" t="n">
        <v>0.4826358742837298</v>
      </c>
      <c r="K462" s="20" t="n">
        <v>0.504950495049505</v>
      </c>
      <c r="L462" s="19" t="n">
        <v>-0.2255021903854667</v>
      </c>
      <c r="M462" s="19" t="n">
        <v>-0.4465827691947478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ALCN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CIT @ CLT</t>
        </is>
      </c>
      <c r="C463" s="12" t="inlineStr">
        <is>
          <t>2026-09-05 19:30</t>
        </is>
      </c>
      <c r="D463" s="22" t="n">
        <v>1</v>
      </c>
      <c r="E463" s="12" t="inlineStr">
        <is>
          <t>ATS</t>
        </is>
      </c>
      <c r="F463" s="12" t="inlineStr">
        <is>
          <t>CLT -20.5</t>
        </is>
      </c>
      <c r="G463" s="23" t="n">
        <v>-20.5</v>
      </c>
      <c r="H463" s="13" t="n">
        <v>-105</v>
      </c>
      <c r="I463" s="15" t="n">
        <v>0.2827132494289989</v>
      </c>
      <c r="J463" s="15" t="n">
        <v>0.4891657638136511</v>
      </c>
      <c r="K463" s="15" t="n">
        <v>0.5121951219512195</v>
      </c>
      <c r="L463" s="14" t="n">
        <v>-0.2294818725222206</v>
      </c>
      <c r="M463" s="14" t="n">
        <v>-0.4480360368290974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CIT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LAF @ CONN</t>
        </is>
      </c>
      <c r="C464" s="17" t="inlineStr">
        <is>
          <t>2026-09-05 16:00</t>
        </is>
      </c>
      <c r="D464" s="25" t="n">
        <v>1</v>
      </c>
      <c r="E464" s="17" t="inlineStr">
        <is>
          <t>ATS</t>
        </is>
      </c>
      <c r="F464" s="17" t="inlineStr">
        <is>
          <t>CONN -19.5</t>
        </is>
      </c>
      <c r="G464" s="26" t="n">
        <v>-19.5</v>
      </c>
      <c r="H464" s="18" t="n">
        <v>-112</v>
      </c>
      <c r="I464" s="20" t="n">
        <v>0.295507193767708</v>
      </c>
      <c r="J464" s="20" t="n">
        <v>0.5043297540699688</v>
      </c>
      <c r="K464" s="20" t="n">
        <v>0.5283018867924528</v>
      </c>
      <c r="L464" s="19" t="n">
        <v>-0.2327946930247448</v>
      </c>
      <c r="M464" s="19" t="n">
        <v>-0.4406470975111241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LAF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ME @ APP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APP -19.5</t>
        </is>
      </c>
      <c r="G465" s="23" t="n">
        <v>-19.5</v>
      </c>
      <c r="H465" s="13" t="n">
        <v>-112</v>
      </c>
      <c r="I465" s="15" t="n">
        <v>0.295507193767708</v>
      </c>
      <c r="J465" s="15" t="n">
        <v>0.5043297540699688</v>
      </c>
      <c r="K465" s="15" t="n">
        <v>0.5283018867924528</v>
      </c>
      <c r="L465" s="14" t="n">
        <v>-0.2327946930247448</v>
      </c>
      <c r="M465" s="14" t="n">
        <v>-0.4406470975111241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ME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LAM @ UL</t>
        </is>
      </c>
      <c r="C466" s="17" t="inlineStr">
        <is>
          <t>2026-09-06 00:00</t>
        </is>
      </c>
      <c r="D466" s="25" t="n">
        <v>1</v>
      </c>
      <c r="E466" s="17" t="inlineStr">
        <is>
          <t>ATS</t>
        </is>
      </c>
      <c r="F466" s="17" t="inlineStr">
        <is>
          <t>UL -20.5</t>
        </is>
      </c>
      <c r="G466" s="26" t="n">
        <v>-20.5</v>
      </c>
      <c r="H466" s="18" t="n">
        <v>-108</v>
      </c>
      <c r="I466" s="20" t="n">
        <v>0.2859654904871889</v>
      </c>
      <c r="J466" s="20" t="n">
        <v>0.4956702459300312</v>
      </c>
      <c r="K466" s="20" t="n">
        <v>0.5192307692307693</v>
      </c>
      <c r="L466" s="19" t="n">
        <v>-0.2332652787435803</v>
      </c>
      <c r="M466" s="19" t="n">
        <v>-0.4492516479505991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LAM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OKST @ TLSA</t>
        </is>
      </c>
      <c r="C467" s="12" t="inlineStr">
        <is>
          <t>2026-09-05 19:45</t>
        </is>
      </c>
      <c r="D467" s="22" t="n">
        <v>1</v>
      </c>
      <c r="E467" s="12" t="inlineStr">
        <is>
          <t>ML</t>
        </is>
      </c>
      <c r="F467" s="12" t="inlineStr">
        <is>
          <t>OKST ML</t>
        </is>
      </c>
      <c r="G467" s="23" t="n"/>
      <c r="H467" s="13" t="n">
        <v>-575</v>
      </c>
      <c r="I467" s="15" t="n">
        <v>0.6167300159900932</v>
      </c>
      <c r="J467" s="15" t="n">
        <v>0.817258883248731</v>
      </c>
      <c r="K467" s="15" t="n">
        <v>0.8518518518518519</v>
      </c>
      <c r="L467" s="14" t="n">
        <v>-0.2351218358617586</v>
      </c>
      <c r="M467" s="14" t="n">
        <v>-0.2760125899246732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FRES @ USC</t>
        </is>
      </c>
      <c r="C468" s="17" t="inlineStr">
        <is>
          <t>2026-09-05 01:00</t>
        </is>
      </c>
      <c r="D468" s="25" t="n">
        <v>1</v>
      </c>
      <c r="E468" s="17" t="inlineStr">
        <is>
          <t>ATS</t>
        </is>
      </c>
      <c r="F468" s="17" t="inlineStr">
        <is>
          <t>USC -22.5</t>
        </is>
      </c>
      <c r="G468" s="26" t="n">
        <v>-22.5</v>
      </c>
      <c r="H468" s="18" t="n">
        <v>-102</v>
      </c>
      <c r="I468" s="20" t="n">
        <v>0.2694309657884095</v>
      </c>
      <c r="J468" s="20" t="n">
        <v>0.4826358742837298</v>
      </c>
      <c r="K468" s="20" t="n">
        <v>0.504950495049505</v>
      </c>
      <c r="L468" s="19" t="n">
        <v>-0.2355195292610954</v>
      </c>
      <c r="M468" s="19" t="n">
        <v>-0.4664210285366792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OKST @ TLSA</t>
        </is>
      </c>
      <c r="C469" s="12" t="inlineStr">
        <is>
          <t>2026-09-05 19:45</t>
        </is>
      </c>
      <c r="D469" s="22" t="n">
        <v>1</v>
      </c>
      <c r="E469" s="12" t="inlineStr">
        <is>
          <t>ATS</t>
        </is>
      </c>
      <c r="F469" s="12" t="inlineStr">
        <is>
          <t>OKST -13.5</t>
        </is>
      </c>
      <c r="G469" s="23" t="n">
        <v>13.5</v>
      </c>
      <c r="H469" s="13" t="n">
        <v>-118</v>
      </c>
      <c r="I469" s="15" t="n">
        <v>0.3057129753743966</v>
      </c>
      <c r="J469" s="15" t="n">
        <v>0.5173641257162701</v>
      </c>
      <c r="K469" s="15" t="n">
        <v>0.5412844036697247</v>
      </c>
      <c r="L469" s="14" t="n">
        <v>-0.2355714282953282</v>
      </c>
      <c r="M469" s="14" t="n">
        <v>-0.4352082319354368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ISU @ IOWA</t>
        </is>
      </c>
      <c r="C470" s="17" t="inlineStr">
        <is>
          <t>2026-09-12 23:30</t>
        </is>
      </c>
      <c r="D470" s="25" t="n">
        <v>2</v>
      </c>
      <c r="E470" s="17" t="inlineStr">
        <is>
          <t>TOTAL</t>
        </is>
      </c>
      <c r="F470" s="17" t="inlineStr">
        <is>
          <t>Under 41.5</t>
        </is>
      </c>
      <c r="G470" s="26" t="n">
        <v>41.5</v>
      </c>
      <c r="H470" s="18" t="n">
        <v>-112</v>
      </c>
      <c r="I470" s="20" t="n">
        <v>0.2924995180361727</v>
      </c>
      <c r="J470" s="20" t="n">
        <v>0.5043297540699688</v>
      </c>
      <c r="K470" s="20" t="n">
        <v>0.5283018867924528</v>
      </c>
      <c r="L470" s="19" t="n">
        <v>-0.2358023687562801</v>
      </c>
      <c r="M470" s="19" t="n">
        <v>-0.4463401980029589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raw model/market disagreement exceeds the safety limit</t>
        </is>
      </c>
    </row>
    <row r="471">
      <c r="A471" s="12" t="inlineStr">
        <is>
          <t>PASS</t>
        </is>
      </c>
      <c r="B471" s="12" t="inlineStr">
        <is>
          <t>WIS @ ND</t>
        </is>
      </c>
      <c r="C471" s="12" t="inlineStr">
        <is>
          <t>2026-09-06 23:30</t>
        </is>
      </c>
      <c r="D471" s="22" t="n">
        <v>1</v>
      </c>
      <c r="E471" s="12" t="inlineStr">
        <is>
          <t>ML</t>
        </is>
      </c>
      <c r="F471" s="12" t="inlineStr">
        <is>
          <t>ND ML</t>
        </is>
      </c>
      <c r="G471" s="23" t="n"/>
      <c r="H471" s="13" t="n">
        <v>-1650</v>
      </c>
      <c r="I471" s="15" t="n">
        <v>0.7041284403669725</v>
      </c>
      <c r="J471" s="15" t="n">
        <v>0.9082568807339451</v>
      </c>
      <c r="K471" s="15" t="n">
        <v>0.9428571428571428</v>
      </c>
      <c r="L471" s="14" t="n">
        <v>-0.2387287024901703</v>
      </c>
      <c r="M471" s="14" t="n">
        <v>-0.2531971087016958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EKU @ JVST</t>
        </is>
      </c>
      <c r="C472" s="17" t="inlineStr">
        <is>
          <t>2026-09-05 23:00</t>
        </is>
      </c>
      <c r="D472" s="25" t="n">
        <v>1</v>
      </c>
      <c r="E472" s="17" t="inlineStr">
        <is>
          <t>ATS</t>
        </is>
      </c>
      <c r="F472" s="17" t="inlineStr">
        <is>
          <t>JVST -20.5</t>
        </is>
      </c>
      <c r="G472" s="26" t="n">
        <v>-20.5</v>
      </c>
      <c r="H472" s="18" t="n">
        <v>-112</v>
      </c>
      <c r="I472" s="20" t="n">
        <v>0.2873319223398862</v>
      </c>
      <c r="J472" s="20" t="n">
        <v>0.5043297540699688</v>
      </c>
      <c r="K472" s="20" t="n">
        <v>0.5283018867924528</v>
      </c>
      <c r="L472" s="19" t="n">
        <v>-0.2409699644525666</v>
      </c>
      <c r="M472" s="19" t="n">
        <v>-0.4561217184280725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EKU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ORST @ HOU</t>
        </is>
      </c>
      <c r="C473" s="12" t="inlineStr">
        <is>
          <t>2026-09-05 16:00</t>
        </is>
      </c>
      <c r="D473" s="22" t="n">
        <v>1</v>
      </c>
      <c r="E473" s="12" t="inlineStr">
        <is>
          <t>ATS</t>
        </is>
      </c>
      <c r="F473" s="12" t="inlineStr">
        <is>
          <t>HOU -20.5</t>
        </is>
      </c>
      <c r="G473" s="23" t="n">
        <v>-20.5</v>
      </c>
      <c r="H473" s="13" t="n">
        <v>-115</v>
      </c>
      <c r="I473" s="15" t="n">
        <v>0.2935474856153478</v>
      </c>
      <c r="J473" s="15" t="n">
        <v>0.5108342361863488</v>
      </c>
      <c r="K473" s="15" t="n">
        <v>0.5348837209302325</v>
      </c>
      <c r="L473" s="14" t="n">
        <v>-0.2413362353148847</v>
      </c>
      <c r="M473" s="14" t="n">
        <v>-0.4511938312408716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raw model/market disagreement exceeds the safety limit</t>
        </is>
      </c>
    </row>
    <row r="474">
      <c r="A474" s="17" t="inlineStr">
        <is>
          <t>PASS</t>
        </is>
      </c>
      <c r="B474" s="17" t="inlineStr">
        <is>
          <t>HCU @ RICE</t>
        </is>
      </c>
      <c r="C474" s="17" t="inlineStr">
        <is>
          <t>2026-09-05 23:00</t>
        </is>
      </c>
      <c r="D474" s="25" t="n">
        <v>1</v>
      </c>
      <c r="E474" s="17" t="inlineStr">
        <is>
          <t>ATS</t>
        </is>
      </c>
      <c r="F474" s="17" t="inlineStr">
        <is>
          <t>RICE -22.5</t>
        </is>
      </c>
      <c r="G474" s="26" t="n">
        <v>-22.5</v>
      </c>
      <c r="H474" s="18" t="n">
        <v>-108</v>
      </c>
      <c r="I474" s="20" t="n">
        <v>0.2755248641295212</v>
      </c>
      <c r="J474" s="20" t="n">
        <v>0.4956702459300312</v>
      </c>
      <c r="K474" s="20" t="n">
        <v>0.5192307692307693</v>
      </c>
      <c r="L474" s="19" t="n">
        <v>-0.2437059051012481</v>
      </c>
      <c r="M474" s="19" t="n">
        <v>-0.469359520935737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HCU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CCU @ WVU</t>
        </is>
      </c>
      <c r="C475" s="12" t="inlineStr">
        <is>
          <t>2026-09-05 16:00</t>
        </is>
      </c>
      <c r="D475" s="22" t="n">
        <v>1</v>
      </c>
      <c r="E475" s="12" t="inlineStr">
        <is>
          <t>ATS</t>
        </is>
      </c>
      <c r="F475" s="12" t="inlineStr">
        <is>
          <t>WVU -21</t>
        </is>
      </c>
      <c r="G475" s="23" t="n">
        <v>-21</v>
      </c>
      <c r="H475" s="13" t="n">
        <v>-112</v>
      </c>
      <c r="I475" s="15" t="n">
        <v>0.2840457409757053</v>
      </c>
      <c r="J475" s="15" t="n">
        <v>0.5043297540699688</v>
      </c>
      <c r="K475" s="15" t="n">
        <v>0.5283018867924528</v>
      </c>
      <c r="L475" s="14" t="n">
        <v>-0.2442561458167475</v>
      </c>
      <c r="M475" s="14" t="n">
        <v>-0.4561696130064479</v>
      </c>
      <c r="N475" s="15" t="n">
        <v>0.0134</v>
      </c>
      <c r="O475" s="24" t="n">
        <v>0.4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YSU @ UK</t>
        </is>
      </c>
      <c r="C476" s="17" t="inlineStr">
        <is>
          <t>2026-09-05 17:00</t>
        </is>
      </c>
      <c r="D476" s="25" t="n">
        <v>1</v>
      </c>
      <c r="E476" s="17" t="inlineStr">
        <is>
          <t>ATS</t>
        </is>
      </c>
      <c r="F476" s="17" t="inlineStr">
        <is>
          <t>UK -22.5</t>
        </is>
      </c>
      <c r="G476" s="26" t="n">
        <v>-22.5</v>
      </c>
      <c r="H476" s="18" t="n">
        <v>-110</v>
      </c>
      <c r="I476" s="20" t="n">
        <v>0.2776897411645056</v>
      </c>
      <c r="J476" s="20" t="n">
        <v>0.5</v>
      </c>
      <c r="K476" s="20" t="n">
        <v>0.5238095238095238</v>
      </c>
      <c r="L476" s="19" t="n">
        <v>-0.2461197826450182</v>
      </c>
      <c r="M476" s="19" t="n">
        <v>-0.4698650395950347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YSU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MRSH @ PSU</t>
        </is>
      </c>
      <c r="C477" s="12" t="inlineStr">
        <is>
          <t>2026-09-05 19:30</t>
        </is>
      </c>
      <c r="D477" s="22" t="n">
        <v>1</v>
      </c>
      <c r="E477" s="12" t="inlineStr">
        <is>
          <t>ATS</t>
        </is>
      </c>
      <c r="F477" s="12" t="inlineStr">
        <is>
          <t>PSU -24.5</t>
        </is>
      </c>
      <c r="G477" s="23" t="n">
        <v>-24.5</v>
      </c>
      <c r="H477" s="13" t="n">
        <v>-105</v>
      </c>
      <c r="I477" s="15" t="n">
        <v>0.2649014056911914</v>
      </c>
      <c r="J477" s="15" t="n">
        <v>0.4891657638136511</v>
      </c>
      <c r="K477" s="15" t="n">
        <v>0.5121951219512195</v>
      </c>
      <c r="L477" s="14" t="n">
        <v>-0.2472937162600281</v>
      </c>
      <c r="M477" s="14" t="n">
        <v>-0.4828115412695788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MUR @ MTSU</t>
        </is>
      </c>
      <c r="C478" s="17" t="inlineStr">
        <is>
          <t>2026-09-05 23:00</t>
        </is>
      </c>
      <c r="D478" s="25" t="n">
        <v>1</v>
      </c>
      <c r="E478" s="17" t="inlineStr">
        <is>
          <t>ATS</t>
        </is>
      </c>
      <c r="F478" s="17" t="inlineStr">
        <is>
          <t>MTSU -20.5</t>
        </is>
      </c>
      <c r="G478" s="26" t="n">
        <v>-20.5</v>
      </c>
      <c r="H478" s="18" t="n">
        <v>-122</v>
      </c>
      <c r="I478" s="20" t="n">
        <v>0.3011736601530332</v>
      </c>
      <c r="J478" s="20" t="n">
        <v>0.5260865852617197</v>
      </c>
      <c r="K478" s="20" t="n">
        <v>0.5495495495495496</v>
      </c>
      <c r="L478" s="19" t="n">
        <v>-0.2483758893965164</v>
      </c>
      <c r="M478" s="19" t="n">
        <v>-0.4519626839838248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MUR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WES @ KENN</t>
        </is>
      </c>
      <c r="C479" s="12" t="inlineStr">
        <is>
          <t>2026-09-03 23:00</t>
        </is>
      </c>
      <c r="D479" s="22" t="n">
        <v>1</v>
      </c>
      <c r="E479" s="12" t="inlineStr">
        <is>
          <t>ATS</t>
        </is>
      </c>
      <c r="F479" s="12" t="inlineStr">
        <is>
          <t>KENN -22.5</t>
        </is>
      </c>
      <c r="G479" s="23" t="n">
        <v>-22.5</v>
      </c>
      <c r="H479" s="13" t="n">
        <v>-112</v>
      </c>
      <c r="I479" s="15" t="n">
        <v>0.27985461819949</v>
      </c>
      <c r="J479" s="15" t="n">
        <v>0.5043297540699688</v>
      </c>
      <c r="K479" s="15" t="n">
        <v>0.5283018867924528</v>
      </c>
      <c r="L479" s="14" t="n">
        <v>-0.2484472685929628</v>
      </c>
      <c r="M479" s="14" t="n">
        <v>-0.4702751869795367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WES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WIS @ ND</t>
        </is>
      </c>
      <c r="C480" s="17" t="inlineStr">
        <is>
          <t>2026-09-06 23:30</t>
        </is>
      </c>
      <c r="D480" s="25" t="n">
        <v>1</v>
      </c>
      <c r="E480" s="17" t="inlineStr">
        <is>
          <t>ATS</t>
        </is>
      </c>
      <c r="F480" s="17" t="inlineStr">
        <is>
          <t>ND -20.5</t>
        </is>
      </c>
      <c r="G480" s="26" t="n">
        <v>-20.5</v>
      </c>
      <c r="H480" s="18" t="n">
        <v>-110</v>
      </c>
      <c r="I480" s="20" t="n">
        <v>0.2747801719206811</v>
      </c>
      <c r="J480" s="20" t="n">
        <v>0.5</v>
      </c>
      <c r="K480" s="20" t="n">
        <v>0.5238095238095238</v>
      </c>
      <c r="L480" s="19" t="n">
        <v>-0.2490293518888427</v>
      </c>
      <c r="M480" s="19" t="n">
        <v>-0.4754196717877907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APSU @ VAN</t>
        </is>
      </c>
      <c r="C481" s="12" t="inlineStr">
        <is>
          <t>2026-09-05 23:00</t>
        </is>
      </c>
      <c r="D481" s="22" t="n">
        <v>1</v>
      </c>
      <c r="E481" s="12" t="inlineStr">
        <is>
          <t>ATS</t>
        </is>
      </c>
      <c r="F481" s="12" t="inlineStr">
        <is>
          <t>VAN -29.5</t>
        </is>
      </c>
      <c r="G481" s="23" t="n">
        <v>-29.5</v>
      </c>
      <c r="H481" s="13" t="n">
        <v>102</v>
      </c>
      <c r="I481" s="15" t="n">
        <v>0.2456815023098576</v>
      </c>
      <c r="J481" s="15" t="n">
        <v>0.4739134147382802</v>
      </c>
      <c r="K481" s="15" t="n">
        <v>0.495049504950495</v>
      </c>
      <c r="L481" s="14" t="n">
        <v>-0.2493680026406374</v>
      </c>
      <c r="M481" s="14" t="n">
        <v>-0.5037233653340876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APSU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WSU @ WASH</t>
        </is>
      </c>
      <c r="C482" s="17" t="inlineStr">
        <is>
          <t>2026-09-06 20:00</t>
        </is>
      </c>
      <c r="D482" s="25" t="n">
        <v>1</v>
      </c>
      <c r="E482" s="17" t="inlineStr">
        <is>
          <t>ATS</t>
        </is>
      </c>
      <c r="F482" s="17" t="inlineStr">
        <is>
          <t>WASH -23.5</t>
        </is>
      </c>
      <c r="G482" s="26" t="n">
        <v>-23.5</v>
      </c>
      <c r="H482" s="18" t="n">
        <v>-110</v>
      </c>
      <c r="I482" s="20" t="n">
        <v>0.2743359771249445</v>
      </c>
      <c r="J482" s="20" t="n">
        <v>0.5</v>
      </c>
      <c r="K482" s="20" t="n">
        <v>0.5238095238095238</v>
      </c>
      <c r="L482" s="19" t="n">
        <v>-0.2494735466845793</v>
      </c>
      <c r="M482" s="19" t="n">
        <v>-0.4762676800341968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CHSO @ GASO</t>
        </is>
      </c>
      <c r="C483" s="12" t="inlineStr">
        <is>
          <t>2026-09-05 23:00</t>
        </is>
      </c>
      <c r="D483" s="22" t="n">
        <v>1</v>
      </c>
      <c r="E483" s="12" t="inlineStr">
        <is>
          <t>ATS</t>
        </is>
      </c>
      <c r="F483" s="12" t="inlineStr">
        <is>
          <t>GASO -25.5</t>
        </is>
      </c>
      <c r="G483" s="23" t="n">
        <v>-25.5</v>
      </c>
      <c r="H483" s="13" t="n">
        <v>-105</v>
      </c>
      <c r="I483" s="15" t="n">
        <v>0.2622877910151437</v>
      </c>
      <c r="J483" s="15" t="n">
        <v>0.4891657638136511</v>
      </c>
      <c r="K483" s="15" t="n">
        <v>0.5121951219512195</v>
      </c>
      <c r="L483" s="14" t="n">
        <v>-0.2499073309360759</v>
      </c>
      <c r="M483" s="14" t="n">
        <v>-0.4879143127799577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CHSO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ECU @ ALA</t>
        </is>
      </c>
      <c r="C484" s="17" t="inlineStr">
        <is>
          <t>2026-09-05 16:00</t>
        </is>
      </c>
      <c r="D484" s="25" t="n">
        <v>1</v>
      </c>
      <c r="E484" s="17" t="inlineStr">
        <is>
          <t>ATS</t>
        </is>
      </c>
      <c r="F484" s="17" t="inlineStr">
        <is>
          <t>ALA -28.5</t>
        </is>
      </c>
      <c r="G484" s="26" t="n">
        <v>-28.5</v>
      </c>
      <c r="H484" s="18" t="n">
        <v>100</v>
      </c>
      <c r="I484" s="20" t="n">
        <v>0.2495946449568198</v>
      </c>
      <c r="J484" s="20" t="n">
        <v>0.4782608695652174</v>
      </c>
      <c r="K484" s="20" t="n">
        <v>0.5</v>
      </c>
      <c r="L484" s="19" t="n">
        <v>-0.2504053550431802</v>
      </c>
      <c r="M484" s="19" t="n">
        <v>-0.5008107100863604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AKR @ WAKE</t>
        </is>
      </c>
      <c r="C485" s="12" t="inlineStr">
        <is>
          <t>2026-09-03 23:00</t>
        </is>
      </c>
      <c r="D485" s="22" t="n">
        <v>1</v>
      </c>
      <c r="E485" s="12" t="inlineStr">
        <is>
          <t>ATS</t>
        </is>
      </c>
      <c r="F485" s="12" t="inlineStr">
        <is>
          <t>WAKE -24.5</t>
        </is>
      </c>
      <c r="G485" s="23" t="n">
        <v>-24.5</v>
      </c>
      <c r="H485" s="13" t="n">
        <v>-110</v>
      </c>
      <c r="I485" s="15" t="n">
        <v>0.2703185237843659</v>
      </c>
      <c r="J485" s="15" t="n">
        <v>0.5</v>
      </c>
      <c r="K485" s="15" t="n">
        <v>0.5238095238095238</v>
      </c>
      <c r="L485" s="14" t="n">
        <v>-0.253491000025158</v>
      </c>
      <c r="M485" s="14" t="n">
        <v>-0.4839373636843923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BOIS @ ORE</t>
        </is>
      </c>
      <c r="C486" s="17" t="inlineStr">
        <is>
          <t>2026-09-05 19:30</t>
        </is>
      </c>
      <c r="D486" s="25" t="n">
        <v>1</v>
      </c>
      <c r="E486" s="17" t="inlineStr">
        <is>
          <t>ATS</t>
        </is>
      </c>
      <c r="F486" s="17" t="inlineStr">
        <is>
          <t>ORE -24.5</t>
        </is>
      </c>
      <c r="G486" s="26" t="n">
        <v>-24.5</v>
      </c>
      <c r="H486" s="18" t="n">
        <v>-110</v>
      </c>
      <c r="I486" s="20" t="n">
        <v>0.2703185237843659</v>
      </c>
      <c r="J486" s="20" t="n">
        <v>0.5</v>
      </c>
      <c r="K486" s="20" t="n">
        <v>0.5238095238095238</v>
      </c>
      <c r="L486" s="19" t="n">
        <v>-0.253491000025158</v>
      </c>
      <c r="M486" s="19" t="n">
        <v>-0.4839373636843923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ULM @ MSST</t>
        </is>
      </c>
      <c r="C487" s="12" t="inlineStr">
        <is>
          <t>2026-09-05 23:30</t>
        </is>
      </c>
      <c r="D487" s="22" t="n">
        <v>1</v>
      </c>
      <c r="E487" s="12" t="inlineStr">
        <is>
          <t>ATS</t>
        </is>
      </c>
      <c r="F487" s="12" t="inlineStr">
        <is>
          <t>MSST -28.5</t>
        </is>
      </c>
      <c r="G487" s="23" t="n">
        <v>-28.5</v>
      </c>
      <c r="H487" s="13" t="n">
        <v>-105</v>
      </c>
      <c r="I487" s="15" t="n">
        <v>0.2550470920810367</v>
      </c>
      <c r="J487" s="15" t="n">
        <v>0.4891657638136511</v>
      </c>
      <c r="K487" s="15" t="n">
        <v>0.5121951219512195</v>
      </c>
      <c r="L487" s="14" t="n">
        <v>-0.2571480298701828</v>
      </c>
      <c r="M487" s="14" t="n">
        <v>-0.5020509154608331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OHIO @ NEB</t>
        </is>
      </c>
      <c r="C488" s="17" t="inlineStr">
        <is>
          <t>2026-09-05 16:00</t>
        </is>
      </c>
      <c r="D488" s="25" t="n">
        <v>1</v>
      </c>
      <c r="E488" s="17" t="inlineStr">
        <is>
          <t>ATS</t>
        </is>
      </c>
      <c r="F488" s="17" t="inlineStr">
        <is>
          <t>NEB -23.5</t>
        </is>
      </c>
      <c r="G488" s="26" t="n">
        <v>-23.5</v>
      </c>
      <c r="H488" s="18" t="n">
        <v>-118</v>
      </c>
      <c r="I488" s="20" t="n">
        <v>0.2830180399830796</v>
      </c>
      <c r="J488" s="20" t="n">
        <v>0.5173641257162701</v>
      </c>
      <c r="K488" s="20" t="n">
        <v>0.5412844036697247</v>
      </c>
      <c r="L488" s="19" t="n">
        <v>-0.2582663636866452</v>
      </c>
      <c r="M488" s="19" t="n">
        <v>-0.4771361634210903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ORE @ OKST</t>
        </is>
      </c>
      <c r="C489" s="12" t="inlineStr">
        <is>
          <t>2026-09-12 16:00</t>
        </is>
      </c>
      <c r="D489" s="22" t="n">
        <v>2</v>
      </c>
      <c r="E489" s="12" t="inlineStr">
        <is>
          <t>ATS</t>
        </is>
      </c>
      <c r="F489" s="12" t="inlineStr">
        <is>
          <t>ORE -18.5</t>
        </is>
      </c>
      <c r="G489" s="23" t="n">
        <v>18.5</v>
      </c>
      <c r="H489" s="13" t="n">
        <v>-115</v>
      </c>
      <c r="I489" s="15" t="n">
        <v>0.2761873678739134</v>
      </c>
      <c r="J489" s="15" t="n">
        <v>0.5108342361863488</v>
      </c>
      <c r="K489" s="15" t="n">
        <v>0.5348837209302325</v>
      </c>
      <c r="L489" s="14" t="n">
        <v>-0.2586963530563191</v>
      </c>
      <c r="M489" s="14" t="n">
        <v>-0.483649703540075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MIA @ STAN</t>
        </is>
      </c>
      <c r="C490" s="17" t="inlineStr">
        <is>
          <t>2026-09-05 01:00</t>
        </is>
      </c>
      <c r="D490" s="25" t="n">
        <v>1</v>
      </c>
      <c r="E490" s="17" t="inlineStr">
        <is>
          <t>ATS</t>
        </is>
      </c>
      <c r="F490" s="17" t="inlineStr">
        <is>
          <t>MIA -24.5</t>
        </is>
      </c>
      <c r="G490" s="26" t="n">
        <v>24.5</v>
      </c>
      <c r="H490" s="18" t="n">
        <v>-105</v>
      </c>
      <c r="I490" s="20" t="n">
        <v>0.2521851256478321</v>
      </c>
      <c r="J490" s="20" t="n">
        <v>0.4891657638136511</v>
      </c>
      <c r="K490" s="20" t="n">
        <v>0.5121951219512195</v>
      </c>
      <c r="L490" s="19" t="n">
        <v>-0.2600099963033874</v>
      </c>
      <c r="M490" s="19" t="n">
        <v>-0.5076385642113754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WMU @ MICH</t>
        </is>
      </c>
      <c r="C491" s="12" t="inlineStr">
        <is>
          <t>2026-09-05 23:30</t>
        </is>
      </c>
      <c r="D491" s="22" t="n">
        <v>1</v>
      </c>
      <c r="E491" s="12" t="inlineStr">
        <is>
          <t>ATS</t>
        </is>
      </c>
      <c r="F491" s="12" t="inlineStr">
        <is>
          <t>MICH -27.5</t>
        </is>
      </c>
      <c r="G491" s="23" t="n">
        <v>-27.5</v>
      </c>
      <c r="H491" s="13" t="n">
        <v>-110</v>
      </c>
      <c r="I491" s="15" t="n">
        <v>0.2627912865411804</v>
      </c>
      <c r="J491" s="15" t="n">
        <v>0.5</v>
      </c>
      <c r="K491" s="15" t="n">
        <v>0.5238095238095238</v>
      </c>
      <c r="L491" s="14" t="n">
        <v>-0.2610182372683434</v>
      </c>
      <c r="M491" s="14" t="n">
        <v>-0.4983075438759283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FAU @ FLA</t>
        </is>
      </c>
      <c r="C492" s="17" t="inlineStr">
        <is>
          <t>2026-09-05 23:45</t>
        </is>
      </c>
      <c r="D492" s="25" t="n">
        <v>1</v>
      </c>
      <c r="E492" s="17" t="inlineStr">
        <is>
          <t>ATS</t>
        </is>
      </c>
      <c r="F492" s="17" t="inlineStr">
        <is>
          <t>FLA -26.5</t>
        </is>
      </c>
      <c r="G492" s="26" t="n">
        <v>-26.5</v>
      </c>
      <c r="H492" s="18" t="n">
        <v>-112</v>
      </c>
      <c r="I492" s="20" t="n">
        <v>0.2671793513057695</v>
      </c>
      <c r="J492" s="20" t="n">
        <v>0.5043297540699688</v>
      </c>
      <c r="K492" s="20" t="n">
        <v>0.5283018867924528</v>
      </c>
      <c r="L492" s="19" t="n">
        <v>-0.2611225354866833</v>
      </c>
      <c r="M492" s="19" t="n">
        <v>-0.4942676564569363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NIU @ IOWA</t>
        </is>
      </c>
      <c r="C493" s="12" t="inlineStr">
        <is>
          <t>2026-09-05 20:15</t>
        </is>
      </c>
      <c r="D493" s="22" t="n">
        <v>1</v>
      </c>
      <c r="E493" s="12" t="inlineStr">
        <is>
          <t>ATS</t>
        </is>
      </c>
      <c r="F493" s="12" t="inlineStr">
        <is>
          <t>IOWA -31.5</t>
        </is>
      </c>
      <c r="G493" s="23" t="n">
        <v>-31.5</v>
      </c>
      <c r="H493" s="13" t="n">
        <v>-105</v>
      </c>
      <c r="I493" s="15" t="n">
        <v>0.250495559374226</v>
      </c>
      <c r="J493" s="15" t="n">
        <v>0.4891657638136511</v>
      </c>
      <c r="K493" s="15" t="n">
        <v>0.5121951219512195</v>
      </c>
      <c r="L493" s="14" t="n">
        <v>-0.2616995625769935</v>
      </c>
      <c r="M493" s="14" t="n">
        <v>-0.5109372412217492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MASS @ RUTG</t>
        </is>
      </c>
      <c r="C494" s="17" t="inlineStr">
        <is>
          <t>2026-09-03 22:00</t>
        </is>
      </c>
      <c r="D494" s="25" t="n">
        <v>1</v>
      </c>
      <c r="E494" s="17" t="inlineStr">
        <is>
          <t>ATS</t>
        </is>
      </c>
      <c r="F494" s="17" t="inlineStr">
        <is>
          <t>RUTG -29.5</t>
        </is>
      </c>
      <c r="G494" s="26" t="n">
        <v>-29.5</v>
      </c>
      <c r="H494" s="18" t="n">
        <v>-108</v>
      </c>
      <c r="I494" s="20" t="n">
        <v>0.2565599179057331</v>
      </c>
      <c r="J494" s="20" t="n">
        <v>0.4956702459300312</v>
      </c>
      <c r="K494" s="20" t="n">
        <v>0.5192307692307693</v>
      </c>
      <c r="L494" s="19" t="n">
        <v>-0.2626708513250361</v>
      </c>
      <c r="M494" s="19" t="n">
        <v>-0.5058846025519212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SEMO @ ISU</t>
        </is>
      </c>
      <c r="C495" s="12" t="inlineStr">
        <is>
          <t>2026-09-05 17:00</t>
        </is>
      </c>
      <c r="D495" s="22" t="n">
        <v>1</v>
      </c>
      <c r="E495" s="12" t="inlineStr">
        <is>
          <t>ATS</t>
        </is>
      </c>
      <c r="F495" s="12" t="inlineStr">
        <is>
          <t>ISU -29.5</t>
        </is>
      </c>
      <c r="G495" s="23" t="n">
        <v>-29.5</v>
      </c>
      <c r="H495" s="13" t="n">
        <v>-108</v>
      </c>
      <c r="I495" s="15" t="n">
        <v>0.2565599179057331</v>
      </c>
      <c r="J495" s="15" t="n">
        <v>0.4956702459300312</v>
      </c>
      <c r="K495" s="15" t="n">
        <v>0.5192307692307693</v>
      </c>
      <c r="L495" s="14" t="n">
        <v>-0.2626708513250361</v>
      </c>
      <c r="M495" s="14" t="n">
        <v>-0.5058846025519212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SEMO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BCU @ UCF</t>
        </is>
      </c>
      <c r="C496" s="17" t="inlineStr">
        <is>
          <t>2026-09-03 23:00</t>
        </is>
      </c>
      <c r="D496" s="25" t="n">
        <v>1</v>
      </c>
      <c r="E496" s="17" t="inlineStr">
        <is>
          <t>ATS</t>
        </is>
      </c>
      <c r="F496" s="17" t="inlineStr">
        <is>
          <t>UCF -42.5</t>
        </is>
      </c>
      <c r="G496" s="26" t="n">
        <v>-42.5</v>
      </c>
      <c r="H496" s="18" t="n">
        <v>-102</v>
      </c>
      <c r="I496" s="20" t="n">
        <v>0.2418110922301315</v>
      </c>
      <c r="J496" s="20" t="n">
        <v>0.4826358742837298</v>
      </c>
      <c r="K496" s="20" t="n">
        <v>0.504950495049505</v>
      </c>
      <c r="L496" s="19" t="n">
        <v>-0.2631394028193734</v>
      </c>
      <c r="M496" s="19" t="n">
        <v>-0.5211192095050337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BCU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RGV @ UTSA</t>
        </is>
      </c>
      <c r="C497" s="12" t="inlineStr">
        <is>
          <t>2026-09-05 19:30</t>
        </is>
      </c>
      <c r="D497" s="22" t="n">
        <v>1</v>
      </c>
      <c r="E497" s="12" t="inlineStr">
        <is>
          <t>ATS</t>
        </is>
      </c>
      <c r="F497" s="12" t="inlineStr">
        <is>
          <t>UTSA -28.5</t>
        </is>
      </c>
      <c r="G497" s="23" t="n">
        <v>-28.5</v>
      </c>
      <c r="H497" s="13" t="n">
        <v>-110</v>
      </c>
      <c r="I497" s="15" t="n">
        <v>0.2604642101742111</v>
      </c>
      <c r="J497" s="15" t="n">
        <v>0.5</v>
      </c>
      <c r="K497" s="15" t="n">
        <v>0.5238095238095238</v>
      </c>
      <c r="L497" s="14" t="n">
        <v>-0.2633453136353127</v>
      </c>
      <c r="M497" s="14" t="n">
        <v>-0.5027501442128696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RGV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UAB @ ILL</t>
        </is>
      </c>
      <c r="C498" s="17" t="inlineStr">
        <is>
          <t>2026-09-04 01:00</t>
        </is>
      </c>
      <c r="D498" s="25" t="n">
        <v>1</v>
      </c>
      <c r="E498" s="17" t="inlineStr">
        <is>
          <t>ATS</t>
        </is>
      </c>
      <c r="F498" s="17" t="inlineStr">
        <is>
          <t>ILL -27.5</t>
        </is>
      </c>
      <c r="G498" s="26" t="n">
        <v>-27.5</v>
      </c>
      <c r="H498" s="18" t="n">
        <v>-112</v>
      </c>
      <c r="I498" s="20" t="n">
        <v>0.2649561635761648</v>
      </c>
      <c r="J498" s="20" t="n">
        <v>0.5043297540699688</v>
      </c>
      <c r="K498" s="20" t="n">
        <v>0.5283018867924528</v>
      </c>
      <c r="L498" s="19" t="n">
        <v>-0.263345723216288</v>
      </c>
      <c r="M498" s="19" t="n">
        <v>-0.4984758332308309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TXST @ TEX</t>
        </is>
      </c>
      <c r="C499" s="12" t="inlineStr">
        <is>
          <t>2026-09-05 19:30</t>
        </is>
      </c>
      <c r="D499" s="22" t="n">
        <v>1</v>
      </c>
      <c r="E499" s="12" t="inlineStr">
        <is>
          <t>ATS</t>
        </is>
      </c>
      <c r="F499" s="12" t="inlineStr">
        <is>
          <t>TEX -29.5</t>
        </is>
      </c>
      <c r="G499" s="23" t="n">
        <v>-29.5</v>
      </c>
      <c r="H499" s="13" t="n">
        <v>-110</v>
      </c>
      <c r="I499" s="15" t="n">
        <v>0.2587247949407175</v>
      </c>
      <c r="J499" s="15" t="n">
        <v>0.5</v>
      </c>
      <c r="K499" s="15" t="n">
        <v>0.5238095238095238</v>
      </c>
      <c r="L499" s="14" t="n">
        <v>-0.2650847288688063</v>
      </c>
      <c r="M499" s="14" t="n">
        <v>-0.5060708460222665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NAU @ ARIZ</t>
        </is>
      </c>
      <c r="C500" s="17" t="inlineStr">
        <is>
          <t>2026-09-06 01:30</t>
        </is>
      </c>
      <c r="D500" s="25" t="n">
        <v>1</v>
      </c>
      <c r="E500" s="17" t="inlineStr">
        <is>
          <t>ATS</t>
        </is>
      </c>
      <c r="F500" s="17" t="inlineStr">
        <is>
          <t>ARIZ -31.5</t>
        </is>
      </c>
      <c r="G500" s="26" t="n">
        <v>-31.5</v>
      </c>
      <c r="H500" s="18" t="n">
        <v>-108</v>
      </c>
      <c r="I500" s="20" t="n">
        <v>0.2537478004324161</v>
      </c>
      <c r="J500" s="20" t="n">
        <v>0.4956702459300312</v>
      </c>
      <c r="K500" s="20" t="n">
        <v>0.5192307692307693</v>
      </c>
      <c r="L500" s="19" t="n">
        <v>-0.2654829687983532</v>
      </c>
      <c r="M500" s="19" t="n">
        <v>-0.511300532500532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NAU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MERC @ NMSU</t>
        </is>
      </c>
      <c r="C501" s="12" t="inlineStr">
        <is>
          <t>2026-09-06 01:00</t>
        </is>
      </c>
      <c r="D501" s="22" t="n">
        <v>1</v>
      </c>
      <c r="E501" s="12" t="inlineStr">
        <is>
          <t>ATS</t>
        </is>
      </c>
      <c r="F501" s="12" t="inlineStr">
        <is>
          <t>NMSU -28.5</t>
        </is>
      </c>
      <c r="G501" s="23" t="n">
        <v>-28.5</v>
      </c>
      <c r="H501" s="13" t="n">
        <v>-112</v>
      </c>
      <c r="I501" s="15" t="n">
        <v>0.2623279539706438</v>
      </c>
      <c r="J501" s="15" t="n">
        <v>0.5043297540699688</v>
      </c>
      <c r="K501" s="15" t="n">
        <v>0.5283018867924528</v>
      </c>
      <c r="L501" s="14" t="n">
        <v>-0.265973932821809</v>
      </c>
      <c r="M501" s="14" t="n">
        <v>-0.5034506585555671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MERC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UNT @ IU</t>
        </is>
      </c>
      <c r="C502" s="17" t="inlineStr">
        <is>
          <t>2026-09-05 16:00</t>
        </is>
      </c>
      <c r="D502" s="25" t="n">
        <v>1</v>
      </c>
      <c r="E502" s="17" t="inlineStr">
        <is>
          <t>ATS</t>
        </is>
      </c>
      <c r="F502" s="17" t="inlineStr">
        <is>
          <t>IU -40.5</t>
        </is>
      </c>
      <c r="G502" s="26" t="n">
        <v>-40.5</v>
      </c>
      <c r="H502" s="18" t="n">
        <v>-105</v>
      </c>
      <c r="I502" s="20" t="n">
        <v>0.245396470888965</v>
      </c>
      <c r="J502" s="20" t="n">
        <v>0.4891657638136511</v>
      </c>
      <c r="K502" s="20" t="n">
        <v>0.5121951219512195</v>
      </c>
      <c r="L502" s="19" t="n">
        <v>-0.2667986510622545</v>
      </c>
      <c r="M502" s="19" t="n">
        <v>-0.5208926044548778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UNH @ SYR</t>
        </is>
      </c>
      <c r="C503" s="12" t="inlineStr">
        <is>
          <t>2026-09-05 16:00</t>
        </is>
      </c>
      <c r="D503" s="22" t="n">
        <v>1</v>
      </c>
      <c r="E503" s="12" t="inlineStr">
        <is>
          <t>ATS</t>
        </is>
      </c>
      <c r="F503" s="12" t="inlineStr">
        <is>
          <t>SYR -33.5</t>
        </is>
      </c>
      <c r="G503" s="23" t="n">
        <v>-33.5</v>
      </c>
      <c r="H503" s="13" t="n">
        <v>-108</v>
      </c>
      <c r="I503" s="15" t="n">
        <v>0.251786466866611</v>
      </c>
      <c r="J503" s="15" t="n">
        <v>0.4956702459300312</v>
      </c>
      <c r="K503" s="15" t="n">
        <v>0.5192307692307693</v>
      </c>
      <c r="L503" s="14" t="n">
        <v>-0.2674443023641583</v>
      </c>
      <c r="M503" s="14" t="n">
        <v>-0.5150779156643047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UNH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TOW @ NAVY</t>
        </is>
      </c>
      <c r="C504" s="17" t="inlineStr">
        <is>
          <t>2026-09-05 19:30</t>
        </is>
      </c>
      <c r="D504" s="25" t="n">
        <v>1</v>
      </c>
      <c r="E504" s="17" t="inlineStr">
        <is>
          <t>ATS</t>
        </is>
      </c>
      <c r="F504" s="17" t="inlineStr">
        <is>
          <t>NAVY -30.5</t>
        </is>
      </c>
      <c r="G504" s="26" t="n">
        <v>-30.5</v>
      </c>
      <c r="H504" s="18" t="n">
        <v>-112</v>
      </c>
      <c r="I504" s="20" t="n">
        <v>0.2594033121673434</v>
      </c>
      <c r="J504" s="20" t="n">
        <v>0.5043297540699688</v>
      </c>
      <c r="K504" s="20" t="n">
        <v>0.5283018867924528</v>
      </c>
      <c r="L504" s="19" t="n">
        <v>-0.2688985746251094</v>
      </c>
      <c r="M504" s="19" t="n">
        <v>-0.5089865876832429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TOW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MRMK @ DEL</t>
        </is>
      </c>
      <c r="C505" s="12" t="inlineStr">
        <is>
          <t>2026-09-03 23:00</t>
        </is>
      </c>
      <c r="D505" s="22" t="n">
        <v>1</v>
      </c>
      <c r="E505" s="12" t="inlineStr">
        <is>
          <t>ATS</t>
        </is>
      </c>
      <c r="F505" s="12" t="inlineStr">
        <is>
          <t>DEL -28.5</t>
        </is>
      </c>
      <c r="G505" s="23" t="n">
        <v>-28.5</v>
      </c>
      <c r="H505" s="13" t="n">
        <v>-115</v>
      </c>
      <c r="I505" s="15" t="n">
        <v>0.2658813282673855</v>
      </c>
      <c r="J505" s="15" t="n">
        <v>0.5108342361863488</v>
      </c>
      <c r="K505" s="15" t="n">
        <v>0.5348837209302325</v>
      </c>
      <c r="L505" s="14" t="n">
        <v>-0.269002392662847</v>
      </c>
      <c r="M505" s="14" t="n">
        <v>-0.5029175167174966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MRMK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DUQ @ AFA</t>
        </is>
      </c>
      <c r="C506" s="17" t="inlineStr">
        <is>
          <t>2026-09-05 17:00</t>
        </is>
      </c>
      <c r="D506" s="25" t="n">
        <v>1</v>
      </c>
      <c r="E506" s="17" t="inlineStr">
        <is>
          <t>ATS</t>
        </is>
      </c>
      <c r="F506" s="17" t="inlineStr">
        <is>
          <t>AFA -28.5</t>
        </is>
      </c>
      <c r="G506" s="26" t="n">
        <v>-28.5</v>
      </c>
      <c r="H506" s="18" t="n">
        <v>-115</v>
      </c>
      <c r="I506" s="20" t="n">
        <v>0.2658813282673855</v>
      </c>
      <c r="J506" s="20" t="n">
        <v>0.5108342361863488</v>
      </c>
      <c r="K506" s="20" t="n">
        <v>0.5348837209302325</v>
      </c>
      <c r="L506" s="19" t="n">
        <v>-0.269002392662847</v>
      </c>
      <c r="M506" s="19" t="n">
        <v>-0.5029175167174966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DUQ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MVSU @ SAC</t>
        </is>
      </c>
      <c r="C507" s="12" t="inlineStr">
        <is>
          <t>2026-09-06 02:00</t>
        </is>
      </c>
      <c r="D507" s="22" t="n">
        <v>1</v>
      </c>
      <c r="E507" s="12" t="inlineStr">
        <is>
          <t>ATS</t>
        </is>
      </c>
      <c r="F507" s="12" t="inlineStr">
        <is>
          <t>SAC -37.5</t>
        </is>
      </c>
      <c r="G507" s="23" t="n">
        <v>-37.5</v>
      </c>
      <c r="H507" s="13" t="n">
        <v>-108</v>
      </c>
      <c r="I507" s="15" t="n">
        <v>0.2495556488989028</v>
      </c>
      <c r="J507" s="15" t="n">
        <v>0.4956702459300312</v>
      </c>
      <c r="K507" s="15" t="n">
        <v>0.5192307692307693</v>
      </c>
      <c r="L507" s="14" t="n">
        <v>-0.2696751203318665</v>
      </c>
      <c r="M507" s="14" t="n">
        <v>-0.5193743058243353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MVSU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IDHO @ UTAH</t>
        </is>
      </c>
      <c r="C508" s="17" t="inlineStr">
        <is>
          <t>2026-09-04 01:00</t>
        </is>
      </c>
      <c r="D508" s="25" t="n">
        <v>1</v>
      </c>
      <c r="E508" s="17" t="inlineStr">
        <is>
          <t>ATS</t>
        </is>
      </c>
      <c r="F508" s="17" t="inlineStr">
        <is>
          <t>UTAH -35.5</t>
        </is>
      </c>
      <c r="G508" s="26" t="n">
        <v>-35.5</v>
      </c>
      <c r="H508" s="18" t="n">
        <v>-110</v>
      </c>
      <c r="I508" s="20" t="n">
        <v>0.2525846655991698</v>
      </c>
      <c r="J508" s="20" t="n">
        <v>0.5</v>
      </c>
      <c r="K508" s="20" t="n">
        <v>0.5238095238095238</v>
      </c>
      <c r="L508" s="19" t="n">
        <v>-0.271224858210354</v>
      </c>
      <c r="M508" s="19" t="n">
        <v>-0.5177929111288576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IDHO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INST @ PUR</t>
        </is>
      </c>
      <c r="C509" s="12" t="inlineStr">
        <is>
          <t>2026-09-04 23:00</t>
        </is>
      </c>
      <c r="D509" s="22" t="n">
        <v>1</v>
      </c>
      <c r="E509" s="12" t="inlineStr">
        <is>
          <t>ATS</t>
        </is>
      </c>
      <c r="F509" s="12" t="inlineStr">
        <is>
          <t>PUR -35.5</t>
        </is>
      </c>
      <c r="G509" s="23" t="n">
        <v>-35.5</v>
      </c>
      <c r="H509" s="13" t="n">
        <v>-110</v>
      </c>
      <c r="I509" s="15" t="n">
        <v>0.2525846655991698</v>
      </c>
      <c r="J509" s="15" t="n">
        <v>0.5</v>
      </c>
      <c r="K509" s="15" t="n">
        <v>0.5238095238095238</v>
      </c>
      <c r="L509" s="14" t="n">
        <v>-0.271224858210354</v>
      </c>
      <c r="M509" s="14" t="n">
        <v>-0.5177929111288576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INST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TNST @ UGA</t>
        </is>
      </c>
      <c r="C510" s="17" t="inlineStr">
        <is>
          <t>2026-09-05 19:00</t>
        </is>
      </c>
      <c r="D510" s="25" t="n">
        <v>1</v>
      </c>
      <c r="E510" s="17" t="inlineStr">
        <is>
          <t>ATS</t>
        </is>
      </c>
      <c r="F510" s="17" t="inlineStr">
        <is>
          <t>UGA -46.5</t>
        </is>
      </c>
      <c r="G510" s="26" t="n">
        <v>-46.5</v>
      </c>
      <c r="H510" s="18" t="n">
        <v>-108</v>
      </c>
      <c r="I510" s="20" t="n">
        <v>0.2480046874481505</v>
      </c>
      <c r="J510" s="20" t="n">
        <v>0.4956702459300312</v>
      </c>
      <c r="K510" s="20" t="n">
        <v>0.5192307692307693</v>
      </c>
      <c r="L510" s="19" t="n">
        <v>-0.2712260817826188</v>
      </c>
      <c r="M510" s="19" t="n">
        <v>-0.5223613426924508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TNST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BALL @ OSU</t>
        </is>
      </c>
      <c r="C511" s="12" t="inlineStr">
        <is>
          <t>2026-09-05 16:30</t>
        </is>
      </c>
      <c r="D511" s="22" t="n">
        <v>1</v>
      </c>
      <c r="E511" s="12" t="inlineStr">
        <is>
          <t>ATS</t>
        </is>
      </c>
      <c r="F511" s="12" t="inlineStr">
        <is>
          <t>OSU -50.5</t>
        </is>
      </c>
      <c r="G511" s="23" t="n">
        <v>-50.5</v>
      </c>
      <c r="H511" s="13" t="n">
        <v>-108</v>
      </c>
      <c r="I511" s="15" t="n">
        <v>0.2478884416817771</v>
      </c>
      <c r="J511" s="15" t="n">
        <v>0.4956702459300312</v>
      </c>
      <c r="K511" s="15" t="n">
        <v>0.5192307692307693</v>
      </c>
      <c r="L511" s="14" t="n">
        <v>-0.2713423275489921</v>
      </c>
      <c r="M511" s="14" t="n">
        <v>-0.5225852234276884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VMI @ VT</t>
        </is>
      </c>
      <c r="C512" s="17" t="inlineStr">
        <is>
          <t>2026-09-05 23:30</t>
        </is>
      </c>
      <c r="D512" s="25" t="n">
        <v>1</v>
      </c>
      <c r="E512" s="17" t="inlineStr">
        <is>
          <t>ATS</t>
        </is>
      </c>
      <c r="F512" s="17" t="inlineStr">
        <is>
          <t>VT -55.5</t>
        </is>
      </c>
      <c r="G512" s="26" t="n">
        <v>-55.5</v>
      </c>
      <c r="H512" s="18" t="n">
        <v>-108</v>
      </c>
      <c r="I512" s="20" t="n">
        <v>0.2478461637106674</v>
      </c>
      <c r="J512" s="20" t="n">
        <v>0.4956702459300312</v>
      </c>
      <c r="K512" s="20" t="n">
        <v>0.5192307692307693</v>
      </c>
      <c r="L512" s="19" t="n">
        <v>-0.2713846055201019</v>
      </c>
      <c r="M512" s="19" t="n">
        <v>-0.5226666476683443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VMI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ORE @ OKST</t>
        </is>
      </c>
      <c r="C513" s="12" t="inlineStr">
        <is>
          <t>2026-09-12 16:00</t>
        </is>
      </c>
      <c r="D513" s="22" t="n">
        <v>2</v>
      </c>
      <c r="E513" s="12" t="inlineStr">
        <is>
          <t>ML</t>
        </is>
      </c>
      <c r="F513" s="12" t="inlineStr">
        <is>
          <t>ORE ML</t>
        </is>
      </c>
      <c r="G513" s="23" t="n"/>
      <c r="H513" s="13" t="n">
        <v>-1200</v>
      </c>
      <c r="I513" s="15" t="n">
        <v>0.6515788352352929</v>
      </c>
      <c r="J513" s="15" t="n">
        <v>0.8869565217391304</v>
      </c>
      <c r="K513" s="15" t="n">
        <v>0.9230769230769231</v>
      </c>
      <c r="L513" s="14" t="n">
        <v>-0.2714980878416302</v>
      </c>
      <c r="M513" s="14" t="n">
        <v>-0.2941229284950994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price outside allowed range</t>
        </is>
      </c>
    </row>
    <row r="514">
      <c r="A514" s="17" t="inlineStr">
        <is>
          <t>PASS</t>
        </is>
      </c>
      <c r="B514" s="17" t="inlineStr">
        <is>
          <t>UTEP @ OU</t>
        </is>
      </c>
      <c r="C514" s="17" t="inlineStr">
        <is>
          <t>2026-09-05 00:00</t>
        </is>
      </c>
      <c r="D514" s="25" t="n">
        <v>1</v>
      </c>
      <c r="E514" s="17" t="inlineStr">
        <is>
          <t>ATS</t>
        </is>
      </c>
      <c r="F514" s="17" t="inlineStr">
        <is>
          <t>OU -40.5</t>
        </is>
      </c>
      <c r="G514" s="26" t="n">
        <v>-40.5</v>
      </c>
      <c r="H514" s="18" t="n">
        <v>-110</v>
      </c>
      <c r="I514" s="20" t="n">
        <v>0.2508135889821394</v>
      </c>
      <c r="J514" s="20" t="n">
        <v>0.5</v>
      </c>
      <c r="K514" s="20" t="n">
        <v>0.5238095238095238</v>
      </c>
      <c r="L514" s="19" t="n">
        <v>-0.2729959348273844</v>
      </c>
      <c r="M514" s="19" t="n">
        <v>-0.5211740573977338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UNA @ ARK</t>
        </is>
      </c>
      <c r="C515" s="12" t="inlineStr">
        <is>
          <t>2026-09-05 20:15</t>
        </is>
      </c>
      <c r="D515" s="22" t="n">
        <v>1</v>
      </c>
      <c r="E515" s="12" t="inlineStr">
        <is>
          <t>ATS</t>
        </is>
      </c>
      <c r="F515" s="12" t="inlineStr">
        <is>
          <t>ARK -40.5</t>
        </is>
      </c>
      <c r="G515" s="23" t="n">
        <v>-40.5</v>
      </c>
      <c r="H515" s="13" t="n">
        <v>-110</v>
      </c>
      <c r="I515" s="15" t="n">
        <v>0.2508135889821394</v>
      </c>
      <c r="J515" s="15" t="n">
        <v>0.5</v>
      </c>
      <c r="K515" s="15" t="n">
        <v>0.5238095238095238</v>
      </c>
      <c r="L515" s="14" t="n">
        <v>-0.2729959348273844</v>
      </c>
      <c r="M515" s="14" t="n">
        <v>-0.5211740573977338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UNA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PRST @ SDSU</t>
        </is>
      </c>
      <c r="C516" s="17" t="inlineStr">
        <is>
          <t>2026-09-06 01:30</t>
        </is>
      </c>
      <c r="D516" s="25" t="n">
        <v>1</v>
      </c>
      <c r="E516" s="17" t="inlineStr">
        <is>
          <t>ATS</t>
        </is>
      </c>
      <c r="F516" s="17" t="inlineStr">
        <is>
          <t>SDSU -40.5</t>
        </is>
      </c>
      <c r="G516" s="26" t="n">
        <v>-40.5</v>
      </c>
      <c r="H516" s="18" t="n">
        <v>-110</v>
      </c>
      <c r="I516" s="20" t="n">
        <v>0.2508135889821394</v>
      </c>
      <c r="J516" s="20" t="n">
        <v>0.5</v>
      </c>
      <c r="K516" s="20" t="n">
        <v>0.5238095238095238</v>
      </c>
      <c r="L516" s="19" t="n">
        <v>-0.2729959348273844</v>
      </c>
      <c r="M516" s="19" t="n">
        <v>-0.5211740573977338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PRST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EIU @ MINN</t>
        </is>
      </c>
      <c r="C517" s="12" t="inlineStr">
        <is>
          <t>2026-09-04 00:00</t>
        </is>
      </c>
      <c r="D517" s="22" t="n">
        <v>1</v>
      </c>
      <c r="E517" s="12" t="inlineStr">
        <is>
          <t>ATS</t>
        </is>
      </c>
      <c r="F517" s="12" t="inlineStr">
        <is>
          <t>MINN -42.5</t>
        </is>
      </c>
      <c r="G517" s="23" t="n">
        <v>-42.5</v>
      </c>
      <c r="H517" s="13" t="n">
        <v>-110</v>
      </c>
      <c r="I517" s="15" t="n">
        <v>0.2504931550882666</v>
      </c>
      <c r="J517" s="15" t="n">
        <v>0.5</v>
      </c>
      <c r="K517" s="15" t="n">
        <v>0.5238095238095238</v>
      </c>
      <c r="L517" s="14" t="n">
        <v>-0.2733163687212572</v>
      </c>
      <c r="M517" s="14" t="n">
        <v>-0.5217857948314909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EIU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KENT @ SC</t>
        </is>
      </c>
      <c r="C518" s="17" t="inlineStr">
        <is>
          <t>2026-09-05 16:45</t>
        </is>
      </c>
      <c r="D518" s="25" t="n">
        <v>1</v>
      </c>
      <c r="E518" s="17" t="inlineStr">
        <is>
          <t>ATS</t>
        </is>
      </c>
      <c r="F518" s="17" t="inlineStr">
        <is>
          <t>SC -35.5</t>
        </is>
      </c>
      <c r="G518" s="26" t="n">
        <v>-35.5</v>
      </c>
      <c r="H518" s="18" t="n">
        <v>-112</v>
      </c>
      <c r="I518" s="20" t="n">
        <v>0.2547495426341542</v>
      </c>
      <c r="J518" s="20" t="n">
        <v>0.5043297540699688</v>
      </c>
      <c r="K518" s="20" t="n">
        <v>0.5283018867924528</v>
      </c>
      <c r="L518" s="19" t="n">
        <v>-0.2735523441582986</v>
      </c>
      <c r="M518" s="19" t="n">
        <v>-0.5177955085853509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HAMP @ MD</t>
        </is>
      </c>
      <c r="C519" s="12" t="inlineStr">
        <is>
          <t>2026-09-06 00:00</t>
        </is>
      </c>
      <c r="D519" s="22" t="n">
        <v>1</v>
      </c>
      <c r="E519" s="12" t="inlineStr">
        <is>
          <t>ATS</t>
        </is>
      </c>
      <c r="F519" s="12" t="inlineStr">
        <is>
          <t>MD -45.5</t>
        </is>
      </c>
      <c r="G519" s="23" t="n">
        <v>-45.5</v>
      </c>
      <c r="H519" s="13" t="n">
        <v>-110</v>
      </c>
      <c r="I519" s="15" t="n">
        <v>0.2502232878821102</v>
      </c>
      <c r="J519" s="15" t="n">
        <v>0.5</v>
      </c>
      <c r="K519" s="15" t="n">
        <v>0.5238095238095238</v>
      </c>
      <c r="L519" s="14" t="n">
        <v>-0.2735862359274136</v>
      </c>
      <c r="M519" s="14" t="n">
        <v>-0.5223009958614259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HAMP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FUR @ TENN</t>
        </is>
      </c>
      <c r="C520" s="17" t="inlineStr">
        <is>
          <t>2026-09-05 19:30</t>
        </is>
      </c>
      <c r="D520" s="25" t="n">
        <v>1</v>
      </c>
      <c r="E520" s="17" t="inlineStr">
        <is>
          <t>ATS</t>
        </is>
      </c>
      <c r="F520" s="17" t="inlineStr">
        <is>
          <t>TENN -46.5</t>
        </is>
      </c>
      <c r="G520" s="26" t="n">
        <v>-46.5</v>
      </c>
      <c r="H520" s="18" t="n">
        <v>-110</v>
      </c>
      <c r="I520" s="20" t="n">
        <v>0.250169564483135</v>
      </c>
      <c r="J520" s="20" t="n">
        <v>0.5</v>
      </c>
      <c r="K520" s="20" t="n">
        <v>0.5238095238095238</v>
      </c>
      <c r="L520" s="19" t="n">
        <v>-0.2736399593263888</v>
      </c>
      <c r="M520" s="19" t="n">
        <v>-0.522403558714015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FUR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UTU @ BYU</t>
        </is>
      </c>
      <c r="C521" s="12" t="inlineStr">
        <is>
          <t>2026-09-06 00:00</t>
        </is>
      </c>
      <c r="D521" s="22" t="n">
        <v>1</v>
      </c>
      <c r="E521" s="12" t="inlineStr">
        <is>
          <t>ATS</t>
        </is>
      </c>
      <c r="F521" s="12" t="inlineStr">
        <is>
          <t>BYU -51.5</t>
        </is>
      </c>
      <c r="G521" s="23" t="n">
        <v>-51.5</v>
      </c>
      <c r="H521" s="13" t="n">
        <v>-110</v>
      </c>
      <c r="I521" s="15" t="n">
        <v>0.2500393667038911</v>
      </c>
      <c r="J521" s="15" t="n">
        <v>0.5</v>
      </c>
      <c r="K521" s="15" t="n">
        <v>0.5238095238095238</v>
      </c>
      <c r="L521" s="14" t="n">
        <v>-0.2737701571056327</v>
      </c>
      <c r="M521" s="14" t="n">
        <v>-0.5226521181107533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UTU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BRY @ ARMY</t>
        </is>
      </c>
      <c r="C522" s="17" t="inlineStr">
        <is>
          <t>2026-09-05 16:00</t>
        </is>
      </c>
      <c r="D522" s="25" t="n">
        <v>1</v>
      </c>
      <c r="E522" s="17" t="inlineStr">
        <is>
          <t>ATS</t>
        </is>
      </c>
      <c r="F522" s="17" t="inlineStr">
        <is>
          <t>ARMY -36.5</t>
        </is>
      </c>
      <c r="G522" s="26" t="n">
        <v>-36.5</v>
      </c>
      <c r="H522" s="18" t="n">
        <v>-112</v>
      </c>
      <c r="I522" s="20" t="n">
        <v>0.2542384701828077</v>
      </c>
      <c r="J522" s="20" t="n">
        <v>0.5043297540699688</v>
      </c>
      <c r="K522" s="20" t="n">
        <v>0.5283018867924528</v>
      </c>
      <c r="L522" s="19" t="n">
        <v>-0.2740634166096451</v>
      </c>
      <c r="M522" s="19" t="n">
        <v>-0.5187628957253997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BRY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ACU @ TTU</t>
        </is>
      </c>
      <c r="C523" s="12" t="inlineStr">
        <is>
          <t>2026-09-05 23:00</t>
        </is>
      </c>
      <c r="D523" s="22" t="n">
        <v>1</v>
      </c>
      <c r="E523" s="12" t="inlineStr">
        <is>
          <t>ATS</t>
        </is>
      </c>
      <c r="F523" s="12" t="inlineStr">
        <is>
          <t>TTU -42.5</t>
        </is>
      </c>
      <c r="G523" s="23" t="n">
        <v>-42.5</v>
      </c>
      <c r="H523" s="13" t="n">
        <v>-112</v>
      </c>
      <c r="I523" s="15" t="n">
        <v>0.2526580321232511</v>
      </c>
      <c r="J523" s="15" t="n">
        <v>0.5043297540699688</v>
      </c>
      <c r="K523" s="15" t="n">
        <v>0.5283018867924528</v>
      </c>
      <c r="L523" s="14" t="n">
        <v>-0.2756438546692018</v>
      </c>
      <c r="M523" s="14" t="n">
        <v>-0.5217544391952749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ACU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ATS</t>
        </is>
      </c>
      <c r="F524" s="17" t="inlineStr">
        <is>
          <t>GAST -28.5</t>
        </is>
      </c>
      <c r="G524" s="26" t="n">
        <v>-28.5</v>
      </c>
      <c r="H524" s="18" t="n">
        <v>-122</v>
      </c>
      <c r="I524" s="20" t="n">
        <v>0.273507502805071</v>
      </c>
      <c r="J524" s="20" t="n">
        <v>0.5260865852617197</v>
      </c>
      <c r="K524" s="20" t="n">
        <v>0.5495495495495496</v>
      </c>
      <c r="L524" s="19" t="n">
        <v>-0.2760420467444786</v>
      </c>
      <c r="M524" s="19" t="n">
        <v>-0.5023060194858544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NORF @ ODU</t>
        </is>
      </c>
      <c r="C525" s="12" t="inlineStr">
        <is>
          <t>2026-09-05 22:00</t>
        </is>
      </c>
      <c r="D525" s="22" t="n">
        <v>1</v>
      </c>
      <c r="E525" s="12" t="inlineStr">
        <is>
          <t>ATS</t>
        </is>
      </c>
      <c r="F525" s="12" t="inlineStr">
        <is>
          <t>ODU -40.5</t>
        </is>
      </c>
      <c r="G525" s="23" t="n">
        <v>-40.5</v>
      </c>
      <c r="H525" s="13" t="n">
        <v>-115</v>
      </c>
      <c r="I525" s="15" t="n">
        <v>0.2562307070753138</v>
      </c>
      <c r="J525" s="15" t="n">
        <v>0.5108342361863488</v>
      </c>
      <c r="K525" s="15" t="n">
        <v>0.5348837209302325</v>
      </c>
      <c r="L525" s="14" t="n">
        <v>-0.2786530138549187</v>
      </c>
      <c r="M525" s="14" t="n">
        <v>-0.5209599824244133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NORF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MOST @ TA&amp;M</t>
        </is>
      </c>
      <c r="C526" s="17" t="inlineStr">
        <is>
          <t>2026-09-05 23:00</t>
        </is>
      </c>
      <c r="D526" s="25" t="n">
        <v>1</v>
      </c>
      <c r="E526" s="17" t="inlineStr">
        <is>
          <t>ATS</t>
        </is>
      </c>
      <c r="F526" s="17" t="inlineStr">
        <is>
          <t>TA&amp;M -40.5</t>
        </is>
      </c>
      <c r="G526" s="26" t="n">
        <v>-40.5</v>
      </c>
      <c r="H526" s="18" t="n">
        <v>-115</v>
      </c>
      <c r="I526" s="20" t="n">
        <v>0.2562307070753138</v>
      </c>
      <c r="J526" s="20" t="n">
        <v>0.5108342361863488</v>
      </c>
      <c r="K526" s="20" t="n">
        <v>0.5348837209302325</v>
      </c>
      <c r="L526" s="19" t="n">
        <v>-0.2786530138549187</v>
      </c>
      <c r="M526" s="19" t="n">
        <v>-0.5209599824244133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NICH @ KSU</t>
        </is>
      </c>
      <c r="C527" s="12" t="inlineStr">
        <is>
          <t>2026-09-05 23:00</t>
        </is>
      </c>
      <c r="D527" s="22" t="n">
        <v>1</v>
      </c>
      <c r="E527" s="12" t="inlineStr">
        <is>
          <t>ATS</t>
        </is>
      </c>
      <c r="F527" s="12" t="inlineStr">
        <is>
          <t>KSU -40.5</t>
        </is>
      </c>
      <c r="G527" s="23" t="n">
        <v>-40.5</v>
      </c>
      <c r="H527" s="13" t="n">
        <v>-115</v>
      </c>
      <c r="I527" s="15" t="n">
        <v>0.2562307070753138</v>
      </c>
      <c r="J527" s="15" t="n">
        <v>0.5108342361863488</v>
      </c>
      <c r="K527" s="15" t="n">
        <v>0.5348837209302325</v>
      </c>
      <c r="L527" s="14" t="n">
        <v>-0.2786530138549187</v>
      </c>
      <c r="M527" s="14" t="n">
        <v>-0.5209599824244133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NICH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LIU @ KU</t>
        </is>
      </c>
      <c r="C528" s="17" t="inlineStr">
        <is>
          <t>2026-09-05 00:00</t>
        </is>
      </c>
      <c r="D528" s="25" t="n">
        <v>1</v>
      </c>
      <c r="E528" s="17" t="inlineStr">
        <is>
          <t>ATS</t>
        </is>
      </c>
      <c r="F528" s="17" t="inlineStr">
        <is>
          <t>KU -41.5</t>
        </is>
      </c>
      <c r="G528" s="26" t="n">
        <v>-41.5</v>
      </c>
      <c r="H528" s="18" t="n">
        <v>-115</v>
      </c>
      <c r="I528" s="20" t="n">
        <v>0.2560522863298344</v>
      </c>
      <c r="J528" s="20" t="n">
        <v>0.5108342361863488</v>
      </c>
      <c r="K528" s="20" t="n">
        <v>0.5348837209302325</v>
      </c>
      <c r="L528" s="19" t="n">
        <v>-0.2788314346003981</v>
      </c>
      <c r="M528" s="19" t="n">
        <v>-0.5212935516442226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LIU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MORG @ ASU</t>
        </is>
      </c>
      <c r="C529" s="12" t="inlineStr">
        <is>
          <t>2026-09-06 02:00</t>
        </is>
      </c>
      <c r="D529" s="22" t="n">
        <v>1</v>
      </c>
      <c r="E529" s="12" t="inlineStr">
        <is>
          <t>ATS</t>
        </is>
      </c>
      <c r="F529" s="12" t="inlineStr">
        <is>
          <t>ASU -43.5</t>
        </is>
      </c>
      <c r="G529" s="23" t="n">
        <v>-43.5</v>
      </c>
      <c r="H529" s="13" t="n">
        <v>-115</v>
      </c>
      <c r="I529" s="15" t="n">
        <v>0.2557979053571414</v>
      </c>
      <c r="J529" s="15" t="n">
        <v>0.5108342361863488</v>
      </c>
      <c r="K529" s="15" t="n">
        <v>0.5348837209302325</v>
      </c>
      <c r="L529" s="14" t="n">
        <v>-0.2790858155730911</v>
      </c>
      <c r="M529" s="14" t="n">
        <v>-0.5217691334627357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MORG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NWST @ LT</t>
        </is>
      </c>
      <c r="C530" s="17" t="inlineStr">
        <is>
          <t>2026-09-05 23:30</t>
        </is>
      </c>
      <c r="D530" s="25" t="n">
        <v>1</v>
      </c>
      <c r="E530" s="17" t="inlineStr">
        <is>
          <t>ATS</t>
        </is>
      </c>
      <c r="F530" s="17" t="inlineStr">
        <is>
          <t>LT -44.5</t>
        </is>
      </c>
      <c r="G530" s="26" t="n">
        <v>-44.5</v>
      </c>
      <c r="H530" s="18" t="n">
        <v>-115</v>
      </c>
      <c r="I530" s="20" t="n">
        <v>0.2557095189259809</v>
      </c>
      <c r="J530" s="20" t="n">
        <v>0.5108342361863488</v>
      </c>
      <c r="K530" s="20" t="n">
        <v>0.5348837209302325</v>
      </c>
      <c r="L530" s="19" t="n">
        <v>-0.2791742020042516</v>
      </c>
      <c r="M530" s="19" t="n">
        <v>-0.5219343776601226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NWST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UAPB @ MIZ</t>
        </is>
      </c>
      <c r="C531" s="12" t="inlineStr">
        <is>
          <t>2026-09-04 00:00</t>
        </is>
      </c>
      <c r="D531" s="22" t="n">
        <v>1</v>
      </c>
      <c r="E531" s="12" t="inlineStr">
        <is>
          <t>ATS</t>
        </is>
      </c>
      <c r="F531" s="12" t="inlineStr">
        <is>
          <t>MIZ -54.5</t>
        </is>
      </c>
      <c r="G531" s="23" t="n">
        <v>-54.5</v>
      </c>
      <c r="H531" s="13" t="n">
        <v>-115</v>
      </c>
      <c r="I531" s="15" t="n">
        <v>0.2554324242348554</v>
      </c>
      <c r="J531" s="15" t="n">
        <v>0.5108342361863488</v>
      </c>
      <c r="K531" s="15" t="n">
        <v>0.5348837209302325</v>
      </c>
      <c r="L531" s="14" t="n">
        <v>-0.2794512966953771</v>
      </c>
      <c r="M531" s="14" t="n">
        <v>-0.5224524242565748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UAPB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MIA @ STAN</t>
        </is>
      </c>
      <c r="C532" s="17" t="inlineStr">
        <is>
          <t>2026-09-05 01:00</t>
        </is>
      </c>
      <c r="D532" s="25" t="n">
        <v>1</v>
      </c>
      <c r="E532" s="17" t="inlineStr">
        <is>
          <t>ML</t>
        </is>
      </c>
      <c r="F532" s="17" t="inlineStr">
        <is>
          <t>MIA ML</t>
        </is>
      </c>
      <c r="G532" s="26" t="n"/>
      <c r="H532" s="18" t="n">
        <v>-3200</v>
      </c>
      <c r="I532" s="20" t="n">
        <v>0.6793267701321658</v>
      </c>
      <c r="J532" s="20" t="n">
        <v>0.9356725146198831</v>
      </c>
      <c r="K532" s="20" t="n">
        <v>0.9696969696969697</v>
      </c>
      <c r="L532" s="19" t="n">
        <v>-0.2903701995648039</v>
      </c>
      <c r="M532" s="19" t="n">
        <v>-0.299444268301204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2026-09-12</t>
        </is>
      </c>
      <c r="B6" s="12" t="inlineStr">
        <is>
          <t>OSU @ TEX</t>
        </is>
      </c>
      <c r="C6" s="12" t="inlineStr">
        <is>
          <t>TOTAL</t>
        </is>
      </c>
      <c r="D6" s="12" t="inlineStr">
        <is>
          <t>Over 47.5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0.1189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2026-09-12</t>
        </is>
      </c>
      <c r="B7" s="17" t="inlineStr">
        <is>
          <t>ISU @ IOWA</t>
        </is>
      </c>
      <c r="C7" s="17" t="inlineStr">
        <is>
          <t>ML</t>
        </is>
      </c>
      <c r="D7" s="17" t="inlineStr">
        <is>
          <t>ISU ML</t>
        </is>
      </c>
      <c r="E7" s="18" t="n">
        <v>550</v>
      </c>
      <c r="F7" s="21" t="n">
        <v>19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0.128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ASU @ TA&amp;M</t>
        </is>
      </c>
      <c r="C8" s="12" t="inlineStr">
        <is>
          <t>ML</t>
        </is>
      </c>
      <c r="D8" s="12" t="inlineStr">
        <is>
          <t>ASU ML</t>
        </is>
      </c>
      <c r="E8" s="13" t="n">
        <v>410</v>
      </c>
      <c r="F8" s="16" t="n">
        <v>16.5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0.1061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MIZ @ KU</t>
        </is>
      </c>
      <c r="C9" s="17" t="inlineStr">
        <is>
          <t>ML</t>
        </is>
      </c>
      <c r="D9" s="17" t="inlineStr">
        <is>
          <t>KU ML</t>
        </is>
      </c>
      <c r="E9" s="18" t="n">
        <v>205</v>
      </c>
      <c r="F9" s="21" t="n">
        <v>22.5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0.1213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2026-09-06</t>
        </is>
      </c>
      <c r="B10" s="12" t="inlineStr">
        <is>
          <t>UNLV @ HAW</t>
        </is>
      </c>
      <c r="C10" s="12" t="inlineStr">
        <is>
          <t>ATS</t>
        </is>
      </c>
      <c r="D10" s="12" t="inlineStr">
        <is>
          <t>HAW +3</t>
        </is>
      </c>
      <c r="E10" s="13" t="n">
        <v>-108</v>
      </c>
      <c r="F10" s="16" t="n">
        <v>23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0.08989999999999999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2026-09-06</t>
        </is>
      </c>
      <c r="B11" s="17" t="inlineStr">
        <is>
          <t>CMU @ UNM</t>
        </is>
      </c>
      <c r="C11" s="17" t="inlineStr">
        <is>
          <t>ATS</t>
        </is>
      </c>
      <c r="D11" s="17" t="inlineStr">
        <is>
          <t>CMU +10.5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0.0988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CLEM @ LSU</t>
        </is>
      </c>
      <c r="C12" s="12" t="inlineStr">
        <is>
          <t>ATS</t>
        </is>
      </c>
      <c r="D12" s="12" t="inlineStr">
        <is>
          <t>CLEM +10.5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0.109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CLEM @ LSU</t>
        </is>
      </c>
      <c r="C13" s="17" t="inlineStr">
        <is>
          <t>ML</t>
        </is>
      </c>
      <c r="D13" s="17" t="inlineStr">
        <is>
          <t>CLEM ML</t>
        </is>
      </c>
      <c r="E13" s="18" t="n">
        <v>275</v>
      </c>
      <c r="F13" s="21" t="n">
        <v>15.5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0.0896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WMU @ MICH</t>
        </is>
      </c>
      <c r="C14" s="12" t="inlineStr">
        <is>
          <t>TOTAL</t>
        </is>
      </c>
      <c r="D14" s="12" t="inlineStr">
        <is>
          <t>Over 47.5</t>
        </is>
      </c>
      <c r="E14" s="13" t="n">
        <v>-115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0.1073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ARST @ MEM</t>
        </is>
      </c>
      <c r="C15" s="17" t="inlineStr">
        <is>
          <t>ATS</t>
        </is>
      </c>
      <c r="D15" s="17" t="inlineStr">
        <is>
          <t>ARST +11.5</t>
        </is>
      </c>
      <c r="E15" s="18" t="n">
        <v>-112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0.1011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FIU @ USF</t>
        </is>
      </c>
      <c r="C16" s="12" t="inlineStr">
        <is>
          <t>ML</t>
        </is>
      </c>
      <c r="D16" s="12" t="inlineStr">
        <is>
          <t>FIU ML</t>
        </is>
      </c>
      <c r="E16" s="13" t="n">
        <v>425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0.1165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FIU @ USF</t>
        </is>
      </c>
      <c r="C17" s="17" t="inlineStr">
        <is>
          <t>TOTAL</t>
        </is>
      </c>
      <c r="D17" s="17" t="inlineStr">
        <is>
          <t>Over 53.5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0.09329999999999999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SHSU @ TROY</t>
        </is>
      </c>
      <c r="C18" s="12" t="inlineStr">
        <is>
          <t>ML</t>
        </is>
      </c>
      <c r="D18" s="12" t="inlineStr">
        <is>
          <t>SHSU ML</t>
        </is>
      </c>
      <c r="E18" s="13" t="n">
        <v>600</v>
      </c>
      <c r="F18" s="16" t="n">
        <v>19.5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0.1337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WYO @ CSU</t>
        </is>
      </c>
      <c r="C19" s="17" t="inlineStr">
        <is>
          <t>TOTAL</t>
        </is>
      </c>
      <c r="D19" s="17" t="inlineStr">
        <is>
          <t>Over 47.5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0.1091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2026-09-05</t>
        </is>
      </c>
      <c r="B20" s="12" t="inlineStr">
        <is>
          <t>OKST @ TLSA</t>
        </is>
      </c>
      <c r="C20" s="12" t="inlineStr">
        <is>
          <t>TOTAL</t>
        </is>
      </c>
      <c r="D20" s="12" t="inlineStr">
        <is>
          <t>Under 60.5</t>
        </is>
      </c>
      <c r="E20" s="13" t="n">
        <v>-102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0.1091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BAY @ AUB</t>
        </is>
      </c>
      <c r="C21" s="17" t="inlineStr">
        <is>
          <t>ML</t>
        </is>
      </c>
      <c r="D21" s="17" t="inlineStr">
        <is>
          <t>BAY ML</t>
        </is>
      </c>
      <c r="E21" s="18" t="n">
        <v>240</v>
      </c>
      <c r="F21" s="21" t="n">
        <v>18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0.0969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BAY @ AUB</t>
        </is>
      </c>
      <c r="C22" s="12" t="inlineStr">
        <is>
          <t>TOTAL</t>
        </is>
      </c>
      <c r="D22" s="12" t="inlineStr">
        <is>
          <t>Under 59.5</t>
        </is>
      </c>
      <c r="E22" s="13" t="n">
        <v>-115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BC @ CIN</t>
        </is>
      </c>
      <c r="C23" s="17" t="inlineStr">
        <is>
          <t>TOTAL</t>
        </is>
      </c>
      <c r="D23" s="17" t="inlineStr">
        <is>
          <t>Over 49.5</t>
        </is>
      </c>
      <c r="E23" s="18" t="n">
        <v>-115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0.1042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TULN @ DUKE</t>
        </is>
      </c>
      <c r="C24" s="12" t="inlineStr">
        <is>
          <t>TOTAL</t>
        </is>
      </c>
      <c r="D24" s="12" t="inlineStr">
        <is>
          <t>Over 51.5</t>
        </is>
      </c>
      <c r="E24" s="13" t="n">
        <v>-108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0.1029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M-OH @ PITT</t>
        </is>
      </c>
      <c r="C25" s="17" t="inlineStr">
        <is>
          <t>ML</t>
        </is>
      </c>
      <c r="D25" s="17" t="inlineStr">
        <is>
          <t>M-OH ML</t>
        </is>
      </c>
      <c r="E25" s="18" t="n">
        <v>550</v>
      </c>
      <c r="F25" s="21" t="n">
        <v>19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0.1283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BALL @ OSU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-105</v>
      </c>
      <c r="F26" s="16" t="n">
        <v>22.5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0.0886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ORST @ HOU</t>
        </is>
      </c>
      <c r="C27" s="17" t="inlineStr">
        <is>
          <t>TOTAL</t>
        </is>
      </c>
      <c r="D27" s="17" t="inlineStr">
        <is>
          <t>Over 49.5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0.0973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UNT @ IU</t>
        </is>
      </c>
      <c r="C28" s="12" t="inlineStr">
        <is>
          <t>TOTAL</t>
        </is>
      </c>
      <c r="D28" s="12" t="inlineStr">
        <is>
          <t>Over 55.5</t>
        </is>
      </c>
      <c r="E28" s="13" t="n">
        <v>-108</v>
      </c>
      <c r="F28" s="16" t="n">
        <v>23.5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0.0898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OHIO @ NEB</t>
        </is>
      </c>
      <c r="C29" s="17" t="inlineStr">
        <is>
          <t>TOTAL</t>
        </is>
      </c>
      <c r="D29" s="17" t="inlineStr">
        <is>
          <t>Over 47.5</t>
        </is>
      </c>
      <c r="E29" s="18" t="n">
        <v>-108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0.1092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MIA @ STAN</t>
        </is>
      </c>
      <c r="C30" s="12" t="inlineStr">
        <is>
          <t>TOTAL</t>
        </is>
      </c>
      <c r="D30" s="12" t="inlineStr">
        <is>
          <t>Over 48.5</t>
        </is>
      </c>
      <c r="E30" s="13" t="n">
        <v>100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0.1103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2026-09-05</t>
        </is>
      </c>
      <c r="B31" s="17" t="inlineStr">
        <is>
          <t>TOL @ MSU</t>
        </is>
      </c>
      <c r="C31" s="17" t="inlineStr">
        <is>
          <t>ATS</t>
        </is>
      </c>
      <c r="D31" s="17" t="inlineStr">
        <is>
          <t>TOL +10</t>
        </is>
      </c>
      <c r="E31" s="18" t="n">
        <v>-105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2026-09-04</t>
        </is>
      </c>
      <c r="B32" s="12" t="inlineStr">
        <is>
          <t>COLO @ GT</t>
        </is>
      </c>
      <c r="C32" s="12" t="inlineStr">
        <is>
          <t>TOTAL</t>
        </is>
      </c>
      <c r="D32" s="12" t="inlineStr">
        <is>
          <t>Over 50.5</t>
        </is>
      </c>
      <c r="E32" s="13" t="n">
        <v>-115</v>
      </c>
      <c r="F32" s="16" t="n">
        <v>21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0.0784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2026-09-03</t>
        </is>
      </c>
      <c r="B33" s="17" t="inlineStr">
        <is>
          <t>AKR @ WAKE</t>
        </is>
      </c>
      <c r="C33" s="17" t="inlineStr">
        <is>
          <t>TOTAL</t>
        </is>
      </c>
      <c r="D33" s="17" t="inlineStr">
        <is>
          <t>Over 48.5</t>
        </is>
      </c>
      <c r="E33" s="18" t="n">
        <v>-112</v>
      </c>
      <c r="F33" s="21" t="n">
        <v>24.5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0.0917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2026-08-29</t>
        </is>
      </c>
      <c r="B34" s="12" t="inlineStr">
        <is>
          <t>HAW @ STAN</t>
        </is>
      </c>
      <c r="C34" s="12" t="inlineStr">
        <is>
          <t>TOTAL</t>
        </is>
      </c>
      <c r="D34" s="12" t="inlineStr">
        <is>
          <t>Over 49.5</t>
        </is>
      </c>
      <c r="E34" s="13" t="n">
        <v>-105</v>
      </c>
      <c r="F34" s="16" t="n">
        <v>21.5</v>
      </c>
      <c r="G34" s="12" t="inlineStr">
        <is>
          <t>Win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0.0834</v>
      </c>
      <c r="M34" s="14" t="n">
        <v>-0.0139</v>
      </c>
      <c r="N34" s="12" t="inlineStr">
        <is>
          <t>HAW 27 - STAN 37</t>
        </is>
      </c>
      <c r="O34" s="12" t="inlineStr">
        <is>
          <t>Draft Kings</t>
        </is>
      </c>
    </row>
    <row r="35">
      <c r="A35" s="17" t="inlineStr">
        <is>
          <t>2026-08-29</t>
        </is>
      </c>
      <c r="B35" s="17" t="inlineStr">
        <is>
          <t>SAC @ EMU</t>
        </is>
      </c>
      <c r="C35" s="17" t="inlineStr">
        <is>
          <t>ATS</t>
        </is>
      </c>
      <c r="D35" s="17" t="inlineStr">
        <is>
          <t>SAC +8.5</t>
        </is>
      </c>
      <c r="E35" s="18" t="n">
        <v>-108</v>
      </c>
      <c r="F35" s="21" t="n">
        <v>25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0.1065</v>
      </c>
      <c r="M35" s="19" t="n">
        <v>0.0046</v>
      </c>
      <c r="N35" s="17" t="inlineStr">
        <is>
          <t>SAC 17 - EMU 28</t>
        </is>
      </c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SAC @ EMU</t>
        </is>
      </c>
      <c r="C36" s="12" t="inlineStr">
        <is>
          <t>ML</t>
        </is>
      </c>
      <c r="D36" s="12" t="inlineStr">
        <is>
          <t>SAC ML</t>
        </is>
      </c>
      <c r="E36" s="13" t="n">
        <v>280</v>
      </c>
      <c r="F36" s="16" t="n">
        <v>18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0.1055</v>
      </c>
      <c r="M36" s="14" t="n">
        <v>0</v>
      </c>
      <c r="N36" s="12" t="inlineStr">
        <is>
          <t>SAC 17 - EMU 28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UNC @ TCU</t>
        </is>
      </c>
      <c r="C37" s="17" t="inlineStr">
        <is>
          <t>ATS</t>
        </is>
      </c>
      <c r="D37" s="17" t="inlineStr">
        <is>
          <t>UNC +7.5</t>
        </is>
      </c>
      <c r="E37" s="18" t="n">
        <v>-108</v>
      </c>
      <c r="F37" s="21" t="n">
        <v>21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0.0801</v>
      </c>
      <c r="M37" s="19" t="n">
        <v>-0.009299999999999999</v>
      </c>
      <c r="N37" s="17" t="inlineStr">
        <is>
          <t>UNC 15 - TCU 10</t>
        </is>
      </c>
      <c r="O3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51.5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61.5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51.5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62.5</v>
      </c>
      <c r="K26" s="18" t="n">
        <v>2200</v>
      </c>
      <c r="L26" s="18" t="n">
        <v>-8000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46.5</v>
      </c>
      <c r="K29" s="13" t="n">
        <v>300</v>
      </c>
      <c r="L29" s="13" t="n">
        <v>-380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1300</v>
      </c>
      <c r="L56" s="18" t="n">
        <v>-2800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50.5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-13.5</v>
      </c>
      <c r="J72" s="30" t="n">
        <v>62.5</v>
      </c>
      <c r="K72" s="18" t="n">
        <v>400</v>
      </c>
      <c r="L72" s="18" t="n">
        <v>-535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360</v>
      </c>
      <c r="L73" s="13" t="n">
        <v>-470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470</v>
      </c>
      <c r="L75" s="13" t="n">
        <v>-650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600</v>
      </c>
      <c r="L80" s="18" t="n">
        <v>-900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310</v>
      </c>
      <c r="L81" s="13" t="n">
        <v>-395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1500</v>
      </c>
      <c r="L86" s="18" t="n">
        <v>-3600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470</v>
      </c>
      <c r="L89" s="13" t="n">
        <v>-650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360</v>
      </c>
      <c r="L96" s="18" t="n">
        <v>-470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-130</v>
      </c>
      <c r="L98" s="18" t="n">
        <v>110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-250</v>
      </c>
      <c r="L109" s="13" t="n">
        <v>205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-1.5</v>
      </c>
      <c r="J110" s="30" t="n">
        <v>46.5</v>
      </c>
      <c r="K110" s="18" t="n">
        <v>-105</v>
      </c>
      <c r="L110" s="18" t="n">
        <v>-115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-11.5</v>
      </c>
      <c r="J173" s="29" t="n">
        <v>41.5</v>
      </c>
      <c r="K173" s="13" t="n">
        <v>550</v>
      </c>
      <c r="L173" s="13" t="n">
        <v>-800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304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281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2026-09-02T21:07:45Z</dcterms:created>
  <dcterms:modified xsi:type="dcterms:W3CDTF">2026-09-02T21:07:45Z</dcterms:modified>
</cp:coreProperties>
</file>
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Dashboard" sheetId="2" state="visible" r:id="rId2"/>
    <sheet name="Board" sheetId="3" state="visible" r:id="rId3"/>
    <sheet name="Bet Ledger" sheetId="4" state="visible" r:id="rId4"/>
    <sheet name="Power Ratings" sheetId="5" state="visible" r:id="rId5"/>
    <sheet name="Games &amp; Results" sheetId="6" state="visible" r:id="rId6"/>
    <sheet name="Settings" sheetId="7" state="visible" r:id="rId7"/>
    <sheet name="Model Health" sheetId="8" state="visible" r:id="rId8"/>
    <sheet name="Model Histor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C$&quot;#,##0.00;(&quot;C$&quot;#,##0.00);&quot;—&quot;"/>
    <numFmt numFmtId="165" formatCode="0.0%"/>
    <numFmt numFmtId="166" formatCode="0.0000"/>
    <numFmt numFmtId="167" formatCode="+0;-0"/>
    <numFmt numFmtId="168" formatCode="+0.0%;-0.0%"/>
    <numFmt numFmtId="169" formatCode="+0.0;-0.0"/>
    <numFmt numFmtId="170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F2430"/>
      <sz val="15"/>
    </font>
    <font>
      <name val="Arial"/>
      <i val="1"/>
      <color rgb="006F7887"/>
      <sz val="9"/>
    </font>
    <font>
      <name val="Arial"/>
      <b val="1"/>
      <color rgb="001F2430"/>
      <sz val="10"/>
    </font>
    <font>
      <name val="Arial"/>
      <color rgb="001F2430"/>
      <sz val="10"/>
    </font>
    <font>
      <name val="Arial"/>
      <b val="1"/>
      <color rgb="001F2430"/>
      <sz val="16"/>
    </font>
    <font>
      <name val="Arial"/>
      <b val="1"/>
      <color rgb="00FFFFFF"/>
      <sz val="9"/>
    </font>
    <font>
      <name val="Arial"/>
      <color rgb="006F7887"/>
      <sz val="9"/>
    </font>
    <font>
      <name val="Arial"/>
      <b val="1"/>
      <color rgb="000000FF"/>
      <sz val="10"/>
    </font>
  </fonts>
  <fills count="5">
    <fill>
      <patternFill/>
    </fill>
    <fill>
      <patternFill patternType="gray125"/>
    </fill>
    <fill>
      <patternFill patternType="solid">
        <fgColor rgb="002A3340"/>
      </patternFill>
    </fill>
    <fill>
      <patternFill patternType="solid">
        <fgColor rgb="00F2F3F6"/>
      </patternFill>
    </fill>
    <fill>
      <patternFill patternType="solid">
        <fgColor rgb="00FFF8E6"/>
      </patternFill>
    </fill>
  </fills>
  <borders count="2">
    <border>
      <left/>
      <right/>
      <top/>
      <bottom/>
      <diagonal/>
    </border>
    <border>
      <bottom style="thin">
        <color rgb="00D6DAE3"/>
      </bottom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164" fontId="5" fillId="0" borderId="0" applyAlignment="1" pivotButton="0" quotePrefix="0" xfId="0">
      <alignment horizontal="right"/>
    </xf>
    <xf numFmtId="165" fontId="5" fillId="0" borderId="0" applyAlignment="1" pivotButton="0" quotePrefix="0" xfId="0">
      <alignment horizontal="right"/>
    </xf>
    <xf numFmtId="1" fontId="4" fillId="0" borderId="0" applyAlignment="1" pivotButton="0" quotePrefix="0" xfId="0">
      <alignment horizontal="right"/>
    </xf>
    <xf numFmtId="165" fontId="4" fillId="0" borderId="0" applyAlignment="1" pivotButton="0" quotePrefix="0" xfId="0">
      <alignment horizontal="right"/>
    </xf>
    <xf numFmtId="2" fontId="4" fillId="0" borderId="0" applyAlignment="1" pivotButton="0" quotePrefix="0" xfId="0">
      <alignment horizontal="right"/>
    </xf>
    <xf numFmtId="166" fontId="4" fillId="0" borderId="0" applyAlignment="1" pivotButton="0" quotePrefix="0" xfId="0">
      <alignment horizontal="right"/>
    </xf>
    <xf numFmtId="0" fontId="6" fillId="2" borderId="1" applyAlignment="1" pivotButton="0" quotePrefix="0" xfId="0">
      <alignment horizontal="left" vertical="center" wrapText="1"/>
    </xf>
    <xf numFmtId="0" fontId="4" fillId="0" borderId="1" pivotButton="0" quotePrefix="0" xfId="0"/>
    <xf numFmtId="167" fontId="4" fillId="0" borderId="1" pivotButton="0" quotePrefix="0" xfId="0"/>
    <xf numFmtId="168" fontId="4" fillId="0" borderId="1" pivotButton="0" quotePrefix="0" xfId="0"/>
    <xf numFmtId="165" fontId="4" fillId="0" borderId="1" pivotButton="0" quotePrefix="0" xfId="0"/>
    <xf numFmtId="164" fontId="4" fillId="0" borderId="1" pivotButton="0" quotePrefix="0" xfId="0"/>
    <xf numFmtId="0" fontId="4" fillId="3" borderId="1" pivotButton="0" quotePrefix="0" xfId="0"/>
    <xf numFmtId="167" fontId="4" fillId="3" borderId="1" pivotButton="0" quotePrefix="0" xfId="0"/>
    <xf numFmtId="168" fontId="4" fillId="3" borderId="1" pivotButton="0" quotePrefix="0" xfId="0"/>
    <xf numFmtId="165" fontId="4" fillId="3" borderId="1" pivotButton="0" quotePrefix="0" xfId="0"/>
    <xf numFmtId="164" fontId="4" fillId="3" borderId="1" pivotButton="0" quotePrefix="0" xfId="0"/>
    <xf numFmtId="1" fontId="4" fillId="0" borderId="1" pivotButton="0" quotePrefix="0" xfId="0"/>
    <xf numFmtId="169" fontId="4" fillId="0" borderId="1" pivotButton="0" quotePrefix="0" xfId="0"/>
    <xf numFmtId="9" fontId="4" fillId="0" borderId="1" pivotButton="0" quotePrefix="0" xfId="0"/>
    <xf numFmtId="1" fontId="4" fillId="3" borderId="1" pivotButton="0" quotePrefix="0" xfId="0"/>
    <xf numFmtId="169" fontId="4" fillId="3" borderId="1" pivotButton="0" quotePrefix="0" xfId="0"/>
    <xf numFmtId="9" fontId="4" fillId="3" borderId="1" pivotButton="0" quotePrefix="0" xfId="0"/>
    <xf numFmtId="0" fontId="7" fillId="0" borderId="0" pivotButton="0" quotePrefix="0" xfId="0"/>
    <xf numFmtId="170" fontId="4" fillId="0" borderId="1" pivotButton="0" quotePrefix="0" xfId="0"/>
    <xf numFmtId="170" fontId="4" fillId="3" borderId="1" pivotButton="0" quotePrefix="0" xfId="0"/>
    <xf numFmtId="0" fontId="8" fillId="4" borderId="1" pivotButton="0" quotePrefix="0" xfId="0"/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8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top" wrapText="1"/>
    </xf>
    <xf numFmtId="1" fontId="5" fillId="0" borderId="0" pivotButton="0" quotePrefix="0" xfId="0"/>
    <xf numFmtId="166" fontId="5" fillId="0" borderId="0" pivotButton="0" quotePrefix="0" xfId="0"/>
    <xf numFmtId="166" fontId="4" fillId="0" borderId="1" pivotButton="0" quotePrefix="0" xfId="0"/>
    <xf numFmtId="166" fontId="4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BoardTable" displayName="BoardTable" ref="A4:Q542" headerRowCount="1">
  <autoFilter ref="A4:Q542"/>
  <tableColumns count="17">
    <tableColumn id="1" name="Tier"/>
    <tableColumn id="2" name="Game"/>
    <tableColumn id="3" name="Kickoff"/>
    <tableColumn id="4" name="Wk"/>
    <tableColumn id="5" name="Market"/>
    <tableColumn id="6" name="Pick"/>
    <tableColumn id="7" name="Line"/>
    <tableColumn id="8" name="Price"/>
    <tableColumn id="9" name="Model"/>
    <tableColumn id="10" name="Fair"/>
    <tableColumn id="11" name="Break-even"/>
    <tableColumn id="12" name="Edge"/>
    <tableColumn id="13" name="EV"/>
    <tableColumn id="14" name="Push"/>
    <tableColumn id="15" name="Conf."/>
    <tableColumn id="16" name="Book"/>
    <tableColumn id="17" name="Why not"/>
  </tableColumns>
  <tableStyleInfo name="TableStyleLight1" showRowStripes="0"/>
</table>
</file>

<file path=xl/tables/table2.xml><?xml version="1.0" encoding="utf-8"?>
<table xmlns="http://schemas.openxmlformats.org/spreadsheetml/2006/main" id="2" name="RatingsTable" displayName="RatingsTable" ref="A4:G190" headerRowCount="1">
  <autoFilter ref="A4:G190"/>
  <tableColumns count="7">
    <tableColumn id="1" name="#"/>
    <tableColumn id="2" name="Team"/>
    <tableColumn id="3" name="Rating"/>
    <tableColumn id="4" name="Offence"/>
    <tableColumn id="5" name="Defence"/>
    <tableColumn id="6" name="GP"/>
    <tableColumn id="7" name="ATS L5"/>
  </tableColumns>
  <tableStyleInfo name="TableStyleLight1" showRowStripes="0"/>
</table>
</file>

<file path=xl/tables/table3.xml><?xml version="1.0" encoding="utf-8"?>
<table xmlns="http://schemas.openxmlformats.org/spreadsheetml/2006/main" id="3" name="GamesTable" displayName="GamesTable" ref="A4:M950" headerRowCount="1">
  <autoFilter ref="A4:M950"/>
  <tableColumns count="13">
    <tableColumn id="1" name="Date"/>
    <tableColumn id="2" name="Wk"/>
    <tableColumn id="3" name="Away"/>
    <tableColumn id="4" name="Home"/>
    <tableColumn id="5" name="Away Pts"/>
    <tableColumn id="6" name="Home Pts"/>
    <tableColumn id="7" name="Status"/>
    <tableColumn id="8" name="Neutral"/>
    <tableColumn id="9" name="Spread (home)"/>
    <tableColumn id="10" name="Total"/>
    <tableColumn id="11" name="Away ML"/>
    <tableColumn id="12" name="Home ML"/>
    <tableColumn id="13" name="Book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6" customWidth="1" min="1" max="1"/>
    <col width="96" customWidth="1" min="2" max="2"/>
  </cols>
  <sheetData>
    <row r="1" ht="22" customHeight="1">
      <c r="A1" s="1" t="inlineStr">
        <is>
          <t>NCAAF Edge — Model Export</t>
        </is>
      </c>
    </row>
    <row r="2" ht="26" customHeight="1">
      <c r="A2" s="2" t="inlineStr">
        <is>
          <t>Generated 2026-09-10T21:07:50+00:00 from live ESPN data. This file is a snapshot, not the model. Re-run the pipeline to refresh it.</t>
        </is>
      </c>
    </row>
    <row r="4" ht="30" customHeight="1">
      <c r="A4" s="3" t="inlineStr">
        <is>
          <t>What changed</t>
        </is>
      </c>
      <c r="B4" s="4" t="inlineStr">
        <is>
          <t>The schedule, scores, odds, power ratings and rest days are fetched and solved automatically. Nothing in this workbook is typed in by hand.</t>
        </is>
      </c>
    </row>
    <row r="5" ht="30" customHeight="1">
      <c r="A5" s="3" t="inlineStr">
        <is>
          <t>Power ratings</t>
        </is>
      </c>
      <c r="B5" s="4" t="inlineStr">
        <is>
          <t>Solved from results by ridge-regularised least squares on margin of victory, with strength of schedule handled structurally rather than as an adjustment. They update themselves every time a game finishes.</t>
        </is>
      </c>
    </row>
    <row r="6" ht="30" customHeight="1">
      <c r="A6" s="3" t="inlineStr">
        <is>
          <t>Probabilities</t>
        </is>
      </c>
      <c r="B6" s="4" t="inlineStr">
        <is>
          <t>Margins are modelled with a discrete distribution bumped at football's key numbers (3, 7, 10, 14), not a smooth normal curve, so pushes and the value of a half-point off 3 are priced correctly.</t>
        </is>
      </c>
    </row>
    <row r="7" ht="30" customHeight="1">
      <c r="A7" s="3" t="inlineStr">
        <is>
          <t>Edge</t>
        </is>
      </c>
      <c r="B7" s="4" t="inlineStr">
        <is>
          <t>Model probability minus the break-even probability of the price on offer. A 1.0% haircut is applied first, because you only bet where the model disagrees with the market, which is also where the model's own error is largest.</t>
        </is>
      </c>
    </row>
    <row r="8" ht="30" customHeight="1">
      <c r="A8" s="3" t="inlineStr">
        <is>
          <t>Tiers</t>
        </is>
      </c>
      <c r="B8" s="4" t="inlineStr">
        <is>
          <t>BEST BET ≥ 8% edge · GOOD ≥ 5% · LEAN ≥ 3% · PASS below. Thresholds are raised when the model has thin data on a matchup.</t>
        </is>
      </c>
    </row>
    <row r="9" ht="30" customHeight="1">
      <c r="A9" s="3" t="inlineStr">
        <is>
          <t>Settings sheet</t>
        </is>
      </c>
      <c r="B9" s="4" t="inlineStr">
        <is>
          <t>Read-only. It records the settings that produced this file. Editing a value there changes nothing — the model runs in the pipeline, not in Excel. Change config/settings.json and re-run.</t>
        </is>
      </c>
    </row>
    <row r="10" ht="30" customHeight="1">
      <c r="A10" s="3" t="inlineStr">
        <is>
          <t>Bet Ledger</t>
        </is>
      </c>
      <c r="B10" s="4" t="inlineStr">
        <is>
          <t>The only live part. Stake and Result are editable; Profit/Loss, Running Bankroll and the Dashboard recalculate from them, so you can correct a settlement by hand.</t>
        </is>
      </c>
    </row>
    <row r="11" ht="30" customHeight="1">
      <c r="A11" s="3" t="inlineStr">
        <is>
          <t>Honest warning</t>
        </is>
      </c>
      <c r="B11" s="4" t="inlineStr">
        <is>
          <t>Model edges reflect the assumptions on the Settings sheet, not certainty. Check the calibration table before trusting a number, and bet only what you can afford to lose.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5"/>
  <sheetViews>
    <sheetView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11" customWidth="1" min="1" max="1"/>
    <col width="20" customWidth="1" min="2" max="2"/>
    <col width="9" customWidth="1" min="3" max="3"/>
    <col width="22" customWidth="1" min="4" max="4"/>
    <col width="9" customWidth="1" min="5" max="5"/>
    <col width="9" customWidth="1" min="6" max="6"/>
    <col width="9" customWidth="1" min="7" max="7"/>
    <col width="11" customWidth="1" min="8" max="8"/>
    <col width="18" customWidth="1" min="9" max="9"/>
  </cols>
  <sheetData>
    <row r="1" ht="22" customHeight="1">
      <c r="A1" s="1" t="inlineStr">
        <is>
          <t>Dashboard</t>
        </is>
      </c>
    </row>
    <row r="2" ht="26" customHeight="1">
      <c r="A2" s="2" t="inlineStr">
        <is>
          <t>Every figure below is a formula over the Bet Ledger sheet — correct a stake or a result there and these follow.</t>
        </is>
      </c>
    </row>
    <row r="4">
      <c r="A4" s="3" t="inlineStr">
        <is>
          <t>Starting Bankroll</t>
        </is>
      </c>
      <c r="B4" s="5" t="n">
        <v>500</v>
      </c>
    </row>
    <row r="5">
      <c r="A5" s="3" t="inlineStr">
        <is>
          <t>Current Bankroll</t>
        </is>
      </c>
      <c r="B5" s="5">
        <f>Settings!B5+SUMIF('Bet Ledger'!$G$6:$G$95,"&lt;&gt;Pending",'Bet Ledger'!$H$6:$H$95)</f>
        <v/>
      </c>
    </row>
    <row r="6">
      <c r="A6" s="3" t="inlineStr">
        <is>
          <t>Total Staked</t>
        </is>
      </c>
      <c r="B6" s="5">
        <f>SUMIF('Bet Ledger'!$G$6:$G$95,"&lt;&gt;Pending",'Bet Ledger'!$F$6:$F$95)</f>
        <v/>
      </c>
    </row>
    <row r="7">
      <c r="A7" s="3" t="inlineStr">
        <is>
          <t>Profit / Loss</t>
        </is>
      </c>
      <c r="B7" s="5">
        <f>SUMIF('Bet Ledger'!$G$6:$G$95,"&lt;&gt;Pending",'Bet Ledger'!$H$6:$H$95)</f>
        <v/>
      </c>
    </row>
    <row r="8">
      <c r="A8" s="3" t="inlineStr">
        <is>
          <t>ROI</t>
        </is>
      </c>
      <c r="B8" s="6">
        <f>IFERROR(B7/B6,"")</f>
        <v/>
      </c>
    </row>
    <row r="9">
      <c r="A9" s="3" t="inlineStr">
        <is>
          <t>Bets Settled</t>
        </is>
      </c>
      <c r="B9" s="7">
        <f>COUNTIFS('Bet Ledger'!$G$6:$G$95,"&lt;&gt;Pending",'Bet Ledger'!$G$6:$G$95,"&lt;&gt;")</f>
        <v/>
      </c>
    </row>
    <row r="10">
      <c r="A10" s="3" t="inlineStr">
        <is>
          <t>Wins</t>
        </is>
      </c>
      <c r="B10" s="7">
        <f>COUNTIF('Bet Ledger'!$G$6:$G$95,"Win")</f>
        <v/>
      </c>
    </row>
    <row r="11">
      <c r="A11" s="3" t="inlineStr">
        <is>
          <t>Losses</t>
        </is>
      </c>
      <c r="B11" s="7">
        <f>COUNTIF('Bet Ledger'!$G$6:$G$95,"Loss")</f>
        <v/>
      </c>
    </row>
    <row r="12">
      <c r="A12" s="3" t="inlineStr">
        <is>
          <t>Pushes</t>
        </is>
      </c>
      <c r="B12" s="7">
        <f>COUNTIF('Bet Ledger'!$G$6:$G$95,"Push")</f>
        <v/>
      </c>
    </row>
    <row r="13">
      <c r="A13" s="3" t="inlineStr">
        <is>
          <t>Win Rate</t>
        </is>
      </c>
      <c r="B13" s="8">
        <f>IFERROR(B10/(B10+B11),"")</f>
        <v/>
      </c>
    </row>
    <row r="14">
      <c r="A14" s="3" t="inlineStr">
        <is>
          <t>Pending</t>
        </is>
      </c>
      <c r="B14" s="7">
        <f>COUNTIF('Bet Ledger'!$G$6:$G$95,"Pending")</f>
        <v/>
      </c>
    </row>
    <row r="15">
      <c r="A15" s="3" t="inlineStr">
        <is>
          <t>Live Plays On The Board</t>
        </is>
      </c>
      <c r="B15" s="7" t="n">
        <v>19</v>
      </c>
    </row>
    <row r="16">
      <c r="A16" s="3" t="inlineStr">
        <is>
          <t>Solved Home Field (pts)</t>
        </is>
      </c>
      <c r="B16" s="9" t="n">
        <v>5</v>
      </c>
    </row>
    <row r="17">
      <c r="A17" s="3" t="inlineStr">
        <is>
          <t>Brier Score</t>
        </is>
      </c>
      <c r="B17" s="10" t="n">
        <v>0.2374</v>
      </c>
    </row>
    <row r="19">
      <c r="A19" s="3" t="inlineStr">
        <is>
          <t>TOP PLAYS ON THE BOARD RIGHT NOW</t>
        </is>
      </c>
    </row>
    <row r="20">
      <c r="A20" s="11" t="inlineStr">
        <is>
          <t>Tier</t>
        </is>
      </c>
      <c r="B20" s="11" t="inlineStr">
        <is>
          <t>Game</t>
        </is>
      </c>
      <c r="C20" s="11" t="inlineStr">
        <is>
          <t>Market</t>
        </is>
      </c>
      <c r="D20" s="11" t="inlineStr">
        <is>
          <t>Pick</t>
        </is>
      </c>
      <c r="E20" s="11" t="inlineStr">
        <is>
          <t>Price</t>
        </is>
      </c>
      <c r="F20" s="11" t="inlineStr">
        <is>
          <t>Edge</t>
        </is>
      </c>
      <c r="G20" s="11" t="inlineStr">
        <is>
          <t>Model</t>
        </is>
      </c>
      <c r="H20" s="11" t="inlineStr">
        <is>
          <t>Stake</t>
        </is>
      </c>
      <c r="I20" s="11" t="inlineStr">
        <is>
          <t>Kickoff</t>
        </is>
      </c>
    </row>
    <row r="21">
      <c r="A21" s="12" t="inlineStr">
        <is>
          <t>BEST BET</t>
        </is>
      </c>
      <c r="B21" s="12" t="inlineStr">
        <is>
          <t>EMU @ MSU</t>
        </is>
      </c>
      <c r="C21" s="12" t="inlineStr">
        <is>
          <t>ML</t>
        </is>
      </c>
      <c r="D21" s="12" t="inlineStr">
        <is>
          <t>EMU ML</t>
        </is>
      </c>
      <c r="E21" s="13" t="n">
        <v>600</v>
      </c>
      <c r="F21" s="14" t="n">
        <v>0.09499996896323248</v>
      </c>
      <c r="G21" s="15" t="n">
        <v>0.2386711905488603</v>
      </c>
      <c r="H21" s="16" t="n"/>
      <c r="I21" s="12" t="inlineStr">
        <is>
          <t>2026-09-12 19:30</t>
        </is>
      </c>
    </row>
    <row r="22">
      <c r="A22" s="17" t="inlineStr">
        <is>
          <t>BEST BET</t>
        </is>
      </c>
      <c r="B22" s="17" t="inlineStr">
        <is>
          <t>ASU @ TA&amp;M</t>
        </is>
      </c>
      <c r="C22" s="17" t="inlineStr">
        <is>
          <t>ML</t>
        </is>
      </c>
      <c r="D22" s="17" t="inlineStr">
        <is>
          <t>ASU ML</t>
        </is>
      </c>
      <c r="E22" s="18" t="n">
        <v>525</v>
      </c>
      <c r="F22" s="19" t="n">
        <v>0.09499969020735539</v>
      </c>
      <c r="G22" s="20" t="n">
        <v>0.2506659465017305</v>
      </c>
      <c r="H22" s="21" t="n"/>
      <c r="I22" s="17" t="inlineStr">
        <is>
          <t>2026-09-12 16:00</t>
        </is>
      </c>
    </row>
    <row r="23">
      <c r="A23" s="12" t="inlineStr">
        <is>
          <t>BEST BET</t>
        </is>
      </c>
      <c r="B23" s="12" t="inlineStr">
        <is>
          <t>ISU @ IOWA</t>
        </is>
      </c>
      <c r="C23" s="12" t="inlineStr">
        <is>
          <t>ML</t>
        </is>
      </c>
      <c r="D23" s="12" t="inlineStr">
        <is>
          <t>ISU ML</t>
        </is>
      </c>
      <c r="E23" s="13" t="n">
        <v>470</v>
      </c>
      <c r="F23" s="14" t="n">
        <v>0.09499863760175696</v>
      </c>
      <c r="G23" s="15" t="n">
        <v>0.2630744893842347</v>
      </c>
      <c r="H23" s="16" t="n"/>
      <c r="I23" s="12" t="inlineStr">
        <is>
          <t>2026-09-12 23:30</t>
        </is>
      </c>
    </row>
    <row r="24">
      <c r="A24" s="17" t="inlineStr">
        <is>
          <t>BEST BET</t>
        </is>
      </c>
      <c r="B24" s="17" t="inlineStr">
        <is>
          <t>MTSU @ MRSH</t>
        </is>
      </c>
      <c r="C24" s="17" t="inlineStr">
        <is>
          <t>ML</t>
        </is>
      </c>
      <c r="D24" s="17" t="inlineStr">
        <is>
          <t>MTSU ML</t>
        </is>
      </c>
      <c r="E24" s="18" t="n">
        <v>410</v>
      </c>
      <c r="F24" s="19" t="n">
        <v>0.09499426426909584</v>
      </c>
      <c r="G24" s="20" t="n">
        <v>0.2811427059175582</v>
      </c>
      <c r="H24" s="21" t="n"/>
      <c r="I24" s="17" t="inlineStr">
        <is>
          <t>2026-09-12 23:00</t>
        </is>
      </c>
    </row>
    <row r="25">
      <c r="A25" s="12" t="inlineStr">
        <is>
          <t>BEST BET</t>
        </is>
      </c>
      <c r="B25" s="12" t="inlineStr">
        <is>
          <t>UNC @ CLEM</t>
        </is>
      </c>
      <c r="C25" s="12" t="inlineStr">
        <is>
          <t>ML</t>
        </is>
      </c>
      <c r="D25" s="12" t="inlineStr">
        <is>
          <t>UNC ML</t>
        </is>
      </c>
      <c r="E25" s="13" t="n">
        <v>320</v>
      </c>
      <c r="F25" s="14" t="n">
        <v>0.09499375767471051</v>
      </c>
      <c r="G25" s="15" t="n">
        <v>0.3405395221189738</v>
      </c>
      <c r="H25" s="16" t="n"/>
      <c r="I25" s="12" t="inlineStr">
        <is>
          <t>2026-09-19 16:00</t>
        </is>
      </c>
    </row>
    <row r="26">
      <c r="A26" s="17" t="inlineStr">
        <is>
          <t>GOOD</t>
        </is>
      </c>
      <c r="B26" s="17" t="inlineStr">
        <is>
          <t>MIZ @ KU</t>
        </is>
      </c>
      <c r="C26" s="17" t="inlineStr">
        <is>
          <t>ML</t>
        </is>
      </c>
      <c r="D26" s="17" t="inlineStr">
        <is>
          <t>KU ML</t>
        </is>
      </c>
      <c r="E26" s="18" t="n">
        <v>180</v>
      </c>
      <c r="F26" s="19" t="n">
        <v>0.09497253305796211</v>
      </c>
      <c r="G26" s="20" t="n">
        <v>0.4863777978008228</v>
      </c>
      <c r="H26" s="21" t="n"/>
      <c r="I26" s="17" t="inlineStr">
        <is>
          <t>2026-09-12 00:00</t>
        </is>
      </c>
    </row>
    <row r="27">
      <c r="A27" s="12" t="inlineStr">
        <is>
          <t>GOOD</t>
        </is>
      </c>
      <c r="B27" s="12" t="inlineStr">
        <is>
          <t>NAVY @ FAU</t>
        </is>
      </c>
      <c r="C27" s="12" t="inlineStr">
        <is>
          <t>ML</t>
        </is>
      </c>
      <c r="D27" s="12" t="inlineStr">
        <is>
          <t>FAU ML</t>
        </is>
      </c>
      <c r="E27" s="13" t="n">
        <v>180</v>
      </c>
      <c r="F27" s="14" t="n">
        <v>0.09495949471908614</v>
      </c>
      <c r="G27" s="15" t="n">
        <v>0.480056641329203</v>
      </c>
      <c r="H27" s="16" t="n"/>
      <c r="I27" s="12" t="inlineStr">
        <is>
          <t>2026-09-12 23:30</t>
        </is>
      </c>
    </row>
    <row r="28">
      <c r="A28" s="17" t="inlineStr">
        <is>
          <t>GOOD</t>
        </is>
      </c>
      <c r="B28" s="17" t="inlineStr">
        <is>
          <t>OU @ MICH</t>
        </is>
      </c>
      <c r="C28" s="17" t="inlineStr">
        <is>
          <t>ML</t>
        </is>
      </c>
      <c r="D28" s="17" t="inlineStr">
        <is>
          <t>MICH ML</t>
        </is>
      </c>
      <c r="E28" s="18" t="n">
        <v>180</v>
      </c>
      <c r="F28" s="19" t="n">
        <v>0.09494206789340343</v>
      </c>
      <c r="G28" s="20" t="n">
        <v>0.47423312799022</v>
      </c>
      <c r="H28" s="21" t="n"/>
      <c r="I28" s="17" t="inlineStr">
        <is>
          <t>2026-09-12 16:00</t>
        </is>
      </c>
    </row>
    <row r="29">
      <c r="A29" s="12" t="inlineStr">
        <is>
          <t>GOOD</t>
        </is>
      </c>
      <c r="B29" s="12" t="inlineStr">
        <is>
          <t>ARK @ UTAH</t>
        </is>
      </c>
      <c r="C29" s="12" t="inlineStr">
        <is>
          <t>ML</t>
        </is>
      </c>
      <c r="D29" s="12" t="inlineStr">
        <is>
          <t>ARK ML</t>
        </is>
      </c>
      <c r="E29" s="13" t="n">
        <v>390</v>
      </c>
      <c r="F29" s="14" t="n">
        <v>0.09487303348311676</v>
      </c>
      <c r="G29" s="15" t="n">
        <v>0.2636632011433637</v>
      </c>
      <c r="H29" s="16" t="n"/>
      <c r="I29" s="12" t="inlineStr">
        <is>
          <t>2026-09-13 02:15</t>
        </is>
      </c>
    </row>
    <row r="30">
      <c r="A30" s="17" t="inlineStr">
        <is>
          <t>GOOD</t>
        </is>
      </c>
      <c r="B30" s="17" t="inlineStr">
        <is>
          <t>SDSU @ UCLA</t>
        </is>
      </c>
      <c r="C30" s="17" t="inlineStr">
        <is>
          <t>ML</t>
        </is>
      </c>
      <c r="D30" s="17" t="inlineStr">
        <is>
          <t>SDSU ML</t>
        </is>
      </c>
      <c r="E30" s="18" t="n">
        <v>380</v>
      </c>
      <c r="F30" s="19" t="n">
        <v>0.0946943813440448</v>
      </c>
      <c r="G30" s="20" t="n">
        <v>0.2610928986271979</v>
      </c>
      <c r="H30" s="21" t="n"/>
      <c r="I30" s="17" t="inlineStr">
        <is>
          <t>2026-09-12 23:15</t>
        </is>
      </c>
    </row>
    <row r="31">
      <c r="A31" s="12" t="inlineStr">
        <is>
          <t>GOOD</t>
        </is>
      </c>
      <c r="B31" s="12" t="inlineStr">
        <is>
          <t>BUFF @ FIU</t>
        </is>
      </c>
      <c r="C31" s="12" t="inlineStr">
        <is>
          <t>ML</t>
        </is>
      </c>
      <c r="D31" s="12" t="inlineStr">
        <is>
          <t>BUFF ML</t>
        </is>
      </c>
      <c r="E31" s="13" t="n">
        <v>340</v>
      </c>
      <c r="F31" s="14" t="n">
        <v>0.09460404991128361</v>
      </c>
      <c r="G31" s="15" t="n">
        <v>0.2820260661936436</v>
      </c>
      <c r="H31" s="16" t="n"/>
      <c r="I31" s="12" t="inlineStr">
        <is>
          <t>2026-09-12 22:00</t>
        </is>
      </c>
    </row>
    <row r="32">
      <c r="A32" s="17" t="inlineStr">
        <is>
          <t>GOOD</t>
        </is>
      </c>
      <c r="B32" s="17" t="inlineStr">
        <is>
          <t>HOU @ TTU</t>
        </is>
      </c>
      <c r="C32" s="17" t="inlineStr">
        <is>
          <t>ATS</t>
        </is>
      </c>
      <c r="D32" s="17" t="inlineStr">
        <is>
          <t>HOU +14</t>
        </is>
      </c>
      <c r="E32" s="18" t="n">
        <v>-108</v>
      </c>
      <c r="F32" s="19" t="n">
        <v>0.09456544289587974</v>
      </c>
      <c r="G32" s="20" t="n">
        <v>0.6387765438321708</v>
      </c>
      <c r="H32" s="21" t="n"/>
      <c r="I32" s="17" t="inlineStr">
        <is>
          <t>2026-09-19 00:00</t>
        </is>
      </c>
    </row>
    <row r="33">
      <c r="A33" s="12" t="inlineStr">
        <is>
          <t>GOOD</t>
        </is>
      </c>
      <c r="B33" s="12" t="inlineStr">
        <is>
          <t>LSU @ MISS</t>
        </is>
      </c>
      <c r="C33" s="12" t="inlineStr">
        <is>
          <t>ML</t>
        </is>
      </c>
      <c r="D33" s="12" t="inlineStr">
        <is>
          <t>MISS ML</t>
        </is>
      </c>
      <c r="E33" s="13" t="n">
        <v>130</v>
      </c>
      <c r="F33" s="14" t="n">
        <v>0.09425225372328125</v>
      </c>
      <c r="G33" s="15" t="n">
        <v>0.5266194893405405</v>
      </c>
      <c r="H33" s="16" t="n"/>
      <c r="I33" s="12" t="inlineStr">
        <is>
          <t>2026-09-19 23:30</t>
        </is>
      </c>
    </row>
    <row r="34">
      <c r="A34" s="17" t="inlineStr">
        <is>
          <t>GOOD</t>
        </is>
      </c>
      <c r="B34" s="17" t="inlineStr">
        <is>
          <t>SYR @ PITT</t>
        </is>
      </c>
      <c r="C34" s="17" t="inlineStr">
        <is>
          <t>ML</t>
        </is>
      </c>
      <c r="D34" s="17" t="inlineStr">
        <is>
          <t>SYR ML</t>
        </is>
      </c>
      <c r="E34" s="18" t="n">
        <v>295</v>
      </c>
      <c r="F34" s="19" t="n">
        <v>0.09358321241614767</v>
      </c>
      <c r="G34" s="20" t="n">
        <v>0.2992237756923869</v>
      </c>
      <c r="H34" s="21" t="n"/>
      <c r="I34" s="17" t="inlineStr">
        <is>
          <t>2026-09-17 23:30</t>
        </is>
      </c>
    </row>
    <row r="35">
      <c r="A35" s="12" t="inlineStr">
        <is>
          <t>GOOD</t>
        </is>
      </c>
      <c r="B35" s="12" t="inlineStr">
        <is>
          <t>FLA @ AUB</t>
        </is>
      </c>
      <c r="C35" s="12" t="inlineStr">
        <is>
          <t>ML</t>
        </is>
      </c>
      <c r="D35" s="12" t="inlineStr">
        <is>
          <t>AUB ML</t>
        </is>
      </c>
      <c r="E35" s="13" t="n">
        <v>120</v>
      </c>
      <c r="F35" s="14" t="n">
        <v>0.09333909729301794</v>
      </c>
      <c r="G35" s="15" t="n">
        <v>0.534598661088249</v>
      </c>
      <c r="H35" s="16" t="n"/>
      <c r="I35" s="12" t="inlineStr">
        <is>
          <t>2026-09-19 23:00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54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17" customWidth="1" min="3" max="3"/>
    <col width="5" customWidth="1" min="4" max="4"/>
    <col width="9" customWidth="1" min="5" max="5"/>
    <col width="22" customWidth="1" min="6" max="6"/>
    <col width="8" customWidth="1" min="7" max="7"/>
    <col width="8" customWidth="1" min="8" max="8"/>
    <col width="9" customWidth="1" min="9" max="9"/>
    <col width="9" customWidth="1" min="10" max="10"/>
    <col width="11" customWidth="1" min="11" max="11"/>
    <col width="9" customWidth="1" min="12" max="12"/>
    <col width="9" customWidth="1" min="13" max="13"/>
    <col width="8" customWidth="1" min="14" max="14"/>
    <col width="8" customWidth="1" min="15" max="15"/>
    <col width="14" customWidth="1" min="16" max="16"/>
    <col width="38" customWidth="1" min="17" max="17"/>
  </cols>
  <sheetData>
    <row r="1" ht="22" customHeight="1">
      <c r="A1" s="1" t="inlineStr">
        <is>
          <t>Full Board</t>
        </is>
      </c>
    </row>
    <row r="2" ht="26" customHeight="1">
      <c r="A2" s="2" t="inlineStr">
        <is>
          <t>Every market on every upcoming game, priced against the book. Passes are included on purpose — a model you only see when it likes something cannot be audited. 'Fair' is the market's own view with the vig removed; 'Break-even' is what the price requires.</t>
        </is>
      </c>
    </row>
    <row r="4">
      <c r="A4" s="11" t="inlineStr">
        <is>
          <t>Tier</t>
        </is>
      </c>
      <c r="B4" s="11" t="inlineStr">
        <is>
          <t>Game</t>
        </is>
      </c>
      <c r="C4" s="11" t="inlineStr">
        <is>
          <t>Kickoff</t>
        </is>
      </c>
      <c r="D4" s="11" t="inlineStr">
        <is>
          <t>Wk</t>
        </is>
      </c>
      <c r="E4" s="11" t="inlineStr">
        <is>
          <t>Market</t>
        </is>
      </c>
      <c r="F4" s="11" t="inlineStr">
        <is>
          <t>Pick</t>
        </is>
      </c>
      <c r="G4" s="11" t="inlineStr">
        <is>
          <t>Line</t>
        </is>
      </c>
      <c r="H4" s="11" t="inlineStr">
        <is>
          <t>Price</t>
        </is>
      </c>
      <c r="I4" s="11" t="inlineStr">
        <is>
          <t>Model</t>
        </is>
      </c>
      <c r="J4" s="11" t="inlineStr">
        <is>
          <t>Fair</t>
        </is>
      </c>
      <c r="K4" s="11" t="inlineStr">
        <is>
          <t>Break-even</t>
        </is>
      </c>
      <c r="L4" s="11" t="inlineStr">
        <is>
          <t>Edge</t>
        </is>
      </c>
      <c r="M4" s="11" t="inlineStr">
        <is>
          <t>EV</t>
        </is>
      </c>
      <c r="N4" s="11" t="inlineStr">
        <is>
          <t>Push</t>
        </is>
      </c>
      <c r="O4" s="11" t="inlineStr">
        <is>
          <t>Conf.</t>
        </is>
      </c>
      <c r="P4" s="11" t="inlineStr">
        <is>
          <t>Book</t>
        </is>
      </c>
      <c r="Q4" s="11" t="inlineStr">
        <is>
          <t>Why not</t>
        </is>
      </c>
    </row>
    <row r="5">
      <c r="A5" s="12" t="inlineStr">
        <is>
          <t>BEST BET</t>
        </is>
      </c>
      <c r="B5" s="12" t="inlineStr">
        <is>
          <t>EMU @ MSU</t>
        </is>
      </c>
      <c r="C5" s="12" t="inlineStr">
        <is>
          <t>2026-09-12 19:30</t>
        </is>
      </c>
      <c r="D5" s="22" t="n">
        <v>2</v>
      </c>
      <c r="E5" s="12" t="inlineStr">
        <is>
          <t>ML</t>
        </is>
      </c>
      <c r="F5" s="12" t="inlineStr">
        <is>
          <t>EMU ML</t>
        </is>
      </c>
      <c r="G5" s="23" t="n"/>
      <c r="H5" s="13" t="n">
        <v>600</v>
      </c>
      <c r="I5" s="15" t="n">
        <v>0.2386711905488603</v>
      </c>
      <c r="J5" s="15" t="n">
        <v>0.136986301369863</v>
      </c>
      <c r="K5" s="15" t="n">
        <v>0.1428571428571428</v>
      </c>
      <c r="L5" s="14" t="n">
        <v>0.09499996896323248</v>
      </c>
      <c r="M5" s="14" t="n">
        <v>0.6706983338420223</v>
      </c>
      <c r="N5" s="15" t="n">
        <v>0</v>
      </c>
      <c r="O5" s="24" t="n">
        <v>0.725</v>
      </c>
      <c r="P5" s="12" t="inlineStr">
        <is>
          <t>DraftKings</t>
        </is>
      </c>
      <c r="Q5" s="12" t="n"/>
    </row>
    <row r="6">
      <c r="A6" s="17" t="inlineStr">
        <is>
          <t>BEST BET</t>
        </is>
      </c>
      <c r="B6" s="17" t="inlineStr">
        <is>
          <t>ASU @ TA&amp;M</t>
        </is>
      </c>
      <c r="C6" s="17" t="inlineStr">
        <is>
          <t>2026-09-12 16:00</t>
        </is>
      </c>
      <c r="D6" s="25" t="n">
        <v>2</v>
      </c>
      <c r="E6" s="17" t="inlineStr">
        <is>
          <t>ML</t>
        </is>
      </c>
      <c r="F6" s="17" t="inlineStr">
        <is>
          <t>ASU ML</t>
        </is>
      </c>
      <c r="G6" s="26" t="n"/>
      <c r="H6" s="18" t="n">
        <v>525</v>
      </c>
      <c r="I6" s="20" t="n">
        <v>0.2506659465017305</v>
      </c>
      <c r="J6" s="20" t="n">
        <v>0.1534988713318285</v>
      </c>
      <c r="K6" s="20" t="n">
        <v>0.16</v>
      </c>
      <c r="L6" s="19" t="n">
        <v>0.09499969020735539</v>
      </c>
      <c r="M6" s="19" t="n">
        <v>0.5666621656358153</v>
      </c>
      <c r="N6" s="20" t="n">
        <v>0</v>
      </c>
      <c r="O6" s="27" t="n">
        <v>0.725</v>
      </c>
      <c r="P6" s="17" t="inlineStr">
        <is>
          <t>DraftKings</t>
        </is>
      </c>
      <c r="Q6" s="17" t="n"/>
    </row>
    <row r="7">
      <c r="A7" s="12" t="inlineStr">
        <is>
          <t>BEST BET</t>
        </is>
      </c>
      <c r="B7" s="12" t="inlineStr">
        <is>
          <t>ISU @ IOWA</t>
        </is>
      </c>
      <c r="C7" s="12" t="inlineStr">
        <is>
          <t>2026-09-12 23:30</t>
        </is>
      </c>
      <c r="D7" s="22" t="n">
        <v>2</v>
      </c>
      <c r="E7" s="12" t="inlineStr">
        <is>
          <t>ML</t>
        </is>
      </c>
      <c r="F7" s="12" t="inlineStr">
        <is>
          <t>ISU ML</t>
        </is>
      </c>
      <c r="G7" s="23" t="n"/>
      <c r="H7" s="13" t="n">
        <v>470</v>
      </c>
      <c r="I7" s="15" t="n">
        <v>0.2630744893842347</v>
      </c>
      <c r="J7" s="15" t="n">
        <v>0.1683501683501683</v>
      </c>
      <c r="K7" s="15" t="n">
        <v>0.1754385964912281</v>
      </c>
      <c r="L7" s="14" t="n">
        <v>0.09499863760175696</v>
      </c>
      <c r="M7" s="14" t="n">
        <v>0.4995245894901379</v>
      </c>
      <c r="N7" s="15" t="n">
        <v>0</v>
      </c>
      <c r="O7" s="24" t="n">
        <v>0.725</v>
      </c>
      <c r="P7" s="12" t="inlineStr">
        <is>
          <t>DraftKings</t>
        </is>
      </c>
      <c r="Q7" s="12" t="n"/>
    </row>
    <row r="8">
      <c r="A8" s="17" t="inlineStr">
        <is>
          <t>BEST BET</t>
        </is>
      </c>
      <c r="B8" s="17" t="inlineStr">
        <is>
          <t>MTSU @ MRSH</t>
        </is>
      </c>
      <c r="C8" s="17" t="inlineStr">
        <is>
          <t>2026-09-12 23:00</t>
        </is>
      </c>
      <c r="D8" s="25" t="n">
        <v>2</v>
      </c>
      <c r="E8" s="17" t="inlineStr">
        <is>
          <t>ML</t>
        </is>
      </c>
      <c r="F8" s="17" t="inlineStr">
        <is>
          <t>MTSU ML</t>
        </is>
      </c>
      <c r="G8" s="26" t="n"/>
      <c r="H8" s="18" t="n">
        <v>410</v>
      </c>
      <c r="I8" s="20" t="n">
        <v>0.2811427059175582</v>
      </c>
      <c r="J8" s="20" t="n">
        <v>0.1881331403762663</v>
      </c>
      <c r="K8" s="20" t="n">
        <v>0.196078431372549</v>
      </c>
      <c r="L8" s="19" t="n">
        <v>0.09499426426909584</v>
      </c>
      <c r="M8" s="19" t="n">
        <v>0.4338278001795466</v>
      </c>
      <c r="N8" s="20" t="n">
        <v>0</v>
      </c>
      <c r="O8" s="27" t="n">
        <v>0.725</v>
      </c>
      <c r="P8" s="17" t="inlineStr">
        <is>
          <t>DraftKings</t>
        </is>
      </c>
      <c r="Q8" s="17" t="n"/>
    </row>
    <row r="9">
      <c r="A9" s="12" t="inlineStr">
        <is>
          <t>BEST BET</t>
        </is>
      </c>
      <c r="B9" s="12" t="inlineStr">
        <is>
          <t>UNC @ CLEM</t>
        </is>
      </c>
      <c r="C9" s="12" t="inlineStr">
        <is>
          <t>2026-09-19 16:00</t>
        </is>
      </c>
      <c r="D9" s="22" t="n">
        <v>3</v>
      </c>
      <c r="E9" s="12" t="inlineStr">
        <is>
          <t>ML</t>
        </is>
      </c>
      <c r="F9" s="12" t="inlineStr">
        <is>
          <t>UNC ML</t>
        </is>
      </c>
      <c r="G9" s="23" t="n"/>
      <c r="H9" s="13" t="n">
        <v>320</v>
      </c>
      <c r="I9" s="15" t="n">
        <v>0.3405395221189738</v>
      </c>
      <c r="J9" s="15" t="n">
        <v>0.2284946236559139</v>
      </c>
      <c r="K9" s="15" t="n">
        <v>0.2380952380952381</v>
      </c>
      <c r="L9" s="14" t="n">
        <v>0.09499375767471051</v>
      </c>
      <c r="M9" s="14" t="n">
        <v>0.4302659928996899</v>
      </c>
      <c r="N9" s="15" t="n">
        <v>0</v>
      </c>
      <c r="O9" s="24" t="n">
        <v>0.725</v>
      </c>
      <c r="P9" s="12" t="inlineStr">
        <is>
          <t>DraftKings</t>
        </is>
      </c>
      <c r="Q9" s="12" t="n"/>
    </row>
    <row r="10">
      <c r="A10" s="17" t="inlineStr">
        <is>
          <t>GOOD</t>
        </is>
      </c>
      <c r="B10" s="17" t="inlineStr">
        <is>
          <t>MIZ @ KU</t>
        </is>
      </c>
      <c r="C10" s="17" t="inlineStr">
        <is>
          <t>2026-09-12 00:00</t>
        </is>
      </c>
      <c r="D10" s="25" t="n">
        <v>2</v>
      </c>
      <c r="E10" s="17" t="inlineStr">
        <is>
          <t>ML</t>
        </is>
      </c>
      <c r="F10" s="17" t="inlineStr">
        <is>
          <t>KU ML</t>
        </is>
      </c>
      <c r="G10" s="26" t="n"/>
      <c r="H10" s="18" t="n">
        <v>180</v>
      </c>
      <c r="I10" s="20" t="n">
        <v>0.4863777978008228</v>
      </c>
      <c r="J10" s="20" t="n">
        <v>0.3425247738043947</v>
      </c>
      <c r="K10" s="20" t="n">
        <v>0.3571428571428572</v>
      </c>
      <c r="L10" s="19" t="n">
        <v>0.09497253305796211</v>
      </c>
      <c r="M10" s="19" t="n">
        <v>0.3618578338423037</v>
      </c>
      <c r="N10" s="20" t="n">
        <v>0</v>
      </c>
      <c r="O10" s="27" t="n">
        <v>0.725</v>
      </c>
      <c r="P10" s="17" t="inlineStr">
        <is>
          <t>DraftKings</t>
        </is>
      </c>
      <c r="Q10" s="17" t="n"/>
    </row>
    <row r="11">
      <c r="A11" s="12" t="inlineStr">
        <is>
          <t>GOOD</t>
        </is>
      </c>
      <c r="B11" s="12" t="inlineStr">
        <is>
          <t>NAVY @ FAU</t>
        </is>
      </c>
      <c r="C11" s="12" t="inlineStr">
        <is>
          <t>2026-09-12 23:30</t>
        </is>
      </c>
      <c r="D11" s="22" t="n">
        <v>2</v>
      </c>
      <c r="E11" s="12" t="inlineStr">
        <is>
          <t>ML</t>
        </is>
      </c>
      <c r="F11" s="12" t="inlineStr">
        <is>
          <t>FAU ML</t>
        </is>
      </c>
      <c r="G11" s="23" t="n"/>
      <c r="H11" s="13" t="n">
        <v>180</v>
      </c>
      <c r="I11" s="15" t="n">
        <v>0.480056641329203</v>
      </c>
      <c r="J11" s="15" t="n">
        <v>0.3425247738043947</v>
      </c>
      <c r="K11" s="15" t="n">
        <v>0.3571428571428572</v>
      </c>
      <c r="L11" s="14" t="n">
        <v>0.09495949471908614</v>
      </c>
      <c r="M11" s="14" t="n">
        <v>0.3441585957217683</v>
      </c>
      <c r="N11" s="15" t="n">
        <v>0</v>
      </c>
      <c r="O11" s="24" t="n">
        <v>0.725</v>
      </c>
      <c r="P11" s="12" t="inlineStr">
        <is>
          <t>DraftKings</t>
        </is>
      </c>
      <c r="Q11" s="12" t="n"/>
    </row>
    <row r="12">
      <c r="A12" s="17" t="inlineStr">
        <is>
          <t>GOOD</t>
        </is>
      </c>
      <c r="B12" s="17" t="inlineStr">
        <is>
          <t>OU @ MICH</t>
        </is>
      </c>
      <c r="C12" s="17" t="inlineStr">
        <is>
          <t>2026-09-12 16:00</t>
        </is>
      </c>
      <c r="D12" s="25" t="n">
        <v>2</v>
      </c>
      <c r="E12" s="17" t="inlineStr">
        <is>
          <t>ML</t>
        </is>
      </c>
      <c r="F12" s="17" t="inlineStr">
        <is>
          <t>MICH ML</t>
        </is>
      </c>
      <c r="G12" s="26" t="n"/>
      <c r="H12" s="18" t="n">
        <v>180</v>
      </c>
      <c r="I12" s="20" t="n">
        <v>0.47423312799022</v>
      </c>
      <c r="J12" s="20" t="n">
        <v>0.3425247738043947</v>
      </c>
      <c r="K12" s="20" t="n">
        <v>0.3571428571428572</v>
      </c>
      <c r="L12" s="19" t="n">
        <v>0.09494206789340343</v>
      </c>
      <c r="M12" s="19" t="n">
        <v>0.3278527583726158</v>
      </c>
      <c r="N12" s="20" t="n">
        <v>0</v>
      </c>
      <c r="O12" s="27" t="n">
        <v>0.725</v>
      </c>
      <c r="P12" s="17" t="inlineStr">
        <is>
          <t>DraftKings</t>
        </is>
      </c>
      <c r="Q12" s="17" t="n"/>
    </row>
    <row r="13">
      <c r="A13" s="12" t="inlineStr">
        <is>
          <t>GOOD</t>
        </is>
      </c>
      <c r="B13" s="12" t="inlineStr">
        <is>
          <t>ARK @ UTAH</t>
        </is>
      </c>
      <c r="C13" s="12" t="inlineStr">
        <is>
          <t>2026-09-13 02:15</t>
        </is>
      </c>
      <c r="D13" s="22" t="n">
        <v>2</v>
      </c>
      <c r="E13" s="12" t="inlineStr">
        <is>
          <t>ML</t>
        </is>
      </c>
      <c r="F13" s="12" t="inlineStr">
        <is>
          <t>ARK ML</t>
        </is>
      </c>
      <c r="G13" s="23" t="n"/>
      <c r="H13" s="13" t="n">
        <v>390</v>
      </c>
      <c r="I13" s="15" t="n">
        <v>0.2636632011433637</v>
      </c>
      <c r="J13" s="15" t="n">
        <v>0.1957070707070707</v>
      </c>
      <c r="K13" s="15" t="n">
        <v>0.2040816326530612</v>
      </c>
      <c r="L13" s="14" t="n">
        <v>0.09487303348311676</v>
      </c>
      <c r="M13" s="14" t="n">
        <v>0.2919496856024824</v>
      </c>
      <c r="N13" s="15" t="n">
        <v>0</v>
      </c>
      <c r="O13" s="24" t="n">
        <v>0.725</v>
      </c>
      <c r="P13" s="12" t="inlineStr">
        <is>
          <t>DraftKings</t>
        </is>
      </c>
      <c r="Q13" s="12" t="n"/>
    </row>
    <row r="14">
      <c r="A14" s="17" t="inlineStr">
        <is>
          <t>GOOD</t>
        </is>
      </c>
      <c r="B14" s="17" t="inlineStr">
        <is>
          <t>SDSU @ UCLA</t>
        </is>
      </c>
      <c r="C14" s="17" t="inlineStr">
        <is>
          <t>2026-09-12 23:15</t>
        </is>
      </c>
      <c r="D14" s="25" t="n">
        <v>2</v>
      </c>
      <c r="E14" s="17" t="inlineStr">
        <is>
          <t>ML</t>
        </is>
      </c>
      <c r="F14" s="17" t="inlineStr">
        <is>
          <t>SDSU ML</t>
        </is>
      </c>
      <c r="G14" s="26" t="n"/>
      <c r="H14" s="18" t="n">
        <v>380</v>
      </c>
      <c r="I14" s="20" t="n">
        <v>0.2610928986271979</v>
      </c>
      <c r="J14" s="20" t="n">
        <v>0.2</v>
      </c>
      <c r="K14" s="20" t="n">
        <v>0.2083333333333333</v>
      </c>
      <c r="L14" s="19" t="n">
        <v>0.0946943813440448</v>
      </c>
      <c r="M14" s="19" t="n">
        <v>0.2532459134105498</v>
      </c>
      <c r="N14" s="20" t="n">
        <v>0</v>
      </c>
      <c r="O14" s="27" t="n">
        <v>0.725</v>
      </c>
      <c r="P14" s="17" t="inlineStr">
        <is>
          <t>DraftKings</t>
        </is>
      </c>
      <c r="Q14" s="17" t="n"/>
    </row>
    <row r="15">
      <c r="A15" s="12" t="inlineStr">
        <is>
          <t>GOOD</t>
        </is>
      </c>
      <c r="B15" s="12" t="inlineStr">
        <is>
          <t>BUFF @ FIU</t>
        </is>
      </c>
      <c r="C15" s="12" t="inlineStr">
        <is>
          <t>2026-09-12 22:00</t>
        </is>
      </c>
      <c r="D15" s="22" t="n">
        <v>2</v>
      </c>
      <c r="E15" s="12" t="inlineStr">
        <is>
          <t>ML</t>
        </is>
      </c>
      <c r="F15" s="12" t="inlineStr">
        <is>
          <t>BUFF ML</t>
        </is>
      </c>
      <c r="G15" s="23" t="n"/>
      <c r="H15" s="13" t="n">
        <v>340</v>
      </c>
      <c r="I15" s="15" t="n">
        <v>0.2820260661936436</v>
      </c>
      <c r="J15" s="15" t="n">
        <v>0.2180936995153474</v>
      </c>
      <c r="K15" s="15" t="n">
        <v>0.2272727272727273</v>
      </c>
      <c r="L15" s="14" t="n">
        <v>0.09460404991128361</v>
      </c>
      <c r="M15" s="14" t="n">
        <v>0.2409146912520317</v>
      </c>
      <c r="N15" s="15" t="n">
        <v>0</v>
      </c>
      <c r="O15" s="24" t="n">
        <v>0.725</v>
      </c>
      <c r="P15" s="12" t="inlineStr">
        <is>
          <t>DraftKings</t>
        </is>
      </c>
      <c r="Q15" s="12" t="n"/>
    </row>
    <row r="16">
      <c r="A16" s="17" t="inlineStr">
        <is>
          <t>GOOD</t>
        </is>
      </c>
      <c r="B16" s="17" t="inlineStr">
        <is>
          <t>HOU @ TTU</t>
        </is>
      </c>
      <c r="C16" s="17" t="inlineStr">
        <is>
          <t>2026-09-19 00:00</t>
        </is>
      </c>
      <c r="D16" s="25" t="n">
        <v>3</v>
      </c>
      <c r="E16" s="17" t="inlineStr">
        <is>
          <t>ATS</t>
        </is>
      </c>
      <c r="F16" s="17" t="inlineStr">
        <is>
          <t>HOU +14</t>
        </is>
      </c>
      <c r="G16" s="26" t="n">
        <v>-14</v>
      </c>
      <c r="H16" s="18" t="n">
        <v>-108</v>
      </c>
      <c r="I16" s="20" t="n">
        <v>0.6387765438321708</v>
      </c>
      <c r="J16" s="20" t="n">
        <v>0.4956702459300312</v>
      </c>
      <c r="K16" s="20" t="n">
        <v>0.5192307692307693</v>
      </c>
      <c r="L16" s="19" t="n">
        <v>0.09456544289587974</v>
      </c>
      <c r="M16" s="19" t="n">
        <v>0.2224082722139853</v>
      </c>
      <c r="N16" s="20" t="n">
        <v>0.034</v>
      </c>
      <c r="O16" s="27" t="n">
        <v>0.725</v>
      </c>
      <c r="P16" s="17" t="inlineStr">
        <is>
          <t>DraftKings</t>
        </is>
      </c>
      <c r="Q16" s="17" t="n"/>
    </row>
    <row r="17">
      <c r="A17" s="12" t="inlineStr">
        <is>
          <t>GOOD</t>
        </is>
      </c>
      <c r="B17" s="12" t="inlineStr">
        <is>
          <t>LSU @ MISS</t>
        </is>
      </c>
      <c r="C17" s="12" t="inlineStr">
        <is>
          <t>2026-09-19 23:30</t>
        </is>
      </c>
      <c r="D17" s="22" t="n">
        <v>3</v>
      </c>
      <c r="E17" s="12" t="inlineStr">
        <is>
          <t>ML</t>
        </is>
      </c>
      <c r="F17" s="12" t="inlineStr">
        <is>
          <t>MISS ML</t>
        </is>
      </c>
      <c r="G17" s="23" t="n"/>
      <c r="H17" s="13" t="n">
        <v>130</v>
      </c>
      <c r="I17" s="15" t="n">
        <v>0.5266194893405405</v>
      </c>
      <c r="J17" s="15" t="n">
        <v>0.4170073589533933</v>
      </c>
      <c r="K17" s="15" t="n">
        <v>0.4347826086956522</v>
      </c>
      <c r="L17" s="14" t="n">
        <v>0.09425225372328125</v>
      </c>
      <c r="M17" s="14" t="n">
        <v>0.211224825483243</v>
      </c>
      <c r="N17" s="15" t="n">
        <v>0</v>
      </c>
      <c r="O17" s="24" t="n">
        <v>0.725</v>
      </c>
      <c r="P17" s="12" t="inlineStr">
        <is>
          <t>DraftKings</t>
        </is>
      </c>
      <c r="Q17" s="12" t="n"/>
    </row>
    <row r="18">
      <c r="A18" s="17" t="inlineStr">
        <is>
          <t>GOOD</t>
        </is>
      </c>
      <c r="B18" s="17" t="inlineStr">
        <is>
          <t>SYR @ PITT</t>
        </is>
      </c>
      <c r="C18" s="17" t="inlineStr">
        <is>
          <t>2026-09-17 23:30</t>
        </is>
      </c>
      <c r="D18" s="25" t="n">
        <v>3</v>
      </c>
      <c r="E18" s="17" t="inlineStr">
        <is>
          <t>ML</t>
        </is>
      </c>
      <c r="F18" s="17" t="inlineStr">
        <is>
          <t>SYR ML</t>
        </is>
      </c>
      <c r="G18" s="26" t="n"/>
      <c r="H18" s="18" t="n">
        <v>295</v>
      </c>
      <c r="I18" s="20" t="n">
        <v>0.2992237756923869</v>
      </c>
      <c r="J18" s="20" t="n">
        <v>0.2428115015974441</v>
      </c>
      <c r="K18" s="20" t="n">
        <v>0.2531645569620253</v>
      </c>
      <c r="L18" s="19" t="n">
        <v>0.09358321241614767</v>
      </c>
      <c r="M18" s="19" t="n">
        <v>0.1819339139849283</v>
      </c>
      <c r="N18" s="20" t="n">
        <v>0</v>
      </c>
      <c r="O18" s="27" t="n">
        <v>0.725</v>
      </c>
      <c r="P18" s="17" t="inlineStr">
        <is>
          <t>DraftKings</t>
        </is>
      </c>
      <c r="Q18" s="17" t="n"/>
    </row>
    <row r="19">
      <c r="A19" s="12" t="inlineStr">
        <is>
          <t>GOOD</t>
        </is>
      </c>
      <c r="B19" s="12" t="inlineStr">
        <is>
          <t>FLA @ AUB</t>
        </is>
      </c>
      <c r="C19" s="12" t="inlineStr">
        <is>
          <t>2026-09-19 23:00</t>
        </is>
      </c>
      <c r="D19" s="22" t="n">
        <v>3</v>
      </c>
      <c r="E19" s="12" t="inlineStr">
        <is>
          <t>ML</t>
        </is>
      </c>
      <c r="F19" s="12" t="inlineStr">
        <is>
          <t>AUB ML</t>
        </is>
      </c>
      <c r="G19" s="23" t="n"/>
      <c r="H19" s="13" t="n">
        <v>120</v>
      </c>
      <c r="I19" s="15" t="n">
        <v>0.534598661088249</v>
      </c>
      <c r="J19" s="15" t="n">
        <v>0.4365079365079365</v>
      </c>
      <c r="K19" s="15" t="n">
        <v>0.4545454545454545</v>
      </c>
      <c r="L19" s="14" t="n">
        <v>0.09333909729301794</v>
      </c>
      <c r="M19" s="14" t="n">
        <v>0.1761170543941479</v>
      </c>
      <c r="N19" s="15" t="n">
        <v>0</v>
      </c>
      <c r="O19" s="24" t="n">
        <v>0.725</v>
      </c>
      <c r="P19" s="12" t="inlineStr">
        <is>
          <t>DraftKings</t>
        </is>
      </c>
      <c r="Q19" s="12" t="n"/>
    </row>
    <row r="20">
      <c r="A20" s="17" t="inlineStr">
        <is>
          <t>GOOD</t>
        </is>
      </c>
      <c r="B20" s="17" t="inlineStr">
        <is>
          <t>WVU @ UVA</t>
        </is>
      </c>
      <c r="C20" s="17" t="inlineStr">
        <is>
          <t>2026-09-19 23:30</t>
        </is>
      </c>
      <c r="D20" s="25" t="n">
        <v>3</v>
      </c>
      <c r="E20" s="17" t="inlineStr">
        <is>
          <t>ML</t>
        </is>
      </c>
      <c r="F20" s="17" t="inlineStr">
        <is>
          <t>WVU ML</t>
        </is>
      </c>
      <c r="G20" s="26" t="n"/>
      <c r="H20" s="18" t="n">
        <v>240</v>
      </c>
      <c r="I20" s="20" t="n">
        <v>0.3418116435168275</v>
      </c>
      <c r="J20" s="20" t="n">
        <v>0.2820294784580499</v>
      </c>
      <c r="K20" s="20" t="n">
        <v>0.2941176470588235</v>
      </c>
      <c r="L20" s="19" t="n">
        <v>0.09283373869271071</v>
      </c>
      <c r="M20" s="19" t="n">
        <v>0.1621595879572133</v>
      </c>
      <c r="N20" s="20" t="n">
        <v>0</v>
      </c>
      <c r="O20" s="27" t="n">
        <v>0.725</v>
      </c>
      <c r="P20" s="17" t="inlineStr">
        <is>
          <t>DraftKings</t>
        </is>
      </c>
      <c r="Q20" s="17" t="n"/>
    </row>
    <row r="21">
      <c r="A21" s="12" t="inlineStr">
        <is>
          <t>GOOD</t>
        </is>
      </c>
      <c r="B21" s="12" t="inlineStr">
        <is>
          <t>SMU @ LOU</t>
        </is>
      </c>
      <c r="C21" s="12" t="inlineStr">
        <is>
          <t>2026-09-19 19:30</t>
        </is>
      </c>
      <c r="D21" s="22" t="n">
        <v>3</v>
      </c>
      <c r="E21" s="12" t="inlineStr">
        <is>
          <t>TOTAL</t>
        </is>
      </c>
      <c r="F21" s="12" t="inlineStr">
        <is>
          <t>Under 58.5</t>
        </is>
      </c>
      <c r="G21" s="23" t="n">
        <v>58.5</v>
      </c>
      <c r="H21" s="13" t="n">
        <v>-115</v>
      </c>
      <c r="I21" s="15" t="n">
        <v>0.6081566766381405</v>
      </c>
      <c r="J21" s="15" t="n">
        <v>0.5108342361863488</v>
      </c>
      <c r="K21" s="15" t="n">
        <v>0.5348837209302325</v>
      </c>
      <c r="L21" s="14" t="n">
        <v>0.09161893291545224</v>
      </c>
      <c r="M21" s="14" t="n">
        <v>0.1369885693669584</v>
      </c>
      <c r="N21" s="15" t="n">
        <v>0</v>
      </c>
      <c r="O21" s="24" t="n">
        <v>0.725</v>
      </c>
      <c r="P21" s="12" t="inlineStr">
        <is>
          <t>DraftKings</t>
        </is>
      </c>
      <c r="Q21" s="12" t="n"/>
    </row>
    <row r="22">
      <c r="A22" s="17" t="inlineStr">
        <is>
          <t>GOOD</t>
        </is>
      </c>
      <c r="B22" s="17" t="inlineStr">
        <is>
          <t>VT @ MD</t>
        </is>
      </c>
      <c r="C22" s="17" t="inlineStr">
        <is>
          <t>2026-09-19 23:30</t>
        </is>
      </c>
      <c r="D22" s="25" t="n">
        <v>3</v>
      </c>
      <c r="E22" s="17" t="inlineStr">
        <is>
          <t>ATS</t>
        </is>
      </c>
      <c r="F22" s="17" t="inlineStr">
        <is>
          <t>MD +1.5</t>
        </is>
      </c>
      <c r="G22" s="26" t="n">
        <v>1.5</v>
      </c>
      <c r="H22" s="18" t="n">
        <v>-112</v>
      </c>
      <c r="I22" s="20" t="n">
        <v>0.5852407654497289</v>
      </c>
      <c r="J22" s="20" t="n">
        <v>0.5043297540699688</v>
      </c>
      <c r="K22" s="20" t="n">
        <v>0.5283018867924528</v>
      </c>
      <c r="L22" s="19" t="n">
        <v>0.08872903425737527</v>
      </c>
      <c r="M22" s="19" t="n">
        <v>0.1077771631727011</v>
      </c>
      <c r="N22" s="20" t="n">
        <v>0</v>
      </c>
      <c r="O22" s="27" t="n">
        <v>0.725</v>
      </c>
      <c r="P22" s="17" t="inlineStr">
        <is>
          <t>DraftKings</t>
        </is>
      </c>
      <c r="Q22" s="17" t="n"/>
    </row>
    <row r="23">
      <c r="A23" s="12" t="inlineStr">
        <is>
          <t>GOOD</t>
        </is>
      </c>
      <c r="B23" s="12" t="inlineStr">
        <is>
          <t>MSST @ SC</t>
        </is>
      </c>
      <c r="C23" s="12" t="inlineStr">
        <is>
          <t>2026-09-19 20:15</t>
        </is>
      </c>
      <c r="D23" s="22" t="n">
        <v>3</v>
      </c>
      <c r="E23" s="12" t="inlineStr">
        <is>
          <t>ML</t>
        </is>
      </c>
      <c r="F23" s="12" t="inlineStr">
        <is>
          <t>MSST ML</t>
        </is>
      </c>
      <c r="G23" s="23" t="n"/>
      <c r="H23" s="13" t="n">
        <v>240</v>
      </c>
      <c r="I23" s="15" t="n">
        <v>0.3200494687040987</v>
      </c>
      <c r="J23" s="15" t="n">
        <v>0.2820294784580499</v>
      </c>
      <c r="K23" s="15" t="n">
        <v>0.2941176470588235</v>
      </c>
      <c r="L23" s="14" t="n">
        <v>0.0844928075994298</v>
      </c>
      <c r="M23" s="14" t="n">
        <v>0.08816819359393535</v>
      </c>
      <c r="N23" s="15" t="n">
        <v>0</v>
      </c>
      <c r="O23" s="24" t="n">
        <v>0.725</v>
      </c>
      <c r="P23" s="12" t="inlineStr">
        <is>
          <t>DraftKings</t>
        </is>
      </c>
      <c r="Q23" s="12" t="n"/>
    </row>
    <row r="24">
      <c r="A24" s="17" t="inlineStr">
        <is>
          <t>PASS</t>
        </is>
      </c>
      <c r="B24" s="17" t="inlineStr">
        <is>
          <t>RICH @ NCSU</t>
        </is>
      </c>
      <c r="C24" s="17" t="inlineStr">
        <is>
          <t>2026-09-11 23:00</t>
        </is>
      </c>
      <c r="D24" s="25" t="n">
        <v>2</v>
      </c>
      <c r="E24" s="17" t="inlineStr">
        <is>
          <t>ML</t>
        </is>
      </c>
      <c r="F24" s="17" t="inlineStr">
        <is>
          <t>RICH ML</t>
        </is>
      </c>
      <c r="G24" s="26" t="n"/>
      <c r="H24" s="18" t="n">
        <v>2200</v>
      </c>
      <c r="I24" s="20" t="n">
        <v>0.2041925447349121</v>
      </c>
      <c r="J24" s="20" t="n">
        <v>0.04216553878188443</v>
      </c>
      <c r="K24" s="20" t="n">
        <v>0.04347826086956522</v>
      </c>
      <c r="L24" s="19" t="n">
        <v>0.095</v>
      </c>
      <c r="M24" s="19" t="n">
        <v>3.696428528902978</v>
      </c>
      <c r="N24" s="20" t="n">
        <v>0</v>
      </c>
      <c r="O24" s="27" t="n">
        <v>0.4</v>
      </c>
      <c r="P24" s="17" t="inlineStr">
        <is>
          <t>DraftKings</t>
        </is>
      </c>
      <c r="Q24" s="17" t="inlineStr">
        <is>
          <t>RICH isn't a full FBS participant this season — model doesn't rate them reliably</t>
        </is>
      </c>
    </row>
    <row r="25">
      <c r="A25" s="12" t="inlineStr">
        <is>
          <t>PASS</t>
        </is>
      </c>
      <c r="B25" s="12" t="inlineStr">
        <is>
          <t>ORE @ OKST</t>
        </is>
      </c>
      <c r="C25" s="12" t="inlineStr">
        <is>
          <t>2026-09-12 16:00</t>
        </is>
      </c>
      <c r="D25" s="22" t="n">
        <v>2</v>
      </c>
      <c r="E25" s="12" t="inlineStr">
        <is>
          <t>ML</t>
        </is>
      </c>
      <c r="F25" s="12" t="inlineStr">
        <is>
          <t>OKST ML</t>
        </is>
      </c>
      <c r="G25" s="23" t="n"/>
      <c r="H25" s="13" t="n">
        <v>1100</v>
      </c>
      <c r="I25" s="15" t="n">
        <v>0.3690360240569037</v>
      </c>
      <c r="J25" s="15" t="n">
        <v>0.08029197080291971</v>
      </c>
      <c r="K25" s="15" t="n">
        <v>0.08333333333333333</v>
      </c>
      <c r="L25" s="14" t="n">
        <v>0.095</v>
      </c>
      <c r="M25" s="14" t="n">
        <v>3.428432288682845</v>
      </c>
      <c r="N25" s="15" t="n">
        <v>0</v>
      </c>
      <c r="O25" s="24" t="n">
        <v>0.725</v>
      </c>
      <c r="P25" s="12" t="inlineStr">
        <is>
          <t>DraftKings</t>
        </is>
      </c>
      <c r="Q25" s="12" t="inlineStr">
        <is>
          <t>price outside allowed range</t>
        </is>
      </c>
    </row>
    <row r="26">
      <c r="A26" s="17" t="inlineStr">
        <is>
          <t>PASS</t>
        </is>
      </c>
      <c r="B26" s="17" t="inlineStr">
        <is>
          <t>PSU @ TEM</t>
        </is>
      </c>
      <c r="C26" s="17" t="inlineStr">
        <is>
          <t>2026-09-12 16:00</t>
        </is>
      </c>
      <c r="D26" s="25" t="n">
        <v>2</v>
      </c>
      <c r="E26" s="17" t="inlineStr">
        <is>
          <t>ML</t>
        </is>
      </c>
      <c r="F26" s="17" t="inlineStr">
        <is>
          <t>TEM ML</t>
        </is>
      </c>
      <c r="G26" s="26" t="n"/>
      <c r="H26" s="18" t="n">
        <v>1200</v>
      </c>
      <c r="I26" s="20" t="n">
        <v>0.353709510068445</v>
      </c>
      <c r="J26" s="20" t="n">
        <v>0.0741839762611276</v>
      </c>
      <c r="K26" s="20" t="n">
        <v>0.07692307692307693</v>
      </c>
      <c r="L26" s="19" t="n">
        <v>0.095</v>
      </c>
      <c r="M26" s="19" t="n">
        <v>3.598223630889786</v>
      </c>
      <c r="N26" s="20" t="n">
        <v>0</v>
      </c>
      <c r="O26" s="27" t="n">
        <v>0.725</v>
      </c>
      <c r="P26" s="17" t="inlineStr">
        <is>
          <t>DraftKings</t>
        </is>
      </c>
      <c r="Q26" s="17" t="inlineStr">
        <is>
          <t>price outside allowed range</t>
        </is>
      </c>
    </row>
    <row r="27">
      <c r="A27" s="12" t="inlineStr">
        <is>
          <t>PASS</t>
        </is>
      </c>
      <c r="B27" s="12" t="inlineStr">
        <is>
          <t>COLG @ CMU</t>
        </is>
      </c>
      <c r="C27" s="12" t="inlineStr">
        <is>
          <t>2026-09-12 17:00</t>
        </is>
      </c>
      <c r="D27" s="22" t="n">
        <v>2</v>
      </c>
      <c r="E27" s="12" t="inlineStr">
        <is>
          <t>ML</t>
        </is>
      </c>
      <c r="F27" s="12" t="inlineStr">
        <is>
          <t>COLG ML</t>
        </is>
      </c>
      <c r="G27" s="23" t="n"/>
      <c r="H27" s="13" t="n">
        <v>1300</v>
      </c>
      <c r="I27" s="15" t="n">
        <v>0.2194631366527757</v>
      </c>
      <c r="J27" s="15" t="n">
        <v>0.06888361045130641</v>
      </c>
      <c r="K27" s="15" t="n">
        <v>0.07142857142857142</v>
      </c>
      <c r="L27" s="14" t="n">
        <v>0.095</v>
      </c>
      <c r="M27" s="14" t="n">
        <v>2.07248391313886</v>
      </c>
      <c r="N27" s="15" t="n">
        <v>0</v>
      </c>
      <c r="O27" s="24" t="n">
        <v>0.4</v>
      </c>
      <c r="P27" s="12" t="inlineStr">
        <is>
          <t>DraftKings</t>
        </is>
      </c>
      <c r="Q27" s="12" t="inlineStr">
        <is>
          <t>COLG isn't a full FBS participant this season — model doesn't rate them reliably</t>
        </is>
      </c>
    </row>
    <row r="28">
      <c r="A28" s="17" t="inlineStr">
        <is>
          <t>PASS</t>
        </is>
      </c>
      <c r="B28" s="17" t="inlineStr">
        <is>
          <t>HC @ M-OH</t>
        </is>
      </c>
      <c r="C28" s="17" t="inlineStr">
        <is>
          <t>2026-09-12 17:00</t>
        </is>
      </c>
      <c r="D28" s="25" t="n">
        <v>2</v>
      </c>
      <c r="E28" s="17" t="inlineStr">
        <is>
          <t>ML</t>
        </is>
      </c>
      <c r="F28" s="17" t="inlineStr">
        <is>
          <t>HC ML</t>
        </is>
      </c>
      <c r="G28" s="26" t="n"/>
      <c r="H28" s="18" t="n">
        <v>2200</v>
      </c>
      <c r="I28" s="20" t="n">
        <v>0.2059673584923167</v>
      </c>
      <c r="J28" s="20" t="n">
        <v>0.04216553878188443</v>
      </c>
      <c r="K28" s="20" t="n">
        <v>0.04347826086956522</v>
      </c>
      <c r="L28" s="19" t="n">
        <v>0.095</v>
      </c>
      <c r="M28" s="19" t="n">
        <v>3.737249245323285</v>
      </c>
      <c r="N28" s="20" t="n">
        <v>0</v>
      </c>
      <c r="O28" s="27" t="n">
        <v>0.4</v>
      </c>
      <c r="P28" s="17" t="inlineStr">
        <is>
          <t>DraftKings</t>
        </is>
      </c>
      <c r="Q28" s="17" t="inlineStr">
        <is>
          <t>HC isn't a full FBS participant this season — model doesn't rate them reliably</t>
        </is>
      </c>
    </row>
    <row r="29">
      <c r="A29" s="12" t="inlineStr">
        <is>
          <t>PASS</t>
        </is>
      </c>
      <c r="B29" s="12" t="inlineStr">
        <is>
          <t>WEB @ COLO</t>
        </is>
      </c>
      <c r="C29" s="12" t="inlineStr">
        <is>
          <t>2026-09-12 19:30</t>
        </is>
      </c>
      <c r="D29" s="22" t="n">
        <v>2</v>
      </c>
      <c r="E29" s="12" t="inlineStr">
        <is>
          <t>ML</t>
        </is>
      </c>
      <c r="F29" s="12" t="inlineStr">
        <is>
          <t>WEB ML</t>
        </is>
      </c>
      <c r="G29" s="23" t="n"/>
      <c r="H29" s="13" t="n">
        <v>3000</v>
      </c>
      <c r="I29" s="15" t="n">
        <v>0.1831696525301847</v>
      </c>
      <c r="J29" s="15" t="n">
        <v>0.03155263980006248</v>
      </c>
      <c r="K29" s="15" t="n">
        <v>0.03225806451612903</v>
      </c>
      <c r="L29" s="14" t="n">
        <v>0.095</v>
      </c>
      <c r="M29" s="14" t="n">
        <v>4.678259228435725</v>
      </c>
      <c r="N29" s="15" t="n">
        <v>0</v>
      </c>
      <c r="O29" s="24" t="n">
        <v>0.4</v>
      </c>
      <c r="P29" s="12" t="inlineStr">
        <is>
          <t>DraftKings</t>
        </is>
      </c>
      <c r="Q29" s="12" t="inlineStr">
        <is>
          <t>WEB isn't a full FBS participant this season — model doesn't rate them reliably</t>
        </is>
      </c>
    </row>
    <row r="30">
      <c r="A30" s="17" t="inlineStr">
        <is>
          <t>PASS</t>
        </is>
      </c>
      <c r="B30" s="17" t="inlineStr">
        <is>
          <t>USU @ WASH</t>
        </is>
      </c>
      <c r="C30" s="17" t="inlineStr">
        <is>
          <t>2026-09-12 19:30</t>
        </is>
      </c>
      <c r="D30" s="25" t="n">
        <v>2</v>
      </c>
      <c r="E30" s="17" t="inlineStr">
        <is>
          <t>ML</t>
        </is>
      </c>
      <c r="F30" s="17" t="inlineStr">
        <is>
          <t>USU ML</t>
        </is>
      </c>
      <c r="G30" s="26" t="n"/>
      <c r="H30" s="18" t="n">
        <v>1500</v>
      </c>
      <c r="I30" s="20" t="n">
        <v>0.1967802451565861</v>
      </c>
      <c r="J30" s="20" t="n">
        <v>0.06035889070146819</v>
      </c>
      <c r="K30" s="20" t="n">
        <v>0.0625</v>
      </c>
      <c r="L30" s="19" t="n">
        <v>0.095</v>
      </c>
      <c r="M30" s="19" t="n">
        <v>2.148483922505378</v>
      </c>
      <c r="N30" s="20" t="n">
        <v>0</v>
      </c>
      <c r="O30" s="27" t="n">
        <v>0.725</v>
      </c>
      <c r="P30" s="17" t="inlineStr">
        <is>
          <t>DraftKings</t>
        </is>
      </c>
      <c r="Q30" s="17" t="inlineStr">
        <is>
          <t>price outside allowed range</t>
        </is>
      </c>
    </row>
    <row r="31">
      <c r="A31" s="12" t="inlineStr">
        <is>
          <t>PASS</t>
        </is>
      </c>
      <c r="B31" s="12" t="inlineStr">
        <is>
          <t>RMU @ AKR</t>
        </is>
      </c>
      <c r="C31" s="12" t="inlineStr">
        <is>
          <t>2026-09-12 19:30</t>
        </is>
      </c>
      <c r="D31" s="22" t="n">
        <v>2</v>
      </c>
      <c r="E31" s="12" t="inlineStr">
        <is>
          <t>ML</t>
        </is>
      </c>
      <c r="F31" s="12" t="inlineStr">
        <is>
          <t>RMU ML</t>
        </is>
      </c>
      <c r="G31" s="23" t="n"/>
      <c r="H31" s="13" t="n">
        <v>1800</v>
      </c>
      <c r="I31" s="15" t="n">
        <v>0.2068148472687436</v>
      </c>
      <c r="J31" s="15" t="n">
        <v>0.05094905094905094</v>
      </c>
      <c r="K31" s="15" t="n">
        <v>0.05263157894736842</v>
      </c>
      <c r="L31" s="14" t="n">
        <v>0.095</v>
      </c>
      <c r="M31" s="14" t="n">
        <v>2.929482098106127</v>
      </c>
      <c r="N31" s="15" t="n">
        <v>0</v>
      </c>
      <c r="O31" s="24" t="n">
        <v>0.4</v>
      </c>
      <c r="P31" s="12" t="inlineStr">
        <is>
          <t>DraftKings</t>
        </is>
      </c>
      <c r="Q31" s="12" t="inlineStr">
        <is>
          <t>RMU isn't a full FBS participant this season — model doesn't rate them reliably</t>
        </is>
      </c>
    </row>
    <row r="32">
      <c r="A32" s="17" t="inlineStr">
        <is>
          <t>PASS</t>
        </is>
      </c>
      <c r="B32" s="17" t="inlineStr">
        <is>
          <t>CCSU @ TOL</t>
        </is>
      </c>
      <c r="C32" s="17" t="inlineStr">
        <is>
          <t>2026-09-12 19:30</t>
        </is>
      </c>
      <c r="D32" s="25" t="n">
        <v>2</v>
      </c>
      <c r="E32" s="17" t="inlineStr">
        <is>
          <t>ML</t>
        </is>
      </c>
      <c r="F32" s="17" t="inlineStr">
        <is>
          <t>CCSU ML</t>
        </is>
      </c>
      <c r="G32" s="26" t="n"/>
      <c r="H32" s="18" t="n">
        <v>2500</v>
      </c>
      <c r="I32" s="20" t="n">
        <v>0.1910273813274196</v>
      </c>
      <c r="J32" s="20" t="n">
        <v>0.0374331550802139</v>
      </c>
      <c r="K32" s="20" t="n">
        <v>0.03846153846153846</v>
      </c>
      <c r="L32" s="19" t="n">
        <v>0.095</v>
      </c>
      <c r="M32" s="19" t="n">
        <v>3.966711914512909</v>
      </c>
      <c r="N32" s="20" t="n">
        <v>0</v>
      </c>
      <c r="O32" s="27" t="n">
        <v>0.4</v>
      </c>
      <c r="P32" s="17" t="inlineStr">
        <is>
          <t>DraftKings</t>
        </is>
      </c>
      <c r="Q32" s="17" t="inlineStr">
        <is>
          <t>CCSU isn't a full FBS participant this season — model doesn't rate them reliably</t>
        </is>
      </c>
    </row>
    <row r="33">
      <c r="A33" s="12" t="inlineStr">
        <is>
          <t>PASS</t>
        </is>
      </c>
      <c r="B33" s="12" t="inlineStr">
        <is>
          <t>UCD @ SMU</t>
        </is>
      </c>
      <c r="C33" s="12" t="inlineStr">
        <is>
          <t>2026-09-12 20:00</t>
        </is>
      </c>
      <c r="D33" s="22" t="n">
        <v>2</v>
      </c>
      <c r="E33" s="12" t="inlineStr">
        <is>
          <t>ML</t>
        </is>
      </c>
      <c r="F33" s="12" t="inlineStr">
        <is>
          <t>UCD ML</t>
        </is>
      </c>
      <c r="G33" s="23" t="n"/>
      <c r="H33" s="13" t="n">
        <v>1300</v>
      </c>
      <c r="I33" s="15" t="n">
        <v>0.1985422026153605</v>
      </c>
      <c r="J33" s="15" t="n">
        <v>0.06888361045130641</v>
      </c>
      <c r="K33" s="15" t="n">
        <v>0.07142857142857142</v>
      </c>
      <c r="L33" s="14" t="n">
        <v>0.095</v>
      </c>
      <c r="M33" s="14" t="n">
        <v>1.779590836615047</v>
      </c>
      <c r="N33" s="15" t="n">
        <v>0</v>
      </c>
      <c r="O33" s="24" t="n">
        <v>0.4</v>
      </c>
      <c r="P33" s="12" t="inlineStr">
        <is>
          <t>DraftKings</t>
        </is>
      </c>
      <c r="Q33" s="12" t="inlineStr">
        <is>
          <t>UCD isn't a full FBS participant this season — model doesn't rate them reliably</t>
        </is>
      </c>
    </row>
    <row r="34">
      <c r="A34" s="17" t="inlineStr">
        <is>
          <t>PASS</t>
        </is>
      </c>
      <c r="B34" s="17" t="inlineStr">
        <is>
          <t>UNCO @ WYO</t>
        </is>
      </c>
      <c r="C34" s="17" t="inlineStr">
        <is>
          <t>2026-09-12 20:00</t>
        </is>
      </c>
      <c r="D34" s="25" t="n">
        <v>2</v>
      </c>
      <c r="E34" s="17" t="inlineStr">
        <is>
          <t>ML</t>
        </is>
      </c>
      <c r="F34" s="17" t="inlineStr">
        <is>
          <t>UNCO ML</t>
        </is>
      </c>
      <c r="G34" s="26" t="n"/>
      <c r="H34" s="18" t="n">
        <v>1400</v>
      </c>
      <c r="I34" s="20" t="n">
        <v>0.2139119171970467</v>
      </c>
      <c r="J34" s="20" t="n">
        <v>0.06432748538011696</v>
      </c>
      <c r="K34" s="20" t="n">
        <v>0.06666666666666667</v>
      </c>
      <c r="L34" s="19" t="n">
        <v>0.095</v>
      </c>
      <c r="M34" s="19" t="n">
        <v>2.208678757955701</v>
      </c>
      <c r="N34" s="20" t="n">
        <v>0</v>
      </c>
      <c r="O34" s="27" t="n">
        <v>0.4</v>
      </c>
      <c r="P34" s="17" t="inlineStr">
        <is>
          <t>DraftKings</t>
        </is>
      </c>
      <c r="Q34" s="17" t="inlineStr">
        <is>
          <t>UNCO isn't a full FBS participant this season — model doesn't rate them reliably</t>
        </is>
      </c>
    </row>
    <row r="35">
      <c r="A35" s="12" t="inlineStr">
        <is>
          <t>PASS</t>
        </is>
      </c>
      <c r="B35" s="12" t="inlineStr">
        <is>
          <t>GWEB @ LIB</t>
        </is>
      </c>
      <c r="C35" s="12" t="inlineStr">
        <is>
          <t>2026-09-12 22:00</t>
        </is>
      </c>
      <c r="D35" s="22" t="n">
        <v>2</v>
      </c>
      <c r="E35" s="12" t="inlineStr">
        <is>
          <t>ML</t>
        </is>
      </c>
      <c r="F35" s="12" t="inlineStr">
        <is>
          <t>GWEB ML</t>
        </is>
      </c>
      <c r="G35" s="23" t="n"/>
      <c r="H35" s="13" t="n">
        <v>1800</v>
      </c>
      <c r="I35" s="15" t="n">
        <v>0.1971178275355572</v>
      </c>
      <c r="J35" s="15" t="n">
        <v>0.05094905094905094</v>
      </c>
      <c r="K35" s="15" t="n">
        <v>0.05263157894736842</v>
      </c>
      <c r="L35" s="14" t="n">
        <v>0.095</v>
      </c>
      <c r="M35" s="14" t="n">
        <v>2.745238723175587</v>
      </c>
      <c r="N35" s="15" t="n">
        <v>0</v>
      </c>
      <c r="O35" s="24" t="n">
        <v>0.4</v>
      </c>
      <c r="P35" s="12" t="inlineStr">
        <is>
          <t>DraftKings</t>
        </is>
      </c>
      <c r="Q35" s="12" t="inlineStr">
        <is>
          <t>GWEB isn't a full FBS participant this season — model doesn't rate them reliably</t>
        </is>
      </c>
    </row>
    <row r="36">
      <c r="A36" s="17" t="inlineStr">
        <is>
          <t>PASS</t>
        </is>
      </c>
      <c r="B36" s="17" t="inlineStr">
        <is>
          <t>MONM @ WMU</t>
        </is>
      </c>
      <c r="C36" s="17" t="inlineStr">
        <is>
          <t>2026-09-12 22:30</t>
        </is>
      </c>
      <c r="D36" s="25" t="n">
        <v>2</v>
      </c>
      <c r="E36" s="17" t="inlineStr">
        <is>
          <t>ML</t>
        </is>
      </c>
      <c r="F36" s="17" t="inlineStr">
        <is>
          <t>MONM ML</t>
        </is>
      </c>
      <c r="G36" s="26" t="n"/>
      <c r="H36" s="18" t="n">
        <v>1500</v>
      </c>
      <c r="I36" s="20" t="n">
        <v>0.1971763374638983</v>
      </c>
      <c r="J36" s="20" t="n">
        <v>0.06035889070146819</v>
      </c>
      <c r="K36" s="20" t="n">
        <v>0.0625</v>
      </c>
      <c r="L36" s="19" t="n">
        <v>0.095</v>
      </c>
      <c r="M36" s="19" t="n">
        <v>2.154821399422373</v>
      </c>
      <c r="N36" s="20" t="n">
        <v>0</v>
      </c>
      <c r="O36" s="27" t="n">
        <v>0.4</v>
      </c>
      <c r="P36" s="17" t="inlineStr">
        <is>
          <t>DraftKings</t>
        </is>
      </c>
      <c r="Q36" s="17" t="inlineStr">
        <is>
          <t>MONM isn't a full FBS participant this season — model doesn't rate them reliably</t>
        </is>
      </c>
    </row>
    <row r="37">
      <c r="A37" s="12" t="inlineStr">
        <is>
          <t>PASS</t>
        </is>
      </c>
      <c r="B37" s="12" t="inlineStr">
        <is>
          <t>BGSU @ NEB</t>
        </is>
      </c>
      <c r="C37" s="12" t="inlineStr">
        <is>
          <t>2026-09-12 23:00</t>
        </is>
      </c>
      <c r="D37" s="22" t="n">
        <v>2</v>
      </c>
      <c r="E37" s="12" t="inlineStr">
        <is>
          <t>ML</t>
        </is>
      </c>
      <c r="F37" s="12" t="inlineStr">
        <is>
          <t>BGSU ML</t>
        </is>
      </c>
      <c r="G37" s="23" t="n"/>
      <c r="H37" s="13" t="n">
        <v>2000</v>
      </c>
      <c r="I37" s="15" t="n">
        <v>0.1806509637513856</v>
      </c>
      <c r="J37" s="15" t="n">
        <v>0.0461215932914046</v>
      </c>
      <c r="K37" s="15" t="n">
        <v>0.04761904761904762</v>
      </c>
      <c r="L37" s="14" t="n">
        <v>0.095</v>
      </c>
      <c r="M37" s="14" t="n">
        <v>2.793670238779097</v>
      </c>
      <c r="N37" s="15" t="n">
        <v>0</v>
      </c>
      <c r="O37" s="24" t="n">
        <v>0.725</v>
      </c>
      <c r="P37" s="12" t="inlineStr">
        <is>
          <t>DraftKings</t>
        </is>
      </c>
      <c r="Q37" s="12" t="inlineStr">
        <is>
          <t>price outside allowed range</t>
        </is>
      </c>
    </row>
    <row r="38">
      <c r="A38" s="17" t="inlineStr">
        <is>
          <t>PASS</t>
        </is>
      </c>
      <c r="B38" s="17" t="inlineStr">
        <is>
          <t>TTU @ ORST</t>
        </is>
      </c>
      <c r="C38" s="17" t="inlineStr">
        <is>
          <t>2026-09-12 23:30</t>
        </is>
      </c>
      <c r="D38" s="25" t="n">
        <v>2</v>
      </c>
      <c r="E38" s="17" t="inlineStr">
        <is>
          <t>ML</t>
        </is>
      </c>
      <c r="F38" s="17" t="inlineStr">
        <is>
          <t>ORST ML</t>
        </is>
      </c>
      <c r="G38" s="26" t="n"/>
      <c r="H38" s="18" t="n">
        <v>1400</v>
      </c>
      <c r="I38" s="20" t="n">
        <v>0.3515025245588591</v>
      </c>
      <c r="J38" s="20" t="n">
        <v>0.06432748538011696</v>
      </c>
      <c r="K38" s="20" t="n">
        <v>0.06666666666666667</v>
      </c>
      <c r="L38" s="19" t="n">
        <v>0.095</v>
      </c>
      <c r="M38" s="19" t="n">
        <v>4.272537868382886</v>
      </c>
      <c r="N38" s="20" t="n">
        <v>0</v>
      </c>
      <c r="O38" s="27" t="n">
        <v>0.725</v>
      </c>
      <c r="P38" s="17" t="inlineStr">
        <is>
          <t>DraftKings</t>
        </is>
      </c>
      <c r="Q38" s="17" t="inlineStr">
        <is>
          <t>price outside allowed range</t>
        </is>
      </c>
    </row>
    <row r="39">
      <c r="A39" s="12" t="inlineStr">
        <is>
          <t>PASS</t>
        </is>
      </c>
      <c r="B39" s="12" t="inlineStr">
        <is>
          <t>LT @ LSU</t>
        </is>
      </c>
      <c r="C39" s="12" t="inlineStr">
        <is>
          <t>2026-09-12 23:30</t>
        </is>
      </c>
      <c r="D39" s="22" t="n">
        <v>2</v>
      </c>
      <c r="E39" s="12" t="inlineStr">
        <is>
          <t>ML</t>
        </is>
      </c>
      <c r="F39" s="12" t="inlineStr">
        <is>
          <t>LT ML</t>
        </is>
      </c>
      <c r="G39" s="23" t="n"/>
      <c r="H39" s="13" t="n">
        <v>4000</v>
      </c>
      <c r="I39" s="15" t="n">
        <v>0.1964025513526687</v>
      </c>
      <c r="J39" s="15" t="n">
        <v>0.02385600685681634</v>
      </c>
      <c r="K39" s="15" t="n">
        <v>0.02439024390243903</v>
      </c>
      <c r="L39" s="14" t="n">
        <v>0.095</v>
      </c>
      <c r="M39" s="14" t="n">
        <v>7.052504605459417</v>
      </c>
      <c r="N39" s="15" t="n">
        <v>0</v>
      </c>
      <c r="O39" s="24" t="n">
        <v>0.725</v>
      </c>
      <c r="P39" s="12" t="inlineStr">
        <is>
          <t>DraftKings</t>
        </is>
      </c>
      <c r="Q39" s="12" t="inlineStr">
        <is>
          <t>price outside allowed range</t>
        </is>
      </c>
    </row>
    <row r="40">
      <c r="A40" s="17" t="inlineStr">
        <is>
          <t>PASS</t>
        </is>
      </c>
      <c r="B40" s="17" t="inlineStr">
        <is>
          <t>FOR @ CCU</t>
        </is>
      </c>
      <c r="C40" s="17" t="inlineStr">
        <is>
          <t>2026-09-12 23:30</t>
        </is>
      </c>
      <c r="D40" s="25" t="n">
        <v>2</v>
      </c>
      <c r="E40" s="17" t="inlineStr">
        <is>
          <t>ML</t>
        </is>
      </c>
      <c r="F40" s="17" t="inlineStr">
        <is>
          <t>FOR ML</t>
        </is>
      </c>
      <c r="G40" s="26" t="n"/>
      <c r="H40" s="18" t="n">
        <v>2500</v>
      </c>
      <c r="I40" s="20" t="n">
        <v>0.1855814001203762</v>
      </c>
      <c r="J40" s="20" t="n">
        <v>0.0374331550802139</v>
      </c>
      <c r="K40" s="20" t="n">
        <v>0.03846153846153846</v>
      </c>
      <c r="L40" s="19" t="n">
        <v>0.095</v>
      </c>
      <c r="M40" s="19" t="n">
        <v>3.82511640312978</v>
      </c>
      <c r="N40" s="20" t="n">
        <v>0</v>
      </c>
      <c r="O40" s="27" t="n">
        <v>0.725</v>
      </c>
      <c r="P40" s="17" t="inlineStr">
        <is>
          <t>DraftKings</t>
        </is>
      </c>
      <c r="Q40" s="17" t="inlineStr">
        <is>
          <t>FOR isn't a full FBS participant this season — model doesn't rate them reliably</t>
        </is>
      </c>
    </row>
    <row r="41">
      <c r="A41" s="12" t="inlineStr">
        <is>
          <t>PASS</t>
        </is>
      </c>
      <c r="B41" s="12" t="inlineStr">
        <is>
          <t>USM @ AUB</t>
        </is>
      </c>
      <c r="C41" s="12" t="inlineStr">
        <is>
          <t>2026-09-12 23:45</t>
        </is>
      </c>
      <c r="D41" s="22" t="n">
        <v>2</v>
      </c>
      <c r="E41" s="12" t="inlineStr">
        <is>
          <t>ML</t>
        </is>
      </c>
      <c r="F41" s="12" t="inlineStr">
        <is>
          <t>USM ML</t>
        </is>
      </c>
      <c r="G41" s="23" t="n"/>
      <c r="H41" s="13" t="n">
        <v>2200</v>
      </c>
      <c r="I41" s="15" t="n">
        <v>0.2051475561210876</v>
      </c>
      <c r="J41" s="15" t="n">
        <v>0.04216553878188443</v>
      </c>
      <c r="K41" s="15" t="n">
        <v>0.04347826086956522</v>
      </c>
      <c r="L41" s="14" t="n">
        <v>0.095</v>
      </c>
      <c r="M41" s="14" t="n">
        <v>3.718393790785015</v>
      </c>
      <c r="N41" s="15" t="n">
        <v>0</v>
      </c>
      <c r="O41" s="24" t="n">
        <v>0.725</v>
      </c>
      <c r="P41" s="12" t="inlineStr">
        <is>
          <t>DraftKings</t>
        </is>
      </c>
      <c r="Q41" s="12" t="inlineStr">
        <is>
          <t>price outside allowed range</t>
        </is>
      </c>
    </row>
    <row r="42">
      <c r="A42" s="17" t="inlineStr">
        <is>
          <t>PASS</t>
        </is>
      </c>
      <c r="B42" s="17" t="inlineStr">
        <is>
          <t>TXSO @ UTEP</t>
        </is>
      </c>
      <c r="C42" s="17" t="inlineStr">
        <is>
          <t>2026-09-13 01:00</t>
        </is>
      </c>
      <c r="D42" s="25" t="n">
        <v>2</v>
      </c>
      <c r="E42" s="17" t="inlineStr">
        <is>
          <t>ML</t>
        </is>
      </c>
      <c r="F42" s="17" t="inlineStr">
        <is>
          <t>TXSO ML</t>
        </is>
      </c>
      <c r="G42" s="26" t="n"/>
      <c r="H42" s="18" t="n">
        <v>2000</v>
      </c>
      <c r="I42" s="20" t="n">
        <v>0.2089032280429496</v>
      </c>
      <c r="J42" s="20" t="n">
        <v>0.0461215932914046</v>
      </c>
      <c r="K42" s="20" t="n">
        <v>0.04761904761904762</v>
      </c>
      <c r="L42" s="19" t="n">
        <v>0.095</v>
      </c>
      <c r="M42" s="19" t="n">
        <v>3.386967788901941</v>
      </c>
      <c r="N42" s="20" t="n">
        <v>0</v>
      </c>
      <c r="O42" s="27" t="n">
        <v>0.4</v>
      </c>
      <c r="P42" s="17" t="inlineStr">
        <is>
          <t>DraftKings</t>
        </is>
      </c>
      <c r="Q42" s="17" t="inlineStr">
        <is>
          <t>TXSO isn't a full FBS participant this season — model doesn't rate them reliably</t>
        </is>
      </c>
    </row>
    <row r="43">
      <c r="A43" s="12" t="inlineStr">
        <is>
          <t>PASS</t>
        </is>
      </c>
      <c r="B43" s="12" t="inlineStr">
        <is>
          <t>UL @ USC</t>
        </is>
      </c>
      <c r="C43" s="12" t="inlineStr">
        <is>
          <t>2026-09-13 03:00</t>
        </is>
      </c>
      <c r="D43" s="22" t="n">
        <v>2</v>
      </c>
      <c r="E43" s="12" t="inlineStr">
        <is>
          <t>ML</t>
        </is>
      </c>
      <c r="F43" s="12" t="inlineStr">
        <is>
          <t>UL ML</t>
        </is>
      </c>
      <c r="G43" s="23" t="n"/>
      <c r="H43" s="13" t="n">
        <v>2500</v>
      </c>
      <c r="I43" s="15" t="n">
        <v>0.1939751139113817</v>
      </c>
      <c r="J43" s="15" t="n">
        <v>0.0374331550802139</v>
      </c>
      <c r="K43" s="15" t="n">
        <v>0.03846153846153846</v>
      </c>
      <c r="L43" s="14" t="n">
        <v>0.095</v>
      </c>
      <c r="M43" s="14" t="n">
        <v>4.043352961695923</v>
      </c>
      <c r="N43" s="15" t="n">
        <v>0</v>
      </c>
      <c r="O43" s="24" t="n">
        <v>0.725</v>
      </c>
      <c r="P43" s="12" t="inlineStr">
        <is>
          <t>DraftKings</t>
        </is>
      </c>
      <c r="Q43" s="12" t="inlineStr">
        <is>
          <t>price outside allowed range</t>
        </is>
      </c>
    </row>
    <row r="44">
      <c r="A44" s="17" t="inlineStr">
        <is>
          <t>PASS</t>
        </is>
      </c>
      <c r="B44" s="17" t="inlineStr">
        <is>
          <t>MIA @ WAKE</t>
        </is>
      </c>
      <c r="C44" s="17" t="inlineStr">
        <is>
          <t>2026-09-18 23:30</t>
        </is>
      </c>
      <c r="D44" s="25" t="n">
        <v>3</v>
      </c>
      <c r="E44" s="17" t="inlineStr">
        <is>
          <t>ML</t>
        </is>
      </c>
      <c r="F44" s="17" t="inlineStr">
        <is>
          <t>WAKE ML</t>
        </is>
      </c>
      <c r="G44" s="26" t="n"/>
      <c r="H44" s="18" t="n">
        <v>750</v>
      </c>
      <c r="I44" s="20" t="n">
        <v>0.3564238860802408</v>
      </c>
      <c r="J44" s="20" t="n">
        <v>0.1130434782608696</v>
      </c>
      <c r="K44" s="20" t="n">
        <v>0.1176470588235294</v>
      </c>
      <c r="L44" s="19" t="n">
        <v>0.095</v>
      </c>
      <c r="M44" s="19" t="n">
        <v>2.029603031682047</v>
      </c>
      <c r="N44" s="20" t="n">
        <v>0</v>
      </c>
      <c r="O44" s="27" t="n">
        <v>0.725</v>
      </c>
      <c r="P44" s="17" t="inlineStr">
        <is>
          <t>DraftKings</t>
        </is>
      </c>
      <c r="Q44" s="17" t="inlineStr">
        <is>
          <t>price outside allowed range</t>
        </is>
      </c>
    </row>
    <row r="45">
      <c r="A45" s="12" t="inlineStr">
        <is>
          <t>PASS</t>
        </is>
      </c>
      <c r="B45" s="12" t="inlineStr">
        <is>
          <t>UGA @ ARK</t>
        </is>
      </c>
      <c r="C45" s="12" t="inlineStr">
        <is>
          <t>2026-09-19 16:00</t>
        </is>
      </c>
      <c r="D45" s="22" t="n">
        <v>3</v>
      </c>
      <c r="E45" s="12" t="inlineStr">
        <is>
          <t>ML</t>
        </is>
      </c>
      <c r="F45" s="12" t="inlineStr">
        <is>
          <t>ARK ML</t>
        </is>
      </c>
      <c r="G45" s="23" t="n"/>
      <c r="H45" s="13" t="n">
        <v>600</v>
      </c>
      <c r="I45" s="15" t="n">
        <v>0.3803183514133875</v>
      </c>
      <c r="J45" s="15" t="n">
        <v>0.136986301369863</v>
      </c>
      <c r="K45" s="15" t="n">
        <v>0.1428571428571428</v>
      </c>
      <c r="L45" s="14" t="n">
        <v>0.09499999999999999</v>
      </c>
      <c r="M45" s="14" t="n">
        <v>1.662228459893712</v>
      </c>
      <c r="N45" s="15" t="n">
        <v>0</v>
      </c>
      <c r="O45" s="24" t="n">
        <v>0.725</v>
      </c>
      <c r="P45" s="12" t="inlineStr">
        <is>
          <t>DraftKings</t>
        </is>
      </c>
      <c r="Q45" s="12" t="inlineStr">
        <is>
          <t>raw model/market disagreement exceeds the safety limit</t>
        </is>
      </c>
    </row>
    <row r="46">
      <c r="A46" s="17" t="inlineStr">
        <is>
          <t>PASS</t>
        </is>
      </c>
      <c r="B46" s="17" t="inlineStr">
        <is>
          <t>SUU @ CSU</t>
        </is>
      </c>
      <c r="C46" s="17" t="inlineStr">
        <is>
          <t>2026-09-12 23:00</t>
        </is>
      </c>
      <c r="D46" s="25" t="n">
        <v>2</v>
      </c>
      <c r="E46" s="17" t="inlineStr">
        <is>
          <t>ML</t>
        </is>
      </c>
      <c r="F46" s="17" t="inlineStr">
        <is>
          <t>SUU ML</t>
        </is>
      </c>
      <c r="G46" s="26" t="n"/>
      <c r="H46" s="18" t="n">
        <v>1100</v>
      </c>
      <c r="I46" s="20" t="n">
        <v>0.2191807148765335</v>
      </c>
      <c r="J46" s="20" t="n">
        <v>0.08029197080291971</v>
      </c>
      <c r="K46" s="20" t="n">
        <v>0.08333333333333333</v>
      </c>
      <c r="L46" s="19" t="n">
        <v>0.09499999999999997</v>
      </c>
      <c r="M46" s="19" t="n">
        <v>1.630168578518401</v>
      </c>
      <c r="N46" s="20" t="n">
        <v>0</v>
      </c>
      <c r="O46" s="27" t="n">
        <v>0.4</v>
      </c>
      <c r="P46" s="17" t="inlineStr">
        <is>
          <t>DraftKings</t>
        </is>
      </c>
      <c r="Q46" s="17" t="inlineStr">
        <is>
          <t>SUU isn't a full FBS participant this season — model doesn't rate them reliably</t>
        </is>
      </c>
    </row>
    <row r="47">
      <c r="A47" s="12" t="inlineStr">
        <is>
          <t>PASS</t>
        </is>
      </c>
      <c r="B47" s="12" t="inlineStr">
        <is>
          <t>SHU @ MASS</t>
        </is>
      </c>
      <c r="C47" s="12" t="inlineStr">
        <is>
          <t>2026-09-12 19:30</t>
        </is>
      </c>
      <c r="D47" s="22" t="n">
        <v>2</v>
      </c>
      <c r="E47" s="12" t="inlineStr">
        <is>
          <t>ML</t>
        </is>
      </c>
      <c r="F47" s="12" t="inlineStr">
        <is>
          <t>SHU ML</t>
        </is>
      </c>
      <c r="G47" s="23" t="n"/>
      <c r="H47" s="13" t="n">
        <v>1200</v>
      </c>
      <c r="I47" s="15" t="n">
        <v>0.1967541695031666</v>
      </c>
      <c r="J47" s="15" t="n">
        <v>0.0741839762611276</v>
      </c>
      <c r="K47" s="15" t="n">
        <v>0.07692307692307693</v>
      </c>
      <c r="L47" s="14" t="n">
        <v>0.09499999999999985</v>
      </c>
      <c r="M47" s="14" t="n">
        <v>1.557804203541166</v>
      </c>
      <c r="N47" s="15" t="n">
        <v>0</v>
      </c>
      <c r="O47" s="24" t="n">
        <v>0.4</v>
      </c>
      <c r="P47" s="12" t="inlineStr">
        <is>
          <t>DraftKings</t>
        </is>
      </c>
      <c r="Q47" s="12" t="inlineStr">
        <is>
          <t>SHU isn't a full FBS participant this season — model doesn't rate them reliably</t>
        </is>
      </c>
    </row>
    <row r="48">
      <c r="A48" s="17" t="inlineStr">
        <is>
          <t>PASS</t>
        </is>
      </c>
      <c r="B48" s="17" t="inlineStr">
        <is>
          <t>ALST @ TROY</t>
        </is>
      </c>
      <c r="C48" s="17" t="inlineStr">
        <is>
          <t>2026-09-12 20:00</t>
        </is>
      </c>
      <c r="D48" s="25" t="n">
        <v>2</v>
      </c>
      <c r="E48" s="17" t="inlineStr">
        <is>
          <t>ML</t>
        </is>
      </c>
      <c r="F48" s="17" t="inlineStr">
        <is>
          <t>ALST ML</t>
        </is>
      </c>
      <c r="G48" s="26" t="n"/>
      <c r="H48" s="18" t="n">
        <v>950</v>
      </c>
      <c r="I48" s="20" t="n">
        <v>0.2359735357600317</v>
      </c>
      <c r="J48" s="20" t="n">
        <v>0.09174311926605505</v>
      </c>
      <c r="K48" s="20" t="n">
        <v>0.09523809523809523</v>
      </c>
      <c r="L48" s="19" t="n">
        <v>0.0949999999999992</v>
      </c>
      <c r="M48" s="19" t="n">
        <v>1.477722125480332</v>
      </c>
      <c r="N48" s="20" t="n">
        <v>0</v>
      </c>
      <c r="O48" s="27" t="n">
        <v>0.4</v>
      </c>
      <c r="P48" s="17" t="inlineStr">
        <is>
          <t>DraftKings</t>
        </is>
      </c>
      <c r="Q48" s="17" t="inlineStr">
        <is>
          <t>ALST isn't a full FBS participant this season — model doesn't rate them reliably</t>
        </is>
      </c>
    </row>
    <row r="49">
      <c r="A49" s="12" t="inlineStr">
        <is>
          <t>PASS</t>
        </is>
      </c>
      <c r="B49" s="12" t="inlineStr">
        <is>
          <t>CP @ SJSU</t>
        </is>
      </c>
      <c r="C49" s="12" t="inlineStr">
        <is>
          <t>2026-09-13 01:00</t>
        </is>
      </c>
      <c r="D49" s="22" t="n">
        <v>2</v>
      </c>
      <c r="E49" s="12" t="inlineStr">
        <is>
          <t>ML</t>
        </is>
      </c>
      <c r="F49" s="12" t="inlineStr">
        <is>
          <t>CP ML</t>
        </is>
      </c>
      <c r="G49" s="23" t="n"/>
      <c r="H49" s="13" t="n">
        <v>1100</v>
      </c>
      <c r="I49" s="15" t="n">
        <v>0.2033287926256322</v>
      </c>
      <c r="J49" s="15" t="n">
        <v>0.08029197080291971</v>
      </c>
      <c r="K49" s="15" t="n">
        <v>0.08333333333333333</v>
      </c>
      <c r="L49" s="14" t="n">
        <v>0.09499999999999814</v>
      </c>
      <c r="M49" s="14" t="n">
        <v>1.439945511507586</v>
      </c>
      <c r="N49" s="15" t="n">
        <v>0</v>
      </c>
      <c r="O49" s="24" t="n">
        <v>0.4</v>
      </c>
      <c r="P49" s="12" t="inlineStr">
        <is>
          <t>DraftKings</t>
        </is>
      </c>
      <c r="Q49" s="12" t="inlineStr">
        <is>
          <t>CP isn't a full FBS participant this season — model doesn't rate them reliably</t>
        </is>
      </c>
    </row>
    <row r="50">
      <c r="A50" s="17" t="inlineStr">
        <is>
          <t>PASS</t>
        </is>
      </c>
      <c r="B50" s="17" t="inlineStr">
        <is>
          <t>LIN @ MOST</t>
        </is>
      </c>
      <c r="C50" s="17" t="inlineStr">
        <is>
          <t>2026-09-12 23:00</t>
        </is>
      </c>
      <c r="D50" s="25" t="n">
        <v>2</v>
      </c>
      <c r="E50" s="17" t="inlineStr">
        <is>
          <t>ML</t>
        </is>
      </c>
      <c r="F50" s="17" t="inlineStr">
        <is>
          <t>LIN ML</t>
        </is>
      </c>
      <c r="G50" s="26" t="n"/>
      <c r="H50" s="18" t="n">
        <v>950</v>
      </c>
      <c r="I50" s="20" t="n">
        <v>0.23089289106015</v>
      </c>
      <c r="J50" s="20" t="n">
        <v>0.09174311926605505</v>
      </c>
      <c r="K50" s="20" t="n">
        <v>0.09523809523809523</v>
      </c>
      <c r="L50" s="19" t="n">
        <v>0.09499999999999743</v>
      </c>
      <c r="M50" s="19" t="n">
        <v>1.424375356131575</v>
      </c>
      <c r="N50" s="20" t="n">
        <v>0</v>
      </c>
      <c r="O50" s="27" t="n">
        <v>0.4</v>
      </c>
      <c r="P50" s="17" t="inlineStr">
        <is>
          <t>DraftKings</t>
        </is>
      </c>
      <c r="Q50" s="17" t="inlineStr">
        <is>
          <t>LIN isn't a full FBS participant this season — model doesn't rate them reliably</t>
        </is>
      </c>
    </row>
    <row r="51">
      <c r="A51" s="12" t="inlineStr">
        <is>
          <t>PASS</t>
        </is>
      </c>
      <c r="B51" s="12" t="inlineStr">
        <is>
          <t>DEL @ VAN</t>
        </is>
      </c>
      <c r="C51" s="12" t="inlineStr">
        <is>
          <t>2026-09-12 20:15</t>
        </is>
      </c>
      <c r="D51" s="22" t="n">
        <v>2</v>
      </c>
      <c r="E51" s="12" t="inlineStr">
        <is>
          <t>ML</t>
        </is>
      </c>
      <c r="F51" s="12" t="inlineStr">
        <is>
          <t>DEL ML</t>
        </is>
      </c>
      <c r="G51" s="23" t="n"/>
      <c r="H51" s="13" t="n">
        <v>800</v>
      </c>
      <c r="I51" s="15" t="n">
        <v>0.2467274656588907</v>
      </c>
      <c r="J51" s="15" t="n">
        <v>0.1066176470588235</v>
      </c>
      <c r="K51" s="15" t="n">
        <v>0.1111111111111111</v>
      </c>
      <c r="L51" s="14" t="n">
        <v>0.09499999999981652</v>
      </c>
      <c r="M51" s="14" t="n">
        <v>1.220547190930017</v>
      </c>
      <c r="N51" s="15" t="n">
        <v>0</v>
      </c>
      <c r="O51" s="24" t="n">
        <v>0.725</v>
      </c>
      <c r="P51" s="12" t="inlineStr">
        <is>
          <t>DraftKings</t>
        </is>
      </c>
      <c r="Q51" s="12" t="inlineStr">
        <is>
          <t>price outside allowed range</t>
        </is>
      </c>
    </row>
    <row r="52">
      <c r="A52" s="17" t="inlineStr">
        <is>
          <t>PASS</t>
        </is>
      </c>
      <c r="B52" s="17" t="inlineStr">
        <is>
          <t>TLSA @ SHSU</t>
        </is>
      </c>
      <c r="C52" s="17" t="inlineStr">
        <is>
          <t>2026-09-12 23:00</t>
        </is>
      </c>
      <c r="D52" s="25" t="n">
        <v>2</v>
      </c>
      <c r="E52" s="17" t="inlineStr">
        <is>
          <t>ML</t>
        </is>
      </c>
      <c r="F52" s="17" t="inlineStr">
        <is>
          <t>SHSU ML</t>
        </is>
      </c>
      <c r="G52" s="26" t="n"/>
      <c r="H52" s="18" t="n">
        <v>400</v>
      </c>
      <c r="I52" s="20" t="n">
        <v>0.4294526034761557</v>
      </c>
      <c r="J52" s="20" t="n">
        <v>0.1918429003021148</v>
      </c>
      <c r="K52" s="20" t="n">
        <v>0.2</v>
      </c>
      <c r="L52" s="19" t="n">
        <v>0.09499999999909944</v>
      </c>
      <c r="M52" s="19" t="n">
        <v>1.147263017380779</v>
      </c>
      <c r="N52" s="20" t="n">
        <v>0</v>
      </c>
      <c r="O52" s="27" t="n">
        <v>0.725</v>
      </c>
      <c r="P52" s="17" t="inlineStr">
        <is>
          <t>DraftKings</t>
        </is>
      </c>
      <c r="Q52" s="17" t="inlineStr">
        <is>
          <t>raw model/market disagreement exceeds the safety limit</t>
        </is>
      </c>
    </row>
    <row r="53">
      <c r="A53" s="12" t="inlineStr">
        <is>
          <t>PASS</t>
        </is>
      </c>
      <c r="B53" s="12" t="inlineStr">
        <is>
          <t>GASO @ CLEM</t>
        </is>
      </c>
      <c r="C53" s="12" t="inlineStr">
        <is>
          <t>2026-09-12 23:30</t>
        </is>
      </c>
      <c r="D53" s="22" t="n">
        <v>2</v>
      </c>
      <c r="E53" s="12" t="inlineStr">
        <is>
          <t>ML</t>
        </is>
      </c>
      <c r="F53" s="12" t="inlineStr">
        <is>
          <t>GASO ML</t>
        </is>
      </c>
      <c r="G53" s="23" t="n"/>
      <c r="H53" s="13" t="n">
        <v>750</v>
      </c>
      <c r="I53" s="15" t="n">
        <v>0.2511881966814737</v>
      </c>
      <c r="J53" s="15" t="n">
        <v>0.1130434782608696</v>
      </c>
      <c r="K53" s="15" t="n">
        <v>0.1176470588235294</v>
      </c>
      <c r="L53" s="14" t="n">
        <v>0.09499999999872501</v>
      </c>
      <c r="M53" s="14" t="n">
        <v>1.135099671792527</v>
      </c>
      <c r="N53" s="15" t="n">
        <v>0</v>
      </c>
      <c r="O53" s="24" t="n">
        <v>0.725</v>
      </c>
      <c r="P53" s="12" t="inlineStr">
        <is>
          <t>DraftKings</t>
        </is>
      </c>
      <c r="Q53" s="12" t="inlineStr">
        <is>
          <t>price outside allowed range</t>
        </is>
      </c>
    </row>
    <row r="54">
      <c r="A54" s="17" t="inlineStr">
        <is>
          <t>PASS</t>
        </is>
      </c>
      <c r="B54" s="17" t="inlineStr">
        <is>
          <t>TENN @ GT</t>
        </is>
      </c>
      <c r="C54" s="17" t="inlineStr">
        <is>
          <t>2026-09-12 23:00</t>
        </is>
      </c>
      <c r="D54" s="25" t="n">
        <v>2</v>
      </c>
      <c r="E54" s="17" t="inlineStr">
        <is>
          <t>ML</t>
        </is>
      </c>
      <c r="F54" s="17" t="inlineStr">
        <is>
          <t>GT ML</t>
        </is>
      </c>
      <c r="G54" s="26" t="n"/>
      <c r="H54" s="18" t="n">
        <v>400</v>
      </c>
      <c r="I54" s="20" t="n">
        <v>0.4023642692667679</v>
      </c>
      <c r="J54" s="20" t="n">
        <v>0.1918429003021148</v>
      </c>
      <c r="K54" s="20" t="n">
        <v>0.2</v>
      </c>
      <c r="L54" s="19" t="n">
        <v>0.09499999998239991</v>
      </c>
      <c r="M54" s="19" t="n">
        <v>1.01182134633384</v>
      </c>
      <c r="N54" s="20" t="n">
        <v>0</v>
      </c>
      <c r="O54" s="27" t="n">
        <v>0.725</v>
      </c>
      <c r="P54" s="17" t="inlineStr">
        <is>
          <t>DraftKings</t>
        </is>
      </c>
      <c r="Q54" s="17" t="inlineStr">
        <is>
          <t>raw model/market disagreement exceeds the safety limit</t>
        </is>
      </c>
    </row>
    <row r="55">
      <c r="A55" s="12" t="inlineStr">
        <is>
          <t>PASS</t>
        </is>
      </c>
      <c r="B55" s="12" t="inlineStr">
        <is>
          <t>ODU @ VT</t>
        </is>
      </c>
      <c r="C55" s="12" t="inlineStr">
        <is>
          <t>2026-09-12 16:00</t>
        </is>
      </c>
      <c r="D55" s="22" t="n">
        <v>2</v>
      </c>
      <c r="E55" s="12" t="inlineStr">
        <is>
          <t>ML</t>
        </is>
      </c>
      <c r="F55" s="12" t="inlineStr">
        <is>
          <t>ODU ML</t>
        </is>
      </c>
      <c r="G55" s="23" t="n"/>
      <c r="H55" s="13" t="n">
        <v>750</v>
      </c>
      <c r="I55" s="15" t="n">
        <v>0.2335301573266844</v>
      </c>
      <c r="J55" s="15" t="n">
        <v>0.1130434782608696</v>
      </c>
      <c r="K55" s="15" t="n">
        <v>0.1176470588235294</v>
      </c>
      <c r="L55" s="14" t="n">
        <v>0.09499999996582566</v>
      </c>
      <c r="M55" s="14" t="n">
        <v>0.985006337276817</v>
      </c>
      <c r="N55" s="15" t="n">
        <v>0</v>
      </c>
      <c r="O55" s="24" t="n">
        <v>0.725</v>
      </c>
      <c r="P55" s="12" t="inlineStr">
        <is>
          <t>DraftKings</t>
        </is>
      </c>
      <c r="Q55" s="12" t="inlineStr">
        <is>
          <t>price outside allowed range</t>
        </is>
      </c>
    </row>
    <row r="56">
      <c r="A56" s="17" t="inlineStr">
        <is>
          <t>PASS</t>
        </is>
      </c>
      <c r="B56" s="17" t="inlineStr">
        <is>
          <t>MD @ CONN</t>
        </is>
      </c>
      <c r="C56" s="17" t="inlineStr">
        <is>
          <t>2026-09-12 19:30</t>
        </is>
      </c>
      <c r="D56" s="25" t="n">
        <v>2</v>
      </c>
      <c r="E56" s="17" t="inlineStr">
        <is>
          <t>ML</t>
        </is>
      </c>
      <c r="F56" s="17" t="inlineStr">
        <is>
          <t>CONN ML</t>
        </is>
      </c>
      <c r="G56" s="26" t="n"/>
      <c r="H56" s="18" t="n">
        <v>360</v>
      </c>
      <c r="I56" s="20" t="n">
        <v>0.4304026692520314</v>
      </c>
      <c r="J56" s="20" t="n">
        <v>0.2086383601756955</v>
      </c>
      <c r="K56" s="20" t="n">
        <v>0.2173913043478261</v>
      </c>
      <c r="L56" s="19" t="n">
        <v>0.0949999999636503</v>
      </c>
      <c r="M56" s="19" t="n">
        <v>0.9798522785593444</v>
      </c>
      <c r="N56" s="20" t="n">
        <v>0</v>
      </c>
      <c r="O56" s="27" t="n">
        <v>0.725</v>
      </c>
      <c r="P56" s="17" t="inlineStr">
        <is>
          <t>DraftKings</t>
        </is>
      </c>
      <c r="Q56" s="17" t="inlineStr">
        <is>
          <t>raw model/market disagreement exceeds the safety limit</t>
        </is>
      </c>
    </row>
    <row r="57">
      <c r="A57" s="12" t="inlineStr">
        <is>
          <t>PASS</t>
        </is>
      </c>
      <c r="B57" s="12" t="inlineStr">
        <is>
          <t>SAC @ FRES</t>
        </is>
      </c>
      <c r="C57" s="12" t="inlineStr">
        <is>
          <t>2026-09-13 02:30</t>
        </is>
      </c>
      <c r="D57" s="22" t="n">
        <v>2</v>
      </c>
      <c r="E57" s="12" t="inlineStr">
        <is>
          <t>ML</t>
        </is>
      </c>
      <c r="F57" s="12" t="inlineStr">
        <is>
          <t>SAC ML</t>
        </is>
      </c>
      <c r="G57" s="23" t="n"/>
      <c r="H57" s="13" t="n">
        <v>625</v>
      </c>
      <c r="I57" s="15" t="n">
        <v>0.256105865157003</v>
      </c>
      <c r="J57" s="15" t="n">
        <v>0.1322834645669291</v>
      </c>
      <c r="K57" s="15" t="n">
        <v>0.1379310344827586</v>
      </c>
      <c r="L57" s="14" t="n">
        <v>0.09499999947456912</v>
      </c>
      <c r="M57" s="14" t="n">
        <v>0.8567675223882714</v>
      </c>
      <c r="N57" s="15" t="n">
        <v>0</v>
      </c>
      <c r="O57" s="24" t="n">
        <v>0.725</v>
      </c>
      <c r="P57" s="12" t="inlineStr">
        <is>
          <t>DraftKings</t>
        </is>
      </c>
      <c r="Q57" s="12" t="inlineStr">
        <is>
          <t>price outside allowed range</t>
        </is>
      </c>
    </row>
    <row r="58">
      <c r="A58" s="17" t="inlineStr">
        <is>
          <t>PASS</t>
        </is>
      </c>
      <c r="B58" s="17" t="inlineStr">
        <is>
          <t>ALA @ UK</t>
        </is>
      </c>
      <c r="C58" s="17" t="inlineStr">
        <is>
          <t>2026-09-12 19:30</t>
        </is>
      </c>
      <c r="D58" s="25" t="n">
        <v>2</v>
      </c>
      <c r="E58" s="17" t="inlineStr">
        <is>
          <t>ML</t>
        </is>
      </c>
      <c r="F58" s="17" t="inlineStr">
        <is>
          <t>UK ML</t>
        </is>
      </c>
      <c r="G58" s="26" t="n"/>
      <c r="H58" s="18" t="n">
        <v>295</v>
      </c>
      <c r="I58" s="20" t="n">
        <v>0.4410159449313883</v>
      </c>
      <c r="J58" s="20" t="n">
        <v>0.2428115015974441</v>
      </c>
      <c r="K58" s="20" t="n">
        <v>0.2531645569620253</v>
      </c>
      <c r="L58" s="19" t="n">
        <v>0.09499999346288718</v>
      </c>
      <c r="M58" s="19" t="n">
        <v>0.7420129824789838</v>
      </c>
      <c r="N58" s="20" t="n">
        <v>0</v>
      </c>
      <c r="O58" s="27" t="n">
        <v>0.725</v>
      </c>
      <c r="P58" s="17" t="inlineStr">
        <is>
          <t>DraftKings</t>
        </is>
      </c>
      <c r="Q58" s="17" t="inlineStr">
        <is>
          <t>raw model/market disagreement exceeds the safety limit</t>
        </is>
      </c>
    </row>
    <row r="59">
      <c r="A59" s="12" t="inlineStr">
        <is>
          <t>PASS</t>
        </is>
      </c>
      <c r="B59" s="12" t="inlineStr">
        <is>
          <t>STBK @ BALL</t>
        </is>
      </c>
      <c r="C59" s="12" t="inlineStr">
        <is>
          <t>2026-09-12 18:00</t>
        </is>
      </c>
      <c r="D59" s="22" t="n">
        <v>2</v>
      </c>
      <c r="E59" s="12" t="inlineStr">
        <is>
          <t>ML</t>
        </is>
      </c>
      <c r="F59" s="12" t="inlineStr">
        <is>
          <t>STBK ML</t>
        </is>
      </c>
      <c r="G59" s="23" t="n"/>
      <c r="H59" s="13" t="n">
        <v>575</v>
      </c>
      <c r="I59" s="15" t="n">
        <v>0.2570074258724211</v>
      </c>
      <c r="J59" s="15" t="n">
        <v>0.1420560747663552</v>
      </c>
      <c r="K59" s="15" t="n">
        <v>0.1481481481481481</v>
      </c>
      <c r="L59" s="14" t="n">
        <v>0.09499999241017874</v>
      </c>
      <c r="M59" s="14" t="n">
        <v>0.7348001246388423</v>
      </c>
      <c r="N59" s="15" t="n">
        <v>0</v>
      </c>
      <c r="O59" s="24" t="n">
        <v>0.4</v>
      </c>
      <c r="P59" s="12" t="inlineStr">
        <is>
          <t>DraftKings</t>
        </is>
      </c>
      <c r="Q59" s="12" t="inlineStr">
        <is>
          <t>STBK isn't a full FBS participant this season — model doesn't rate them reliably</t>
        </is>
      </c>
    </row>
    <row r="60">
      <c r="A60" s="17" t="inlineStr">
        <is>
          <t>PASS</t>
        </is>
      </c>
      <c r="B60" s="17" t="inlineStr">
        <is>
          <t>WSU @ KSU</t>
        </is>
      </c>
      <c r="C60" s="17" t="inlineStr">
        <is>
          <t>2026-09-12 16:00</t>
        </is>
      </c>
      <c r="D60" s="25" t="n">
        <v>2</v>
      </c>
      <c r="E60" s="17" t="inlineStr">
        <is>
          <t>ML</t>
        </is>
      </c>
      <c r="F60" s="17" t="inlineStr">
        <is>
          <t>WSU ML</t>
        </is>
      </c>
      <c r="G60" s="26" t="n"/>
      <c r="H60" s="18" t="n">
        <v>625</v>
      </c>
      <c r="I60" s="20" t="n">
        <v>0.2392547399293496</v>
      </c>
      <c r="J60" s="20" t="n">
        <v>0.1322834645669291</v>
      </c>
      <c r="K60" s="20" t="n">
        <v>0.1379310344827586</v>
      </c>
      <c r="L60" s="19" t="n">
        <v>0.09499999232257657</v>
      </c>
      <c r="M60" s="19" t="n">
        <v>0.7345968644877849</v>
      </c>
      <c r="N60" s="20" t="n">
        <v>0</v>
      </c>
      <c r="O60" s="27" t="n">
        <v>0.725</v>
      </c>
      <c r="P60" s="17" t="inlineStr">
        <is>
          <t>DraftKings</t>
        </is>
      </c>
      <c r="Q60" s="17" t="inlineStr">
        <is>
          <t>price outside allowed range</t>
        </is>
      </c>
    </row>
    <row r="61">
      <c r="A61" s="12" t="inlineStr">
        <is>
          <t>PASS</t>
        </is>
      </c>
      <c r="B61" s="12" t="inlineStr">
        <is>
          <t>FSU @ ALA</t>
        </is>
      </c>
      <c r="C61" s="12" t="inlineStr">
        <is>
          <t>2026-09-19 19:30</t>
        </is>
      </c>
      <c r="D61" s="22" t="n">
        <v>3</v>
      </c>
      <c r="E61" s="12" t="inlineStr">
        <is>
          <t>ML</t>
        </is>
      </c>
      <c r="F61" s="12" t="inlineStr">
        <is>
          <t>FSU ML</t>
        </is>
      </c>
      <c r="G61" s="23" t="n"/>
      <c r="H61" s="13" t="n">
        <v>625</v>
      </c>
      <c r="I61" s="15" t="n">
        <v>0.2160605591863307</v>
      </c>
      <c r="J61" s="15" t="n">
        <v>0.1322834645669291</v>
      </c>
      <c r="K61" s="15" t="n">
        <v>0.1379310344827586</v>
      </c>
      <c r="L61" s="14" t="n">
        <v>0.09499969215793554</v>
      </c>
      <c r="M61" s="14" t="n">
        <v>0.5664390541008977</v>
      </c>
      <c r="N61" s="15" t="n">
        <v>0</v>
      </c>
      <c r="O61" s="24" t="n">
        <v>0.725</v>
      </c>
      <c r="P61" s="12" t="inlineStr">
        <is>
          <t>DraftKings</t>
        </is>
      </c>
      <c r="Q61" s="12" t="inlineStr">
        <is>
          <t>price outside allowed range</t>
        </is>
      </c>
    </row>
    <row r="62">
      <c r="A62" s="17" t="inlineStr">
        <is>
          <t>PASS</t>
        </is>
      </c>
      <c r="B62" s="17" t="inlineStr">
        <is>
          <t>RICE @ ND</t>
        </is>
      </c>
      <c r="C62" s="17" t="inlineStr">
        <is>
          <t>2026-09-12 19:30</t>
        </is>
      </c>
      <c r="D62" s="25" t="n">
        <v>2</v>
      </c>
      <c r="E62" s="17" t="inlineStr">
        <is>
          <t>ATS</t>
        </is>
      </c>
      <c r="F62" s="17" t="inlineStr">
        <is>
          <t>RICE +44.5</t>
        </is>
      </c>
      <c r="G62" s="26" t="n">
        <v>-44.5</v>
      </c>
      <c r="H62" s="18" t="n">
        <v>-105</v>
      </c>
      <c r="I62" s="20" t="n">
        <v>0.7439618583164719</v>
      </c>
      <c r="J62" s="20" t="n">
        <v>0.4891657638136511</v>
      </c>
      <c r="K62" s="20" t="n">
        <v>0.5121951219512195</v>
      </c>
      <c r="L62" s="19" t="n">
        <v>0.09499671655951127</v>
      </c>
      <c r="M62" s="19" t="n">
        <v>0.4524969614750165</v>
      </c>
      <c r="N62" s="20" t="n">
        <v>0</v>
      </c>
      <c r="O62" s="27" t="n">
        <v>0.725</v>
      </c>
      <c r="P62" s="17" t="inlineStr">
        <is>
          <t>DraftKings</t>
        </is>
      </c>
      <c r="Q62" s="17" t="inlineStr">
        <is>
          <t>raw model/market disagreement exceeds the safety limit</t>
        </is>
      </c>
    </row>
    <row r="63">
      <c r="A63" s="12" t="inlineStr">
        <is>
          <t>PASS</t>
        </is>
      </c>
      <c r="B63" s="12" t="inlineStr">
        <is>
          <t>PV @ BAY</t>
        </is>
      </c>
      <c r="C63" s="12" t="inlineStr">
        <is>
          <t>2026-09-13 00:08</t>
        </is>
      </c>
      <c r="D63" s="22" t="n">
        <v>2</v>
      </c>
      <c r="E63" s="12" t="inlineStr">
        <is>
          <t>ATS</t>
        </is>
      </c>
      <c r="F63" s="12" t="inlineStr">
        <is>
          <t>PV +39.5</t>
        </is>
      </c>
      <c r="G63" s="23" t="n">
        <v>-39.5</v>
      </c>
      <c r="H63" s="13" t="n">
        <v>-105</v>
      </c>
      <c r="I63" s="15" t="n">
        <v>0.7429241376151986</v>
      </c>
      <c r="J63" s="15" t="n">
        <v>0.4891657638136511</v>
      </c>
      <c r="K63" s="15" t="n">
        <v>0.5121951219512195</v>
      </c>
      <c r="L63" s="14" t="n">
        <v>0.09499656659576614</v>
      </c>
      <c r="M63" s="14" t="n">
        <v>0.4504709353439591</v>
      </c>
      <c r="N63" s="15" t="n">
        <v>0</v>
      </c>
      <c r="O63" s="24" t="n">
        <v>0.4</v>
      </c>
      <c r="P63" s="12" t="inlineStr">
        <is>
          <t>DraftKings</t>
        </is>
      </c>
      <c r="Q63" s="12" t="inlineStr">
        <is>
          <t>PV isn't a full FBS participant this season — model doesn't rate them reliably</t>
        </is>
      </c>
    </row>
    <row r="64">
      <c r="A64" s="17" t="inlineStr">
        <is>
          <t>PASS</t>
        </is>
      </c>
      <c r="B64" s="17" t="inlineStr">
        <is>
          <t>PSU @ TEM</t>
        </is>
      </c>
      <c r="C64" s="17" t="inlineStr">
        <is>
          <t>2026-09-12 16:00</t>
        </is>
      </c>
      <c r="D64" s="25" t="n">
        <v>2</v>
      </c>
      <c r="E64" s="17" t="inlineStr">
        <is>
          <t>ATS</t>
        </is>
      </c>
      <c r="F64" s="17" t="inlineStr">
        <is>
          <t>TEM +23.5</t>
        </is>
      </c>
      <c r="G64" s="26" t="n">
        <v>23.5</v>
      </c>
      <c r="H64" s="18" t="n">
        <v>-105</v>
      </c>
      <c r="I64" s="20" t="n">
        <v>0.738121515482924</v>
      </c>
      <c r="J64" s="20" t="n">
        <v>0.4891657638136511</v>
      </c>
      <c r="K64" s="20" t="n">
        <v>0.5121951219512195</v>
      </c>
      <c r="L64" s="19" t="n">
        <v>0.09499577828041787</v>
      </c>
      <c r="M64" s="19" t="n">
        <v>0.441094387371423</v>
      </c>
      <c r="N64" s="20" t="n">
        <v>0</v>
      </c>
      <c r="O64" s="27" t="n">
        <v>0.725</v>
      </c>
      <c r="P64" s="17" t="inlineStr">
        <is>
          <t>DraftKings</t>
        </is>
      </c>
      <c r="Q64" s="17" t="inlineStr">
        <is>
          <t>raw model/market disagreement exceeds the safety limit</t>
        </is>
      </c>
    </row>
    <row r="65">
      <c r="A65" s="12" t="inlineStr">
        <is>
          <t>PASS</t>
        </is>
      </c>
      <c r="B65" s="12" t="inlineStr">
        <is>
          <t>HOW @ IU</t>
        </is>
      </c>
      <c r="C65" s="12" t="inlineStr">
        <is>
          <t>2026-09-12 16:00</t>
        </is>
      </c>
      <c r="D65" s="22" t="n">
        <v>2</v>
      </c>
      <c r="E65" s="12" t="inlineStr">
        <is>
          <t>ATS</t>
        </is>
      </c>
      <c r="F65" s="12" t="inlineStr">
        <is>
          <t>HOW +56.5</t>
        </is>
      </c>
      <c r="G65" s="23" t="n">
        <v>-56.5</v>
      </c>
      <c r="H65" s="13" t="n">
        <v>-108</v>
      </c>
      <c r="I65" s="15" t="n">
        <v>0.747816085916688</v>
      </c>
      <c r="J65" s="15" t="n">
        <v>0.4956702459300312</v>
      </c>
      <c r="K65" s="15" t="n">
        <v>0.5192307692307693</v>
      </c>
      <c r="L65" s="14" t="n">
        <v>0.09499575665492996</v>
      </c>
      <c r="M65" s="14" t="n">
        <v>0.4402383876913993</v>
      </c>
      <c r="N65" s="15" t="n">
        <v>0</v>
      </c>
      <c r="O65" s="24" t="n">
        <v>0.4</v>
      </c>
      <c r="P65" s="12" t="inlineStr">
        <is>
          <t>DraftKings</t>
        </is>
      </c>
      <c r="Q65" s="12" t="inlineStr">
        <is>
          <t>HOW isn't a full FBS participant this season — model doesn't rate them reliably</t>
        </is>
      </c>
    </row>
    <row r="66">
      <c r="A66" s="17" t="inlineStr">
        <is>
          <t>PASS</t>
        </is>
      </c>
      <c r="B66" s="17" t="inlineStr">
        <is>
          <t>SOU @ HOU</t>
        </is>
      </c>
      <c r="C66" s="17" t="inlineStr">
        <is>
          <t>2026-09-12 23:00</t>
        </is>
      </c>
      <c r="D66" s="25" t="n">
        <v>2</v>
      </c>
      <c r="E66" s="17" t="inlineStr">
        <is>
          <t>ATS</t>
        </is>
      </c>
      <c r="F66" s="17" t="inlineStr">
        <is>
          <t>SOU +51.5</t>
        </is>
      </c>
      <c r="G66" s="26" t="n">
        <v>-51.5</v>
      </c>
      <c r="H66" s="18" t="n">
        <v>-108</v>
      </c>
      <c r="I66" s="20" t="n">
        <v>0.7477671934263734</v>
      </c>
      <c r="J66" s="20" t="n">
        <v>0.4956702459300312</v>
      </c>
      <c r="K66" s="20" t="n">
        <v>0.5192307692307693</v>
      </c>
      <c r="L66" s="19" t="n">
        <v>0.09499574783418351</v>
      </c>
      <c r="M66" s="19" t="n">
        <v>0.4401442243767193</v>
      </c>
      <c r="N66" s="20" t="n">
        <v>0</v>
      </c>
      <c r="O66" s="27" t="n">
        <v>0.4</v>
      </c>
      <c r="P66" s="17" t="inlineStr">
        <is>
          <t>DraftKings</t>
        </is>
      </c>
      <c r="Q66" s="17" t="inlineStr">
        <is>
          <t>SOU isn't a full FBS participant this season — model doesn't rate them reliably</t>
        </is>
      </c>
    </row>
    <row r="67">
      <c r="A67" s="12" t="inlineStr">
        <is>
          <t>PASS</t>
        </is>
      </c>
      <c r="B67" s="12" t="inlineStr">
        <is>
          <t>CCSU @ TOL</t>
        </is>
      </c>
      <c r="C67" s="12" t="inlineStr">
        <is>
          <t>2026-09-12 19:30</t>
        </is>
      </c>
      <c r="D67" s="22" t="n">
        <v>2</v>
      </c>
      <c r="E67" s="12" t="inlineStr">
        <is>
          <t>ATS</t>
        </is>
      </c>
      <c r="F67" s="12" t="inlineStr">
        <is>
          <t>CCSU +33.5</t>
        </is>
      </c>
      <c r="G67" s="23" t="n">
        <v>-33.5</v>
      </c>
      <c r="H67" s="13" t="n">
        <v>-105</v>
      </c>
      <c r="I67" s="15" t="n">
        <v>0.7378929433633609</v>
      </c>
      <c r="J67" s="15" t="n">
        <v>0.4891657638136511</v>
      </c>
      <c r="K67" s="15" t="n">
        <v>0.5121951219512195</v>
      </c>
      <c r="L67" s="14" t="n">
        <v>0.09499573654631213</v>
      </c>
      <c r="M67" s="14" t="n">
        <v>0.4406481275189427</v>
      </c>
      <c r="N67" s="15" t="n">
        <v>0</v>
      </c>
      <c r="O67" s="24" t="n">
        <v>0.4</v>
      </c>
      <c r="P67" s="12" t="inlineStr">
        <is>
          <t>DraftKings</t>
        </is>
      </c>
      <c r="Q67" s="12" t="inlineStr">
        <is>
          <t>CCSU isn't a full FBS participant this season — model doesn't rate them reliably</t>
        </is>
      </c>
    </row>
    <row r="68">
      <c r="A68" s="17" t="inlineStr">
        <is>
          <t>PASS</t>
        </is>
      </c>
      <c r="B68" s="17" t="inlineStr">
        <is>
          <t>CAM @ FLA</t>
        </is>
      </c>
      <c r="C68" s="17" t="inlineStr">
        <is>
          <t>2026-09-12 21:30</t>
        </is>
      </c>
      <c r="D68" s="25" t="n">
        <v>2</v>
      </c>
      <c r="E68" s="17" t="inlineStr">
        <is>
          <t>ATS</t>
        </is>
      </c>
      <c r="F68" s="17" t="inlineStr">
        <is>
          <t>CAM +49.5</t>
        </is>
      </c>
      <c r="G68" s="26" t="n">
        <v>-49.5</v>
      </c>
      <c r="H68" s="18" t="n">
        <v>-108</v>
      </c>
      <c r="I68" s="20" t="n">
        <v>0.7476892991610342</v>
      </c>
      <c r="J68" s="20" t="n">
        <v>0.4956702459300312</v>
      </c>
      <c r="K68" s="20" t="n">
        <v>0.5192307692307693</v>
      </c>
      <c r="L68" s="19" t="n">
        <v>0.09499573374330482</v>
      </c>
      <c r="M68" s="19" t="n">
        <v>0.4399942057916215</v>
      </c>
      <c r="N68" s="20" t="n">
        <v>0</v>
      </c>
      <c r="O68" s="27" t="n">
        <v>0.4</v>
      </c>
      <c r="P68" s="17" t="inlineStr">
        <is>
          <t>DraftKings</t>
        </is>
      </c>
      <c r="Q68" s="17" t="inlineStr">
        <is>
          <t>CAM isn't a full FBS participant this season — model doesn't rate them reliably</t>
        </is>
      </c>
    </row>
    <row r="69">
      <c r="A69" s="12" t="inlineStr">
        <is>
          <t>PASS</t>
        </is>
      </c>
      <c r="B69" s="12" t="inlineStr">
        <is>
          <t>TOW @ SC</t>
        </is>
      </c>
      <c r="C69" s="12" t="inlineStr">
        <is>
          <t>2026-09-12 23:00</t>
        </is>
      </c>
      <c r="D69" s="22" t="n">
        <v>2</v>
      </c>
      <c r="E69" s="12" t="inlineStr">
        <is>
          <t>ATS</t>
        </is>
      </c>
      <c r="F69" s="12" t="inlineStr">
        <is>
          <t>TOW +43.5</t>
        </is>
      </c>
      <c r="G69" s="23" t="n">
        <v>-43.5</v>
      </c>
      <c r="H69" s="13" t="n">
        <v>-108</v>
      </c>
      <c r="I69" s="15" t="n">
        <v>0.7470469903286129</v>
      </c>
      <c r="J69" s="15" t="n">
        <v>0.4956702459300312</v>
      </c>
      <c r="K69" s="15" t="n">
        <v>0.5192307692307693</v>
      </c>
      <c r="L69" s="14" t="n">
        <v>0.09499561575694063</v>
      </c>
      <c r="M69" s="14" t="n">
        <v>0.4387571665588101</v>
      </c>
      <c r="N69" s="15" t="n">
        <v>0</v>
      </c>
      <c r="O69" s="24" t="n">
        <v>0.725</v>
      </c>
      <c r="P69" s="12" t="inlineStr">
        <is>
          <t>DraftKings</t>
        </is>
      </c>
      <c r="Q69" s="12" t="inlineStr">
        <is>
          <t>TOW isn't a full FBS participant this season — model doesn't rate them reliably</t>
        </is>
      </c>
    </row>
    <row r="70">
      <c r="A70" s="17" t="inlineStr">
        <is>
          <t>PASS</t>
        </is>
      </c>
      <c r="B70" s="17" t="inlineStr">
        <is>
          <t>TTU @ ORST</t>
        </is>
      </c>
      <c r="C70" s="17" t="inlineStr">
        <is>
          <t>2026-09-12 23:30</t>
        </is>
      </c>
      <c r="D70" s="25" t="n">
        <v>2</v>
      </c>
      <c r="E70" s="17" t="inlineStr">
        <is>
          <t>ATS</t>
        </is>
      </c>
      <c r="F70" s="17" t="inlineStr">
        <is>
          <t>ORST +25.5</t>
        </is>
      </c>
      <c r="G70" s="26" t="n">
        <v>25.5</v>
      </c>
      <c r="H70" s="18" t="n">
        <v>-108</v>
      </c>
      <c r="I70" s="20" t="n">
        <v>0.7436696629070417</v>
      </c>
      <c r="J70" s="20" t="n">
        <v>0.4956702459300312</v>
      </c>
      <c r="K70" s="20" t="n">
        <v>0.5192307692307693</v>
      </c>
      <c r="L70" s="19" t="n">
        <v>0.09499493953256234</v>
      </c>
      <c r="M70" s="19" t="n">
        <v>0.4322526841172656</v>
      </c>
      <c r="N70" s="20" t="n">
        <v>0</v>
      </c>
      <c r="O70" s="27" t="n">
        <v>0.725</v>
      </c>
      <c r="P70" s="17" t="inlineStr">
        <is>
          <t>DraftKings</t>
        </is>
      </c>
      <c r="Q70" s="17" t="inlineStr">
        <is>
          <t>raw model/market disagreement exceeds the safety limit</t>
        </is>
      </c>
    </row>
    <row r="71">
      <c r="A71" s="12" t="inlineStr">
        <is>
          <t>PASS</t>
        </is>
      </c>
      <c r="B71" s="12" t="inlineStr">
        <is>
          <t>ETSU @ UNC</t>
        </is>
      </c>
      <c r="C71" s="12" t="inlineStr">
        <is>
          <t>2026-09-12 16:00</t>
        </is>
      </c>
      <c r="D71" s="22" t="n">
        <v>2</v>
      </c>
      <c r="E71" s="12" t="inlineStr">
        <is>
          <t>ATS</t>
        </is>
      </c>
      <c r="F71" s="12" t="inlineStr">
        <is>
          <t>ETSU +35.5</t>
        </is>
      </c>
      <c r="G71" s="23" t="n">
        <v>-35.5</v>
      </c>
      <c r="H71" s="13" t="n">
        <v>-108</v>
      </c>
      <c r="I71" s="15" t="n">
        <v>0.7436513657008406</v>
      </c>
      <c r="J71" s="15" t="n">
        <v>0.4956702459300312</v>
      </c>
      <c r="K71" s="15" t="n">
        <v>0.5192307692307693</v>
      </c>
      <c r="L71" s="14" t="n">
        <v>0.09499493559845554</v>
      </c>
      <c r="M71" s="14" t="n">
        <v>0.4322174450534708</v>
      </c>
      <c r="N71" s="15" t="n">
        <v>0</v>
      </c>
      <c r="O71" s="24" t="n">
        <v>0.4</v>
      </c>
      <c r="P71" s="12" t="inlineStr">
        <is>
          <t>DraftKings</t>
        </is>
      </c>
      <c r="Q71" s="12" t="inlineStr">
        <is>
          <t>ETSU isn't a full FBS participant this season — model doesn't rate them reliably</t>
        </is>
      </c>
    </row>
    <row r="72">
      <c r="A72" s="17" t="inlineStr">
        <is>
          <t>PASS</t>
        </is>
      </c>
      <c r="B72" s="17" t="inlineStr">
        <is>
          <t>GRAM @ TCU</t>
        </is>
      </c>
      <c r="C72" s="17" t="inlineStr">
        <is>
          <t>2026-09-13 00:00</t>
        </is>
      </c>
      <c r="D72" s="25" t="n">
        <v>2</v>
      </c>
      <c r="E72" s="17" t="inlineStr">
        <is>
          <t>ATS</t>
        </is>
      </c>
      <c r="F72" s="17" t="inlineStr">
        <is>
          <t>GRAM +43.5</t>
        </is>
      </c>
      <c r="G72" s="26" t="n">
        <v>-43.5</v>
      </c>
      <c r="H72" s="18" t="n">
        <v>-110</v>
      </c>
      <c r="I72" s="20" t="n">
        <v>0.7493824927370396</v>
      </c>
      <c r="J72" s="20" t="n">
        <v>0.5</v>
      </c>
      <c r="K72" s="20" t="n">
        <v>0.5238095238095238</v>
      </c>
      <c r="L72" s="19" t="n">
        <v>0.09499476986892401</v>
      </c>
      <c r="M72" s="19" t="n">
        <v>0.4306393043161665</v>
      </c>
      <c r="N72" s="20" t="n">
        <v>0</v>
      </c>
      <c r="O72" s="27" t="n">
        <v>0.4</v>
      </c>
      <c r="P72" s="17" t="inlineStr">
        <is>
          <t>DraftKings</t>
        </is>
      </c>
      <c r="Q72" s="17" t="inlineStr">
        <is>
          <t>GRAM isn't a full FBS participant this season — model doesn't rate them reliably</t>
        </is>
      </c>
    </row>
    <row r="73">
      <c r="A73" s="12" t="inlineStr">
        <is>
          <t>PASS</t>
        </is>
      </c>
      <c r="B73" s="12" t="inlineStr">
        <is>
          <t>VILL @ LOU</t>
        </is>
      </c>
      <c r="C73" s="12" t="inlineStr">
        <is>
          <t>2026-09-11 23:00</t>
        </is>
      </c>
      <c r="D73" s="22" t="n">
        <v>2</v>
      </c>
      <c r="E73" s="12" t="inlineStr">
        <is>
          <t>ATS</t>
        </is>
      </c>
      <c r="F73" s="12" t="inlineStr">
        <is>
          <t>VILL +36.5</t>
        </is>
      </c>
      <c r="G73" s="23" t="n">
        <v>-36.5</v>
      </c>
      <c r="H73" s="13" t="n">
        <v>-110</v>
      </c>
      <c r="I73" s="15" t="n">
        <v>0.7468008308124067</v>
      </c>
      <c r="J73" s="15" t="n">
        <v>0.5</v>
      </c>
      <c r="K73" s="15" t="n">
        <v>0.5238095238095238</v>
      </c>
      <c r="L73" s="14" t="n">
        <v>0.09499416931357305</v>
      </c>
      <c r="M73" s="14" t="n">
        <v>0.4257106770055037</v>
      </c>
      <c r="N73" s="15" t="n">
        <v>0</v>
      </c>
      <c r="O73" s="24" t="n">
        <v>0.4</v>
      </c>
      <c r="P73" s="12" t="inlineStr">
        <is>
          <t>DraftKings</t>
        </is>
      </c>
      <c r="Q73" s="12" t="inlineStr">
        <is>
          <t>VILL isn't a full FBS participant this season — model doesn't rate them reliably</t>
        </is>
      </c>
    </row>
    <row r="74">
      <c r="A74" s="17" t="inlineStr">
        <is>
          <t>PASS</t>
        </is>
      </c>
      <c r="B74" s="17" t="inlineStr">
        <is>
          <t>WAG @ JMU</t>
        </is>
      </c>
      <c r="C74" s="17" t="inlineStr">
        <is>
          <t>2026-09-12 19:30</t>
        </is>
      </c>
      <c r="D74" s="25" t="n">
        <v>2</v>
      </c>
      <c r="E74" s="17" t="inlineStr">
        <is>
          <t>ATS</t>
        </is>
      </c>
      <c r="F74" s="17" t="inlineStr">
        <is>
          <t>WAG +45.5</t>
        </is>
      </c>
      <c r="G74" s="26" t="n">
        <v>-45.5</v>
      </c>
      <c r="H74" s="18" t="n">
        <v>-112</v>
      </c>
      <c r="I74" s="20" t="n">
        <v>0.7518208082233876</v>
      </c>
      <c r="J74" s="20" t="n">
        <v>0.5043297540699688</v>
      </c>
      <c r="K74" s="20" t="n">
        <v>0.5283018867924528</v>
      </c>
      <c r="L74" s="19" t="n">
        <v>0.09499380629156276</v>
      </c>
      <c r="M74" s="19" t="n">
        <v>0.4230893869942693</v>
      </c>
      <c r="N74" s="20" t="n">
        <v>0</v>
      </c>
      <c r="O74" s="27" t="n">
        <v>0.4</v>
      </c>
      <c r="P74" s="17" t="inlineStr">
        <is>
          <t>DraftKings</t>
        </is>
      </c>
      <c r="Q74" s="17" t="inlineStr">
        <is>
          <t>WAG isn't a full FBS participant this season — model doesn't rate them reliably</t>
        </is>
      </c>
    </row>
    <row r="75">
      <c r="A75" s="12" t="inlineStr">
        <is>
          <t>PASS</t>
        </is>
      </c>
      <c r="B75" s="12" t="inlineStr">
        <is>
          <t>UTM @ WVU</t>
        </is>
      </c>
      <c r="C75" s="12" t="inlineStr">
        <is>
          <t>2026-09-12 17:00</t>
        </is>
      </c>
      <c r="D75" s="22" t="n">
        <v>2</v>
      </c>
      <c r="E75" s="12" t="inlineStr">
        <is>
          <t>ATS</t>
        </is>
      </c>
      <c r="F75" s="12" t="inlineStr">
        <is>
          <t>UTM +41.5</t>
        </is>
      </c>
      <c r="G75" s="23" t="n">
        <v>-41.5</v>
      </c>
      <c r="H75" s="13" t="n">
        <v>-112</v>
      </c>
      <c r="I75" s="15" t="n">
        <v>0.7512585352726775</v>
      </c>
      <c r="J75" s="15" t="n">
        <v>0.5043297540699688</v>
      </c>
      <c r="K75" s="15" t="n">
        <v>0.5283018867924528</v>
      </c>
      <c r="L75" s="14" t="n">
        <v>0.09499365920196068</v>
      </c>
      <c r="M75" s="14" t="n">
        <v>0.4220250846232823</v>
      </c>
      <c r="N75" s="15" t="n">
        <v>0</v>
      </c>
      <c r="O75" s="24" t="n">
        <v>0.4</v>
      </c>
      <c r="P75" s="12" t="inlineStr">
        <is>
          <t>DraftKings</t>
        </is>
      </c>
      <c r="Q75" s="12" t="inlineStr">
        <is>
          <t>UTM isn't a full FBS participant this season — model doesn't rate them reliably</t>
        </is>
      </c>
    </row>
    <row r="76">
      <c r="A76" s="17" t="inlineStr">
        <is>
          <t>PASS</t>
        </is>
      </c>
      <c r="B76" s="17" t="inlineStr">
        <is>
          <t>MERC @ UNM</t>
        </is>
      </c>
      <c r="C76" s="17" t="inlineStr">
        <is>
          <t>2026-09-12 20:00</t>
        </is>
      </c>
      <c r="D76" s="25" t="n">
        <v>2</v>
      </c>
      <c r="E76" s="17" t="inlineStr">
        <is>
          <t>ATS</t>
        </is>
      </c>
      <c r="F76" s="17" t="inlineStr">
        <is>
          <t>MERC +41.5</t>
        </is>
      </c>
      <c r="G76" s="26" t="n">
        <v>-41.5</v>
      </c>
      <c r="H76" s="18" t="n">
        <v>-112</v>
      </c>
      <c r="I76" s="20" t="n">
        <v>0.7508629872765398</v>
      </c>
      <c r="J76" s="20" t="n">
        <v>0.5043297540699688</v>
      </c>
      <c r="K76" s="20" t="n">
        <v>0.5283018867924528</v>
      </c>
      <c r="L76" s="19" t="n">
        <v>0.09499355363924104</v>
      </c>
      <c r="M76" s="19" t="n">
        <v>0.4212763687734502</v>
      </c>
      <c r="N76" s="20" t="n">
        <v>0</v>
      </c>
      <c r="O76" s="27" t="n">
        <v>0.725</v>
      </c>
      <c r="P76" s="17" t="inlineStr">
        <is>
          <t>DraftKings</t>
        </is>
      </c>
      <c r="Q76" s="17" t="inlineStr">
        <is>
          <t>MERC isn't a full FBS participant this season — model doesn't rate them reliably</t>
        </is>
      </c>
    </row>
    <row r="77">
      <c r="A77" s="12" t="inlineStr">
        <is>
          <t>PASS</t>
        </is>
      </c>
      <c r="B77" s="12" t="inlineStr">
        <is>
          <t>WKU @ UGA</t>
        </is>
      </c>
      <c r="C77" s="12" t="inlineStr">
        <is>
          <t>2026-09-12 16:45</t>
        </is>
      </c>
      <c r="D77" s="22" t="n">
        <v>2</v>
      </c>
      <c r="E77" s="12" t="inlineStr">
        <is>
          <t>ATS</t>
        </is>
      </c>
      <c r="F77" s="12" t="inlineStr">
        <is>
          <t>WKU +40.5</t>
        </is>
      </c>
      <c r="G77" s="23" t="n">
        <v>-40.5</v>
      </c>
      <c r="H77" s="13" t="n">
        <v>-112</v>
      </c>
      <c r="I77" s="15" t="n">
        <v>0.750372937224439</v>
      </c>
      <c r="J77" s="15" t="n">
        <v>0.5043297540699688</v>
      </c>
      <c r="K77" s="15" t="n">
        <v>0.5283018867924528</v>
      </c>
      <c r="L77" s="14" t="n">
        <v>0.09499342041555056</v>
      </c>
      <c r="M77" s="14" t="n">
        <v>0.4203487740319738</v>
      </c>
      <c r="N77" s="15" t="n">
        <v>0</v>
      </c>
      <c r="O77" s="24" t="n">
        <v>0.725</v>
      </c>
      <c r="P77" s="12" t="inlineStr">
        <is>
          <t>DraftKings</t>
        </is>
      </c>
      <c r="Q77" s="12" t="inlineStr">
        <is>
          <t>raw model/market disagreement exceeds the safety limit</t>
        </is>
      </c>
    </row>
    <row r="78">
      <c r="A78" s="17" t="inlineStr">
        <is>
          <t>PASS</t>
        </is>
      </c>
      <c r="B78" s="17" t="inlineStr">
        <is>
          <t>WOF @ KENT</t>
        </is>
      </c>
      <c r="C78" s="17" t="inlineStr">
        <is>
          <t>2026-09-12 16:00</t>
        </is>
      </c>
      <c r="D78" s="25" t="n">
        <v>2</v>
      </c>
      <c r="E78" s="17" t="inlineStr">
        <is>
          <t>ML</t>
        </is>
      </c>
      <c r="F78" s="17" t="inlineStr">
        <is>
          <t>WOF ML</t>
        </is>
      </c>
      <c r="G78" s="26" t="n"/>
      <c r="H78" s="18" t="n">
        <v>410</v>
      </c>
      <c r="I78" s="20" t="n">
        <v>0.2796351789533333</v>
      </c>
      <c r="J78" s="20" t="n">
        <v>0.1881331403762663</v>
      </c>
      <c r="K78" s="20" t="n">
        <v>0.196078431372549</v>
      </c>
      <c r="L78" s="19" t="n">
        <v>0.09499321030391768</v>
      </c>
      <c r="M78" s="19" t="n">
        <v>0.426139412662</v>
      </c>
      <c r="N78" s="20" t="n">
        <v>0</v>
      </c>
      <c r="O78" s="27" t="n">
        <v>0.4</v>
      </c>
      <c r="P78" s="17" t="inlineStr">
        <is>
          <t>DraftKings</t>
        </is>
      </c>
      <c r="Q78" s="17" t="inlineStr">
        <is>
          <t>WOF isn't a full FBS participant this season — model doesn't rate them reliably</t>
        </is>
      </c>
    </row>
    <row r="79">
      <c r="A79" s="12" t="inlineStr">
        <is>
          <t>PASS</t>
        </is>
      </c>
      <c r="B79" s="12" t="inlineStr">
        <is>
          <t>USM @ AUB</t>
        </is>
      </c>
      <c r="C79" s="12" t="inlineStr">
        <is>
          <t>2026-09-12 23:45</t>
        </is>
      </c>
      <c r="D79" s="22" t="n">
        <v>2</v>
      </c>
      <c r="E79" s="12" t="inlineStr">
        <is>
          <t>ATS</t>
        </is>
      </c>
      <c r="F79" s="12" t="inlineStr">
        <is>
          <t>USM +32.5</t>
        </is>
      </c>
      <c r="G79" s="23" t="n">
        <v>-32.5</v>
      </c>
      <c r="H79" s="13" t="n">
        <v>-110</v>
      </c>
      <c r="I79" s="15" t="n">
        <v>0.7431587838257947</v>
      </c>
      <c r="J79" s="15" t="n">
        <v>0.5</v>
      </c>
      <c r="K79" s="15" t="n">
        <v>0.5238095238095238</v>
      </c>
      <c r="L79" s="14" t="n">
        <v>0.09499320301592944</v>
      </c>
      <c r="M79" s="14" t="n">
        <v>0.4187576782128808</v>
      </c>
      <c r="N79" s="15" t="n">
        <v>0</v>
      </c>
      <c r="O79" s="24" t="n">
        <v>0.725</v>
      </c>
      <c r="P79" s="12" t="inlineStr">
        <is>
          <t>DraftKings</t>
        </is>
      </c>
      <c r="Q79" s="12" t="inlineStr">
        <is>
          <t>raw model/market disagreement exceeds the safety limit</t>
        </is>
      </c>
    </row>
    <row r="80">
      <c r="A80" s="17" t="inlineStr">
        <is>
          <t>PASS</t>
        </is>
      </c>
      <c r="B80" s="17" t="inlineStr">
        <is>
          <t>WEB @ COLO</t>
        </is>
      </c>
      <c r="C80" s="17" t="inlineStr">
        <is>
          <t>2026-09-12 19:30</t>
        </is>
      </c>
      <c r="D80" s="25" t="n">
        <v>2</v>
      </c>
      <c r="E80" s="17" t="inlineStr">
        <is>
          <t>ATS</t>
        </is>
      </c>
      <c r="F80" s="17" t="inlineStr">
        <is>
          <t>WEB +33.5</t>
        </is>
      </c>
      <c r="G80" s="26" t="n">
        <v>-33.5</v>
      </c>
      <c r="H80" s="18" t="n">
        <v>-110</v>
      </c>
      <c r="I80" s="20" t="n">
        <v>0.7428083087312429</v>
      </c>
      <c r="J80" s="20" t="n">
        <v>0.5</v>
      </c>
      <c r="K80" s="20" t="n">
        <v>0.5238095238095238</v>
      </c>
      <c r="L80" s="19" t="n">
        <v>0.09499310197382538</v>
      </c>
      <c r="M80" s="19" t="n">
        <v>0.4180885893960093</v>
      </c>
      <c r="N80" s="20" t="n">
        <v>0</v>
      </c>
      <c r="O80" s="27" t="n">
        <v>0.4</v>
      </c>
      <c r="P80" s="17" t="inlineStr">
        <is>
          <t>DraftKings</t>
        </is>
      </c>
      <c r="Q80" s="17" t="inlineStr">
        <is>
          <t>WEB isn't a full FBS participant this season — model doesn't rate them reliably</t>
        </is>
      </c>
    </row>
    <row r="81">
      <c r="A81" s="12" t="inlineStr">
        <is>
          <t>PASS</t>
        </is>
      </c>
      <c r="B81" s="12" t="inlineStr">
        <is>
          <t>WCU @ CIN</t>
        </is>
      </c>
      <c r="C81" s="12" t="inlineStr">
        <is>
          <t>2026-09-12 23:00</t>
        </is>
      </c>
      <c r="D81" s="22" t="n">
        <v>2</v>
      </c>
      <c r="E81" s="12" t="inlineStr">
        <is>
          <t>ATS</t>
        </is>
      </c>
      <c r="F81" s="12" t="inlineStr">
        <is>
          <t>WCU +36.5</t>
        </is>
      </c>
      <c r="G81" s="23" t="n">
        <v>-36.5</v>
      </c>
      <c r="H81" s="13" t="n">
        <v>-112</v>
      </c>
      <c r="I81" s="15" t="n">
        <v>0.7489241281876072</v>
      </c>
      <c r="J81" s="15" t="n">
        <v>0.5043297540699688</v>
      </c>
      <c r="K81" s="15" t="n">
        <v>0.5283018867924528</v>
      </c>
      <c r="L81" s="14" t="n">
        <v>0.09499301022616539</v>
      </c>
      <c r="M81" s="14" t="n">
        <v>0.4176063854979708</v>
      </c>
      <c r="N81" s="15" t="n">
        <v>0</v>
      </c>
      <c r="O81" s="24" t="n">
        <v>0.4</v>
      </c>
      <c r="P81" s="12" t="inlineStr">
        <is>
          <t>DraftKings</t>
        </is>
      </c>
      <c r="Q81" s="12" t="inlineStr">
        <is>
          <t>WCU isn't a full FBS participant this season — model doesn't rate them reliably</t>
        </is>
      </c>
    </row>
    <row r="82">
      <c r="A82" s="17" t="inlineStr">
        <is>
          <t>PASS</t>
        </is>
      </c>
      <c r="B82" s="17" t="inlineStr">
        <is>
          <t>ORE @ OKST</t>
        </is>
      </c>
      <c r="C82" s="17" t="inlineStr">
        <is>
          <t>2026-09-12 16:00</t>
        </is>
      </c>
      <c r="D82" s="25" t="n">
        <v>2</v>
      </c>
      <c r="E82" s="17" t="inlineStr">
        <is>
          <t>ATS</t>
        </is>
      </c>
      <c r="F82" s="17" t="inlineStr">
        <is>
          <t>OKST +23.5</t>
        </is>
      </c>
      <c r="G82" s="26" t="n">
        <v>23.5</v>
      </c>
      <c r="H82" s="18" t="n">
        <v>-112</v>
      </c>
      <c r="I82" s="20" t="n">
        <v>0.746746217577417</v>
      </c>
      <c r="J82" s="20" t="n">
        <v>0.5043297540699688</v>
      </c>
      <c r="K82" s="20" t="n">
        <v>0.5283018867924528</v>
      </c>
      <c r="L82" s="19" t="n">
        <v>0.09499234500079141</v>
      </c>
      <c r="M82" s="19" t="n">
        <v>0.4134839118429678</v>
      </c>
      <c r="N82" s="20" t="n">
        <v>0</v>
      </c>
      <c r="O82" s="27" t="n">
        <v>0.725</v>
      </c>
      <c r="P82" s="17" t="inlineStr">
        <is>
          <t>DraftKings</t>
        </is>
      </c>
      <c r="Q82" s="17" t="inlineStr">
        <is>
          <t>raw model/market disagreement exceeds the safety limit</t>
        </is>
      </c>
    </row>
    <row r="83">
      <c r="A83" s="12" t="inlineStr">
        <is>
          <t>PASS</t>
        </is>
      </c>
      <c r="B83" s="12" t="inlineStr">
        <is>
          <t>FOR @ CCU</t>
        </is>
      </c>
      <c r="C83" s="12" t="inlineStr">
        <is>
          <t>2026-09-12 23:30</t>
        </is>
      </c>
      <c r="D83" s="22" t="n">
        <v>2</v>
      </c>
      <c r="E83" s="12" t="inlineStr">
        <is>
          <t>ATS</t>
        </is>
      </c>
      <c r="F83" s="12" t="inlineStr">
        <is>
          <t>FOR +34.5</t>
        </is>
      </c>
      <c r="G83" s="23" t="n">
        <v>-34.5</v>
      </c>
      <c r="H83" s="13" t="n">
        <v>-112</v>
      </c>
      <c r="I83" s="15" t="n">
        <v>0.7461921145772246</v>
      </c>
      <c r="J83" s="15" t="n">
        <v>0.5043297540699688</v>
      </c>
      <c r="K83" s="15" t="n">
        <v>0.5283018867924528</v>
      </c>
      <c r="L83" s="14" t="n">
        <v>0.09499216588168337</v>
      </c>
      <c r="M83" s="14" t="n">
        <v>0.4124350740211751</v>
      </c>
      <c r="N83" s="15" t="n">
        <v>0</v>
      </c>
      <c r="O83" s="24" t="n">
        <v>0.725</v>
      </c>
      <c r="P83" s="12" t="inlineStr">
        <is>
          <t>DraftKings</t>
        </is>
      </c>
      <c r="Q83" s="12" t="inlineStr">
        <is>
          <t>FOR isn't a full FBS participant this season — model doesn't rate them reliably</t>
        </is>
      </c>
    </row>
    <row r="84">
      <c r="A84" s="17" t="inlineStr">
        <is>
          <t>PASS</t>
        </is>
      </c>
      <c r="B84" s="17" t="inlineStr">
        <is>
          <t>FAMU @ MIA</t>
        </is>
      </c>
      <c r="C84" s="17" t="inlineStr">
        <is>
          <t>2026-09-11 00:00</t>
        </is>
      </c>
      <c r="D84" s="25" t="n">
        <v>2</v>
      </c>
      <c r="E84" s="17" t="inlineStr">
        <is>
          <t>ATS</t>
        </is>
      </c>
      <c r="F84" s="17" t="inlineStr">
        <is>
          <t>FAMU +59.5</t>
        </is>
      </c>
      <c r="G84" s="26" t="n">
        <v>-59.5</v>
      </c>
      <c r="H84" s="18" t="n">
        <v>-115</v>
      </c>
      <c r="I84" s="20" t="n">
        <v>0.7554044802267977</v>
      </c>
      <c r="J84" s="20" t="n">
        <v>0.5108342361863488</v>
      </c>
      <c r="K84" s="20" t="n">
        <v>0.5348837209302325</v>
      </c>
      <c r="L84" s="19" t="n">
        <v>0.09499203190231961</v>
      </c>
      <c r="M84" s="19" t="n">
        <v>0.4122779412935782</v>
      </c>
      <c r="N84" s="20" t="n">
        <v>0</v>
      </c>
      <c r="O84" s="27" t="n">
        <v>0.4</v>
      </c>
      <c r="P84" s="17" t="inlineStr">
        <is>
          <t>DraftKings</t>
        </is>
      </c>
      <c r="Q84" s="17" t="inlineStr">
        <is>
          <t>FAMU isn't a full FBS participant this season — model doesn't rate them reliably</t>
        </is>
      </c>
    </row>
    <row r="85">
      <c r="A85" s="12" t="inlineStr">
        <is>
          <t>PASS</t>
        </is>
      </c>
      <c r="B85" s="12" t="inlineStr">
        <is>
          <t>CLT @ MISS</t>
        </is>
      </c>
      <c r="C85" s="12" t="inlineStr">
        <is>
          <t>2026-09-12 23:45</t>
        </is>
      </c>
      <c r="D85" s="22" t="n">
        <v>2</v>
      </c>
      <c r="E85" s="12" t="inlineStr">
        <is>
          <t>ATS</t>
        </is>
      </c>
      <c r="F85" s="12" t="inlineStr">
        <is>
          <t>CLT +46.5</t>
        </is>
      </c>
      <c r="G85" s="23" t="n">
        <v>-46.5</v>
      </c>
      <c r="H85" s="13" t="n">
        <v>-115</v>
      </c>
      <c r="I85" s="15" t="n">
        <v>0.7550209460255741</v>
      </c>
      <c r="J85" s="15" t="n">
        <v>0.5108342361863488</v>
      </c>
      <c r="K85" s="15" t="n">
        <v>0.5348837209302325</v>
      </c>
      <c r="L85" s="14" t="n">
        <v>0.09499190496086944</v>
      </c>
      <c r="M85" s="14" t="n">
        <v>0.4115608990912907</v>
      </c>
      <c r="N85" s="15" t="n">
        <v>0</v>
      </c>
      <c r="O85" s="24" t="n">
        <v>0.725</v>
      </c>
      <c r="P85" s="12" t="inlineStr">
        <is>
          <t>DraftKings</t>
        </is>
      </c>
      <c r="Q85" s="12" t="inlineStr">
        <is>
          <t>raw model/market disagreement exceeds the safety limit</t>
        </is>
      </c>
    </row>
    <row r="86">
      <c r="A86" s="17" t="inlineStr">
        <is>
          <t>PASS</t>
        </is>
      </c>
      <c r="B86" s="17" t="inlineStr">
        <is>
          <t>WIU @ WIS</t>
        </is>
      </c>
      <c r="C86" s="17" t="inlineStr">
        <is>
          <t>2026-09-12 23:15</t>
        </is>
      </c>
      <c r="D86" s="25" t="n">
        <v>2</v>
      </c>
      <c r="E86" s="17" t="inlineStr">
        <is>
          <t>ATS</t>
        </is>
      </c>
      <c r="F86" s="17" t="inlineStr">
        <is>
          <t>WIU +38.5</t>
        </is>
      </c>
      <c r="G86" s="26" t="n">
        <v>-38.5</v>
      </c>
      <c r="H86" s="18" t="n">
        <v>-115</v>
      </c>
      <c r="I86" s="20" t="n">
        <v>0.7538738904252364</v>
      </c>
      <c r="J86" s="20" t="n">
        <v>0.5108342361863488</v>
      </c>
      <c r="K86" s="20" t="n">
        <v>0.5348837209302325</v>
      </c>
      <c r="L86" s="19" t="n">
        <v>0.09499151311434249</v>
      </c>
      <c r="M86" s="19" t="n">
        <v>0.4094164038384853</v>
      </c>
      <c r="N86" s="20" t="n">
        <v>0</v>
      </c>
      <c r="O86" s="27" t="n">
        <v>0.4</v>
      </c>
      <c r="P86" s="17" t="inlineStr">
        <is>
          <t>DraftKings</t>
        </is>
      </c>
      <c r="Q86" s="17" t="inlineStr">
        <is>
          <t>WIU isn't a full FBS participant this season — model doesn't rate them reliably</t>
        </is>
      </c>
    </row>
    <row r="87">
      <c r="A87" s="12" t="inlineStr">
        <is>
          <t>PASS</t>
        </is>
      </c>
      <c r="B87" s="12" t="inlineStr">
        <is>
          <t>BGSU @ NEB</t>
        </is>
      </c>
      <c r="C87" s="12" t="inlineStr">
        <is>
          <t>2026-09-12 23:00</t>
        </is>
      </c>
      <c r="D87" s="22" t="n">
        <v>2</v>
      </c>
      <c r="E87" s="12" t="inlineStr">
        <is>
          <t>ATS</t>
        </is>
      </c>
      <c r="F87" s="12" t="inlineStr">
        <is>
          <t>BGSU +30.5</t>
        </is>
      </c>
      <c r="G87" s="23" t="n">
        <v>-30.5</v>
      </c>
      <c r="H87" s="13" t="n">
        <v>-110</v>
      </c>
      <c r="I87" s="15" t="n">
        <v>0.7356576943069356</v>
      </c>
      <c r="J87" s="15" t="n">
        <v>0.5</v>
      </c>
      <c r="K87" s="15" t="n">
        <v>0.5238095238095238</v>
      </c>
      <c r="L87" s="14" t="n">
        <v>0.0949906787097632</v>
      </c>
      <c r="M87" s="14" t="n">
        <v>0.4044374164041498</v>
      </c>
      <c r="N87" s="15" t="n">
        <v>0</v>
      </c>
      <c r="O87" s="24" t="n">
        <v>0.725</v>
      </c>
      <c r="P87" s="12" t="inlineStr">
        <is>
          <t>DraftKings</t>
        </is>
      </c>
      <c r="Q87" s="12" t="inlineStr">
        <is>
          <t>raw model/market disagreement exceeds the safety limit</t>
        </is>
      </c>
    </row>
    <row r="88">
      <c r="A88" s="17" t="inlineStr">
        <is>
          <t>PASS</t>
        </is>
      </c>
      <c r="B88" s="17" t="inlineStr">
        <is>
          <t>COLG @ CMU</t>
        </is>
      </c>
      <c r="C88" s="17" t="inlineStr">
        <is>
          <t>2026-09-12 17:00</t>
        </is>
      </c>
      <c r="D88" s="25" t="n">
        <v>2</v>
      </c>
      <c r="E88" s="17" t="inlineStr">
        <is>
          <t>ATS</t>
        </is>
      </c>
      <c r="F88" s="17" t="inlineStr">
        <is>
          <t>COLG +23.5</t>
        </is>
      </c>
      <c r="G88" s="26" t="n">
        <v>-23.5</v>
      </c>
      <c r="H88" s="18" t="n">
        <v>-102</v>
      </c>
      <c r="I88" s="20" t="n">
        <v>0.7099687392164108</v>
      </c>
      <c r="J88" s="20" t="n">
        <v>0.4826358742837298</v>
      </c>
      <c r="K88" s="20" t="n">
        <v>0.504950495049505</v>
      </c>
      <c r="L88" s="19" t="n">
        <v>0.09499062126741786</v>
      </c>
      <c r="M88" s="19" t="n">
        <v>0.4060165227619117</v>
      </c>
      <c r="N88" s="20" t="n">
        <v>0</v>
      </c>
      <c r="O88" s="27" t="n">
        <v>0.4</v>
      </c>
      <c r="P88" s="17" t="inlineStr">
        <is>
          <t>DraftKings</t>
        </is>
      </c>
      <c r="Q88" s="17" t="inlineStr">
        <is>
          <t>COLG isn't a full FBS participant this season — model doesn't rate them reliably</t>
        </is>
      </c>
    </row>
    <row r="89">
      <c r="A89" s="12" t="inlineStr">
        <is>
          <t>PASS</t>
        </is>
      </c>
      <c r="B89" s="12" t="inlineStr">
        <is>
          <t>MIA @ WAKE</t>
        </is>
      </c>
      <c r="C89" s="12" t="inlineStr">
        <is>
          <t>2026-09-18 23:30</t>
        </is>
      </c>
      <c r="D89" s="22" t="n">
        <v>3</v>
      </c>
      <c r="E89" s="12" t="inlineStr">
        <is>
          <t>ATS</t>
        </is>
      </c>
      <c r="F89" s="12" t="inlineStr">
        <is>
          <t>WAKE +19.5</t>
        </is>
      </c>
      <c r="G89" s="23" t="n">
        <v>19.5</v>
      </c>
      <c r="H89" s="13" t="n">
        <v>-110</v>
      </c>
      <c r="I89" s="15" t="n">
        <v>0.7335002968475104</v>
      </c>
      <c r="J89" s="15" t="n">
        <v>0.5</v>
      </c>
      <c r="K89" s="15" t="n">
        <v>0.5238095238095238</v>
      </c>
      <c r="L89" s="14" t="n">
        <v>0.09498979238327679</v>
      </c>
      <c r="M89" s="14" t="n">
        <v>0.4003187485270654</v>
      </c>
      <c r="N89" s="15" t="n">
        <v>0</v>
      </c>
      <c r="O89" s="24" t="n">
        <v>0.725</v>
      </c>
      <c r="P89" s="12" t="inlineStr">
        <is>
          <t>DraftKings</t>
        </is>
      </c>
      <c r="Q89" s="12" t="inlineStr">
        <is>
          <t>raw model/market disagreement exceeds the safety limit</t>
        </is>
      </c>
    </row>
    <row r="90">
      <c r="A90" s="17" t="inlineStr">
        <is>
          <t>PASS</t>
        </is>
      </c>
      <c r="B90" s="17" t="inlineStr">
        <is>
          <t>RICH @ NCSU</t>
        </is>
      </c>
      <c r="C90" s="17" t="inlineStr">
        <is>
          <t>2026-09-11 23:00</t>
        </is>
      </c>
      <c r="D90" s="25" t="n">
        <v>2</v>
      </c>
      <c r="E90" s="17" t="inlineStr">
        <is>
          <t>ATS</t>
        </is>
      </c>
      <c r="F90" s="17" t="inlineStr">
        <is>
          <t>RICH +32.5</t>
        </is>
      </c>
      <c r="G90" s="26" t="n">
        <v>-32.5</v>
      </c>
      <c r="H90" s="18" t="n">
        <v>-115</v>
      </c>
      <c r="I90" s="20" t="n">
        <v>0.7484818742591077</v>
      </c>
      <c r="J90" s="20" t="n">
        <v>0.5108342361863488</v>
      </c>
      <c r="K90" s="20" t="n">
        <v>0.5348837209302325</v>
      </c>
      <c r="L90" s="19" t="n">
        <v>0.09498940133397585</v>
      </c>
      <c r="M90" s="19" t="n">
        <v>0.3993356779626795</v>
      </c>
      <c r="N90" s="20" t="n">
        <v>0</v>
      </c>
      <c r="O90" s="27" t="n">
        <v>0.4</v>
      </c>
      <c r="P90" s="17" t="inlineStr">
        <is>
          <t>DraftKings</t>
        </is>
      </c>
      <c r="Q90" s="17" t="inlineStr">
        <is>
          <t>RICH isn't a full FBS participant this season — model doesn't rate them reliably</t>
        </is>
      </c>
    </row>
    <row r="91">
      <c r="A91" s="12" t="inlineStr">
        <is>
          <t>PASS</t>
        </is>
      </c>
      <c r="B91" s="12" t="inlineStr">
        <is>
          <t>NORF @ UVA</t>
        </is>
      </c>
      <c r="C91" s="12" t="inlineStr">
        <is>
          <t>2026-09-11 23:00</t>
        </is>
      </c>
      <c r="D91" s="22" t="n">
        <v>2</v>
      </c>
      <c r="E91" s="12" t="inlineStr">
        <is>
          <t>ATS</t>
        </is>
      </c>
      <c r="F91" s="12" t="inlineStr">
        <is>
          <t>NORF +45.5</t>
        </is>
      </c>
      <c r="G91" s="23" t="n">
        <v>-45.5</v>
      </c>
      <c r="H91" s="13" t="n">
        <v>-118</v>
      </c>
      <c r="I91" s="15" t="n">
        <v>0.7578616003587868</v>
      </c>
      <c r="J91" s="15" t="n">
        <v>0.5173641257162701</v>
      </c>
      <c r="K91" s="15" t="n">
        <v>0.5412844036697247</v>
      </c>
      <c r="L91" s="14" t="n">
        <v>0.09498931996200959</v>
      </c>
      <c r="M91" s="14" t="n">
        <v>0.4001171938831825</v>
      </c>
      <c r="N91" s="15" t="n">
        <v>0</v>
      </c>
      <c r="O91" s="24" t="n">
        <v>0.725</v>
      </c>
      <c r="P91" s="12" t="inlineStr">
        <is>
          <t>DraftKings</t>
        </is>
      </c>
      <c r="Q91" s="12" t="inlineStr">
        <is>
          <t>NORF isn't a full FBS participant this season — model doesn't rate them reliably</t>
        </is>
      </c>
    </row>
    <row r="92">
      <c r="A92" s="17" t="inlineStr">
        <is>
          <t>PASS</t>
        </is>
      </c>
      <c r="B92" s="17" t="inlineStr">
        <is>
          <t>UGA @ ARK</t>
        </is>
      </c>
      <c r="C92" s="17" t="inlineStr">
        <is>
          <t>2026-09-19 16:00</t>
        </is>
      </c>
      <c r="D92" s="25" t="n">
        <v>3</v>
      </c>
      <c r="E92" s="17" t="inlineStr">
        <is>
          <t>ATS</t>
        </is>
      </c>
      <c r="F92" s="17" t="inlineStr">
        <is>
          <t>ARK +17.5</t>
        </is>
      </c>
      <c r="G92" s="26" t="n">
        <v>17.5</v>
      </c>
      <c r="H92" s="18" t="n">
        <v>-110</v>
      </c>
      <c r="I92" s="20" t="n">
        <v>0.7308243127285718</v>
      </c>
      <c r="J92" s="20" t="n">
        <v>0.5</v>
      </c>
      <c r="K92" s="20" t="n">
        <v>0.5238095238095238</v>
      </c>
      <c r="L92" s="19" t="n">
        <v>0.09498857503598311</v>
      </c>
      <c r="M92" s="19" t="n">
        <v>0.3952100515727281</v>
      </c>
      <c r="N92" s="20" t="n">
        <v>0</v>
      </c>
      <c r="O92" s="27" t="n">
        <v>0.725</v>
      </c>
      <c r="P92" s="17" t="inlineStr">
        <is>
          <t>DraftKings</t>
        </is>
      </c>
      <c r="Q92" s="17" t="inlineStr">
        <is>
          <t>raw model/market disagreement exceeds the safety limit</t>
        </is>
      </c>
    </row>
    <row r="93">
      <c r="A93" s="12" t="inlineStr">
        <is>
          <t>PASS</t>
        </is>
      </c>
      <c r="B93" s="12" t="inlineStr">
        <is>
          <t>UL @ USC</t>
        </is>
      </c>
      <c r="C93" s="12" t="inlineStr">
        <is>
          <t>2026-09-13 03:00</t>
        </is>
      </c>
      <c r="D93" s="22" t="n">
        <v>2</v>
      </c>
      <c r="E93" s="12" t="inlineStr">
        <is>
          <t>ATS</t>
        </is>
      </c>
      <c r="F93" s="12" t="inlineStr">
        <is>
          <t>UL +31.5</t>
        </is>
      </c>
      <c r="G93" s="23" t="n">
        <v>-31.5</v>
      </c>
      <c r="H93" s="13" t="n">
        <v>-115</v>
      </c>
      <c r="I93" s="15" t="n">
        <v>0.7460697686435848</v>
      </c>
      <c r="J93" s="15" t="n">
        <v>0.5108342361863488</v>
      </c>
      <c r="K93" s="15" t="n">
        <v>0.5348837209302325</v>
      </c>
      <c r="L93" s="14" t="n">
        <v>0.09498829365934208</v>
      </c>
      <c r="M93" s="14" t="n">
        <v>0.3948260892032236</v>
      </c>
      <c r="N93" s="15" t="n">
        <v>0</v>
      </c>
      <c r="O93" s="24" t="n">
        <v>0.725</v>
      </c>
      <c r="P93" s="12" t="inlineStr">
        <is>
          <t>DraftKings</t>
        </is>
      </c>
      <c r="Q93" s="12" t="inlineStr">
        <is>
          <t>raw model/market disagreement exceeds the safety limit</t>
        </is>
      </c>
    </row>
    <row r="94">
      <c r="A94" s="17" t="inlineStr">
        <is>
          <t>PASS</t>
        </is>
      </c>
      <c r="B94" s="17" t="inlineStr">
        <is>
          <t>HC @ M-OH</t>
        </is>
      </c>
      <c r="C94" s="17" t="inlineStr">
        <is>
          <t>2026-09-12 17:00</t>
        </is>
      </c>
      <c r="D94" s="25" t="n">
        <v>2</v>
      </c>
      <c r="E94" s="17" t="inlineStr">
        <is>
          <t>ATS</t>
        </is>
      </c>
      <c r="F94" s="17" t="inlineStr">
        <is>
          <t>HC +30.5</t>
        </is>
      </c>
      <c r="G94" s="26" t="n">
        <v>-30.5</v>
      </c>
      <c r="H94" s="18" t="n">
        <v>-115</v>
      </c>
      <c r="I94" s="20" t="n">
        <v>0.7454987836054825</v>
      </c>
      <c r="J94" s="20" t="n">
        <v>0.5108342361863488</v>
      </c>
      <c r="K94" s="20" t="n">
        <v>0.5348837209302325</v>
      </c>
      <c r="L94" s="19" t="n">
        <v>0.09498801494153072</v>
      </c>
      <c r="M94" s="19" t="n">
        <v>0.3937585954363367</v>
      </c>
      <c r="N94" s="20" t="n">
        <v>0</v>
      </c>
      <c r="O94" s="27" t="n">
        <v>0.4</v>
      </c>
      <c r="P94" s="17" t="inlineStr">
        <is>
          <t>DraftKings</t>
        </is>
      </c>
      <c r="Q94" s="17" t="inlineStr">
        <is>
          <t>HC isn't a full FBS participant this season — model doesn't rate them reliably</t>
        </is>
      </c>
    </row>
    <row r="95">
      <c r="A95" s="12" t="inlineStr">
        <is>
          <t>PASS</t>
        </is>
      </c>
      <c r="B95" s="12" t="inlineStr">
        <is>
          <t>RMU @ AKR</t>
        </is>
      </c>
      <c r="C95" s="12" t="inlineStr">
        <is>
          <t>2026-09-12 19:30</t>
        </is>
      </c>
      <c r="D95" s="22" t="n">
        <v>2</v>
      </c>
      <c r="E95" s="12" t="inlineStr">
        <is>
          <t>ATS</t>
        </is>
      </c>
      <c r="F95" s="12" t="inlineStr">
        <is>
          <t>RMU +27.5</t>
        </is>
      </c>
      <c r="G95" s="23" t="n">
        <v>-27.5</v>
      </c>
      <c r="H95" s="13" t="n">
        <v>-112</v>
      </c>
      <c r="I95" s="15" t="n">
        <v>0.7343417794666041</v>
      </c>
      <c r="J95" s="15" t="n">
        <v>0.5043297540699688</v>
      </c>
      <c r="K95" s="15" t="n">
        <v>0.5283018867924528</v>
      </c>
      <c r="L95" s="14" t="n">
        <v>0.09498715262175517</v>
      </c>
      <c r="M95" s="14" t="n">
        <v>0.3900040825617863</v>
      </c>
      <c r="N95" s="15" t="n">
        <v>0</v>
      </c>
      <c r="O95" s="24" t="n">
        <v>0.4</v>
      </c>
      <c r="P95" s="12" t="inlineStr">
        <is>
          <t>DraftKings</t>
        </is>
      </c>
      <c r="Q95" s="12" t="inlineStr">
        <is>
          <t>RMU isn't a full FBS participant this season — model doesn't rate them reliably</t>
        </is>
      </c>
    </row>
    <row r="96">
      <c r="A96" s="17" t="inlineStr">
        <is>
          <t>PASS</t>
        </is>
      </c>
      <c r="B96" s="17" t="inlineStr">
        <is>
          <t>GWEB @ LIB</t>
        </is>
      </c>
      <c r="C96" s="17" t="inlineStr">
        <is>
          <t>2026-09-12 22:00</t>
        </is>
      </c>
      <c r="D96" s="25" t="n">
        <v>2</v>
      </c>
      <c r="E96" s="17" t="inlineStr">
        <is>
          <t>ATS</t>
        </is>
      </c>
      <c r="F96" s="17" t="inlineStr">
        <is>
          <t>GWEB +27.5</t>
        </is>
      </c>
      <c r="G96" s="26" t="n">
        <v>-27.5</v>
      </c>
      <c r="H96" s="18" t="n">
        <v>-112</v>
      </c>
      <c r="I96" s="20" t="n">
        <v>0.732081913298938</v>
      </c>
      <c r="J96" s="20" t="n">
        <v>0.5043297540699688</v>
      </c>
      <c r="K96" s="20" t="n">
        <v>0.5283018867924528</v>
      </c>
      <c r="L96" s="19" t="n">
        <v>0.09498588174789989</v>
      </c>
      <c r="M96" s="19" t="n">
        <v>0.3857264787444183</v>
      </c>
      <c r="N96" s="20" t="n">
        <v>0</v>
      </c>
      <c r="O96" s="27" t="n">
        <v>0.4</v>
      </c>
      <c r="P96" s="17" t="inlineStr">
        <is>
          <t>DraftKings</t>
        </is>
      </c>
      <c r="Q96" s="17" t="inlineStr">
        <is>
          <t>GWEB isn't a full FBS participant this season — model doesn't rate them reliably</t>
        </is>
      </c>
    </row>
    <row r="97">
      <c r="A97" s="12" t="inlineStr">
        <is>
          <t>PASS</t>
        </is>
      </c>
      <c r="B97" s="12" t="inlineStr">
        <is>
          <t>LT @ LSU</t>
        </is>
      </c>
      <c r="C97" s="12" t="inlineStr">
        <is>
          <t>2026-09-12 23:30</t>
        </is>
      </c>
      <c r="D97" s="22" t="n">
        <v>2</v>
      </c>
      <c r="E97" s="12" t="inlineStr">
        <is>
          <t>ATS</t>
        </is>
      </c>
      <c r="F97" s="12" t="inlineStr">
        <is>
          <t>LT +35.5</t>
        </is>
      </c>
      <c r="G97" s="23" t="n">
        <v>-35.5</v>
      </c>
      <c r="H97" s="13" t="n">
        <v>-120</v>
      </c>
      <c r="I97" s="15" t="n">
        <v>0.7571421238046271</v>
      </c>
      <c r="J97" s="15" t="n">
        <v>0.5217391304347826</v>
      </c>
      <c r="K97" s="15" t="n">
        <v>0.5454545454545454</v>
      </c>
      <c r="L97" s="14" t="n">
        <v>0.09498576096510132</v>
      </c>
      <c r="M97" s="14" t="n">
        <v>0.3880938936418163</v>
      </c>
      <c r="N97" s="15" t="n">
        <v>0</v>
      </c>
      <c r="O97" s="24" t="n">
        <v>0.725</v>
      </c>
      <c r="P97" s="12" t="inlineStr">
        <is>
          <t>DraftKings</t>
        </is>
      </c>
      <c r="Q97" s="12" t="inlineStr">
        <is>
          <t>raw model/market disagreement exceeds the safety limit</t>
        </is>
      </c>
    </row>
    <row r="98">
      <c r="A98" s="17" t="inlineStr">
        <is>
          <t>PASS</t>
        </is>
      </c>
      <c r="B98" s="17" t="inlineStr">
        <is>
          <t>USU @ WASH</t>
        </is>
      </c>
      <c r="C98" s="17" t="inlineStr">
        <is>
          <t>2026-09-12 19:30</t>
        </is>
      </c>
      <c r="D98" s="25" t="n">
        <v>2</v>
      </c>
      <c r="E98" s="17" t="inlineStr">
        <is>
          <t>ATS</t>
        </is>
      </c>
      <c r="F98" s="17" t="inlineStr">
        <is>
          <t>USU +26.5</t>
        </is>
      </c>
      <c r="G98" s="26" t="n">
        <v>-26.5</v>
      </c>
      <c r="H98" s="18" t="n">
        <v>-110</v>
      </c>
      <c r="I98" s="20" t="n">
        <v>0.7252727571067488</v>
      </c>
      <c r="J98" s="20" t="n">
        <v>0.5</v>
      </c>
      <c r="K98" s="20" t="n">
        <v>0.5238095238095238</v>
      </c>
      <c r="L98" s="19" t="n">
        <v>0.09498556674868887</v>
      </c>
      <c r="M98" s="19" t="n">
        <v>0.3846116272037932</v>
      </c>
      <c r="N98" s="20" t="n">
        <v>0</v>
      </c>
      <c r="O98" s="27" t="n">
        <v>0.725</v>
      </c>
      <c r="P98" s="17" t="inlineStr">
        <is>
          <t>DraftKings</t>
        </is>
      </c>
      <c r="Q98" s="17" t="inlineStr">
        <is>
          <t>raw model/market disagreement exceeds the safety limit</t>
        </is>
      </c>
    </row>
    <row r="99">
      <c r="A99" s="12" t="inlineStr">
        <is>
          <t>PASS</t>
        </is>
      </c>
      <c r="B99" s="12" t="inlineStr">
        <is>
          <t>TXSO @ UTEP</t>
        </is>
      </c>
      <c r="C99" s="12" t="inlineStr">
        <is>
          <t>2026-09-13 01:00</t>
        </is>
      </c>
      <c r="D99" s="22" t="n">
        <v>2</v>
      </c>
      <c r="E99" s="12" t="inlineStr">
        <is>
          <t>ATS</t>
        </is>
      </c>
      <c r="F99" s="12" t="inlineStr">
        <is>
          <t>TXSO +25.5</t>
        </is>
      </c>
      <c r="G99" s="23" t="n">
        <v>-25.5</v>
      </c>
      <c r="H99" s="13" t="n">
        <v>-112</v>
      </c>
      <c r="I99" s="15" t="n">
        <v>0.7291885629105879</v>
      </c>
      <c r="J99" s="15" t="n">
        <v>0.5043297540699688</v>
      </c>
      <c r="K99" s="15" t="n">
        <v>0.5283018867924528</v>
      </c>
      <c r="L99" s="14" t="n">
        <v>0.09498406945579314</v>
      </c>
      <c r="M99" s="14" t="n">
        <v>0.3802497797950413</v>
      </c>
      <c r="N99" s="15" t="n">
        <v>0</v>
      </c>
      <c r="O99" s="24" t="n">
        <v>0.4</v>
      </c>
      <c r="P99" s="12" t="inlineStr">
        <is>
          <t>DraftKings</t>
        </is>
      </c>
      <c r="Q99" s="12" t="inlineStr">
        <is>
          <t>TXSO isn't a full FBS participant this season — model doesn't rate them reliably</t>
        </is>
      </c>
    </row>
    <row r="100">
      <c r="A100" s="17" t="inlineStr">
        <is>
          <t>PASS</t>
        </is>
      </c>
      <c r="B100" s="17" t="inlineStr">
        <is>
          <t>FAMU @ MIA</t>
        </is>
      </c>
      <c r="C100" s="17" t="inlineStr">
        <is>
          <t>2026-09-11 00:00</t>
        </is>
      </c>
      <c r="D100" s="25" t="n">
        <v>2</v>
      </c>
      <c r="E100" s="17" t="inlineStr">
        <is>
          <t>TOTAL</t>
        </is>
      </c>
      <c r="F100" s="17" t="inlineStr">
        <is>
          <t>Under 65.5</t>
        </is>
      </c>
      <c r="G100" s="26" t="n">
        <v>65.5</v>
      </c>
      <c r="H100" s="18" t="n">
        <v>-102</v>
      </c>
      <c r="I100" s="20" t="n">
        <v>0.6954840292488094</v>
      </c>
      <c r="J100" s="20" t="n">
        <v>0.4826358742837298</v>
      </c>
      <c r="K100" s="20" t="n">
        <v>0.504950495049505</v>
      </c>
      <c r="L100" s="19" t="n">
        <v>0.09498235899824672</v>
      </c>
      <c r="M100" s="19" t="n">
        <v>0.3773311167476421</v>
      </c>
      <c r="N100" s="20" t="n">
        <v>0</v>
      </c>
      <c r="O100" s="27" t="n">
        <v>0.4</v>
      </c>
      <c r="P100" s="17" t="inlineStr">
        <is>
          <t>DraftKings</t>
        </is>
      </c>
      <c r="Q100" s="17" t="inlineStr">
        <is>
          <t>FAMU isn't a full FBS participant this season — model doesn't rate them reliably</t>
        </is>
      </c>
    </row>
    <row r="101">
      <c r="A101" s="12" t="inlineStr">
        <is>
          <t>PASS</t>
        </is>
      </c>
      <c r="B101" s="12" t="inlineStr">
        <is>
          <t>TLSA @ SHSU</t>
        </is>
      </c>
      <c r="C101" s="12" t="inlineStr">
        <is>
          <t>2026-09-12 23:00</t>
        </is>
      </c>
      <c r="D101" s="22" t="n">
        <v>2</v>
      </c>
      <c r="E101" s="12" t="inlineStr">
        <is>
          <t>ATS</t>
        </is>
      </c>
      <c r="F101" s="12" t="inlineStr">
        <is>
          <t>SHSU +13.5</t>
        </is>
      </c>
      <c r="G101" s="23" t="n">
        <v>13.5</v>
      </c>
      <c r="H101" s="13" t="n">
        <v>-110</v>
      </c>
      <c r="I101" s="15" t="n">
        <v>0.7189407575374627</v>
      </c>
      <c r="J101" s="15" t="n">
        <v>0.5</v>
      </c>
      <c r="K101" s="15" t="n">
        <v>0.5238095238095238</v>
      </c>
      <c r="L101" s="14" t="n">
        <v>0.0949811573679958</v>
      </c>
      <c r="M101" s="14" t="n">
        <v>0.3725232643897016</v>
      </c>
      <c r="N101" s="15" t="n">
        <v>0</v>
      </c>
      <c r="O101" s="24" t="n">
        <v>0.725</v>
      </c>
      <c r="P101" s="12" t="inlineStr">
        <is>
          <t>DraftKings</t>
        </is>
      </c>
      <c r="Q101" s="12" t="inlineStr">
        <is>
          <t>raw model/market disagreement exceeds the safety limit</t>
        </is>
      </c>
    </row>
    <row r="102">
      <c r="A102" s="17" t="inlineStr">
        <is>
          <t>PASS</t>
        </is>
      </c>
      <c r="B102" s="17" t="inlineStr">
        <is>
          <t>MD @ CONN</t>
        </is>
      </c>
      <c r="C102" s="17" t="inlineStr">
        <is>
          <t>2026-09-12 19:30</t>
        </is>
      </c>
      <c r="D102" s="25" t="n">
        <v>2</v>
      </c>
      <c r="E102" s="17" t="inlineStr">
        <is>
          <t>ATS</t>
        </is>
      </c>
      <c r="F102" s="17" t="inlineStr">
        <is>
          <t>CONN +11.5</t>
        </is>
      </c>
      <c r="G102" s="26" t="n">
        <v>11.5</v>
      </c>
      <c r="H102" s="18" t="n">
        <v>-105</v>
      </c>
      <c r="I102" s="20" t="n">
        <v>0.7018634509248105</v>
      </c>
      <c r="J102" s="20" t="n">
        <v>0.4891657638136511</v>
      </c>
      <c r="K102" s="20" t="n">
        <v>0.5121951219512195</v>
      </c>
      <c r="L102" s="19" t="n">
        <v>0.09497990185991131</v>
      </c>
      <c r="M102" s="19" t="n">
        <v>0.3703048327579632</v>
      </c>
      <c r="N102" s="20" t="n">
        <v>0</v>
      </c>
      <c r="O102" s="27" t="n">
        <v>0.725</v>
      </c>
      <c r="P102" s="17" t="inlineStr">
        <is>
          <t>DraftKings</t>
        </is>
      </c>
      <c r="Q102" s="17" t="inlineStr">
        <is>
          <t>raw model/market disagreement exceeds the safety limit</t>
        </is>
      </c>
    </row>
    <row r="103">
      <c r="A103" s="12" t="inlineStr">
        <is>
          <t>PASS</t>
        </is>
      </c>
      <c r="B103" s="12" t="inlineStr">
        <is>
          <t>UNCO @ WYO</t>
        </is>
      </c>
      <c r="C103" s="12" t="inlineStr">
        <is>
          <t>2026-09-12 20:00</t>
        </is>
      </c>
      <c r="D103" s="22" t="n">
        <v>2</v>
      </c>
      <c r="E103" s="12" t="inlineStr">
        <is>
          <t>ATS</t>
        </is>
      </c>
      <c r="F103" s="12" t="inlineStr">
        <is>
          <t>UNCO +22.5</t>
        </is>
      </c>
      <c r="G103" s="23" t="n">
        <v>-22.5</v>
      </c>
      <c r="H103" s="13" t="n">
        <v>-108</v>
      </c>
      <c r="I103" s="15" t="n">
        <v>0.7111728756294693</v>
      </c>
      <c r="J103" s="15" t="n">
        <v>0.4956702459300312</v>
      </c>
      <c r="K103" s="15" t="n">
        <v>0.5192307692307693</v>
      </c>
      <c r="L103" s="14" t="n">
        <v>0.0949798819471383</v>
      </c>
      <c r="M103" s="14" t="n">
        <v>0.3696662789900891</v>
      </c>
      <c r="N103" s="15" t="n">
        <v>0</v>
      </c>
      <c r="O103" s="24" t="n">
        <v>0.4</v>
      </c>
      <c r="P103" s="12" t="inlineStr">
        <is>
          <t>DraftKings</t>
        </is>
      </c>
      <c r="Q103" s="12" t="inlineStr">
        <is>
          <t>UNCO isn't a full FBS participant this season — model doesn't rate them reliably</t>
        </is>
      </c>
    </row>
    <row r="104">
      <c r="A104" s="17" t="inlineStr">
        <is>
          <t>PASS</t>
        </is>
      </c>
      <c r="B104" s="17" t="inlineStr">
        <is>
          <t>MONM @ WMU</t>
        </is>
      </c>
      <c r="C104" s="17" t="inlineStr">
        <is>
          <t>2026-09-12 22:30</t>
        </is>
      </c>
      <c r="D104" s="25" t="n">
        <v>2</v>
      </c>
      <c r="E104" s="17" t="inlineStr">
        <is>
          <t>ATS</t>
        </is>
      </c>
      <c r="F104" s="17" t="inlineStr">
        <is>
          <t>MONM +25.5</t>
        </is>
      </c>
      <c r="G104" s="26" t="n">
        <v>-25.5</v>
      </c>
      <c r="H104" s="18" t="n">
        <v>-112</v>
      </c>
      <c r="I104" s="20" t="n">
        <v>0.7235766076774939</v>
      </c>
      <c r="J104" s="20" t="n">
        <v>0.5043297540699688</v>
      </c>
      <c r="K104" s="20" t="n">
        <v>0.5283018867924528</v>
      </c>
      <c r="L104" s="19" t="n">
        <v>0.09497986458124319</v>
      </c>
      <c r="M104" s="19" t="n">
        <v>0.3696271502466848</v>
      </c>
      <c r="N104" s="20" t="n">
        <v>0</v>
      </c>
      <c r="O104" s="27" t="n">
        <v>0.4</v>
      </c>
      <c r="P104" s="17" t="inlineStr">
        <is>
          <t>DraftKings</t>
        </is>
      </c>
      <c r="Q104" s="17" t="inlineStr">
        <is>
          <t>MONM isn't a full FBS participant this season — model doesn't rate them reliably</t>
        </is>
      </c>
    </row>
    <row r="105">
      <c r="A105" s="12" t="inlineStr">
        <is>
          <t>PASS</t>
        </is>
      </c>
      <c r="B105" s="12" t="inlineStr">
        <is>
          <t>DEL @ VAN</t>
        </is>
      </c>
      <c r="C105" s="12" t="inlineStr">
        <is>
          <t>2026-09-12 20:15</t>
        </is>
      </c>
      <c r="D105" s="22" t="n">
        <v>2</v>
      </c>
      <c r="E105" s="12" t="inlineStr">
        <is>
          <t>ATS</t>
        </is>
      </c>
      <c r="F105" s="12" t="inlineStr">
        <is>
          <t>DEL +20.5</t>
        </is>
      </c>
      <c r="G105" s="23" t="n">
        <v>-20.5</v>
      </c>
      <c r="H105" s="13" t="n">
        <v>-105</v>
      </c>
      <c r="I105" s="15" t="n">
        <v>0.7004875518309148</v>
      </c>
      <c r="J105" s="15" t="n">
        <v>0.4891657638136511</v>
      </c>
      <c r="K105" s="15" t="n">
        <v>0.5121951219512195</v>
      </c>
      <c r="L105" s="14" t="n">
        <v>0.09497867592892069</v>
      </c>
      <c r="M105" s="14" t="n">
        <v>0.3676185535746432</v>
      </c>
      <c r="N105" s="15" t="n">
        <v>0</v>
      </c>
      <c r="O105" s="24" t="n">
        <v>0.725</v>
      </c>
      <c r="P105" s="12" t="inlineStr">
        <is>
          <t>DraftKings</t>
        </is>
      </c>
      <c r="Q105" s="12" t="inlineStr">
        <is>
          <t>raw model/market disagreement exceeds the safety limit</t>
        </is>
      </c>
    </row>
    <row r="106">
      <c r="A106" s="17" t="inlineStr">
        <is>
          <t>PASS</t>
        </is>
      </c>
      <c r="B106" s="17" t="inlineStr">
        <is>
          <t>UCD @ SMU</t>
        </is>
      </c>
      <c r="C106" s="17" t="inlineStr">
        <is>
          <t>2026-09-12 20:00</t>
        </is>
      </c>
      <c r="D106" s="25" t="n">
        <v>2</v>
      </c>
      <c r="E106" s="17" t="inlineStr">
        <is>
          <t>ATS</t>
        </is>
      </c>
      <c r="F106" s="17" t="inlineStr">
        <is>
          <t>UCD +25.5</t>
        </is>
      </c>
      <c r="G106" s="26" t="n">
        <v>-25.5</v>
      </c>
      <c r="H106" s="18" t="n">
        <v>-115</v>
      </c>
      <c r="I106" s="20" t="n">
        <v>0.7258538898025804</v>
      </c>
      <c r="J106" s="20" t="n">
        <v>0.5108342361863488</v>
      </c>
      <c r="K106" s="20" t="n">
        <v>0.5348837209302325</v>
      </c>
      <c r="L106" s="19" t="n">
        <v>0.09497307130382621</v>
      </c>
      <c r="M106" s="19" t="n">
        <v>0.357031185283085</v>
      </c>
      <c r="N106" s="20" t="n">
        <v>0</v>
      </c>
      <c r="O106" s="27" t="n">
        <v>0.4</v>
      </c>
      <c r="P106" s="17" t="inlineStr">
        <is>
          <t>DraftKings</t>
        </is>
      </c>
      <c r="Q106" s="17" t="inlineStr">
        <is>
          <t>UCD isn't a full FBS participant this season — model doesn't rate them reliably</t>
        </is>
      </c>
    </row>
    <row r="107">
      <c r="A107" s="12" t="inlineStr">
        <is>
          <t>PASS</t>
        </is>
      </c>
      <c r="B107" s="12" t="inlineStr">
        <is>
          <t>SHU @ MASS</t>
        </is>
      </c>
      <c r="C107" s="12" t="inlineStr">
        <is>
          <t>2026-09-12 19:30</t>
        </is>
      </c>
      <c r="D107" s="22" t="n">
        <v>2</v>
      </c>
      <c r="E107" s="12" t="inlineStr">
        <is>
          <t>ATS</t>
        </is>
      </c>
      <c r="F107" s="12" t="inlineStr">
        <is>
          <t>SHU +23.5</t>
        </is>
      </c>
      <c r="G107" s="23" t="n">
        <v>-23.5</v>
      </c>
      <c r="H107" s="13" t="n">
        <v>-110</v>
      </c>
      <c r="I107" s="15" t="n">
        <v>0.7087358130149191</v>
      </c>
      <c r="J107" s="15" t="n">
        <v>0.5</v>
      </c>
      <c r="K107" s="15" t="n">
        <v>0.5238095238095238</v>
      </c>
      <c r="L107" s="14" t="n">
        <v>0.09497104477688725</v>
      </c>
      <c r="M107" s="14" t="n">
        <v>0.3530410975739364</v>
      </c>
      <c r="N107" s="15" t="n">
        <v>0</v>
      </c>
      <c r="O107" s="24" t="n">
        <v>0.4</v>
      </c>
      <c r="P107" s="12" t="inlineStr">
        <is>
          <t>DraftKings</t>
        </is>
      </c>
      <c r="Q107" s="12" t="inlineStr">
        <is>
          <t>SHU isn't a full FBS participant this season — model doesn't rate them reliably</t>
        </is>
      </c>
    </row>
    <row r="108">
      <c r="A108" s="17" t="inlineStr">
        <is>
          <t>PASS</t>
        </is>
      </c>
      <c r="B108" s="17" t="inlineStr">
        <is>
          <t>GASO @ CLEM</t>
        </is>
      </c>
      <c r="C108" s="17" t="inlineStr">
        <is>
          <t>2026-09-12 23:30</t>
        </is>
      </c>
      <c r="D108" s="25" t="n">
        <v>2</v>
      </c>
      <c r="E108" s="17" t="inlineStr">
        <is>
          <t>ATS</t>
        </is>
      </c>
      <c r="F108" s="17" t="inlineStr">
        <is>
          <t>GASO +20.5</t>
        </is>
      </c>
      <c r="G108" s="26" t="n">
        <v>-20.5</v>
      </c>
      <c r="H108" s="18" t="n">
        <v>-112</v>
      </c>
      <c r="I108" s="20" t="n">
        <v>0.7086073432818666</v>
      </c>
      <c r="J108" s="20" t="n">
        <v>0.5043297540699688</v>
      </c>
      <c r="K108" s="20" t="n">
        <v>0.5283018867924528</v>
      </c>
      <c r="L108" s="19" t="n">
        <v>0.09496239029513309</v>
      </c>
      <c r="M108" s="19" t="n">
        <v>0.3412924712121046</v>
      </c>
      <c r="N108" s="20" t="n">
        <v>0</v>
      </c>
      <c r="O108" s="27" t="n">
        <v>0.725</v>
      </c>
      <c r="P108" s="17" t="inlineStr">
        <is>
          <t>DraftKings</t>
        </is>
      </c>
      <c r="Q108" s="17" t="inlineStr">
        <is>
          <t>raw model/market disagreement exceeds the safety limit</t>
        </is>
      </c>
    </row>
    <row r="109">
      <c r="A109" s="12" t="inlineStr">
        <is>
          <t>PASS</t>
        </is>
      </c>
      <c r="B109" s="12" t="inlineStr">
        <is>
          <t>TENN @ GT</t>
        </is>
      </c>
      <c r="C109" s="12" t="inlineStr">
        <is>
          <t>2026-09-12 23:00</t>
        </is>
      </c>
      <c r="D109" s="22" t="n">
        <v>2</v>
      </c>
      <c r="E109" s="12" t="inlineStr">
        <is>
          <t>ATS</t>
        </is>
      </c>
      <c r="F109" s="12" t="inlineStr">
        <is>
          <t>GT +12.5</t>
        </is>
      </c>
      <c r="G109" s="23" t="n">
        <v>12.5</v>
      </c>
      <c r="H109" s="13" t="n">
        <v>-112</v>
      </c>
      <c r="I109" s="15" t="n">
        <v>0.7058941824557616</v>
      </c>
      <c r="J109" s="15" t="n">
        <v>0.5043297540699688</v>
      </c>
      <c r="K109" s="15" t="n">
        <v>0.5283018867924528</v>
      </c>
      <c r="L109" s="14" t="n">
        <v>0.09495788112475599</v>
      </c>
      <c r="M109" s="14" t="n">
        <v>0.3361568453626915</v>
      </c>
      <c r="N109" s="15" t="n">
        <v>0</v>
      </c>
      <c r="O109" s="24" t="n">
        <v>0.725</v>
      </c>
      <c r="P109" s="12" t="inlineStr">
        <is>
          <t>DraftKings</t>
        </is>
      </c>
      <c r="Q109" s="12" t="inlineStr">
        <is>
          <t>raw model/market disagreement exceeds the safety limit</t>
        </is>
      </c>
    </row>
    <row r="110">
      <c r="A110" s="17" t="inlineStr">
        <is>
          <t>PASS</t>
        </is>
      </c>
      <c r="B110" s="17" t="inlineStr">
        <is>
          <t>LIN @ MOST</t>
        </is>
      </c>
      <c r="C110" s="17" t="inlineStr">
        <is>
          <t>2026-09-12 23:00</t>
        </is>
      </c>
      <c r="D110" s="25" t="n">
        <v>2</v>
      </c>
      <c r="E110" s="17" t="inlineStr">
        <is>
          <t>ATS</t>
        </is>
      </c>
      <c r="F110" s="17" t="inlineStr">
        <is>
          <t>LIN +19.5</t>
        </is>
      </c>
      <c r="G110" s="26" t="n">
        <v>-19.5</v>
      </c>
      <c r="H110" s="18" t="n">
        <v>-110</v>
      </c>
      <c r="I110" s="20" t="n">
        <v>0.6959874621539487</v>
      </c>
      <c r="J110" s="20" t="n">
        <v>0.5</v>
      </c>
      <c r="K110" s="20" t="n">
        <v>0.5238095238095238</v>
      </c>
      <c r="L110" s="19" t="n">
        <v>0.09495047809950617</v>
      </c>
      <c r="M110" s="19" t="n">
        <v>0.3287033368393566</v>
      </c>
      <c r="N110" s="20" t="n">
        <v>0</v>
      </c>
      <c r="O110" s="27" t="n">
        <v>0.4</v>
      </c>
      <c r="P110" s="17" t="inlineStr">
        <is>
          <t>DraftKings</t>
        </is>
      </c>
      <c r="Q110" s="17" t="inlineStr">
        <is>
          <t>LIN isn't a full FBS participant this season — model doesn't rate them reliably</t>
        </is>
      </c>
    </row>
    <row r="111">
      <c r="A111" s="12" t="inlineStr">
        <is>
          <t>PASS</t>
        </is>
      </c>
      <c r="B111" s="12" t="inlineStr">
        <is>
          <t>SAC @ FRES</t>
        </is>
      </c>
      <c r="C111" s="12" t="inlineStr">
        <is>
          <t>2026-09-13 02:30</t>
        </is>
      </c>
      <c r="D111" s="22" t="n">
        <v>2</v>
      </c>
      <c r="E111" s="12" t="inlineStr">
        <is>
          <t>ATS</t>
        </is>
      </c>
      <c r="F111" s="12" t="inlineStr">
        <is>
          <t>SAC +17.5</t>
        </is>
      </c>
      <c r="G111" s="23" t="n">
        <v>-17.5</v>
      </c>
      <c r="H111" s="13" t="n">
        <v>-105</v>
      </c>
      <c r="I111" s="15" t="n">
        <v>0.6805361813211694</v>
      </c>
      <c r="J111" s="15" t="n">
        <v>0.4891657638136511</v>
      </c>
      <c r="K111" s="15" t="n">
        <v>0.5121951219512195</v>
      </c>
      <c r="L111" s="14" t="n">
        <v>0.09494968277102366</v>
      </c>
      <c r="M111" s="14" t="n">
        <v>0.3286658778175213</v>
      </c>
      <c r="N111" s="15" t="n">
        <v>0</v>
      </c>
      <c r="O111" s="24" t="n">
        <v>0.725</v>
      </c>
      <c r="P111" s="12" t="inlineStr">
        <is>
          <t>DraftKings</t>
        </is>
      </c>
      <c r="Q111" s="12" t="inlineStr">
        <is>
          <t>raw model/market disagreement exceeds the safety limit</t>
        </is>
      </c>
    </row>
    <row r="112">
      <c r="A112" s="17" t="inlineStr">
        <is>
          <t>PASS</t>
        </is>
      </c>
      <c r="B112" s="17" t="inlineStr">
        <is>
          <t>SUU @ CSU</t>
        </is>
      </c>
      <c r="C112" s="17" t="inlineStr">
        <is>
          <t>2026-09-12 23:00</t>
        </is>
      </c>
      <c r="D112" s="25" t="n">
        <v>2</v>
      </c>
      <c r="E112" s="17" t="inlineStr">
        <is>
          <t>ATS</t>
        </is>
      </c>
      <c r="F112" s="17" t="inlineStr">
        <is>
          <t>SUU +20.5</t>
        </is>
      </c>
      <c r="G112" s="26" t="n">
        <v>-20.5</v>
      </c>
      <c r="H112" s="18" t="n">
        <v>-112</v>
      </c>
      <c r="I112" s="20" t="n">
        <v>0.7014134968525791</v>
      </c>
      <c r="J112" s="20" t="n">
        <v>0.5043297540699688</v>
      </c>
      <c r="K112" s="20" t="n">
        <v>0.5283018867924528</v>
      </c>
      <c r="L112" s="19" t="n">
        <v>0.09494922057993056</v>
      </c>
      <c r="M112" s="19" t="n">
        <v>0.3276755476138105</v>
      </c>
      <c r="N112" s="20" t="n">
        <v>0</v>
      </c>
      <c r="O112" s="27" t="n">
        <v>0.4</v>
      </c>
      <c r="P112" s="17" t="inlineStr">
        <is>
          <t>DraftKings</t>
        </is>
      </c>
      <c r="Q112" s="17" t="inlineStr">
        <is>
          <t>SUU isn't a full FBS participant this season — model doesn't rate them reliably</t>
        </is>
      </c>
    </row>
    <row r="113">
      <c r="A113" s="12" t="inlineStr">
        <is>
          <t>PASS</t>
        </is>
      </c>
      <c r="B113" s="12" t="inlineStr">
        <is>
          <t>UTSA @ TXST</t>
        </is>
      </c>
      <c r="C113" s="12" t="inlineStr">
        <is>
          <t>2026-09-12 19:30</t>
        </is>
      </c>
      <c r="D113" s="22" t="n">
        <v>2</v>
      </c>
      <c r="E113" s="12" t="inlineStr">
        <is>
          <t>TOTAL</t>
        </is>
      </c>
      <c r="F113" s="12" t="inlineStr">
        <is>
          <t>Under 66.5</t>
        </is>
      </c>
      <c r="G113" s="23" t="n">
        <v>66.5</v>
      </c>
      <c r="H113" s="13" t="n">
        <v>-108</v>
      </c>
      <c r="I113" s="15" t="n">
        <v>0.6873839489451958</v>
      </c>
      <c r="J113" s="15" t="n">
        <v>0.4956702459300312</v>
      </c>
      <c r="K113" s="15" t="n">
        <v>0.5192307692307693</v>
      </c>
      <c r="L113" s="14" t="n">
        <v>0.09494475260875709</v>
      </c>
      <c r="M113" s="14" t="n">
        <v>0.3238505683388957</v>
      </c>
      <c r="N113" s="15" t="n">
        <v>0</v>
      </c>
      <c r="O113" s="24" t="n">
        <v>0.725</v>
      </c>
      <c r="P113" s="12" t="inlineStr">
        <is>
          <t>DraftKings</t>
        </is>
      </c>
      <c r="Q113" s="12" t="inlineStr">
        <is>
          <t>raw model/market disagreement exceeds the safety limit</t>
        </is>
      </c>
    </row>
    <row r="114">
      <c r="A114" s="17" t="inlineStr">
        <is>
          <t>PASS</t>
        </is>
      </c>
      <c r="B114" s="17" t="inlineStr">
        <is>
          <t>CP @ SJSU</t>
        </is>
      </c>
      <c r="C114" s="17" t="inlineStr">
        <is>
          <t>2026-09-13 01:00</t>
        </is>
      </c>
      <c r="D114" s="25" t="n">
        <v>2</v>
      </c>
      <c r="E114" s="17" t="inlineStr">
        <is>
          <t>ATS</t>
        </is>
      </c>
      <c r="F114" s="17" t="inlineStr">
        <is>
          <t>CP +20.5</t>
        </is>
      </c>
      <c r="G114" s="26" t="n">
        <v>-20.5</v>
      </c>
      <c r="H114" s="18" t="n">
        <v>-110</v>
      </c>
      <c r="I114" s="20" t="n">
        <v>0.6908224319843824</v>
      </c>
      <c r="J114" s="20" t="n">
        <v>0.5</v>
      </c>
      <c r="K114" s="20" t="n">
        <v>0.5238095238095238</v>
      </c>
      <c r="L114" s="19" t="n">
        <v>0.09493845142849427</v>
      </c>
      <c r="M114" s="19" t="n">
        <v>0.3188428246974575</v>
      </c>
      <c r="N114" s="20" t="n">
        <v>0</v>
      </c>
      <c r="O114" s="27" t="n">
        <v>0.4</v>
      </c>
      <c r="P114" s="17" t="inlineStr">
        <is>
          <t>DraftKings</t>
        </is>
      </c>
      <c r="Q114" s="17" t="inlineStr">
        <is>
          <t>CP isn't a full FBS participant this season — model doesn't rate them reliably</t>
        </is>
      </c>
    </row>
    <row r="115">
      <c r="A115" s="12" t="inlineStr">
        <is>
          <t>PASS</t>
        </is>
      </c>
      <c r="B115" s="12" t="inlineStr">
        <is>
          <t>ODU @ VT</t>
        </is>
      </c>
      <c r="C115" s="12" t="inlineStr">
        <is>
          <t>2026-09-12 16:00</t>
        </is>
      </c>
      <c r="D115" s="22" t="n">
        <v>2</v>
      </c>
      <c r="E115" s="12" t="inlineStr">
        <is>
          <t>ATS</t>
        </is>
      </c>
      <c r="F115" s="12" t="inlineStr">
        <is>
          <t>ODU +19.5</t>
        </is>
      </c>
      <c r="G115" s="23" t="n">
        <v>-19.5</v>
      </c>
      <c r="H115" s="13" t="n">
        <v>-112</v>
      </c>
      <c r="I115" s="15" t="n">
        <v>0.6939230591649277</v>
      </c>
      <c r="J115" s="15" t="n">
        <v>0.5043297540699688</v>
      </c>
      <c r="K115" s="15" t="n">
        <v>0.5283018867924528</v>
      </c>
      <c r="L115" s="14" t="n">
        <v>0.09493058713285546</v>
      </c>
      <c r="M115" s="14" t="n">
        <v>0.3134972191336132</v>
      </c>
      <c r="N115" s="15" t="n">
        <v>0</v>
      </c>
      <c r="O115" s="24" t="n">
        <v>0.725</v>
      </c>
      <c r="P115" s="12" t="inlineStr">
        <is>
          <t>DraftKings</t>
        </is>
      </c>
      <c r="Q115" s="12" t="inlineStr">
        <is>
          <t>raw model/market disagreement exceeds the safety limit</t>
        </is>
      </c>
    </row>
    <row r="116">
      <c r="A116" s="17" t="inlineStr">
        <is>
          <t>PASS</t>
        </is>
      </c>
      <c r="B116" s="17" t="inlineStr">
        <is>
          <t>HOW @ IU</t>
        </is>
      </c>
      <c r="C116" s="17" t="inlineStr">
        <is>
          <t>2026-09-12 16:00</t>
        </is>
      </c>
      <c r="D116" s="25" t="n">
        <v>2</v>
      </c>
      <c r="E116" s="17" t="inlineStr">
        <is>
          <t>TOTAL</t>
        </is>
      </c>
      <c r="F116" s="17" t="inlineStr">
        <is>
          <t>Under 64.5</t>
        </is>
      </c>
      <c r="G116" s="26" t="n">
        <v>64.5</v>
      </c>
      <c r="H116" s="18" t="n">
        <v>-108</v>
      </c>
      <c r="I116" s="20" t="n">
        <v>0.6778496997084636</v>
      </c>
      <c r="J116" s="20" t="n">
        <v>0.4956702459300312</v>
      </c>
      <c r="K116" s="20" t="n">
        <v>0.5192307692307693</v>
      </c>
      <c r="L116" s="19" t="n">
        <v>0.09491718371674386</v>
      </c>
      <c r="M116" s="19" t="n">
        <v>0.3054883105496338</v>
      </c>
      <c r="N116" s="20" t="n">
        <v>0</v>
      </c>
      <c r="O116" s="27" t="n">
        <v>0.4</v>
      </c>
      <c r="P116" s="17" t="inlineStr">
        <is>
          <t>DraftKings</t>
        </is>
      </c>
      <c r="Q116" s="17" t="inlineStr">
        <is>
          <t>HOW isn't a full FBS participant this season — model doesn't rate them reliably</t>
        </is>
      </c>
    </row>
    <row r="117">
      <c r="A117" s="12" t="inlineStr">
        <is>
          <t>PASS</t>
        </is>
      </c>
      <c r="B117" s="12" t="inlineStr">
        <is>
          <t>ALA @ UK</t>
        </is>
      </c>
      <c r="C117" s="12" t="inlineStr">
        <is>
          <t>2026-09-12 19:30</t>
        </is>
      </c>
      <c r="D117" s="22" t="n">
        <v>2</v>
      </c>
      <c r="E117" s="12" t="inlineStr">
        <is>
          <t>ATS</t>
        </is>
      </c>
      <c r="F117" s="12" t="inlineStr">
        <is>
          <t>UK +10.5</t>
        </is>
      </c>
      <c r="G117" s="23" t="n">
        <v>10.5</v>
      </c>
      <c r="H117" s="13" t="n">
        <v>-118</v>
      </c>
      <c r="I117" s="15" t="n">
        <v>0.7063994769191233</v>
      </c>
      <c r="J117" s="15" t="n">
        <v>0.5173641257162701</v>
      </c>
      <c r="K117" s="15" t="n">
        <v>0.5412844036697247</v>
      </c>
      <c r="L117" s="14" t="n">
        <v>0.09491333257326803</v>
      </c>
      <c r="M117" s="14" t="n">
        <v>0.3050431014268549</v>
      </c>
      <c r="N117" s="15" t="n">
        <v>0</v>
      </c>
      <c r="O117" s="24" t="n">
        <v>0.725</v>
      </c>
      <c r="P117" s="12" t="inlineStr">
        <is>
          <t>DraftKings</t>
        </is>
      </c>
      <c r="Q117" s="12" t="inlineStr">
        <is>
          <t>raw model/market disagreement exceeds the safety limit</t>
        </is>
      </c>
    </row>
    <row r="118">
      <c r="A118" s="17" t="inlineStr">
        <is>
          <t>PASS</t>
        </is>
      </c>
      <c r="B118" s="17" t="inlineStr">
        <is>
          <t>CAM @ FLA</t>
        </is>
      </c>
      <c r="C118" s="17" t="inlineStr">
        <is>
          <t>2026-09-12 21:30</t>
        </is>
      </c>
      <c r="D118" s="25" t="n">
        <v>2</v>
      </c>
      <c r="E118" s="17" t="inlineStr">
        <is>
          <t>TOTAL</t>
        </is>
      </c>
      <c r="F118" s="17" t="inlineStr">
        <is>
          <t>Under 65.5</t>
        </is>
      </c>
      <c r="G118" s="26" t="n">
        <v>65.5</v>
      </c>
      <c r="H118" s="18" t="n">
        <v>-110</v>
      </c>
      <c r="I118" s="20" t="n">
        <v>0.68221691879497</v>
      </c>
      <c r="J118" s="20" t="n">
        <v>0.5</v>
      </c>
      <c r="K118" s="20" t="n">
        <v>0.5238095238095238</v>
      </c>
      <c r="L118" s="19" t="n">
        <v>0.09491158668398826</v>
      </c>
      <c r="M118" s="19" t="n">
        <v>0.3024141176994883</v>
      </c>
      <c r="N118" s="20" t="n">
        <v>0</v>
      </c>
      <c r="O118" s="27" t="n">
        <v>0.4</v>
      </c>
      <c r="P118" s="17" t="inlineStr">
        <is>
          <t>DraftKings</t>
        </is>
      </c>
      <c r="Q118" s="17" t="inlineStr">
        <is>
          <t>CAM isn't a full FBS participant this season — model doesn't rate them reliably</t>
        </is>
      </c>
    </row>
    <row r="119">
      <c r="A119" s="12" t="inlineStr">
        <is>
          <t>PASS</t>
        </is>
      </c>
      <c r="B119" s="12" t="inlineStr">
        <is>
          <t>RMU @ AKR</t>
        </is>
      </c>
      <c r="C119" s="12" t="inlineStr">
        <is>
          <t>2026-09-12 19:30</t>
        </is>
      </c>
      <c r="D119" s="22" t="n">
        <v>2</v>
      </c>
      <c r="E119" s="12" t="inlineStr">
        <is>
          <t>TOTAL</t>
        </is>
      </c>
      <c r="F119" s="12" t="inlineStr">
        <is>
          <t>Over 41.5</t>
        </is>
      </c>
      <c r="G119" s="23" t="n">
        <v>41.5</v>
      </c>
      <c r="H119" s="13" t="n">
        <v>-115</v>
      </c>
      <c r="I119" s="15" t="n">
        <v>0.6949659621198523</v>
      </c>
      <c r="J119" s="15" t="n">
        <v>0.5108342361863488</v>
      </c>
      <c r="K119" s="15" t="n">
        <v>0.5348837209302325</v>
      </c>
      <c r="L119" s="14" t="n">
        <v>0.09490386155295046</v>
      </c>
      <c r="M119" s="14" t="n">
        <v>0.2992841900501586</v>
      </c>
      <c r="N119" s="15" t="n">
        <v>0</v>
      </c>
      <c r="O119" s="24" t="n">
        <v>0.4</v>
      </c>
      <c r="P119" s="12" t="inlineStr">
        <is>
          <t>DraftKings</t>
        </is>
      </c>
      <c r="Q119" s="12" t="inlineStr">
        <is>
          <t>RMU isn't a full FBS participant this season — model doesn't rate them reliably</t>
        </is>
      </c>
    </row>
    <row r="120">
      <c r="A120" s="17" t="inlineStr">
        <is>
          <t>PASS</t>
        </is>
      </c>
      <c r="B120" s="17" t="inlineStr">
        <is>
          <t>WSU @ KSU</t>
        </is>
      </c>
      <c r="C120" s="17" t="inlineStr">
        <is>
          <t>2026-09-12 16:00</t>
        </is>
      </c>
      <c r="D120" s="25" t="n">
        <v>2</v>
      </c>
      <c r="E120" s="17" t="inlineStr">
        <is>
          <t>ATS</t>
        </is>
      </c>
      <c r="F120" s="17" t="inlineStr">
        <is>
          <t>WSU +17.5</t>
        </is>
      </c>
      <c r="G120" s="26" t="n">
        <v>-17.5</v>
      </c>
      <c r="H120" s="18" t="n">
        <v>-112</v>
      </c>
      <c r="I120" s="20" t="n">
        <v>0.6778932256521155</v>
      </c>
      <c r="J120" s="20" t="n">
        <v>0.5043297540699688</v>
      </c>
      <c r="K120" s="20" t="n">
        <v>0.5283018867924528</v>
      </c>
      <c r="L120" s="19" t="n">
        <v>0.09486451374476694</v>
      </c>
      <c r="M120" s="19" t="n">
        <v>0.2831550342700757</v>
      </c>
      <c r="N120" s="20" t="n">
        <v>0</v>
      </c>
      <c r="O120" s="27" t="n">
        <v>0.725</v>
      </c>
      <c r="P120" s="17" t="inlineStr">
        <is>
          <t>DraftKings</t>
        </is>
      </c>
      <c r="Q120" s="17" t="inlineStr">
        <is>
          <t>raw model/market disagreement exceeds the safety limit</t>
        </is>
      </c>
    </row>
    <row r="121">
      <c r="A121" s="12" t="inlineStr">
        <is>
          <t>PASS</t>
        </is>
      </c>
      <c r="B121" s="12" t="inlineStr">
        <is>
          <t>ISU @ IOWA</t>
        </is>
      </c>
      <c r="C121" s="12" t="inlineStr">
        <is>
          <t>2026-09-12 23:30</t>
        </is>
      </c>
      <c r="D121" s="22" t="n">
        <v>2</v>
      </c>
      <c r="E121" s="12" t="inlineStr">
        <is>
          <t>TOTAL</t>
        </is>
      </c>
      <c r="F121" s="12" t="inlineStr">
        <is>
          <t>Over 40.5</t>
        </is>
      </c>
      <c r="G121" s="23" t="n">
        <v>40.5</v>
      </c>
      <c r="H121" s="13" t="n">
        <v>-112</v>
      </c>
      <c r="I121" s="15" t="n">
        <v>0.6752832451237349</v>
      </c>
      <c r="J121" s="15" t="n">
        <v>0.5043297540699688</v>
      </c>
      <c r="K121" s="15" t="n">
        <v>0.5283018867924528</v>
      </c>
      <c r="L121" s="14" t="n">
        <v>0.09484893071395947</v>
      </c>
      <c r="M121" s="14" t="n">
        <v>0.2782147139842126</v>
      </c>
      <c r="N121" s="15" t="n">
        <v>0</v>
      </c>
      <c r="O121" s="24" t="n">
        <v>0.725</v>
      </c>
      <c r="P121" s="12" t="inlineStr">
        <is>
          <t>DraftKings</t>
        </is>
      </c>
      <c r="Q121" s="12" t="inlineStr">
        <is>
          <t>raw model/market disagreement exceeds the safety limit</t>
        </is>
      </c>
    </row>
    <row r="122">
      <c r="A122" s="17" t="inlineStr">
        <is>
          <t>PASS</t>
        </is>
      </c>
      <c r="B122" s="17" t="inlineStr">
        <is>
          <t>EMU @ MSU</t>
        </is>
      </c>
      <c r="C122" s="17" t="inlineStr">
        <is>
          <t>2026-09-12 19:30</t>
        </is>
      </c>
      <c r="D122" s="25" t="n">
        <v>2</v>
      </c>
      <c r="E122" s="17" t="inlineStr">
        <is>
          <t>ATS</t>
        </is>
      </c>
      <c r="F122" s="17" t="inlineStr">
        <is>
          <t>EMU +17.5</t>
        </is>
      </c>
      <c r="G122" s="26" t="n">
        <v>-17.5</v>
      </c>
      <c r="H122" s="18" t="n">
        <v>-115</v>
      </c>
      <c r="I122" s="20" t="n">
        <v>0.6792187111853095</v>
      </c>
      <c r="J122" s="20" t="n">
        <v>0.5108342361863488</v>
      </c>
      <c r="K122" s="20" t="n">
        <v>0.5348837209302325</v>
      </c>
      <c r="L122" s="19" t="n">
        <v>0.09481611567466169</v>
      </c>
      <c r="M122" s="19" t="n">
        <v>0.2698436774334048</v>
      </c>
      <c r="N122" s="20" t="n">
        <v>0</v>
      </c>
      <c r="O122" s="27" t="n">
        <v>0.725</v>
      </c>
      <c r="P122" s="17" t="inlineStr">
        <is>
          <t>DraftKings</t>
        </is>
      </c>
      <c r="Q122" s="17" t="inlineStr">
        <is>
          <t>raw model/market disagreement exceeds the safety limit</t>
        </is>
      </c>
    </row>
    <row r="123">
      <c r="A123" s="12" t="inlineStr">
        <is>
          <t>PASS</t>
        </is>
      </c>
      <c r="B123" s="12" t="inlineStr">
        <is>
          <t>STBK @ BALL</t>
        </is>
      </c>
      <c r="C123" s="12" t="inlineStr">
        <is>
          <t>2026-09-12 18:00</t>
        </is>
      </c>
      <c r="D123" s="22" t="n">
        <v>2</v>
      </c>
      <c r="E123" s="12" t="inlineStr">
        <is>
          <t>ATS</t>
        </is>
      </c>
      <c r="F123" s="12" t="inlineStr">
        <is>
          <t>STBK +14.5</t>
        </is>
      </c>
      <c r="G123" s="23" t="n">
        <v>-14.5</v>
      </c>
      <c r="H123" s="13" t="n">
        <v>-108</v>
      </c>
      <c r="I123" s="15" t="n">
        <v>0.6535814603316905</v>
      </c>
      <c r="J123" s="15" t="n">
        <v>0.4956702459300312</v>
      </c>
      <c r="K123" s="15" t="n">
        <v>0.5192307692307693</v>
      </c>
      <c r="L123" s="14" t="n">
        <v>0.0947680352503831</v>
      </c>
      <c r="M123" s="14" t="n">
        <v>0.2587494791573299</v>
      </c>
      <c r="N123" s="15" t="n">
        <v>0</v>
      </c>
      <c r="O123" s="24" t="n">
        <v>0.4</v>
      </c>
      <c r="P123" s="12" t="inlineStr">
        <is>
          <t>DraftKings</t>
        </is>
      </c>
      <c r="Q123" s="12" t="inlineStr">
        <is>
          <t>STBK isn't a full FBS participant this season — model doesn't rate them reliably</t>
        </is>
      </c>
    </row>
    <row r="124">
      <c r="A124" s="17" t="inlineStr">
        <is>
          <t>PASS</t>
        </is>
      </c>
      <c r="B124" s="17" t="inlineStr">
        <is>
          <t>MTST @ NEV</t>
        </is>
      </c>
      <c r="C124" s="17" t="inlineStr">
        <is>
          <t>2026-09-13 02:30</t>
        </is>
      </c>
      <c r="D124" s="25" t="n">
        <v>2</v>
      </c>
      <c r="E124" s="17" t="inlineStr">
        <is>
          <t>ML</t>
        </is>
      </c>
      <c r="F124" s="17" t="inlineStr">
        <is>
          <t>NEV ML</t>
        </is>
      </c>
      <c r="G124" s="26" t="n"/>
      <c r="H124" s="18" t="n">
        <v>140</v>
      </c>
      <c r="I124" s="20" t="n">
        <v>0.5254593131844094</v>
      </c>
      <c r="J124" s="20" t="n">
        <v>0.4003612281757977</v>
      </c>
      <c r="K124" s="20" t="n">
        <v>0.4166666666666667</v>
      </c>
      <c r="L124" s="19" t="n">
        <v>0.09473619221860589</v>
      </c>
      <c r="M124" s="19" t="n">
        <v>0.2611023516425826</v>
      </c>
      <c r="N124" s="20" t="n">
        <v>0</v>
      </c>
      <c r="O124" s="27" t="n">
        <v>0.4</v>
      </c>
      <c r="P124" s="17" t="inlineStr">
        <is>
          <t>DraftKings</t>
        </is>
      </c>
      <c r="Q124" s="17" t="inlineStr">
        <is>
          <t>MTST isn't a full FBS participant this season — model doesn't rate them reliably</t>
        </is>
      </c>
    </row>
    <row r="125">
      <c r="A125" s="12" t="inlineStr">
        <is>
          <t>PASS</t>
        </is>
      </c>
      <c r="B125" s="12" t="inlineStr">
        <is>
          <t>ILST @ NIU</t>
        </is>
      </c>
      <c r="C125" s="12" t="inlineStr">
        <is>
          <t>2026-09-12 23:00</t>
        </is>
      </c>
      <c r="D125" s="22" t="n">
        <v>2</v>
      </c>
      <c r="E125" s="12" t="inlineStr">
        <is>
          <t>ML</t>
        </is>
      </c>
      <c r="F125" s="12" t="inlineStr">
        <is>
          <t>NIU ML</t>
        </is>
      </c>
      <c r="G125" s="23" t="n"/>
      <c r="H125" s="13" t="n">
        <v>145</v>
      </c>
      <c r="I125" s="15" t="n">
        <v>0.5096763779687753</v>
      </c>
      <c r="J125" s="15" t="n">
        <v>0.3907637655417407</v>
      </c>
      <c r="K125" s="15" t="n">
        <v>0.4081632653061225</v>
      </c>
      <c r="L125" s="14" t="n">
        <v>0.09468686268952746</v>
      </c>
      <c r="M125" s="14" t="n">
        <v>0.2487071260234996</v>
      </c>
      <c r="N125" s="15" t="n">
        <v>0</v>
      </c>
      <c r="O125" s="24" t="n">
        <v>0.4</v>
      </c>
      <c r="P125" s="12" t="inlineStr">
        <is>
          <t>DraftKings</t>
        </is>
      </c>
      <c r="Q125" s="12" t="inlineStr">
        <is>
          <t>ILST isn't a full FBS participant this season — model doesn't rate them reliably</t>
        </is>
      </c>
    </row>
    <row r="126">
      <c r="A126" s="17" t="inlineStr">
        <is>
          <t>PASS</t>
        </is>
      </c>
      <c r="B126" s="17" t="inlineStr">
        <is>
          <t>FSU @ ALA</t>
        </is>
      </c>
      <c r="C126" s="17" t="inlineStr">
        <is>
          <t>2026-09-19 19:30</t>
        </is>
      </c>
      <c r="D126" s="25" t="n">
        <v>3</v>
      </c>
      <c r="E126" s="17" t="inlineStr">
        <is>
          <t>ATS</t>
        </is>
      </c>
      <c r="F126" s="17" t="inlineStr">
        <is>
          <t>FSU +17.5</t>
        </is>
      </c>
      <c r="G126" s="26" t="n">
        <v>-17.5</v>
      </c>
      <c r="H126" s="18" t="n">
        <v>-115</v>
      </c>
      <c r="I126" s="20" t="n">
        <v>0.6645673863723608</v>
      </c>
      <c r="J126" s="20" t="n">
        <v>0.5108342361863488</v>
      </c>
      <c r="K126" s="20" t="n">
        <v>0.5348837209302325</v>
      </c>
      <c r="L126" s="19" t="n">
        <v>0.09466393016659287</v>
      </c>
      <c r="M126" s="19" t="n">
        <v>0.2424520701744135</v>
      </c>
      <c r="N126" s="20" t="n">
        <v>0</v>
      </c>
      <c r="O126" s="27" t="n">
        <v>0.725</v>
      </c>
      <c r="P126" s="17" t="inlineStr">
        <is>
          <t>DraftKings</t>
        </is>
      </c>
      <c r="Q126" s="17" t="inlineStr">
        <is>
          <t>raw model/market disagreement exceeds the safety limit</t>
        </is>
      </c>
    </row>
    <row r="127">
      <c r="A127" s="12" t="inlineStr">
        <is>
          <t>PASS</t>
        </is>
      </c>
      <c r="B127" s="12" t="inlineStr">
        <is>
          <t>MTSU @ MRSH</t>
        </is>
      </c>
      <c r="C127" s="12" t="inlineStr">
        <is>
          <t>2026-09-12 23:00</t>
        </is>
      </c>
      <c r="D127" s="22" t="n">
        <v>2</v>
      </c>
      <c r="E127" s="12" t="inlineStr">
        <is>
          <t>ATS</t>
        </is>
      </c>
      <c r="F127" s="12" t="inlineStr">
        <is>
          <t>MTSU +13.5</t>
        </is>
      </c>
      <c r="G127" s="23" t="n">
        <v>-13.5</v>
      </c>
      <c r="H127" s="13" t="n">
        <v>-108</v>
      </c>
      <c r="I127" s="15" t="n">
        <v>0.6384629820881391</v>
      </c>
      <c r="J127" s="15" t="n">
        <v>0.4956702459300312</v>
      </c>
      <c r="K127" s="15" t="n">
        <v>0.5192307692307693</v>
      </c>
      <c r="L127" s="14" t="n">
        <v>0.09455963028997753</v>
      </c>
      <c r="M127" s="14" t="n">
        <v>0.2296324099475273</v>
      </c>
      <c r="N127" s="15" t="n">
        <v>0</v>
      </c>
      <c r="O127" s="24" t="n">
        <v>0.725</v>
      </c>
      <c r="P127" s="12" t="inlineStr">
        <is>
          <t>DraftKings</t>
        </is>
      </c>
      <c r="Q127" s="12" t="inlineStr">
        <is>
          <t>correlated with a stronger play on the same game</t>
        </is>
      </c>
    </row>
    <row r="128">
      <c r="A128" s="17" t="inlineStr">
        <is>
          <t>PASS</t>
        </is>
      </c>
      <c r="B128" s="17" t="inlineStr">
        <is>
          <t>MIZ @ KU</t>
        </is>
      </c>
      <c r="C128" s="17" t="inlineStr">
        <is>
          <t>2026-09-12 00:00</t>
        </is>
      </c>
      <c r="D128" s="25" t="n">
        <v>2</v>
      </c>
      <c r="E128" s="17" t="inlineStr">
        <is>
          <t>ATS</t>
        </is>
      </c>
      <c r="F128" s="17" t="inlineStr">
        <is>
          <t>KU +5.5</t>
        </is>
      </c>
      <c r="G128" s="26" t="n">
        <v>5.5</v>
      </c>
      <c r="H128" s="18" t="n">
        <v>-112</v>
      </c>
      <c r="I128" s="20" t="n">
        <v>0.6442025993280334</v>
      </c>
      <c r="J128" s="20" t="n">
        <v>0.5043297540699688</v>
      </c>
      <c r="K128" s="20" t="n">
        <v>0.5283018867924528</v>
      </c>
      <c r="L128" s="19" t="n">
        <v>0.09444827503157387</v>
      </c>
      <c r="M128" s="19" t="n">
        <v>0.219383491585206</v>
      </c>
      <c r="N128" s="20" t="n">
        <v>0</v>
      </c>
      <c r="O128" s="27" t="n">
        <v>0.725</v>
      </c>
      <c r="P128" s="17" t="inlineStr">
        <is>
          <t>DraftKings</t>
        </is>
      </c>
      <c r="Q128" s="17" t="inlineStr">
        <is>
          <t>correlated with a stronger play on the same game</t>
        </is>
      </c>
    </row>
    <row r="129">
      <c r="A129" s="12" t="inlineStr">
        <is>
          <t>PASS</t>
        </is>
      </c>
      <c r="B129" s="12" t="inlineStr">
        <is>
          <t>ISU @ IOWA</t>
        </is>
      </c>
      <c r="C129" s="12" t="inlineStr">
        <is>
          <t>2026-09-12 23:30</t>
        </is>
      </c>
      <c r="D129" s="22" t="n">
        <v>2</v>
      </c>
      <c r="E129" s="12" t="inlineStr">
        <is>
          <t>ATS</t>
        </is>
      </c>
      <c r="F129" s="12" t="inlineStr">
        <is>
          <t>ISU +14</t>
        </is>
      </c>
      <c r="G129" s="23" t="n">
        <v>-14</v>
      </c>
      <c r="H129" s="13" t="n">
        <v>-115</v>
      </c>
      <c r="I129" s="15" t="n">
        <v>0.6524734528191158</v>
      </c>
      <c r="J129" s="15" t="n">
        <v>0.5108342361863488</v>
      </c>
      <c r="K129" s="15" t="n">
        <v>0.5348837209302325</v>
      </c>
      <c r="L129" s="14" t="n">
        <v>0.09444742173551912</v>
      </c>
      <c r="M129" s="14" t="n">
        <v>0.2125868974639848</v>
      </c>
      <c r="N129" s="15" t="n">
        <v>0.033</v>
      </c>
      <c r="O129" s="24" t="n">
        <v>0.725</v>
      </c>
      <c r="P129" s="12" t="inlineStr">
        <is>
          <t>DraftKings</t>
        </is>
      </c>
      <c r="Q129" s="12" t="inlineStr">
        <is>
          <t>correlated with a stronger play on the same game</t>
        </is>
      </c>
    </row>
    <row r="130">
      <c r="A130" s="17" t="inlineStr">
        <is>
          <t>PASS</t>
        </is>
      </c>
      <c r="B130" s="17" t="inlineStr">
        <is>
          <t>ASU @ TA&amp;M</t>
        </is>
      </c>
      <c r="C130" s="17" t="inlineStr">
        <is>
          <t>2026-09-12 16:00</t>
        </is>
      </c>
      <c r="D130" s="25" t="n">
        <v>2</v>
      </c>
      <c r="E130" s="17" t="inlineStr">
        <is>
          <t>ATS</t>
        </is>
      </c>
      <c r="F130" s="17" t="inlineStr">
        <is>
          <t>ASU +14.5</t>
        </is>
      </c>
      <c r="G130" s="26" t="n">
        <v>-14.5</v>
      </c>
      <c r="H130" s="18" t="n">
        <v>-115</v>
      </c>
      <c r="I130" s="20" t="n">
        <v>0.6519842284610905</v>
      </c>
      <c r="J130" s="20" t="n">
        <v>0.5108342361863488</v>
      </c>
      <c r="K130" s="20" t="n">
        <v>0.5348837209302325</v>
      </c>
      <c r="L130" s="19" t="n">
        <v>0.09443620095348204</v>
      </c>
      <c r="M130" s="19" t="n">
        <v>0.2189270358185604</v>
      </c>
      <c r="N130" s="20" t="n">
        <v>0</v>
      </c>
      <c r="O130" s="27" t="n">
        <v>0.725</v>
      </c>
      <c r="P130" s="17" t="inlineStr">
        <is>
          <t>DraftKings</t>
        </is>
      </c>
      <c r="Q130" s="17" t="inlineStr">
        <is>
          <t>correlated with a stronger play on the same game</t>
        </is>
      </c>
    </row>
    <row r="131">
      <c r="A131" s="12" t="inlineStr">
        <is>
          <t>PASS</t>
        </is>
      </c>
      <c r="B131" s="12" t="inlineStr">
        <is>
          <t>UNLV @ UNT</t>
        </is>
      </c>
      <c r="C131" s="12" t="inlineStr">
        <is>
          <t>2026-09-12 19:45</t>
        </is>
      </c>
      <c r="D131" s="22" t="n">
        <v>2</v>
      </c>
      <c r="E131" s="12" t="inlineStr">
        <is>
          <t>ML</t>
        </is>
      </c>
      <c r="F131" s="12" t="inlineStr">
        <is>
          <t>UNT ML</t>
        </is>
      </c>
      <c r="G131" s="23" t="n"/>
      <c r="H131" s="13" t="n">
        <v>136</v>
      </c>
      <c r="I131" s="15" t="n">
        <v>0.5176096181181929</v>
      </c>
      <c r="J131" s="15" t="n">
        <v>0.4066302458405761</v>
      </c>
      <c r="K131" s="15" t="n">
        <v>0.423728813559322</v>
      </c>
      <c r="L131" s="14" t="n">
        <v>0.09439464900649215</v>
      </c>
      <c r="M131" s="14" t="n">
        <v>0.2215586987589355</v>
      </c>
      <c r="N131" s="15" t="n">
        <v>0</v>
      </c>
      <c r="O131" s="24" t="n">
        <v>0.725</v>
      </c>
      <c r="P131" s="12" t="inlineStr">
        <is>
          <t>DraftKings</t>
        </is>
      </c>
      <c r="Q131" s="12" t="inlineStr">
        <is>
          <t>outside the top 10 plays for this week</t>
        </is>
      </c>
    </row>
    <row r="132">
      <c r="A132" s="17" t="inlineStr">
        <is>
          <t>PASS</t>
        </is>
      </c>
      <c r="B132" s="17" t="inlineStr">
        <is>
          <t>NAVY @ FAU</t>
        </is>
      </c>
      <c r="C132" s="17" t="inlineStr">
        <is>
          <t>2026-09-12 23:30</t>
        </is>
      </c>
      <c r="D132" s="25" t="n">
        <v>2</v>
      </c>
      <c r="E132" s="17" t="inlineStr">
        <is>
          <t>ATS</t>
        </is>
      </c>
      <c r="F132" s="17" t="inlineStr">
        <is>
          <t>FAU +4.5</t>
        </is>
      </c>
      <c r="G132" s="26" t="n">
        <v>4.5</v>
      </c>
      <c r="H132" s="18" t="n">
        <v>-105</v>
      </c>
      <c r="I132" s="20" t="n">
        <v>0.6220464700463912</v>
      </c>
      <c r="J132" s="20" t="n">
        <v>0.4891657638136511</v>
      </c>
      <c r="K132" s="20" t="n">
        <v>0.5121951219512195</v>
      </c>
      <c r="L132" s="19" t="n">
        <v>0.09437820868164058</v>
      </c>
      <c r="M132" s="19" t="n">
        <v>0.2144716796143828</v>
      </c>
      <c r="N132" s="20" t="n">
        <v>0</v>
      </c>
      <c r="O132" s="27" t="n">
        <v>0.725</v>
      </c>
      <c r="P132" s="17" t="inlineStr">
        <is>
          <t>DraftKings</t>
        </is>
      </c>
      <c r="Q132" s="17" t="inlineStr">
        <is>
          <t>correlated with a stronger play on the same game</t>
        </is>
      </c>
    </row>
    <row r="133">
      <c r="A133" s="12" t="inlineStr">
        <is>
          <t>PASS</t>
        </is>
      </c>
      <c r="B133" s="12" t="inlineStr">
        <is>
          <t>SOU @ HOU</t>
        </is>
      </c>
      <c r="C133" s="12" t="inlineStr">
        <is>
          <t>2026-09-12 23:00</t>
        </is>
      </c>
      <c r="D133" s="22" t="n">
        <v>2</v>
      </c>
      <c r="E133" s="12" t="inlineStr">
        <is>
          <t>TOTAL</t>
        </is>
      </c>
      <c r="F133" s="12" t="inlineStr">
        <is>
          <t>Under 60.5</t>
        </is>
      </c>
      <c r="G133" s="23" t="n">
        <v>60.5</v>
      </c>
      <c r="H133" s="13" t="n">
        <v>-108</v>
      </c>
      <c r="I133" s="15" t="n">
        <v>0.6300000808894461</v>
      </c>
      <c r="J133" s="15" t="n">
        <v>0.4956702459300312</v>
      </c>
      <c r="K133" s="15" t="n">
        <v>0.5192307692307693</v>
      </c>
      <c r="L133" s="14" t="n">
        <v>0.09436978695603963</v>
      </c>
      <c r="M133" s="14" t="n">
        <v>0.2133334891204148</v>
      </c>
      <c r="N133" s="15" t="n">
        <v>0</v>
      </c>
      <c r="O133" s="24" t="n">
        <v>0.4</v>
      </c>
      <c r="P133" s="12" t="inlineStr">
        <is>
          <t>DraftKings</t>
        </is>
      </c>
      <c r="Q133" s="12" t="inlineStr">
        <is>
          <t>SOU isn't a full FBS participant this season — model doesn't rate them reliably</t>
        </is>
      </c>
    </row>
    <row r="134">
      <c r="A134" s="17" t="inlineStr">
        <is>
          <t>PASS</t>
        </is>
      </c>
      <c r="B134" s="17" t="inlineStr">
        <is>
          <t>WCU @ CIN</t>
        </is>
      </c>
      <c r="C134" s="17" t="inlineStr">
        <is>
          <t>2026-09-12 23:00</t>
        </is>
      </c>
      <c r="D134" s="25" t="n">
        <v>2</v>
      </c>
      <c r="E134" s="17" t="inlineStr">
        <is>
          <t>TOTAL</t>
        </is>
      </c>
      <c r="F134" s="17" t="inlineStr">
        <is>
          <t>Under 60.5</t>
        </is>
      </c>
      <c r="G134" s="26" t="n">
        <v>60.5</v>
      </c>
      <c r="H134" s="18" t="n">
        <v>-110</v>
      </c>
      <c r="I134" s="20" t="n">
        <v>0.6336989636445156</v>
      </c>
      <c r="J134" s="20" t="n">
        <v>0.5</v>
      </c>
      <c r="K134" s="20" t="n">
        <v>0.5238095238095238</v>
      </c>
      <c r="L134" s="19" t="n">
        <v>0.09432022278967082</v>
      </c>
      <c r="M134" s="19" t="n">
        <v>0.2097889305940752</v>
      </c>
      <c r="N134" s="20" t="n">
        <v>0</v>
      </c>
      <c r="O134" s="27" t="n">
        <v>0.4</v>
      </c>
      <c r="P134" s="17" t="inlineStr">
        <is>
          <t>DraftKings</t>
        </is>
      </c>
      <c r="Q134" s="17" t="inlineStr">
        <is>
          <t>WCU isn't a full FBS participant this season — model doesn't rate them reliably</t>
        </is>
      </c>
    </row>
    <row r="135">
      <c r="A135" s="12" t="inlineStr">
        <is>
          <t>PASS</t>
        </is>
      </c>
      <c r="B135" s="12" t="inlineStr">
        <is>
          <t>OU @ MICH</t>
        </is>
      </c>
      <c r="C135" s="12" t="inlineStr">
        <is>
          <t>2026-09-12 16:00</t>
        </is>
      </c>
      <c r="D135" s="22" t="n">
        <v>2</v>
      </c>
      <c r="E135" s="12" t="inlineStr">
        <is>
          <t>ATS</t>
        </is>
      </c>
      <c r="F135" s="12" t="inlineStr">
        <is>
          <t>MICH +5.5</t>
        </is>
      </c>
      <c r="G135" s="23" t="n">
        <v>5.5</v>
      </c>
      <c r="H135" s="13" t="n">
        <v>-110</v>
      </c>
      <c r="I135" s="15" t="n">
        <v>0.63253988563499</v>
      </c>
      <c r="J135" s="15" t="n">
        <v>0.5</v>
      </c>
      <c r="K135" s="15" t="n">
        <v>0.5238095238095238</v>
      </c>
      <c r="L135" s="14" t="n">
        <v>0.09428635226288594</v>
      </c>
      <c r="M135" s="14" t="n">
        <v>0.2075761453031628</v>
      </c>
      <c r="N135" s="15" t="n">
        <v>0</v>
      </c>
      <c r="O135" s="24" t="n">
        <v>0.725</v>
      </c>
      <c r="P135" s="12" t="inlineStr">
        <is>
          <t>DraftKings</t>
        </is>
      </c>
      <c r="Q135" s="12" t="inlineStr">
        <is>
          <t>correlated with a stronger play on the same game</t>
        </is>
      </c>
    </row>
    <row r="136">
      <c r="A136" s="17" t="inlineStr">
        <is>
          <t>PASS</t>
        </is>
      </c>
      <c r="B136" s="17" t="inlineStr">
        <is>
          <t>USA @ TULN</t>
        </is>
      </c>
      <c r="C136" s="17" t="inlineStr">
        <is>
          <t>2026-09-12 23:00</t>
        </is>
      </c>
      <c r="D136" s="25" t="n">
        <v>2</v>
      </c>
      <c r="E136" s="17" t="inlineStr">
        <is>
          <t>ML</t>
        </is>
      </c>
      <c r="F136" s="17" t="inlineStr">
        <is>
          <t>USA ML</t>
        </is>
      </c>
      <c r="G136" s="26" t="n"/>
      <c r="H136" s="18" t="n">
        <v>310</v>
      </c>
      <c r="I136" s="20" t="n">
        <v>0.295677805214309</v>
      </c>
      <c r="J136" s="20" t="n">
        <v>0.2340978954835659</v>
      </c>
      <c r="K136" s="20" t="n">
        <v>0.2439024390243902</v>
      </c>
      <c r="L136" s="19" t="n">
        <v>0.09425534838543742</v>
      </c>
      <c r="M136" s="19" t="n">
        <v>0.2122790013786666</v>
      </c>
      <c r="N136" s="20" t="n">
        <v>0</v>
      </c>
      <c r="O136" s="27" t="n">
        <v>0.725</v>
      </c>
      <c r="P136" s="17" t="inlineStr">
        <is>
          <t>DraftKings</t>
        </is>
      </c>
      <c r="Q136" s="17" t="inlineStr">
        <is>
          <t>outside the top 10 plays for this week</t>
        </is>
      </c>
    </row>
    <row r="137">
      <c r="A137" s="12" t="inlineStr">
        <is>
          <t>PASS</t>
        </is>
      </c>
      <c r="B137" s="12" t="inlineStr">
        <is>
          <t>WAKE @ PUR</t>
        </is>
      </c>
      <c r="C137" s="12" t="inlineStr">
        <is>
          <t>2026-09-12 16:00</t>
        </is>
      </c>
      <c r="D137" s="22" t="n">
        <v>2</v>
      </c>
      <c r="E137" s="12" t="inlineStr">
        <is>
          <t>ML</t>
        </is>
      </c>
      <c r="F137" s="12" t="inlineStr">
        <is>
          <t>PUR ML</t>
        </is>
      </c>
      <c r="G137" s="23" t="n"/>
      <c r="H137" s="13" t="n">
        <v>130</v>
      </c>
      <c r="I137" s="15" t="n">
        <v>0.5245754173081077</v>
      </c>
      <c r="J137" s="15" t="n">
        <v>0.4170073589533933</v>
      </c>
      <c r="K137" s="15" t="n">
        <v>0.4347826086956522</v>
      </c>
      <c r="L137" s="14" t="n">
        <v>0.09417132251335819</v>
      </c>
      <c r="M137" s="14" t="n">
        <v>0.2065234598086478</v>
      </c>
      <c r="N137" s="15" t="n">
        <v>0</v>
      </c>
      <c r="O137" s="24" t="n">
        <v>0.725</v>
      </c>
      <c r="P137" s="12" t="inlineStr">
        <is>
          <t>DraftKings</t>
        </is>
      </c>
      <c r="Q137" s="12" t="inlineStr">
        <is>
          <t>outside the top 10 plays for this week</t>
        </is>
      </c>
    </row>
    <row r="138">
      <c r="A138" s="17" t="inlineStr">
        <is>
          <t>PASS</t>
        </is>
      </c>
      <c r="B138" s="17" t="inlineStr">
        <is>
          <t>UL @ USC</t>
        </is>
      </c>
      <c r="C138" s="17" t="inlineStr">
        <is>
          <t>2026-09-13 03:00</t>
        </is>
      </c>
      <c r="D138" s="25" t="n">
        <v>2</v>
      </c>
      <c r="E138" s="17" t="inlineStr">
        <is>
          <t>TOTAL</t>
        </is>
      </c>
      <c r="F138" s="17" t="inlineStr">
        <is>
          <t>Under 59.5</t>
        </is>
      </c>
      <c r="G138" s="26" t="n">
        <v>59.5</v>
      </c>
      <c r="H138" s="18" t="n">
        <v>-115</v>
      </c>
      <c r="I138" s="20" t="n">
        <v>0.6421505196028532</v>
      </c>
      <c r="J138" s="20" t="n">
        <v>0.5108342361863488</v>
      </c>
      <c r="K138" s="20" t="n">
        <v>0.5348837209302325</v>
      </c>
      <c r="L138" s="19" t="n">
        <v>0.09415571889040777</v>
      </c>
      <c r="M138" s="19" t="n">
        <v>0.2005422757792472</v>
      </c>
      <c r="N138" s="20" t="n">
        <v>0</v>
      </c>
      <c r="O138" s="27" t="n">
        <v>0.725</v>
      </c>
      <c r="P138" s="17" t="inlineStr">
        <is>
          <t>DraftKings</t>
        </is>
      </c>
      <c r="Q138" s="17" t="inlineStr">
        <is>
          <t>outside the top 10 plays for this week</t>
        </is>
      </c>
    </row>
    <row r="139">
      <c r="A139" s="12" t="inlineStr">
        <is>
          <t>PASS</t>
        </is>
      </c>
      <c r="B139" s="12" t="inlineStr">
        <is>
          <t>UNC @ CLEM</t>
        </is>
      </c>
      <c r="C139" s="12" t="inlineStr">
        <is>
          <t>2026-09-19 16:00</t>
        </is>
      </c>
      <c r="D139" s="22" t="n">
        <v>3</v>
      </c>
      <c r="E139" s="12" t="inlineStr">
        <is>
          <t>ATS</t>
        </is>
      </c>
      <c r="F139" s="12" t="inlineStr">
        <is>
          <t>UNC +9.5</t>
        </is>
      </c>
      <c r="G139" s="23" t="n">
        <v>-9.5</v>
      </c>
      <c r="H139" s="13" t="n">
        <v>-108</v>
      </c>
      <c r="I139" s="15" t="n">
        <v>0.6224641718698207</v>
      </c>
      <c r="J139" s="15" t="n">
        <v>0.4956702459300312</v>
      </c>
      <c r="K139" s="15" t="n">
        <v>0.5192307692307693</v>
      </c>
      <c r="L139" s="14" t="n">
        <v>0.09413313731534267</v>
      </c>
      <c r="M139" s="14" t="n">
        <v>0.1988198865640993</v>
      </c>
      <c r="N139" s="15" t="n">
        <v>0</v>
      </c>
      <c r="O139" s="24" t="n">
        <v>0.725</v>
      </c>
      <c r="P139" s="12" t="inlineStr">
        <is>
          <t>DraftKings</t>
        </is>
      </c>
      <c r="Q139" s="12" t="inlineStr">
        <is>
          <t>correlated with a stronger play on the same game</t>
        </is>
      </c>
    </row>
    <row r="140">
      <c r="A140" s="17" t="inlineStr">
        <is>
          <t>PASS</t>
        </is>
      </c>
      <c r="B140" s="17" t="inlineStr">
        <is>
          <t>MTST @ NEV</t>
        </is>
      </c>
      <c r="C140" s="17" t="inlineStr">
        <is>
          <t>2026-09-13 02:30</t>
        </is>
      </c>
      <c r="D140" s="25" t="n">
        <v>2</v>
      </c>
      <c r="E140" s="17" t="inlineStr">
        <is>
          <t>ATS</t>
        </is>
      </c>
      <c r="F140" s="17" t="inlineStr">
        <is>
          <t>NEV +3.5</t>
        </is>
      </c>
      <c r="G140" s="26" t="n">
        <v>3.5</v>
      </c>
      <c r="H140" s="18" t="n">
        <v>-112</v>
      </c>
      <c r="I140" s="20" t="n">
        <v>0.6307815053516974</v>
      </c>
      <c r="J140" s="20" t="n">
        <v>0.5043297540699688</v>
      </c>
      <c r="K140" s="20" t="n">
        <v>0.5283018867924528</v>
      </c>
      <c r="L140" s="19" t="n">
        <v>0.0940359740547676</v>
      </c>
      <c r="M140" s="19" t="n">
        <v>0.1939792779871414</v>
      </c>
      <c r="N140" s="20" t="n">
        <v>0</v>
      </c>
      <c r="O140" s="27" t="n">
        <v>0.4</v>
      </c>
      <c r="P140" s="17" t="inlineStr">
        <is>
          <t>DraftKings</t>
        </is>
      </c>
      <c r="Q140" s="17" t="inlineStr">
        <is>
          <t>MTST isn't a full FBS participant this season — model doesn't rate them reliably</t>
        </is>
      </c>
    </row>
    <row r="141">
      <c r="A141" s="12" t="inlineStr">
        <is>
          <t>PASS</t>
        </is>
      </c>
      <c r="B141" s="12" t="inlineStr">
        <is>
          <t>ILST @ NIU</t>
        </is>
      </c>
      <c r="C141" s="12" t="inlineStr">
        <is>
          <t>2026-09-12 23:00</t>
        </is>
      </c>
      <c r="D141" s="22" t="n">
        <v>2</v>
      </c>
      <c r="E141" s="12" t="inlineStr">
        <is>
          <t>ATS</t>
        </is>
      </c>
      <c r="F141" s="12" t="inlineStr">
        <is>
          <t>NIU +4.5</t>
        </is>
      </c>
      <c r="G141" s="23" t="n">
        <v>4.5</v>
      </c>
      <c r="H141" s="13" t="n">
        <v>-115</v>
      </c>
      <c r="I141" s="15" t="n">
        <v>0.6373575316651432</v>
      </c>
      <c r="J141" s="15" t="n">
        <v>0.5108342361863488</v>
      </c>
      <c r="K141" s="15" t="n">
        <v>0.5348837209302325</v>
      </c>
      <c r="L141" s="14" t="n">
        <v>0.09397233409880315</v>
      </c>
      <c r="M141" s="14" t="n">
        <v>0.1915814722435285</v>
      </c>
      <c r="N141" s="15" t="n">
        <v>0</v>
      </c>
      <c r="O141" s="24" t="n">
        <v>0.4</v>
      </c>
      <c r="P141" s="12" t="inlineStr">
        <is>
          <t>DraftKings</t>
        </is>
      </c>
      <c r="Q141" s="12" t="inlineStr">
        <is>
          <t>ILST isn't a full FBS participant this season — model doesn't rate them reliably</t>
        </is>
      </c>
    </row>
    <row r="142">
      <c r="A142" s="17" t="inlineStr">
        <is>
          <t>PASS</t>
        </is>
      </c>
      <c r="B142" s="17" t="inlineStr">
        <is>
          <t>WOF @ KENT</t>
        </is>
      </c>
      <c r="C142" s="17" t="inlineStr">
        <is>
          <t>2026-09-12 16:00</t>
        </is>
      </c>
      <c r="D142" s="25" t="n">
        <v>2</v>
      </c>
      <c r="E142" s="17" t="inlineStr">
        <is>
          <t>ATS</t>
        </is>
      </c>
      <c r="F142" s="17" t="inlineStr">
        <is>
          <t>WOF +11.5</t>
        </is>
      </c>
      <c r="G142" s="26" t="n">
        <v>-11.5</v>
      </c>
      <c r="H142" s="18" t="n">
        <v>-108</v>
      </c>
      <c r="I142" s="20" t="n">
        <v>0.6178244950337597</v>
      </c>
      <c r="J142" s="20" t="n">
        <v>0.4956702459300312</v>
      </c>
      <c r="K142" s="20" t="n">
        <v>0.5192307692307693</v>
      </c>
      <c r="L142" s="19" t="n">
        <v>0.09394536653165826</v>
      </c>
      <c r="M142" s="19" t="n">
        <v>0.1898842126576112</v>
      </c>
      <c r="N142" s="20" t="n">
        <v>0</v>
      </c>
      <c r="O142" s="27" t="n">
        <v>0.4</v>
      </c>
      <c r="P142" s="17" t="inlineStr">
        <is>
          <t>DraftKings</t>
        </is>
      </c>
      <c r="Q142" s="17" t="inlineStr">
        <is>
          <t>WOF isn't a full FBS participant this season — model doesn't rate them reliably</t>
        </is>
      </c>
    </row>
    <row r="143">
      <c r="A143" s="12" t="inlineStr">
        <is>
          <t>PASS</t>
        </is>
      </c>
      <c r="B143" s="12" t="inlineStr">
        <is>
          <t>UNLV @ UNT</t>
        </is>
      </c>
      <c r="C143" s="12" t="inlineStr">
        <is>
          <t>2026-09-12 19:45</t>
        </is>
      </c>
      <c r="D143" s="22" t="n">
        <v>2</v>
      </c>
      <c r="E143" s="12" t="inlineStr">
        <is>
          <t>ATS</t>
        </is>
      </c>
      <c r="F143" s="12" t="inlineStr">
        <is>
          <t>UNT +3</t>
        </is>
      </c>
      <c r="G143" s="23" t="n">
        <v>3</v>
      </c>
      <c r="H143" s="13" t="n">
        <v>-105</v>
      </c>
      <c r="I143" s="15" t="n">
        <v>0.6067730935327488</v>
      </c>
      <c r="J143" s="15" t="n">
        <v>0.4891657638136511</v>
      </c>
      <c r="K143" s="15" t="n">
        <v>0.5121951219512195</v>
      </c>
      <c r="L143" s="14" t="n">
        <v>0.09380380643091552</v>
      </c>
      <c r="M143" s="14" t="n">
        <v>0.1750872447046593</v>
      </c>
      <c r="N143" s="15" t="n">
        <v>0.0518</v>
      </c>
      <c r="O143" s="24" t="n">
        <v>0.725</v>
      </c>
      <c r="P143" s="12" t="inlineStr">
        <is>
          <t>DraftKings</t>
        </is>
      </c>
      <c r="Q143" s="12" t="inlineStr">
        <is>
          <t>correlated with a stronger play on the same game</t>
        </is>
      </c>
    </row>
    <row r="144">
      <c r="A144" s="17" t="inlineStr">
        <is>
          <t>PASS</t>
        </is>
      </c>
      <c r="B144" s="17" t="inlineStr">
        <is>
          <t>NMSU @ HAW</t>
        </is>
      </c>
      <c r="C144" s="17" t="inlineStr">
        <is>
          <t>2026-09-13 03:59</t>
        </is>
      </c>
      <c r="D144" s="25" t="n">
        <v>2</v>
      </c>
      <c r="E144" s="17" t="inlineStr">
        <is>
          <t>ML</t>
        </is>
      </c>
      <c r="F144" s="17" t="inlineStr">
        <is>
          <t>NMSU ML</t>
        </is>
      </c>
      <c r="G144" s="26" t="n"/>
      <c r="H144" s="18" t="n">
        <v>250</v>
      </c>
      <c r="I144" s="20" t="n">
        <v>0.3400213195455906</v>
      </c>
      <c r="J144" s="20" t="n">
        <v>0.274247491638796</v>
      </c>
      <c r="K144" s="20" t="n">
        <v>0.2857142857142857</v>
      </c>
      <c r="L144" s="19" t="n">
        <v>0.09378893966924977</v>
      </c>
      <c r="M144" s="19" t="n">
        <v>0.190074618409567</v>
      </c>
      <c r="N144" s="20" t="n">
        <v>0</v>
      </c>
      <c r="O144" s="27" t="n">
        <v>0.839</v>
      </c>
      <c r="P144" s="17" t="inlineStr">
        <is>
          <t>DraftKings</t>
        </is>
      </c>
      <c r="Q144" s="17" t="inlineStr">
        <is>
          <t>outside the top 10 plays for this week</t>
        </is>
      </c>
    </row>
    <row r="145">
      <c r="A145" s="12" t="inlineStr">
        <is>
          <t>PASS</t>
        </is>
      </c>
      <c r="B145" s="12" t="inlineStr">
        <is>
          <t>LSU @ MISS</t>
        </is>
      </c>
      <c r="C145" s="12" t="inlineStr">
        <is>
          <t>2026-09-19 23:30</t>
        </is>
      </c>
      <c r="D145" s="22" t="n">
        <v>3</v>
      </c>
      <c r="E145" s="12" t="inlineStr">
        <is>
          <t>ATS</t>
        </is>
      </c>
      <c r="F145" s="12" t="inlineStr">
        <is>
          <t>MISS +3</t>
        </is>
      </c>
      <c r="G145" s="23" t="n">
        <v>3</v>
      </c>
      <c r="H145" s="13" t="n">
        <v>-108</v>
      </c>
      <c r="I145" s="15" t="n">
        <v>0.6135402092606519</v>
      </c>
      <c r="J145" s="15" t="n">
        <v>0.4956702459300312</v>
      </c>
      <c r="K145" s="15" t="n">
        <v>0.5192307692307693</v>
      </c>
      <c r="L145" s="14" t="n">
        <v>0.09373628873361232</v>
      </c>
      <c r="M145" s="14" t="n">
        <v>0.1723333862377164</v>
      </c>
      <c r="N145" s="15" t="n">
        <v>0.0512</v>
      </c>
      <c r="O145" s="24" t="n">
        <v>0.725</v>
      </c>
      <c r="P145" s="12" t="inlineStr">
        <is>
          <t>DraftKings</t>
        </is>
      </c>
      <c r="Q145" s="12" t="inlineStr">
        <is>
          <t>correlated with a stronger play on the same game</t>
        </is>
      </c>
    </row>
    <row r="146">
      <c r="A146" s="17" t="inlineStr">
        <is>
          <t>PASS</t>
        </is>
      </c>
      <c r="B146" s="17" t="inlineStr">
        <is>
          <t>UNC @ CLEM</t>
        </is>
      </c>
      <c r="C146" s="17" t="inlineStr">
        <is>
          <t>2026-09-19 16:00</t>
        </is>
      </c>
      <c r="D146" s="25" t="n">
        <v>3</v>
      </c>
      <c r="E146" s="17" t="inlineStr">
        <is>
          <t>TOTAL</t>
        </is>
      </c>
      <c r="F146" s="17" t="inlineStr">
        <is>
          <t>Over 44.5</t>
        </is>
      </c>
      <c r="G146" s="26" t="n">
        <v>44.5</v>
      </c>
      <c r="H146" s="18" t="n">
        <v>-108</v>
      </c>
      <c r="I146" s="20" t="n">
        <v>0.6124118533067391</v>
      </c>
      <c r="J146" s="20" t="n">
        <v>0.4956702459300312</v>
      </c>
      <c r="K146" s="20" t="n">
        <v>0.5192307692307693</v>
      </c>
      <c r="L146" s="19" t="n">
        <v>0.09367468375147531</v>
      </c>
      <c r="M146" s="19" t="n">
        <v>0.1794598656277939</v>
      </c>
      <c r="N146" s="20" t="n">
        <v>0</v>
      </c>
      <c r="O146" s="27" t="n">
        <v>0.725</v>
      </c>
      <c r="P146" s="17" t="inlineStr">
        <is>
          <t>DraftKings</t>
        </is>
      </c>
      <c r="Q146" s="17" t="inlineStr">
        <is>
          <t>correlated with a stronger play on the same game</t>
        </is>
      </c>
    </row>
    <row r="147">
      <c r="A147" s="12" t="inlineStr">
        <is>
          <t>PASS</t>
        </is>
      </c>
      <c r="B147" s="12" t="inlineStr">
        <is>
          <t>WAKE @ PUR</t>
        </is>
      </c>
      <c r="C147" s="12" t="inlineStr">
        <is>
          <t>2026-09-12 16:00</t>
        </is>
      </c>
      <c r="D147" s="22" t="n">
        <v>2</v>
      </c>
      <c r="E147" s="12" t="inlineStr">
        <is>
          <t>ATS</t>
        </is>
      </c>
      <c r="F147" s="12" t="inlineStr">
        <is>
          <t>PUR +3</t>
        </is>
      </c>
      <c r="G147" s="23" t="n">
        <v>3</v>
      </c>
      <c r="H147" s="13" t="n">
        <v>-108</v>
      </c>
      <c r="I147" s="15" t="n">
        <v>0.6116629914307483</v>
      </c>
      <c r="J147" s="15" t="n">
        <v>0.4956702459300312</v>
      </c>
      <c r="K147" s="15" t="n">
        <v>0.5192307692307693</v>
      </c>
      <c r="L147" s="14" t="n">
        <v>0.09363216094560883</v>
      </c>
      <c r="M147" s="14" t="n">
        <v>0.1688497060499026</v>
      </c>
      <c r="N147" s="15" t="n">
        <v>0.0515</v>
      </c>
      <c r="O147" s="24" t="n">
        <v>0.725</v>
      </c>
      <c r="P147" s="12" t="inlineStr">
        <is>
          <t>DraftKings</t>
        </is>
      </c>
      <c r="Q147" s="12" t="inlineStr">
        <is>
          <t>correlated with a stronger play on the same game</t>
        </is>
      </c>
    </row>
    <row r="148">
      <c r="A148" s="17" t="inlineStr">
        <is>
          <t>PASS</t>
        </is>
      </c>
      <c r="B148" s="17" t="inlineStr">
        <is>
          <t>ARK @ UTAH</t>
        </is>
      </c>
      <c r="C148" s="17" t="inlineStr">
        <is>
          <t>2026-09-13 02:15</t>
        </is>
      </c>
      <c r="D148" s="25" t="n">
        <v>2</v>
      </c>
      <c r="E148" s="17" t="inlineStr">
        <is>
          <t>ATS</t>
        </is>
      </c>
      <c r="F148" s="17" t="inlineStr">
        <is>
          <t>ARK +12.5</t>
        </is>
      </c>
      <c r="G148" s="26" t="n">
        <v>-12.5</v>
      </c>
      <c r="H148" s="18" t="n">
        <v>-108</v>
      </c>
      <c r="I148" s="20" t="n">
        <v>0.6096599694922226</v>
      </c>
      <c r="J148" s="20" t="n">
        <v>0.4956702459300312</v>
      </c>
      <c r="K148" s="20" t="n">
        <v>0.5192307692307693</v>
      </c>
      <c r="L148" s="19" t="n">
        <v>0.0935116508336498</v>
      </c>
      <c r="M148" s="19" t="n">
        <v>0.1741599412442805</v>
      </c>
      <c r="N148" s="20" t="n">
        <v>0</v>
      </c>
      <c r="O148" s="27" t="n">
        <v>0.725</v>
      </c>
      <c r="P148" s="17" t="inlineStr">
        <is>
          <t>DraftKings</t>
        </is>
      </c>
      <c r="Q148" s="17" t="inlineStr">
        <is>
          <t>correlated with a stronger play on the same game</t>
        </is>
      </c>
    </row>
    <row r="149">
      <c r="A149" s="12" t="inlineStr">
        <is>
          <t>PASS</t>
        </is>
      </c>
      <c r="B149" s="12" t="inlineStr">
        <is>
          <t>OU @ MICH</t>
        </is>
      </c>
      <c r="C149" s="12" t="inlineStr">
        <is>
          <t>2026-09-12 16:00</t>
        </is>
      </c>
      <c r="D149" s="22" t="n">
        <v>2</v>
      </c>
      <c r="E149" s="12" t="inlineStr">
        <is>
          <t>TOTAL</t>
        </is>
      </c>
      <c r="F149" s="12" t="inlineStr">
        <is>
          <t>Over 43.5</t>
        </is>
      </c>
      <c r="G149" s="23" t="n">
        <v>43.5</v>
      </c>
      <c r="H149" s="13" t="n">
        <v>-115</v>
      </c>
      <c r="I149" s="15" t="n">
        <v>0.6249174277344233</v>
      </c>
      <c r="J149" s="15" t="n">
        <v>0.5108342361863488</v>
      </c>
      <c r="K149" s="15" t="n">
        <v>0.5348837209302325</v>
      </c>
      <c r="L149" s="14" t="n">
        <v>0.09329023010806424</v>
      </c>
      <c r="M149" s="14" t="n">
        <v>0.1683238866339216</v>
      </c>
      <c r="N149" s="15" t="n">
        <v>0</v>
      </c>
      <c r="O149" s="24" t="n">
        <v>0.725</v>
      </c>
      <c r="P149" s="12" t="inlineStr">
        <is>
          <t>DraftKings</t>
        </is>
      </c>
      <c r="Q149" s="12" t="inlineStr">
        <is>
          <t>correlated with a stronger play on the same game</t>
        </is>
      </c>
    </row>
    <row r="150">
      <c r="A150" s="17" t="inlineStr">
        <is>
          <t>PASS</t>
        </is>
      </c>
      <c r="B150" s="17" t="inlineStr">
        <is>
          <t>WOF @ KENT</t>
        </is>
      </c>
      <c r="C150" s="17" t="inlineStr">
        <is>
          <t>2026-09-12 16:00</t>
        </is>
      </c>
      <c r="D150" s="25" t="n">
        <v>2</v>
      </c>
      <c r="E150" s="17" t="inlineStr">
        <is>
          <t>TOTAL</t>
        </is>
      </c>
      <c r="F150" s="17" t="inlineStr">
        <is>
          <t>Over 47.5</t>
        </is>
      </c>
      <c r="G150" s="26" t="n">
        <v>47.5</v>
      </c>
      <c r="H150" s="18" t="n">
        <v>-115</v>
      </c>
      <c r="I150" s="20" t="n">
        <v>0.6199938017116398</v>
      </c>
      <c r="J150" s="20" t="n">
        <v>0.5108342361863488</v>
      </c>
      <c r="K150" s="20" t="n">
        <v>0.5348837209302325</v>
      </c>
      <c r="L150" s="19" t="n">
        <v>0.09290982007316918</v>
      </c>
      <c r="M150" s="19" t="n">
        <v>0.1591188466782829</v>
      </c>
      <c r="N150" s="20" t="n">
        <v>0</v>
      </c>
      <c r="O150" s="27" t="n">
        <v>0.4</v>
      </c>
      <c r="P150" s="17" t="inlineStr">
        <is>
          <t>DraftKings</t>
        </is>
      </c>
      <c r="Q150" s="17" t="inlineStr">
        <is>
          <t>WOF isn't a full FBS participant this season — model doesn't rate them reliably</t>
        </is>
      </c>
    </row>
    <row r="151">
      <c r="A151" s="12" t="inlineStr">
        <is>
          <t>PASS</t>
        </is>
      </c>
      <c r="B151" s="12" t="inlineStr">
        <is>
          <t>CLT @ MISS</t>
        </is>
      </c>
      <c r="C151" s="12" t="inlineStr">
        <is>
          <t>2026-09-12 23:45</t>
        </is>
      </c>
      <c r="D151" s="22" t="n">
        <v>2</v>
      </c>
      <c r="E151" s="12" t="inlineStr">
        <is>
          <t>TOTAL</t>
        </is>
      </c>
      <c r="F151" s="12" t="inlineStr">
        <is>
          <t>Under 60.5</t>
        </is>
      </c>
      <c r="G151" s="23" t="n">
        <v>60.5</v>
      </c>
      <c r="H151" s="13" t="n">
        <v>-108</v>
      </c>
      <c r="I151" s="15" t="n">
        <v>0.6005746856022557</v>
      </c>
      <c r="J151" s="15" t="n">
        <v>0.4956702459300312</v>
      </c>
      <c r="K151" s="15" t="n">
        <v>0.5192307692307693</v>
      </c>
      <c r="L151" s="14" t="n">
        <v>0.09281882149018732</v>
      </c>
      <c r="M151" s="14" t="n">
        <v>0.1566623574561963</v>
      </c>
      <c r="N151" s="15" t="n">
        <v>0</v>
      </c>
      <c r="O151" s="24" t="n">
        <v>0.725</v>
      </c>
      <c r="P151" s="12" t="inlineStr">
        <is>
          <t>DraftKings</t>
        </is>
      </c>
      <c r="Q151" s="12" t="inlineStr">
        <is>
          <t>outside the top 10 plays for this week</t>
        </is>
      </c>
    </row>
    <row r="152">
      <c r="A152" s="17" t="inlineStr">
        <is>
          <t>PASS</t>
        </is>
      </c>
      <c r="B152" s="17" t="inlineStr">
        <is>
          <t>SDSU @ UCLA</t>
        </is>
      </c>
      <c r="C152" s="17" t="inlineStr">
        <is>
          <t>2026-09-12 23:15</t>
        </is>
      </c>
      <c r="D152" s="25" t="n">
        <v>2</v>
      </c>
      <c r="E152" s="17" t="inlineStr">
        <is>
          <t>ATS</t>
        </is>
      </c>
      <c r="F152" s="17" t="inlineStr">
        <is>
          <t>SDSU +12.5</t>
        </is>
      </c>
      <c r="G152" s="26" t="n">
        <v>-12.5</v>
      </c>
      <c r="H152" s="18" t="n">
        <v>-112</v>
      </c>
      <c r="I152" s="20" t="n">
        <v>0.6094899664323903</v>
      </c>
      <c r="J152" s="20" t="n">
        <v>0.5043297540699688</v>
      </c>
      <c r="K152" s="20" t="n">
        <v>0.5283018867924528</v>
      </c>
      <c r="L152" s="19" t="n">
        <v>0.09267222719480372</v>
      </c>
      <c r="M152" s="19" t="n">
        <v>0.15367743646131</v>
      </c>
      <c r="N152" s="20" t="n">
        <v>0</v>
      </c>
      <c r="O152" s="27" t="n">
        <v>0.725</v>
      </c>
      <c r="P152" s="17" t="inlineStr">
        <is>
          <t>DraftKings</t>
        </is>
      </c>
      <c r="Q152" s="17" t="inlineStr">
        <is>
          <t>correlated with a stronger play on the same game</t>
        </is>
      </c>
    </row>
    <row r="153">
      <c r="A153" s="12" t="inlineStr">
        <is>
          <t>PASS</t>
        </is>
      </c>
      <c r="B153" s="12" t="inlineStr">
        <is>
          <t>USM @ AUB</t>
        </is>
      </c>
      <c r="C153" s="12" t="inlineStr">
        <is>
          <t>2026-09-12 23:45</t>
        </is>
      </c>
      <c r="D153" s="22" t="n">
        <v>2</v>
      </c>
      <c r="E153" s="12" t="inlineStr">
        <is>
          <t>TOTAL</t>
        </is>
      </c>
      <c r="F153" s="12" t="inlineStr">
        <is>
          <t>Under 56.5</t>
        </is>
      </c>
      <c r="G153" s="23" t="n">
        <v>56.5</v>
      </c>
      <c r="H153" s="13" t="n">
        <v>-108</v>
      </c>
      <c r="I153" s="15" t="n">
        <v>0.5988454313158985</v>
      </c>
      <c r="J153" s="15" t="n">
        <v>0.4956702459300312</v>
      </c>
      <c r="K153" s="15" t="n">
        <v>0.5192307692307693</v>
      </c>
      <c r="L153" s="14" t="n">
        <v>0.09265464321503634</v>
      </c>
      <c r="M153" s="14" t="n">
        <v>0.1533319417935823</v>
      </c>
      <c r="N153" s="15" t="n">
        <v>0</v>
      </c>
      <c r="O153" s="24" t="n">
        <v>0.725</v>
      </c>
      <c r="P153" s="12" t="inlineStr">
        <is>
          <t>DraftKings</t>
        </is>
      </c>
      <c r="Q153" s="12" t="inlineStr">
        <is>
          <t>outside the top 10 plays for this week</t>
        </is>
      </c>
    </row>
    <row r="154">
      <c r="A154" s="17" t="inlineStr">
        <is>
          <t>PASS</t>
        </is>
      </c>
      <c r="B154" s="17" t="inlineStr">
        <is>
          <t>FLA @ AUB</t>
        </is>
      </c>
      <c r="C154" s="17" t="inlineStr">
        <is>
          <t>2026-09-19 23:00</t>
        </is>
      </c>
      <c r="D154" s="25" t="n">
        <v>3</v>
      </c>
      <c r="E154" s="17" t="inlineStr">
        <is>
          <t>ATS</t>
        </is>
      </c>
      <c r="F154" s="17" t="inlineStr">
        <is>
          <t>AUB +2.5</t>
        </is>
      </c>
      <c r="G154" s="26" t="n">
        <v>2.5</v>
      </c>
      <c r="H154" s="18" t="n">
        <v>-105</v>
      </c>
      <c r="I154" s="20" t="n">
        <v>0.5899210701877625</v>
      </c>
      <c r="J154" s="20" t="n">
        <v>0.4891657638136511</v>
      </c>
      <c r="K154" s="20" t="n">
        <v>0.5121951219512195</v>
      </c>
      <c r="L154" s="19" t="n">
        <v>0.09254596283039183</v>
      </c>
      <c r="M154" s="19" t="n">
        <v>0.1517506608427743</v>
      </c>
      <c r="N154" s="20" t="n">
        <v>0</v>
      </c>
      <c r="O154" s="27" t="n">
        <v>0.725</v>
      </c>
      <c r="P154" s="17" t="inlineStr">
        <is>
          <t>DraftKings</t>
        </is>
      </c>
      <c r="Q154" s="17" t="inlineStr">
        <is>
          <t>correlated with a stronger play on the same game</t>
        </is>
      </c>
    </row>
    <row r="155">
      <c r="A155" s="12" t="inlineStr">
        <is>
          <t>PASS</t>
        </is>
      </c>
      <c r="B155" s="12" t="inlineStr">
        <is>
          <t>UCD @ SMU</t>
        </is>
      </c>
      <c r="C155" s="12" t="inlineStr">
        <is>
          <t>2026-09-12 20:00</t>
        </is>
      </c>
      <c r="D155" s="22" t="n">
        <v>2</v>
      </c>
      <c r="E155" s="12" t="inlineStr">
        <is>
          <t>TOTAL</t>
        </is>
      </c>
      <c r="F155" s="12" t="inlineStr">
        <is>
          <t>Under 58.5</t>
        </is>
      </c>
      <c r="G155" s="23" t="n">
        <v>58.5</v>
      </c>
      <c r="H155" s="13" t="n">
        <v>-110</v>
      </c>
      <c r="I155" s="15" t="n">
        <v>0.6010103197968016</v>
      </c>
      <c r="J155" s="15" t="n">
        <v>0.5</v>
      </c>
      <c r="K155" s="15" t="n">
        <v>0.5238095238095238</v>
      </c>
      <c r="L155" s="14" t="n">
        <v>0.09233597650029246</v>
      </c>
      <c r="M155" s="14" t="n">
        <v>0.147383337793894</v>
      </c>
      <c r="N155" s="15" t="n">
        <v>0</v>
      </c>
      <c r="O155" s="24" t="n">
        <v>0.4</v>
      </c>
      <c r="P155" s="12" t="inlineStr">
        <is>
          <t>DraftKings</t>
        </is>
      </c>
      <c r="Q155" s="12" t="inlineStr">
        <is>
          <t>UCD isn't a full FBS participant this season — model doesn't rate them reliably</t>
        </is>
      </c>
    </row>
    <row r="156">
      <c r="A156" s="17" t="inlineStr">
        <is>
          <t>PASS</t>
        </is>
      </c>
      <c r="B156" s="17" t="inlineStr">
        <is>
          <t>SAC @ FRES</t>
        </is>
      </c>
      <c r="C156" s="17" t="inlineStr">
        <is>
          <t>2026-09-13 02:30</t>
        </is>
      </c>
      <c r="D156" s="25" t="n">
        <v>2</v>
      </c>
      <c r="E156" s="17" t="inlineStr">
        <is>
          <t>TOTAL</t>
        </is>
      </c>
      <c r="F156" s="17" t="inlineStr">
        <is>
          <t>Over 44.5</t>
        </is>
      </c>
      <c r="G156" s="26" t="n">
        <v>44.5</v>
      </c>
      <c r="H156" s="18" t="n">
        <v>-120</v>
      </c>
      <c r="I156" s="20" t="n">
        <v>0.6270977258715764</v>
      </c>
      <c r="J156" s="20" t="n">
        <v>0.5217391304347826</v>
      </c>
      <c r="K156" s="20" t="n">
        <v>0.5454545454545454</v>
      </c>
      <c r="L156" s="19" t="n">
        <v>0.09233136446685918</v>
      </c>
      <c r="M156" s="19" t="n">
        <v>0.1496791640978903</v>
      </c>
      <c r="N156" s="20" t="n">
        <v>0</v>
      </c>
      <c r="O156" s="27" t="n">
        <v>0.725</v>
      </c>
      <c r="P156" s="17" t="inlineStr">
        <is>
          <t>DraftKings</t>
        </is>
      </c>
      <c r="Q156" s="17" t="inlineStr">
        <is>
          <t>outside the top 10 plays for this week</t>
        </is>
      </c>
    </row>
    <row r="157">
      <c r="A157" s="12" t="inlineStr">
        <is>
          <t>PASS</t>
        </is>
      </c>
      <c r="B157" s="12" t="inlineStr">
        <is>
          <t>MEM @ BOIS</t>
        </is>
      </c>
      <c r="C157" s="12" t="inlineStr">
        <is>
          <t>2026-09-12 22:00</t>
        </is>
      </c>
      <c r="D157" s="22" t="n">
        <v>2</v>
      </c>
      <c r="E157" s="12" t="inlineStr">
        <is>
          <t>ML</t>
        </is>
      </c>
      <c r="F157" s="12" t="inlineStr">
        <is>
          <t>MEM ML</t>
        </is>
      </c>
      <c r="G157" s="23" t="n"/>
      <c r="H157" s="13" t="n">
        <v>260</v>
      </c>
      <c r="I157" s="15" t="n">
        <v>0.3197563607214573</v>
      </c>
      <c r="J157" s="15" t="n">
        <v>0.2664576802507838</v>
      </c>
      <c r="K157" s="15" t="n">
        <v>0.2777777777777778</v>
      </c>
      <c r="L157" s="14" t="n">
        <v>0.09222344211462444</v>
      </c>
      <c r="M157" s="14" t="n">
        <v>0.1511228985972464</v>
      </c>
      <c r="N157" s="15" t="n">
        <v>0</v>
      </c>
      <c r="O157" s="24" t="n">
        <v>0.725</v>
      </c>
      <c r="P157" s="12" t="inlineStr">
        <is>
          <t>DraftKings</t>
        </is>
      </c>
      <c r="Q157" s="12" t="inlineStr">
        <is>
          <t>outside the top 10 plays for this week</t>
        </is>
      </c>
    </row>
    <row r="158">
      <c r="A158" s="17" t="inlineStr">
        <is>
          <t>PASS</t>
        </is>
      </c>
      <c r="B158" s="17" t="inlineStr">
        <is>
          <t>ORE @ OKST</t>
        </is>
      </c>
      <c r="C158" s="17" t="inlineStr">
        <is>
          <t>2026-09-12 16:00</t>
        </is>
      </c>
      <c r="D158" s="25" t="n">
        <v>2</v>
      </c>
      <c r="E158" s="17" t="inlineStr">
        <is>
          <t>TOTAL</t>
        </is>
      </c>
      <c r="F158" s="17" t="inlineStr">
        <is>
          <t>Under 56.5</t>
        </is>
      </c>
      <c r="G158" s="26" t="n">
        <v>56.5</v>
      </c>
      <c r="H158" s="18" t="n">
        <v>-108</v>
      </c>
      <c r="I158" s="20" t="n">
        <v>0.5936030413337787</v>
      </c>
      <c r="J158" s="20" t="n">
        <v>0.4956702459300312</v>
      </c>
      <c r="K158" s="20" t="n">
        <v>0.5192307692307693</v>
      </c>
      <c r="L158" s="19" t="n">
        <v>0.09207871361050961</v>
      </c>
      <c r="M158" s="19" t="n">
        <v>0.1432354870132035</v>
      </c>
      <c r="N158" s="20" t="n">
        <v>0</v>
      </c>
      <c r="O158" s="27" t="n">
        <v>0.725</v>
      </c>
      <c r="P158" s="17" t="inlineStr">
        <is>
          <t>DraftKings</t>
        </is>
      </c>
      <c r="Q158" s="17" t="inlineStr">
        <is>
          <t>outside the top 10 plays for this week</t>
        </is>
      </c>
    </row>
    <row r="159">
      <c r="A159" s="12" t="inlineStr">
        <is>
          <t>PASS</t>
        </is>
      </c>
      <c r="B159" s="12" t="inlineStr">
        <is>
          <t>ULM @ UAB</t>
        </is>
      </c>
      <c r="C159" s="12" t="inlineStr">
        <is>
          <t>2026-09-12 19:30</t>
        </is>
      </c>
      <c r="D159" s="22" t="n">
        <v>2</v>
      </c>
      <c r="E159" s="12" t="inlineStr">
        <is>
          <t>ML</t>
        </is>
      </c>
      <c r="F159" s="12" t="inlineStr">
        <is>
          <t>ULM ML</t>
        </is>
      </c>
      <c r="G159" s="23" t="n"/>
      <c r="H159" s="13" t="n">
        <v>295</v>
      </c>
      <c r="I159" s="15" t="n">
        <v>0.2903882975903661</v>
      </c>
      <c r="J159" s="15" t="n">
        <v>0.2428115015974441</v>
      </c>
      <c r="K159" s="15" t="n">
        <v>0.2531645569620253</v>
      </c>
      <c r="L159" s="14" t="n">
        <v>0.09197802213415285</v>
      </c>
      <c r="M159" s="14" t="n">
        <v>0.1470337754819462</v>
      </c>
      <c r="N159" s="15" t="n">
        <v>0</v>
      </c>
      <c r="O159" s="24" t="n">
        <v>0.725</v>
      </c>
      <c r="P159" s="12" t="inlineStr">
        <is>
          <t>DraftKings</t>
        </is>
      </c>
      <c r="Q159" s="12" t="inlineStr">
        <is>
          <t>outside the top 10 plays for this week</t>
        </is>
      </c>
    </row>
    <row r="160">
      <c r="A160" s="17" t="inlineStr">
        <is>
          <t>PASS</t>
        </is>
      </c>
      <c r="B160" s="17" t="inlineStr">
        <is>
          <t>USF @ ARMY</t>
        </is>
      </c>
      <c r="C160" s="17" t="inlineStr">
        <is>
          <t>2026-09-12 16:00</t>
        </is>
      </c>
      <c r="D160" s="25" t="n">
        <v>2</v>
      </c>
      <c r="E160" s="17" t="inlineStr">
        <is>
          <t>TOTAL</t>
        </is>
      </c>
      <c r="F160" s="17" t="inlineStr">
        <is>
          <t>Over 46.5</t>
        </is>
      </c>
      <c r="G160" s="26" t="n">
        <v>46.5</v>
      </c>
      <c r="H160" s="18" t="n">
        <v>-110</v>
      </c>
      <c r="I160" s="20" t="n">
        <v>0.5975244152739021</v>
      </c>
      <c r="J160" s="20" t="n">
        <v>0.5</v>
      </c>
      <c r="K160" s="20" t="n">
        <v>0.5238095238095238</v>
      </c>
      <c r="L160" s="19" t="n">
        <v>0.09192163595838937</v>
      </c>
      <c r="M160" s="19" t="n">
        <v>0.1407284291592676</v>
      </c>
      <c r="N160" s="20" t="n">
        <v>0</v>
      </c>
      <c r="O160" s="27" t="n">
        <v>0.725</v>
      </c>
      <c r="P160" s="17" t="inlineStr">
        <is>
          <t>DraftKings</t>
        </is>
      </c>
      <c r="Q160" s="17" t="inlineStr">
        <is>
          <t>outside the top 10 plays for this week</t>
        </is>
      </c>
    </row>
    <row r="161">
      <c r="A161" s="12" t="inlineStr">
        <is>
          <t>PASS</t>
        </is>
      </c>
      <c r="B161" s="12" t="inlineStr">
        <is>
          <t>SYR @ PITT</t>
        </is>
      </c>
      <c r="C161" s="12" t="inlineStr">
        <is>
          <t>2026-09-17 23:30</t>
        </is>
      </c>
      <c r="D161" s="22" t="n">
        <v>3</v>
      </c>
      <c r="E161" s="12" t="inlineStr">
        <is>
          <t>ATS</t>
        </is>
      </c>
      <c r="F161" s="12" t="inlineStr">
        <is>
          <t>SYR +10.5</t>
        </is>
      </c>
      <c r="G161" s="23" t="n">
        <v>-10.5</v>
      </c>
      <c r="H161" s="13" t="n">
        <v>-112</v>
      </c>
      <c r="I161" s="15" t="n">
        <v>0.6022796264986603</v>
      </c>
      <c r="J161" s="15" t="n">
        <v>0.5043297540699688</v>
      </c>
      <c r="K161" s="15" t="n">
        <v>0.5283018867924528</v>
      </c>
      <c r="L161" s="14" t="n">
        <v>0.09186820781572556</v>
      </c>
      <c r="M161" s="14" t="n">
        <v>0.1400292930153213</v>
      </c>
      <c r="N161" s="15" t="n">
        <v>0</v>
      </c>
      <c r="O161" s="24" t="n">
        <v>0.725</v>
      </c>
      <c r="P161" s="12" t="inlineStr">
        <is>
          <t>DraftKings</t>
        </is>
      </c>
      <c r="Q161" s="12" t="inlineStr">
        <is>
          <t>correlated with a stronger play on the same game</t>
        </is>
      </c>
    </row>
    <row r="162">
      <c r="A162" s="17" t="inlineStr">
        <is>
          <t>PASS</t>
        </is>
      </c>
      <c r="B162" s="17" t="inlineStr">
        <is>
          <t>LSU @ MISS</t>
        </is>
      </c>
      <c r="C162" s="17" t="inlineStr">
        <is>
          <t>2026-09-19 23:30</t>
        </is>
      </c>
      <c r="D162" s="25" t="n">
        <v>3</v>
      </c>
      <c r="E162" s="17" t="inlineStr">
        <is>
          <t>TOTAL</t>
        </is>
      </c>
      <c r="F162" s="17" t="inlineStr">
        <is>
          <t>Under 58.5</t>
        </is>
      </c>
      <c r="G162" s="26" t="n">
        <v>58.5</v>
      </c>
      <c r="H162" s="18" t="n">
        <v>-110</v>
      </c>
      <c r="I162" s="20" t="n">
        <v>0.5940026678924437</v>
      </c>
      <c r="J162" s="20" t="n">
        <v>0.5</v>
      </c>
      <c r="K162" s="20" t="n">
        <v>0.5238095238095238</v>
      </c>
      <c r="L162" s="19" t="n">
        <v>0.09143880559383079</v>
      </c>
      <c r="M162" s="19" t="n">
        <v>0.1340050932492107</v>
      </c>
      <c r="N162" s="20" t="n">
        <v>0</v>
      </c>
      <c r="O162" s="27" t="n">
        <v>0.725</v>
      </c>
      <c r="P162" s="17" t="inlineStr">
        <is>
          <t>DraftKings</t>
        </is>
      </c>
      <c r="Q162" s="17" t="inlineStr">
        <is>
          <t>correlated with a stronger play on the same game</t>
        </is>
      </c>
    </row>
    <row r="163">
      <c r="A163" s="12" t="inlineStr">
        <is>
          <t>PASS</t>
        </is>
      </c>
      <c r="B163" s="12" t="inlineStr">
        <is>
          <t>ARIZ @ BYU</t>
        </is>
      </c>
      <c r="C163" s="12" t="inlineStr">
        <is>
          <t>2026-09-12 19:30</t>
        </is>
      </c>
      <c r="D163" s="22" t="n">
        <v>2</v>
      </c>
      <c r="E163" s="12" t="inlineStr">
        <is>
          <t>TOTAL</t>
        </is>
      </c>
      <c r="F163" s="12" t="inlineStr">
        <is>
          <t>Over 47.5</t>
        </is>
      </c>
      <c r="G163" s="23" t="n">
        <v>47.5</v>
      </c>
      <c r="H163" s="13" t="n">
        <v>-108</v>
      </c>
      <c r="I163" s="15" t="n">
        <v>0.5864905136026746</v>
      </c>
      <c r="J163" s="15" t="n">
        <v>0.4956702459300312</v>
      </c>
      <c r="K163" s="15" t="n">
        <v>0.5192307692307693</v>
      </c>
      <c r="L163" s="14" t="n">
        <v>0.09106973466991745</v>
      </c>
      <c r="M163" s="14" t="n">
        <v>0.1295372854570029</v>
      </c>
      <c r="N163" s="15" t="n">
        <v>0</v>
      </c>
      <c r="O163" s="24" t="n">
        <v>0.725</v>
      </c>
      <c r="P163" s="12" t="inlineStr">
        <is>
          <t>DraftKings</t>
        </is>
      </c>
      <c r="Q163" s="12" t="inlineStr">
        <is>
          <t>outside the top 10 plays for this week</t>
        </is>
      </c>
    </row>
    <row r="164">
      <c r="A164" s="17" t="inlineStr">
        <is>
          <t>PASS</t>
        </is>
      </c>
      <c r="B164" s="17" t="inlineStr">
        <is>
          <t>USA @ TULN</t>
        </is>
      </c>
      <c r="C164" s="17" t="inlineStr">
        <is>
          <t>2026-09-12 23:00</t>
        </is>
      </c>
      <c r="D164" s="25" t="n">
        <v>2</v>
      </c>
      <c r="E164" s="17" t="inlineStr">
        <is>
          <t>ATS</t>
        </is>
      </c>
      <c r="F164" s="17" t="inlineStr">
        <is>
          <t>USA +9.5</t>
        </is>
      </c>
      <c r="G164" s="26" t="n">
        <v>-9.5</v>
      </c>
      <c r="H164" s="18" t="n">
        <v>-105</v>
      </c>
      <c r="I164" s="20" t="n">
        <v>0.5766293517789199</v>
      </c>
      <c r="J164" s="20" t="n">
        <v>0.4891657638136511</v>
      </c>
      <c r="K164" s="20" t="n">
        <v>0.5121951219512195</v>
      </c>
      <c r="L164" s="19" t="n">
        <v>0.09069463971621917</v>
      </c>
      <c r="M164" s="19" t="n">
        <v>0.125800162996939</v>
      </c>
      <c r="N164" s="20" t="n">
        <v>0</v>
      </c>
      <c r="O164" s="27" t="n">
        <v>0.725</v>
      </c>
      <c r="P164" s="17" t="inlineStr">
        <is>
          <t>DraftKings</t>
        </is>
      </c>
      <c r="Q164" s="17" t="inlineStr">
        <is>
          <t>correlated with a stronger play on the same game</t>
        </is>
      </c>
    </row>
    <row r="165">
      <c r="A165" s="12" t="inlineStr">
        <is>
          <t>PASS</t>
        </is>
      </c>
      <c r="B165" s="12" t="inlineStr">
        <is>
          <t>WVU @ UVA</t>
        </is>
      </c>
      <c r="C165" s="12" t="inlineStr">
        <is>
          <t>2026-09-19 23:30</t>
        </is>
      </c>
      <c r="D165" s="22" t="n">
        <v>3</v>
      </c>
      <c r="E165" s="12" t="inlineStr">
        <is>
          <t>ATS</t>
        </is>
      </c>
      <c r="F165" s="12" t="inlineStr">
        <is>
          <t>WVU +8.5</t>
        </is>
      </c>
      <c r="G165" s="23" t="n">
        <v>-8.5</v>
      </c>
      <c r="H165" s="13" t="n">
        <v>-112</v>
      </c>
      <c r="I165" s="15" t="n">
        <v>0.5943934774330796</v>
      </c>
      <c r="J165" s="15" t="n">
        <v>0.5043297540699688</v>
      </c>
      <c r="K165" s="15" t="n">
        <v>0.5283018867924528</v>
      </c>
      <c r="L165" s="14" t="n">
        <v>0.09067506250613876</v>
      </c>
      <c r="M165" s="14" t="n">
        <v>0.1251019394269006</v>
      </c>
      <c r="N165" s="15" t="n">
        <v>0</v>
      </c>
      <c r="O165" s="24" t="n">
        <v>0.725</v>
      </c>
      <c r="P165" s="12" t="inlineStr">
        <is>
          <t>DraftKings</t>
        </is>
      </c>
      <c r="Q165" s="12" t="inlineStr">
        <is>
          <t>correlated with a stronger play on the same game</t>
        </is>
      </c>
    </row>
    <row r="166">
      <c r="A166" s="17" t="inlineStr">
        <is>
          <t>PASS</t>
        </is>
      </c>
      <c r="B166" s="17" t="inlineStr">
        <is>
          <t>NDSU @ AFA</t>
        </is>
      </c>
      <c r="C166" s="17" t="inlineStr">
        <is>
          <t>2026-09-13 02:00</t>
        </is>
      </c>
      <c r="D166" s="25" t="n">
        <v>2</v>
      </c>
      <c r="E166" s="17" t="inlineStr">
        <is>
          <t>ATS</t>
        </is>
      </c>
      <c r="F166" s="17" t="inlineStr">
        <is>
          <t>AFA +1.5</t>
        </is>
      </c>
      <c r="G166" s="26" t="n">
        <v>1.5</v>
      </c>
      <c r="H166" s="18" t="n">
        <v>-105</v>
      </c>
      <c r="I166" s="20" t="n">
        <v>0.576341943263019</v>
      </c>
      <c r="J166" s="20" t="n">
        <v>0.4891657638136511</v>
      </c>
      <c r="K166" s="20" t="n">
        <v>0.5121951219512195</v>
      </c>
      <c r="L166" s="19" t="n">
        <v>0.09064228310524565</v>
      </c>
      <c r="M166" s="19" t="n">
        <v>0.1252390320849419</v>
      </c>
      <c r="N166" s="20" t="n">
        <v>0</v>
      </c>
      <c r="O166" s="27" t="n">
        <v>0.725</v>
      </c>
      <c r="P166" s="17" t="inlineStr">
        <is>
          <t>DraftKings</t>
        </is>
      </c>
      <c r="Q166" s="17" t="inlineStr">
        <is>
          <t>outside the top 10 plays for this week</t>
        </is>
      </c>
    </row>
    <row r="167">
      <c r="A167" s="12" t="inlineStr">
        <is>
          <t>PASS</t>
        </is>
      </c>
      <c r="B167" s="12" t="inlineStr">
        <is>
          <t>BUFF @ FIU</t>
        </is>
      </c>
      <c r="C167" s="12" t="inlineStr">
        <is>
          <t>2026-09-12 22:00</t>
        </is>
      </c>
      <c r="D167" s="22" t="n">
        <v>2</v>
      </c>
      <c r="E167" s="12" t="inlineStr">
        <is>
          <t>ATS</t>
        </is>
      </c>
      <c r="F167" s="12" t="inlineStr">
        <is>
          <t>BUFF +10.5</t>
        </is>
      </c>
      <c r="G167" s="23" t="n">
        <v>-10.5</v>
      </c>
      <c r="H167" s="13" t="n">
        <v>-115</v>
      </c>
      <c r="I167" s="15" t="n">
        <v>0.6009009513343644</v>
      </c>
      <c r="J167" s="15" t="n">
        <v>0.5108342361863488</v>
      </c>
      <c r="K167" s="15" t="n">
        <v>0.5348837209302325</v>
      </c>
      <c r="L167" s="14" t="n">
        <v>0.09046859077861963</v>
      </c>
      <c r="M167" s="14" t="n">
        <v>0.1234235177120724</v>
      </c>
      <c r="N167" s="15" t="n">
        <v>0</v>
      </c>
      <c r="O167" s="24" t="n">
        <v>0.725</v>
      </c>
      <c r="P167" s="12" t="inlineStr">
        <is>
          <t>DraftKings</t>
        </is>
      </c>
      <c r="Q167" s="12" t="inlineStr">
        <is>
          <t>correlated with a stronger play on the same game</t>
        </is>
      </c>
    </row>
    <row r="168">
      <c r="A168" s="17" t="inlineStr">
        <is>
          <t>PASS</t>
        </is>
      </c>
      <c r="B168" s="17" t="inlineStr">
        <is>
          <t>NDSU @ AFA</t>
        </is>
      </c>
      <c r="C168" s="17" t="inlineStr">
        <is>
          <t>2026-09-13 02:00</t>
        </is>
      </c>
      <c r="D168" s="25" t="n">
        <v>2</v>
      </c>
      <c r="E168" s="17" t="inlineStr">
        <is>
          <t>ML</t>
        </is>
      </c>
      <c r="F168" s="17" t="inlineStr">
        <is>
          <t>AFA ML</t>
        </is>
      </c>
      <c r="G168" s="26" t="n"/>
      <c r="H168" s="18" t="n">
        <v>105</v>
      </c>
      <c r="I168" s="20" t="n">
        <v>0.5484713251545889</v>
      </c>
      <c r="J168" s="20" t="n">
        <v>0.4675324675324675</v>
      </c>
      <c r="K168" s="20" t="n">
        <v>0.4878048780487805</v>
      </c>
      <c r="L168" s="19" t="n">
        <v>0.09016146022343319</v>
      </c>
      <c r="M168" s="19" t="n">
        <v>0.1243662165669071</v>
      </c>
      <c r="N168" s="20" t="n">
        <v>0</v>
      </c>
      <c r="O168" s="27" t="n">
        <v>0.725</v>
      </c>
      <c r="P168" s="17" t="inlineStr">
        <is>
          <t>DraftKings</t>
        </is>
      </c>
      <c r="Q168" s="17" t="inlineStr">
        <is>
          <t>correlated with a stronger play on the same game</t>
        </is>
      </c>
    </row>
    <row r="169">
      <c r="A169" s="12" t="inlineStr">
        <is>
          <t>PASS</t>
        </is>
      </c>
      <c r="B169" s="12" t="inlineStr">
        <is>
          <t>STBK @ BALL</t>
        </is>
      </c>
      <c r="C169" s="12" t="inlineStr">
        <is>
          <t>2026-09-12 18:00</t>
        </is>
      </c>
      <c r="D169" s="22" t="n">
        <v>2</v>
      </c>
      <c r="E169" s="12" t="inlineStr">
        <is>
          <t>TOTAL</t>
        </is>
      </c>
      <c r="F169" s="12" t="inlineStr">
        <is>
          <t>Under 57.5</t>
        </is>
      </c>
      <c r="G169" s="23" t="n">
        <v>57.5</v>
      </c>
      <c r="H169" s="13" t="n">
        <v>-108</v>
      </c>
      <c r="I169" s="15" t="n">
        <v>0.5810688156452991</v>
      </c>
      <c r="J169" s="15" t="n">
        <v>0.4956702459300312</v>
      </c>
      <c r="K169" s="15" t="n">
        <v>0.5192307692307693</v>
      </c>
      <c r="L169" s="14" t="n">
        <v>0.09007836475457424</v>
      </c>
      <c r="M169" s="14" t="n">
        <v>0.119095496798354</v>
      </c>
      <c r="N169" s="15" t="n">
        <v>0</v>
      </c>
      <c r="O169" s="24" t="n">
        <v>0.4</v>
      </c>
      <c r="P169" s="12" t="inlineStr">
        <is>
          <t>DraftKings</t>
        </is>
      </c>
      <c r="Q169" s="12" t="inlineStr">
        <is>
          <t>STBK isn't a full FBS participant this season — model doesn't rate them reliably</t>
        </is>
      </c>
    </row>
    <row r="170">
      <c r="A170" s="17" t="inlineStr">
        <is>
          <t>PASS</t>
        </is>
      </c>
      <c r="B170" s="17" t="inlineStr">
        <is>
          <t>ULM @ UAB</t>
        </is>
      </c>
      <c r="C170" s="17" t="inlineStr">
        <is>
          <t>2026-09-12 19:30</t>
        </is>
      </c>
      <c r="D170" s="25" t="n">
        <v>2</v>
      </c>
      <c r="E170" s="17" t="inlineStr">
        <is>
          <t>ATS</t>
        </is>
      </c>
      <c r="F170" s="17" t="inlineStr">
        <is>
          <t>ULM +10</t>
        </is>
      </c>
      <c r="G170" s="26" t="n">
        <v>-10</v>
      </c>
      <c r="H170" s="18" t="n">
        <v>-112</v>
      </c>
      <c r="I170" s="20" t="n">
        <v>0.5873950115570439</v>
      </c>
      <c r="J170" s="20" t="n">
        <v>0.5043297540699688</v>
      </c>
      <c r="K170" s="20" t="n">
        <v>0.5283018867924528</v>
      </c>
      <c r="L170" s="19" t="n">
        <v>0.08925203136541549</v>
      </c>
      <c r="M170" s="19" t="n">
        <v>0.1075484318371849</v>
      </c>
      <c r="N170" s="20" t="n">
        <v>0.0385</v>
      </c>
      <c r="O170" s="27" t="n">
        <v>0.725</v>
      </c>
      <c r="P170" s="17" t="inlineStr">
        <is>
          <t>DraftKings</t>
        </is>
      </c>
      <c r="Q170" s="17" t="inlineStr">
        <is>
          <t>correlated with a stronger play on the same game</t>
        </is>
      </c>
    </row>
    <row r="171">
      <c r="A171" s="12" t="inlineStr">
        <is>
          <t>PASS</t>
        </is>
      </c>
      <c r="B171" s="12" t="inlineStr">
        <is>
          <t>UNCO @ WYO</t>
        </is>
      </c>
      <c r="C171" s="12" t="inlineStr">
        <is>
          <t>2026-09-12 20:00</t>
        </is>
      </c>
      <c r="D171" s="22" t="n">
        <v>2</v>
      </c>
      <c r="E171" s="12" t="inlineStr">
        <is>
          <t>TOTAL</t>
        </is>
      </c>
      <c r="F171" s="12" t="inlineStr">
        <is>
          <t>Over 47.5</t>
        </is>
      </c>
      <c r="G171" s="23" t="n">
        <v>47.5</v>
      </c>
      <c r="H171" s="13" t="n">
        <v>-115</v>
      </c>
      <c r="I171" s="15" t="n">
        <v>0.5940725087308334</v>
      </c>
      <c r="J171" s="15" t="n">
        <v>0.5108342361863488</v>
      </c>
      <c r="K171" s="15" t="n">
        <v>0.5348837209302325</v>
      </c>
      <c r="L171" s="14" t="n">
        <v>0.08904204560318238</v>
      </c>
      <c r="M171" s="14" t="n">
        <v>0.110657298931558</v>
      </c>
      <c r="N171" s="15" t="n">
        <v>0</v>
      </c>
      <c r="O171" s="24" t="n">
        <v>0.4</v>
      </c>
      <c r="P171" s="12" t="inlineStr">
        <is>
          <t>DraftKings</t>
        </is>
      </c>
      <c r="Q171" s="12" t="inlineStr">
        <is>
          <t>UNCO isn't a full FBS participant this season — model doesn't rate them reliably</t>
        </is>
      </c>
    </row>
    <row r="172">
      <c r="A172" s="17" t="inlineStr">
        <is>
          <t>PASS</t>
        </is>
      </c>
      <c r="B172" s="17" t="inlineStr">
        <is>
          <t>MTSU @ MRSH</t>
        </is>
      </c>
      <c r="C172" s="17" t="inlineStr">
        <is>
          <t>2026-09-12 23:00</t>
        </is>
      </c>
      <c r="D172" s="25" t="n">
        <v>2</v>
      </c>
      <c r="E172" s="17" t="inlineStr">
        <is>
          <t>TOTAL</t>
        </is>
      </c>
      <c r="F172" s="17" t="inlineStr">
        <is>
          <t>Under 56.5</t>
        </is>
      </c>
      <c r="G172" s="26" t="n">
        <v>56.5</v>
      </c>
      <c r="H172" s="18" t="n">
        <v>-108</v>
      </c>
      <c r="I172" s="20" t="n">
        <v>0.5755766985469075</v>
      </c>
      <c r="J172" s="20" t="n">
        <v>0.4956702459300312</v>
      </c>
      <c r="K172" s="20" t="n">
        <v>0.5192307692307693</v>
      </c>
      <c r="L172" s="19" t="n">
        <v>0.08882736621113561</v>
      </c>
      <c r="M172" s="19" t="n">
        <v>0.1085180860903405</v>
      </c>
      <c r="N172" s="20" t="n">
        <v>0</v>
      </c>
      <c r="O172" s="27" t="n">
        <v>0.725</v>
      </c>
      <c r="P172" s="17" t="inlineStr">
        <is>
          <t>DraftKings</t>
        </is>
      </c>
      <c r="Q172" s="17" t="inlineStr">
        <is>
          <t>correlated with a stronger play on the same game</t>
        </is>
      </c>
    </row>
    <row r="173">
      <c r="A173" s="12" t="inlineStr">
        <is>
          <t>PASS</t>
        </is>
      </c>
      <c r="B173" s="12" t="inlineStr">
        <is>
          <t>NORF @ UVA</t>
        </is>
      </c>
      <c r="C173" s="12" t="inlineStr">
        <is>
          <t>2026-09-11 23:00</t>
        </is>
      </c>
      <c r="D173" s="22" t="n">
        <v>2</v>
      </c>
      <c r="E173" s="12" t="inlineStr">
        <is>
          <t>TOTAL</t>
        </is>
      </c>
      <c r="F173" s="12" t="inlineStr">
        <is>
          <t>Under 54.5</t>
        </is>
      </c>
      <c r="G173" s="23" t="n">
        <v>54.5</v>
      </c>
      <c r="H173" s="13" t="n">
        <v>102</v>
      </c>
      <c r="I173" s="15" t="n">
        <v>0.54973989428346</v>
      </c>
      <c r="J173" s="15" t="n">
        <v>0.4739134147382802</v>
      </c>
      <c r="K173" s="15" t="n">
        <v>0.495049504950495</v>
      </c>
      <c r="L173" s="14" t="n">
        <v>0.08867364243374791</v>
      </c>
      <c r="M173" s="14" t="n">
        <v>0.1104745864525893</v>
      </c>
      <c r="N173" s="15" t="n">
        <v>0</v>
      </c>
      <c r="O173" s="24" t="n">
        <v>0.725</v>
      </c>
      <c r="P173" s="12" t="inlineStr">
        <is>
          <t>DraftKings</t>
        </is>
      </c>
      <c r="Q173" s="12" t="inlineStr">
        <is>
          <t>NORF isn't a full FBS participant this season — model doesn't rate them reliably</t>
        </is>
      </c>
    </row>
    <row r="174">
      <c r="A174" s="17" t="inlineStr">
        <is>
          <t>PASS</t>
        </is>
      </c>
      <c r="B174" s="17" t="inlineStr">
        <is>
          <t>MEM @ BOIS</t>
        </is>
      </c>
      <c r="C174" s="17" t="inlineStr">
        <is>
          <t>2026-09-12 22:00</t>
        </is>
      </c>
      <c r="D174" s="25" t="n">
        <v>2</v>
      </c>
      <c r="E174" s="17" t="inlineStr">
        <is>
          <t>ATS</t>
        </is>
      </c>
      <c r="F174" s="17" t="inlineStr">
        <is>
          <t>MEM +8.5</t>
        </is>
      </c>
      <c r="G174" s="26" t="n">
        <v>-8.5</v>
      </c>
      <c r="H174" s="18" t="n">
        <v>-110</v>
      </c>
      <c r="I174" s="20" t="n">
        <v>0.5786632156869389</v>
      </c>
      <c r="J174" s="20" t="n">
        <v>0.5</v>
      </c>
      <c r="K174" s="20" t="n">
        <v>0.5238095238095238</v>
      </c>
      <c r="L174" s="19" t="n">
        <v>0.08832012970896191</v>
      </c>
      <c r="M174" s="19" t="n">
        <v>0.1047206844932471</v>
      </c>
      <c r="N174" s="20" t="n">
        <v>0</v>
      </c>
      <c r="O174" s="27" t="n">
        <v>0.725</v>
      </c>
      <c r="P174" s="17" t="inlineStr">
        <is>
          <t>DraftKings</t>
        </is>
      </c>
      <c r="Q174" s="17" t="inlineStr">
        <is>
          <t>correlated with a stronger play on the same game</t>
        </is>
      </c>
    </row>
    <row r="175">
      <c r="A175" s="12" t="inlineStr">
        <is>
          <t>PASS</t>
        </is>
      </c>
      <c r="B175" s="12" t="inlineStr">
        <is>
          <t>USU @ WASH</t>
        </is>
      </c>
      <c r="C175" s="12" t="inlineStr">
        <is>
          <t>2026-09-12 19:30</t>
        </is>
      </c>
      <c r="D175" s="22" t="n">
        <v>2</v>
      </c>
      <c r="E175" s="12" t="inlineStr">
        <is>
          <t>TOTAL</t>
        </is>
      </c>
      <c r="F175" s="12" t="inlineStr">
        <is>
          <t>Under 55.5</t>
        </is>
      </c>
      <c r="G175" s="23" t="n">
        <v>55.5</v>
      </c>
      <c r="H175" s="13" t="n">
        <v>-112</v>
      </c>
      <c r="I175" s="15" t="n">
        <v>0.5817447276125769</v>
      </c>
      <c r="J175" s="15" t="n">
        <v>0.5043297540699688</v>
      </c>
      <c r="K175" s="15" t="n">
        <v>0.5283018867924528</v>
      </c>
      <c r="L175" s="14" t="n">
        <v>0.0877811496199879</v>
      </c>
      <c r="M175" s="14" t="n">
        <v>0.101159662980949</v>
      </c>
      <c r="N175" s="15" t="n">
        <v>0</v>
      </c>
      <c r="O175" s="24" t="n">
        <v>0.725</v>
      </c>
      <c r="P175" s="12" t="inlineStr">
        <is>
          <t>DraftKings</t>
        </is>
      </c>
      <c r="Q175" s="12" t="inlineStr">
        <is>
          <t>outside the top 10 plays for this week</t>
        </is>
      </c>
    </row>
    <row r="176">
      <c r="A176" s="17" t="inlineStr">
        <is>
          <t>PASS</t>
        </is>
      </c>
      <c r="B176" s="17" t="inlineStr">
        <is>
          <t>MTST @ NEV</t>
        </is>
      </c>
      <c r="C176" s="17" t="inlineStr">
        <is>
          <t>2026-09-13 02:30</t>
        </is>
      </c>
      <c r="D176" s="25" t="n">
        <v>2</v>
      </c>
      <c r="E176" s="17" t="inlineStr">
        <is>
          <t>TOTAL</t>
        </is>
      </c>
      <c r="F176" s="17" t="inlineStr">
        <is>
          <t>Over 49.5</t>
        </is>
      </c>
      <c r="G176" s="26" t="n">
        <v>49.5</v>
      </c>
      <c r="H176" s="18" t="n">
        <v>-110</v>
      </c>
      <c r="I176" s="20" t="n">
        <v>0.5758959399647658</v>
      </c>
      <c r="J176" s="20" t="n">
        <v>0.5</v>
      </c>
      <c r="K176" s="20" t="n">
        <v>0.5238095238095238</v>
      </c>
      <c r="L176" s="19" t="n">
        <v>0.08752712163049618</v>
      </c>
      <c r="M176" s="19" t="n">
        <v>0.09943770356909853</v>
      </c>
      <c r="N176" s="20" t="n">
        <v>0</v>
      </c>
      <c r="O176" s="27" t="n">
        <v>0.4</v>
      </c>
      <c r="P176" s="17" t="inlineStr">
        <is>
          <t>DraftKings</t>
        </is>
      </c>
      <c r="Q176" s="17" t="inlineStr">
        <is>
          <t>MTST isn't a full FBS participant this season — model doesn't rate them reliably</t>
        </is>
      </c>
    </row>
    <row r="177">
      <c r="A177" s="12" t="inlineStr">
        <is>
          <t>PASS</t>
        </is>
      </c>
      <c r="B177" s="12" t="inlineStr">
        <is>
          <t>NMSU @ HAW</t>
        </is>
      </c>
      <c r="C177" s="12" t="inlineStr">
        <is>
          <t>2026-09-13 03:59</t>
        </is>
      </c>
      <c r="D177" s="22" t="n">
        <v>2</v>
      </c>
      <c r="E177" s="12" t="inlineStr">
        <is>
          <t>ATS</t>
        </is>
      </c>
      <c r="F177" s="12" t="inlineStr">
        <is>
          <t>NMSU +7</t>
        </is>
      </c>
      <c r="G177" s="23" t="n">
        <v>-7</v>
      </c>
      <c r="H177" s="13" t="n">
        <v>-108</v>
      </c>
      <c r="I177" s="15" t="n">
        <v>0.5705790699322774</v>
      </c>
      <c r="J177" s="15" t="n">
        <v>0.4956702459300312</v>
      </c>
      <c r="K177" s="15" t="n">
        <v>0.5192307692307693</v>
      </c>
      <c r="L177" s="14" t="n">
        <v>0.08742588085656487</v>
      </c>
      <c r="M177" s="14" t="n">
        <v>0.09407693332525652</v>
      </c>
      <c r="N177" s="15" t="n">
        <v>0.0487</v>
      </c>
      <c r="O177" s="24" t="n">
        <v>0.839</v>
      </c>
      <c r="P177" s="12" t="inlineStr">
        <is>
          <t>DraftKings</t>
        </is>
      </c>
      <c r="Q177" s="12" t="inlineStr">
        <is>
          <t>correlated with a stronger play on the same game</t>
        </is>
      </c>
    </row>
    <row r="178">
      <c r="A178" s="17" t="inlineStr">
        <is>
          <t>PASS</t>
        </is>
      </c>
      <c r="B178" s="17" t="inlineStr">
        <is>
          <t>NAVY @ FAU</t>
        </is>
      </c>
      <c r="C178" s="17" t="inlineStr">
        <is>
          <t>2026-09-12 23:30</t>
        </is>
      </c>
      <c r="D178" s="25" t="n">
        <v>2</v>
      </c>
      <c r="E178" s="17" t="inlineStr">
        <is>
          <t>TOTAL</t>
        </is>
      </c>
      <c r="F178" s="17" t="inlineStr">
        <is>
          <t>Under 58.5</t>
        </is>
      </c>
      <c r="G178" s="26" t="n">
        <v>58.5</v>
      </c>
      <c r="H178" s="18" t="n">
        <v>-105</v>
      </c>
      <c r="I178" s="20" t="n">
        <v>0.5630255892032817</v>
      </c>
      <c r="J178" s="20" t="n">
        <v>0.4891657638136511</v>
      </c>
      <c r="K178" s="20" t="n">
        <v>0.5121951219512195</v>
      </c>
      <c r="L178" s="19" t="n">
        <v>0.08740519718014679</v>
      </c>
      <c r="M178" s="19" t="n">
        <v>0.09924043606354993</v>
      </c>
      <c r="N178" s="20" t="n">
        <v>0</v>
      </c>
      <c r="O178" s="27" t="n">
        <v>0.725</v>
      </c>
      <c r="P178" s="17" t="inlineStr">
        <is>
          <t>DraftKings</t>
        </is>
      </c>
      <c r="Q178" s="17" t="inlineStr">
        <is>
          <t>correlated with a stronger play on the same game</t>
        </is>
      </c>
    </row>
    <row r="179">
      <c r="A179" s="12" t="inlineStr">
        <is>
          <t>PASS</t>
        </is>
      </c>
      <c r="B179" s="12" t="inlineStr">
        <is>
          <t>SUU @ CSU</t>
        </is>
      </c>
      <c r="C179" s="12" t="inlineStr">
        <is>
          <t>2026-09-12 23:00</t>
        </is>
      </c>
      <c r="D179" s="22" t="n">
        <v>2</v>
      </c>
      <c r="E179" s="12" t="inlineStr">
        <is>
          <t>TOTAL</t>
        </is>
      </c>
      <c r="F179" s="12" t="inlineStr">
        <is>
          <t>Under 56.5</t>
        </is>
      </c>
      <c r="G179" s="23" t="n">
        <v>56.5</v>
      </c>
      <c r="H179" s="13" t="n">
        <v>-105</v>
      </c>
      <c r="I179" s="15" t="n">
        <v>0.5630255838757657</v>
      </c>
      <c r="J179" s="15" t="n">
        <v>0.4891657638136511</v>
      </c>
      <c r="K179" s="15" t="n">
        <v>0.5121951219512195</v>
      </c>
      <c r="L179" s="14" t="n">
        <v>0.08740519550838169</v>
      </c>
      <c r="M179" s="14" t="n">
        <v>0.09924042566220925</v>
      </c>
      <c r="N179" s="15" t="n">
        <v>0</v>
      </c>
      <c r="O179" s="24" t="n">
        <v>0.4</v>
      </c>
      <c r="P179" s="12" t="inlineStr">
        <is>
          <t>DraftKings</t>
        </is>
      </c>
      <c r="Q179" s="12" t="inlineStr">
        <is>
          <t>SUU isn't a full FBS participant this season — model doesn't rate them reliably</t>
        </is>
      </c>
    </row>
    <row r="180">
      <c r="A180" s="17" t="inlineStr">
        <is>
          <t>PASS</t>
        </is>
      </c>
      <c r="B180" s="17" t="inlineStr">
        <is>
          <t>APP @ ECU</t>
        </is>
      </c>
      <c r="C180" s="17" t="inlineStr">
        <is>
          <t>2026-09-12 16:00</t>
        </is>
      </c>
      <c r="D180" s="25" t="n">
        <v>2</v>
      </c>
      <c r="E180" s="17" t="inlineStr">
        <is>
          <t>TOTAL</t>
        </is>
      </c>
      <c r="F180" s="17" t="inlineStr">
        <is>
          <t>Under 56.5</t>
        </is>
      </c>
      <c r="G180" s="26" t="n">
        <v>56.5</v>
      </c>
      <c r="H180" s="18" t="n">
        <v>-108</v>
      </c>
      <c r="I180" s="20" t="n">
        <v>0.5700182330167629</v>
      </c>
      <c r="J180" s="20" t="n">
        <v>0.4956702459300312</v>
      </c>
      <c r="K180" s="20" t="n">
        <v>0.5192307692307693</v>
      </c>
      <c r="L180" s="19" t="n">
        <v>0.08725074269540371</v>
      </c>
      <c r="M180" s="19" t="n">
        <v>0.09781289321746933</v>
      </c>
      <c r="N180" s="20" t="n">
        <v>0</v>
      </c>
      <c r="O180" s="27" t="n">
        <v>0.725</v>
      </c>
      <c r="P180" s="17" t="inlineStr">
        <is>
          <t>DraftKings</t>
        </is>
      </c>
      <c r="Q180" s="17" t="inlineStr">
        <is>
          <t>outside the top 10 plays for this week</t>
        </is>
      </c>
    </row>
    <row r="181">
      <c r="A181" s="12" t="inlineStr">
        <is>
          <t>PASS</t>
        </is>
      </c>
      <c r="B181" s="12" t="inlineStr">
        <is>
          <t>HC @ M-OH</t>
        </is>
      </c>
      <c r="C181" s="12" t="inlineStr">
        <is>
          <t>2026-09-12 17:00</t>
        </is>
      </c>
      <c r="D181" s="22" t="n">
        <v>2</v>
      </c>
      <c r="E181" s="12" t="inlineStr">
        <is>
          <t>TOTAL</t>
        </is>
      </c>
      <c r="F181" s="12" t="inlineStr">
        <is>
          <t>Over 49.5</t>
        </is>
      </c>
      <c r="G181" s="23" t="n">
        <v>49.5</v>
      </c>
      <c r="H181" s="13" t="n">
        <v>-112</v>
      </c>
      <c r="I181" s="15" t="n">
        <v>0.5780608169997503</v>
      </c>
      <c r="J181" s="15" t="n">
        <v>0.5043297540699688</v>
      </c>
      <c r="K181" s="15" t="n">
        <v>0.5283018867924528</v>
      </c>
      <c r="L181" s="14" t="n">
        <v>0.08663396526297071</v>
      </c>
      <c r="M181" s="14" t="n">
        <v>0.09418654646381297</v>
      </c>
      <c r="N181" s="15" t="n">
        <v>0</v>
      </c>
      <c r="O181" s="24" t="n">
        <v>0.4</v>
      </c>
      <c r="P181" s="12" t="inlineStr">
        <is>
          <t>DraftKings</t>
        </is>
      </c>
      <c r="Q181" s="12" t="inlineStr">
        <is>
          <t>HC isn't a full FBS participant this season — model doesn't rate them reliably</t>
        </is>
      </c>
    </row>
    <row r="182">
      <c r="A182" s="17" t="inlineStr">
        <is>
          <t>PASS</t>
        </is>
      </c>
      <c r="B182" s="17" t="inlineStr">
        <is>
          <t>VT @ MD</t>
        </is>
      </c>
      <c r="C182" s="17" t="inlineStr">
        <is>
          <t>2026-09-19 23:30</t>
        </is>
      </c>
      <c r="D182" s="25" t="n">
        <v>3</v>
      </c>
      <c r="E182" s="17" t="inlineStr">
        <is>
          <t>ML</t>
        </is>
      </c>
      <c r="F182" s="17" t="inlineStr">
        <is>
          <t>MD ML</t>
        </is>
      </c>
      <c r="G182" s="26" t="n"/>
      <c r="H182" s="18" t="n">
        <v>-105</v>
      </c>
      <c r="I182" s="20" t="n">
        <v>0.5606546197382367</v>
      </c>
      <c r="J182" s="20" t="n">
        <v>0.4891657638136511</v>
      </c>
      <c r="K182" s="20" t="n">
        <v>0.5121951219512195</v>
      </c>
      <c r="L182" s="19" t="n">
        <v>0.08662525601126625</v>
      </c>
      <c r="M182" s="19" t="n">
        <v>0.09461140044131922</v>
      </c>
      <c r="N182" s="20" t="n">
        <v>0</v>
      </c>
      <c r="O182" s="27" t="n">
        <v>0.725</v>
      </c>
      <c r="P182" s="17" t="inlineStr">
        <is>
          <t>DraftKings</t>
        </is>
      </c>
      <c r="Q182" s="17" t="inlineStr">
        <is>
          <t>correlated with a stronger play on the same game</t>
        </is>
      </c>
    </row>
    <row r="183">
      <c r="A183" s="12" t="inlineStr">
        <is>
          <t>PASS</t>
        </is>
      </c>
      <c r="B183" s="12" t="inlineStr">
        <is>
          <t>ARIZ @ BYU</t>
        </is>
      </c>
      <c r="C183" s="12" t="inlineStr">
        <is>
          <t>2026-09-12 19:30</t>
        </is>
      </c>
      <c r="D183" s="22" t="n">
        <v>2</v>
      </c>
      <c r="E183" s="12" t="inlineStr">
        <is>
          <t>ML</t>
        </is>
      </c>
      <c r="F183" s="12" t="inlineStr">
        <is>
          <t>ARIZ ML</t>
        </is>
      </c>
      <c r="G183" s="23" t="n"/>
      <c r="H183" s="13" t="n">
        <v>245</v>
      </c>
      <c r="I183" s="15" t="n">
        <v>0.3184012737112252</v>
      </c>
      <c r="J183" s="15" t="n">
        <v>0.2779207411219763</v>
      </c>
      <c r="K183" s="15" t="n">
        <v>0.2898550724637681</v>
      </c>
      <c r="L183" s="14" t="n">
        <v>0.08654236994771811</v>
      </c>
      <c r="M183" s="14" t="n">
        <v>0.09848439430372702</v>
      </c>
      <c r="N183" s="15" t="n">
        <v>0</v>
      </c>
      <c r="O183" s="24" t="n">
        <v>0.725</v>
      </c>
      <c r="P183" s="12" t="inlineStr">
        <is>
          <t>DraftKings</t>
        </is>
      </c>
      <c r="Q183" s="12" t="inlineStr">
        <is>
          <t>correlated with a stronger play on the same game</t>
        </is>
      </c>
    </row>
    <row r="184">
      <c r="A184" s="17" t="inlineStr">
        <is>
          <t>PASS</t>
        </is>
      </c>
      <c r="B184" s="17" t="inlineStr">
        <is>
          <t>MSST @ MINN</t>
        </is>
      </c>
      <c r="C184" s="17" t="inlineStr">
        <is>
          <t>2026-09-12 19:30</t>
        </is>
      </c>
      <c r="D184" s="25" t="n">
        <v>2</v>
      </c>
      <c r="E184" s="17" t="inlineStr">
        <is>
          <t>ML</t>
        </is>
      </c>
      <c r="F184" s="17" t="inlineStr">
        <is>
          <t>MINN ML</t>
        </is>
      </c>
      <c r="G184" s="26" t="n"/>
      <c r="H184" s="18" t="n">
        <v>-112</v>
      </c>
      <c r="I184" s="20" t="n">
        <v>0.577711981702679</v>
      </c>
      <c r="J184" s="20" t="n">
        <v>0.5043297540699688</v>
      </c>
      <c r="K184" s="20" t="n">
        <v>0.5283018867924528</v>
      </c>
      <c r="L184" s="19" t="n">
        <v>0.08651672931129545</v>
      </c>
      <c r="M184" s="19" t="n">
        <v>0.09352625108007095</v>
      </c>
      <c r="N184" s="20" t="n">
        <v>0</v>
      </c>
      <c r="O184" s="27" t="n">
        <v>0.725</v>
      </c>
      <c r="P184" s="17" t="inlineStr">
        <is>
          <t>DraftKings</t>
        </is>
      </c>
      <c r="Q184" s="17" t="inlineStr">
        <is>
          <t>outside the top 10 plays for this week</t>
        </is>
      </c>
    </row>
    <row r="185">
      <c r="A185" s="12" t="inlineStr">
        <is>
          <t>PASS</t>
        </is>
      </c>
      <c r="B185" s="12" t="inlineStr">
        <is>
          <t>MSST @ MINN</t>
        </is>
      </c>
      <c r="C185" s="12" t="inlineStr">
        <is>
          <t>2026-09-12 19:30</t>
        </is>
      </c>
      <c r="D185" s="22" t="n">
        <v>2</v>
      </c>
      <c r="E185" s="12" t="inlineStr">
        <is>
          <t>ATS</t>
        </is>
      </c>
      <c r="F185" s="12" t="inlineStr">
        <is>
          <t>MINN -1.5</t>
        </is>
      </c>
      <c r="G185" s="23" t="n">
        <v>-1.5</v>
      </c>
      <c r="H185" s="13" t="n">
        <v>100</v>
      </c>
      <c r="I185" s="15" t="n">
        <v>0.5471681692318235</v>
      </c>
      <c r="J185" s="15" t="n">
        <v>0.4782608695652174</v>
      </c>
      <c r="K185" s="15" t="n">
        <v>0.5</v>
      </c>
      <c r="L185" s="14" t="n">
        <v>0.08627014760905251</v>
      </c>
      <c r="M185" s="14" t="n">
        <v>0.09433633846364708</v>
      </c>
      <c r="N185" s="15" t="n">
        <v>0</v>
      </c>
      <c r="O185" s="24" t="n">
        <v>0.725</v>
      </c>
      <c r="P185" s="12" t="inlineStr">
        <is>
          <t>DraftKings</t>
        </is>
      </c>
      <c r="Q185" s="12" t="inlineStr">
        <is>
          <t>correlated with a stronger play on the same game</t>
        </is>
      </c>
    </row>
    <row r="186">
      <c r="A186" s="17" t="inlineStr">
        <is>
          <t>PASS</t>
        </is>
      </c>
      <c r="B186" s="17" t="inlineStr">
        <is>
          <t>GASO @ CLEM</t>
        </is>
      </c>
      <c r="C186" s="17" t="inlineStr">
        <is>
          <t>2026-09-12 23:30</t>
        </is>
      </c>
      <c r="D186" s="25" t="n">
        <v>2</v>
      </c>
      <c r="E186" s="17" t="inlineStr">
        <is>
          <t>TOTAL</t>
        </is>
      </c>
      <c r="F186" s="17" t="inlineStr">
        <is>
          <t>Under 55.5</t>
        </is>
      </c>
      <c r="G186" s="26" t="n">
        <v>55.5</v>
      </c>
      <c r="H186" s="18" t="n">
        <v>-112</v>
      </c>
      <c r="I186" s="20" t="n">
        <v>0.5762079152080458</v>
      </c>
      <c r="J186" s="20" t="n">
        <v>0.5043297540699688</v>
      </c>
      <c r="K186" s="20" t="n">
        <v>0.5283018867924528</v>
      </c>
      <c r="L186" s="19" t="n">
        <v>0.08599308600363637</v>
      </c>
      <c r="M186" s="19" t="n">
        <v>0.09067926807237248</v>
      </c>
      <c r="N186" s="20" t="n">
        <v>0</v>
      </c>
      <c r="O186" s="27" t="n">
        <v>0.725</v>
      </c>
      <c r="P186" s="17" t="inlineStr">
        <is>
          <t>DraftKings</t>
        </is>
      </c>
      <c r="Q186" s="17" t="inlineStr">
        <is>
          <t>outside the top 10 plays for this week</t>
        </is>
      </c>
    </row>
    <row r="187">
      <c r="A187" s="12" t="inlineStr">
        <is>
          <t>PASS</t>
        </is>
      </c>
      <c r="B187" s="12" t="inlineStr">
        <is>
          <t>ILST @ NIU</t>
        </is>
      </c>
      <c r="C187" s="12" t="inlineStr">
        <is>
          <t>2026-09-12 23:00</t>
        </is>
      </c>
      <c r="D187" s="22" t="n">
        <v>2</v>
      </c>
      <c r="E187" s="12" t="inlineStr">
        <is>
          <t>TOTAL</t>
        </is>
      </c>
      <c r="F187" s="12" t="inlineStr">
        <is>
          <t>Over 48.5</t>
        </is>
      </c>
      <c r="G187" s="23" t="n">
        <v>48.5</v>
      </c>
      <c r="H187" s="13" t="n">
        <v>-108</v>
      </c>
      <c r="I187" s="15" t="n">
        <v>0.566277856752607</v>
      </c>
      <c r="J187" s="15" t="n">
        <v>0.4956702459300312</v>
      </c>
      <c r="K187" s="15" t="n">
        <v>0.5192307692307693</v>
      </c>
      <c r="L187" s="14" t="n">
        <v>0.08597981977247926</v>
      </c>
      <c r="M187" s="14" t="n">
        <v>0.09060920559761354</v>
      </c>
      <c r="N187" s="15" t="n">
        <v>0</v>
      </c>
      <c r="O187" s="24" t="n">
        <v>0.4</v>
      </c>
      <c r="P187" s="12" t="inlineStr">
        <is>
          <t>DraftKings</t>
        </is>
      </c>
      <c r="Q187" s="12" t="inlineStr">
        <is>
          <t>ILST isn't a full FBS participant this season — model doesn't rate them reliably</t>
        </is>
      </c>
    </row>
    <row r="188">
      <c r="A188" s="17" t="inlineStr">
        <is>
          <t>PASS</t>
        </is>
      </c>
      <c r="B188" s="17" t="inlineStr">
        <is>
          <t>PV @ BAY</t>
        </is>
      </c>
      <c r="C188" s="17" t="inlineStr">
        <is>
          <t>2026-09-13 00:08</t>
        </is>
      </c>
      <c r="D188" s="25" t="n">
        <v>2</v>
      </c>
      <c r="E188" s="17" t="inlineStr">
        <is>
          <t>TOTAL</t>
        </is>
      </c>
      <c r="F188" s="17" t="inlineStr">
        <is>
          <t>Under 56.5</t>
        </is>
      </c>
      <c r="G188" s="26" t="n">
        <v>56.5</v>
      </c>
      <c r="H188" s="18" t="n">
        <v>-108</v>
      </c>
      <c r="I188" s="20" t="n">
        <v>0.5662778249339557</v>
      </c>
      <c r="J188" s="20" t="n">
        <v>0.4956702459300312</v>
      </c>
      <c r="K188" s="20" t="n">
        <v>0.5192307692307693</v>
      </c>
      <c r="L188" s="19" t="n">
        <v>0.0859798081610057</v>
      </c>
      <c r="M188" s="19" t="n">
        <v>0.09060914431724809</v>
      </c>
      <c r="N188" s="20" t="n">
        <v>0</v>
      </c>
      <c r="O188" s="27" t="n">
        <v>0.4</v>
      </c>
      <c r="P188" s="17" t="inlineStr">
        <is>
          <t>DraftKings</t>
        </is>
      </c>
      <c r="Q188" s="17" t="inlineStr">
        <is>
          <t>PV isn't a full FBS participant this season — model doesn't rate them reliably</t>
        </is>
      </c>
    </row>
    <row r="189">
      <c r="A189" s="12" t="inlineStr">
        <is>
          <t>PASS</t>
        </is>
      </c>
      <c r="B189" s="12" t="inlineStr">
        <is>
          <t>UNLV @ UNT</t>
        </is>
      </c>
      <c r="C189" s="12" t="inlineStr">
        <is>
          <t>2026-09-12 19:45</t>
        </is>
      </c>
      <c r="D189" s="22" t="n">
        <v>2</v>
      </c>
      <c r="E189" s="12" t="inlineStr">
        <is>
          <t>TOTAL</t>
        </is>
      </c>
      <c r="F189" s="12" t="inlineStr">
        <is>
          <t>Under 56.5</t>
        </is>
      </c>
      <c r="G189" s="23" t="n">
        <v>56.5</v>
      </c>
      <c r="H189" s="13" t="n">
        <v>-108</v>
      </c>
      <c r="I189" s="15" t="n">
        <v>0.5643976772926312</v>
      </c>
      <c r="J189" s="15" t="n">
        <v>0.4956702459300312</v>
      </c>
      <c r="K189" s="15" t="n">
        <v>0.5192307692307693</v>
      </c>
      <c r="L189" s="14" t="n">
        <v>0.08526836043980889</v>
      </c>
      <c r="M189" s="14" t="n">
        <v>0.08698811923025285</v>
      </c>
      <c r="N189" s="15" t="n">
        <v>0</v>
      </c>
      <c r="O189" s="24" t="n">
        <v>0.725</v>
      </c>
      <c r="P189" s="12" t="inlineStr">
        <is>
          <t>DraftKings</t>
        </is>
      </c>
      <c r="Q189" s="12" t="inlineStr">
        <is>
          <t>correlated with a stronger play on the same game</t>
        </is>
      </c>
    </row>
    <row r="190">
      <c r="A190" s="17" t="inlineStr">
        <is>
          <t>PASS</t>
        </is>
      </c>
      <c r="B190" s="17" t="inlineStr">
        <is>
          <t>WIU @ WIS</t>
        </is>
      </c>
      <c r="C190" s="17" t="inlineStr">
        <is>
          <t>2026-09-12 23:15</t>
        </is>
      </c>
      <c r="D190" s="25" t="n">
        <v>2</v>
      </c>
      <c r="E190" s="17" t="inlineStr">
        <is>
          <t>TOTAL</t>
        </is>
      </c>
      <c r="F190" s="17" t="inlineStr">
        <is>
          <t>Over 48.5</t>
        </is>
      </c>
      <c r="G190" s="26" t="n">
        <v>48.5</v>
      </c>
      <c r="H190" s="18" t="n">
        <v>-112</v>
      </c>
      <c r="I190" s="20" t="n">
        <v>0.5724811832454859</v>
      </c>
      <c r="J190" s="20" t="n">
        <v>0.5043297540699688</v>
      </c>
      <c r="K190" s="20" t="n">
        <v>0.5283018867924528</v>
      </c>
      <c r="L190" s="19" t="n">
        <v>0.08456033157713888</v>
      </c>
      <c r="M190" s="19" t="n">
        <v>0.08362509685752695</v>
      </c>
      <c r="N190" s="20" t="n">
        <v>0</v>
      </c>
      <c r="O190" s="27" t="n">
        <v>0.4</v>
      </c>
      <c r="P190" s="17" t="inlineStr">
        <is>
          <t>DraftKings</t>
        </is>
      </c>
      <c r="Q190" s="17" t="inlineStr">
        <is>
          <t>WIU isn't a full FBS participant this season — model doesn't rate them reliably</t>
        </is>
      </c>
    </row>
    <row r="191">
      <c r="A191" s="12" t="inlineStr">
        <is>
          <t>PASS</t>
        </is>
      </c>
      <c r="B191" s="12" t="inlineStr">
        <is>
          <t>COLG @ CMU</t>
        </is>
      </c>
      <c r="C191" s="12" t="inlineStr">
        <is>
          <t>2026-09-12 17:00</t>
        </is>
      </c>
      <c r="D191" s="22" t="n">
        <v>2</v>
      </c>
      <c r="E191" s="12" t="inlineStr">
        <is>
          <t>TOTAL</t>
        </is>
      </c>
      <c r="F191" s="12" t="inlineStr">
        <is>
          <t>Over 49.5</t>
        </is>
      </c>
      <c r="G191" s="23" t="n">
        <v>49.5</v>
      </c>
      <c r="H191" s="13" t="n">
        <v>-105</v>
      </c>
      <c r="I191" s="15" t="n">
        <v>0.5535624676726157</v>
      </c>
      <c r="J191" s="15" t="n">
        <v>0.4891657638136511</v>
      </c>
      <c r="K191" s="15" t="n">
        <v>0.5121951219512195</v>
      </c>
      <c r="L191" s="14" t="n">
        <v>0.0838120106231381</v>
      </c>
      <c r="M191" s="14" t="n">
        <v>0.08076481783701173</v>
      </c>
      <c r="N191" s="15" t="n">
        <v>0</v>
      </c>
      <c r="O191" s="24" t="n">
        <v>0.4</v>
      </c>
      <c r="P191" s="12" t="inlineStr">
        <is>
          <t>DraftKings</t>
        </is>
      </c>
      <c r="Q191" s="12" t="inlineStr">
        <is>
          <t>COLG isn't a full FBS participant this season — model doesn't rate them reliably</t>
        </is>
      </c>
    </row>
    <row r="192">
      <c r="A192" s="17" t="inlineStr">
        <is>
          <t>PASS</t>
        </is>
      </c>
      <c r="B192" s="17" t="inlineStr">
        <is>
          <t>ETSU @ UNC</t>
        </is>
      </c>
      <c r="C192" s="17" t="inlineStr">
        <is>
          <t>2026-09-12 16:00</t>
        </is>
      </c>
      <c r="D192" s="25" t="n">
        <v>2</v>
      </c>
      <c r="E192" s="17" t="inlineStr">
        <is>
          <t>TOTAL</t>
        </is>
      </c>
      <c r="F192" s="17" t="inlineStr">
        <is>
          <t>Under 54.5</t>
        </is>
      </c>
      <c r="G192" s="26" t="n">
        <v>54.5</v>
      </c>
      <c r="H192" s="18" t="n">
        <v>-105</v>
      </c>
      <c r="I192" s="20" t="n">
        <v>0.5516519344364381</v>
      </c>
      <c r="J192" s="20" t="n">
        <v>0.4891657638136511</v>
      </c>
      <c r="K192" s="20" t="n">
        <v>0.5121951219512195</v>
      </c>
      <c r="L192" s="19" t="n">
        <v>0.08291418650043801</v>
      </c>
      <c r="M192" s="19" t="n">
        <v>0.07703472913780773</v>
      </c>
      <c r="N192" s="20" t="n">
        <v>0</v>
      </c>
      <c r="O192" s="27" t="n">
        <v>0.4</v>
      </c>
      <c r="P192" s="17" t="inlineStr">
        <is>
          <t>DraftKings</t>
        </is>
      </c>
      <c r="Q192" s="17" t="inlineStr">
        <is>
          <t>ETSU isn't a full FBS participant this season — model doesn't rate them reliably</t>
        </is>
      </c>
    </row>
    <row r="193">
      <c r="A193" s="12" t="inlineStr">
        <is>
          <t>PASS</t>
        </is>
      </c>
      <c r="B193" s="12" t="inlineStr">
        <is>
          <t>UCF @ PITT</t>
        </is>
      </c>
      <c r="C193" s="12" t="inlineStr">
        <is>
          <t>2026-09-12 19:30</t>
        </is>
      </c>
      <c r="D193" s="22" t="n">
        <v>2</v>
      </c>
      <c r="E193" s="12" t="inlineStr">
        <is>
          <t>ML</t>
        </is>
      </c>
      <c r="F193" s="12" t="inlineStr">
        <is>
          <t>UCF ML</t>
        </is>
      </c>
      <c r="G193" s="23" t="n"/>
      <c r="H193" s="13" t="n">
        <v>220</v>
      </c>
      <c r="I193" s="15" t="n">
        <v>0.3379563253360378</v>
      </c>
      <c r="J193" s="15" t="n">
        <v>0.299837925445705</v>
      </c>
      <c r="K193" s="15" t="n">
        <v>0.3125</v>
      </c>
      <c r="L193" s="14" t="n">
        <v>0.08276797142087702</v>
      </c>
      <c r="M193" s="14" t="n">
        <v>0.08146024107532113</v>
      </c>
      <c r="N193" s="15" t="n">
        <v>0</v>
      </c>
      <c r="O193" s="24" t="n">
        <v>0.725</v>
      </c>
      <c r="P193" s="12" t="inlineStr">
        <is>
          <t>DraftKings</t>
        </is>
      </c>
      <c r="Q193" s="12" t="inlineStr">
        <is>
          <t>outside the top 10 plays for this week</t>
        </is>
      </c>
    </row>
    <row r="194">
      <c r="A194" s="17" t="inlineStr">
        <is>
          <t>PASS</t>
        </is>
      </c>
      <c r="B194" s="17" t="inlineStr">
        <is>
          <t>WAKE @ PUR</t>
        </is>
      </c>
      <c r="C194" s="17" t="inlineStr">
        <is>
          <t>2026-09-12 16:00</t>
        </is>
      </c>
      <c r="D194" s="25" t="n">
        <v>2</v>
      </c>
      <c r="E194" s="17" t="inlineStr">
        <is>
          <t>TOTAL</t>
        </is>
      </c>
      <c r="F194" s="17" t="inlineStr">
        <is>
          <t>Over 49.5</t>
        </is>
      </c>
      <c r="G194" s="26" t="n">
        <v>49.5</v>
      </c>
      <c r="H194" s="18" t="n">
        <v>-110</v>
      </c>
      <c r="I194" s="20" t="n">
        <v>0.5627832234780961</v>
      </c>
      <c r="J194" s="20" t="n">
        <v>0.5</v>
      </c>
      <c r="K194" s="20" t="n">
        <v>0.5238095238095238</v>
      </c>
      <c r="L194" s="19" t="n">
        <v>0.08238580339623149</v>
      </c>
      <c r="M194" s="19" t="n">
        <v>0.07440433573091076</v>
      </c>
      <c r="N194" s="20" t="n">
        <v>0</v>
      </c>
      <c r="O194" s="27" t="n">
        <v>0.725</v>
      </c>
      <c r="P194" s="17" t="inlineStr">
        <is>
          <t>DraftKings</t>
        </is>
      </c>
      <c r="Q194" s="17" t="inlineStr">
        <is>
          <t>correlated with a stronger play on the same game</t>
        </is>
      </c>
    </row>
    <row r="195">
      <c r="A195" s="12" t="inlineStr">
        <is>
          <t>PASS</t>
        </is>
      </c>
      <c r="B195" s="12" t="inlineStr">
        <is>
          <t>RICE @ ND</t>
        </is>
      </c>
      <c r="C195" s="12" t="inlineStr">
        <is>
          <t>2026-09-12 19:30</t>
        </is>
      </c>
      <c r="D195" s="22" t="n">
        <v>2</v>
      </c>
      <c r="E195" s="12" t="inlineStr">
        <is>
          <t>TOTAL</t>
        </is>
      </c>
      <c r="F195" s="12" t="inlineStr">
        <is>
          <t>Under 54.5</t>
        </is>
      </c>
      <c r="G195" s="23" t="n">
        <v>54.5</v>
      </c>
      <c r="H195" s="13" t="n">
        <v>-102</v>
      </c>
      <c r="I195" s="15" t="n">
        <v>0.5426228870506978</v>
      </c>
      <c r="J195" s="15" t="n">
        <v>0.4826358742837298</v>
      </c>
      <c r="K195" s="15" t="n">
        <v>0.504950495049505</v>
      </c>
      <c r="L195" s="14" t="n">
        <v>0.08206572589370908</v>
      </c>
      <c r="M195" s="14" t="n">
        <v>0.07460610964942127</v>
      </c>
      <c r="N195" s="15" t="n">
        <v>0</v>
      </c>
      <c r="O195" s="24" t="n">
        <v>0.725</v>
      </c>
      <c r="P195" s="12" t="inlineStr">
        <is>
          <t>DraftKings</t>
        </is>
      </c>
      <c r="Q195" s="12" t="inlineStr">
        <is>
          <t>outside the top 10 plays for this week</t>
        </is>
      </c>
    </row>
    <row r="196">
      <c r="A196" s="17" t="inlineStr">
        <is>
          <t>PASS</t>
        </is>
      </c>
      <c r="B196" s="17" t="inlineStr">
        <is>
          <t>GAST @ KENN</t>
        </is>
      </c>
      <c r="C196" s="17" t="inlineStr">
        <is>
          <t>2026-09-12 23:00</t>
        </is>
      </c>
      <c r="D196" s="25" t="n">
        <v>2</v>
      </c>
      <c r="E196" s="17" t="inlineStr">
        <is>
          <t>ML</t>
        </is>
      </c>
      <c r="F196" s="17" t="inlineStr">
        <is>
          <t>GAST ML</t>
        </is>
      </c>
      <c r="G196" s="26" t="n"/>
      <c r="H196" s="18" t="n">
        <v>245</v>
      </c>
      <c r="I196" s="20" t="n">
        <v>0.3122072055094571</v>
      </c>
      <c r="J196" s="20" t="n">
        <v>0.2779207411219763</v>
      </c>
      <c r="K196" s="20" t="n">
        <v>0.2898550724637681</v>
      </c>
      <c r="L196" s="19" t="n">
        <v>0.08182962103993066</v>
      </c>
      <c r="M196" s="19" t="n">
        <v>0.07711485900762716</v>
      </c>
      <c r="N196" s="20" t="n">
        <v>0</v>
      </c>
      <c r="O196" s="27" t="n">
        <v>0.725</v>
      </c>
      <c r="P196" s="17" t="inlineStr">
        <is>
          <t>DraftKings</t>
        </is>
      </c>
      <c r="Q196" s="17" t="inlineStr">
        <is>
          <t>outside the top 10 plays for this week</t>
        </is>
      </c>
    </row>
    <row r="197">
      <c r="A197" s="12" t="inlineStr">
        <is>
          <t>PASS</t>
        </is>
      </c>
      <c r="B197" s="12" t="inlineStr">
        <is>
          <t>CCSU @ TOL</t>
        </is>
      </c>
      <c r="C197" s="12" t="inlineStr">
        <is>
          <t>2026-09-12 19:30</t>
        </is>
      </c>
      <c r="D197" s="22" t="n">
        <v>2</v>
      </c>
      <c r="E197" s="12" t="inlineStr">
        <is>
          <t>TOTAL</t>
        </is>
      </c>
      <c r="F197" s="12" t="inlineStr">
        <is>
          <t>Under 55.5</t>
        </is>
      </c>
      <c r="G197" s="23" t="n">
        <v>55.5</v>
      </c>
      <c r="H197" s="13" t="n">
        <v>-108</v>
      </c>
      <c r="I197" s="15" t="n">
        <v>0.5568146801277586</v>
      </c>
      <c r="J197" s="15" t="n">
        <v>0.4956702459300312</v>
      </c>
      <c r="K197" s="15" t="n">
        <v>0.5192307692307693</v>
      </c>
      <c r="L197" s="14" t="n">
        <v>0.08182686005961243</v>
      </c>
      <c r="M197" s="14" t="n">
        <v>0.07238382839420177</v>
      </c>
      <c r="N197" s="15" t="n">
        <v>0</v>
      </c>
      <c r="O197" s="24" t="n">
        <v>0.4</v>
      </c>
      <c r="P197" s="12" t="inlineStr">
        <is>
          <t>DraftKings</t>
        </is>
      </c>
      <c r="Q197" s="12" t="inlineStr">
        <is>
          <t>CCSU isn't a full FBS participant this season — model doesn't rate them reliably</t>
        </is>
      </c>
    </row>
    <row r="198">
      <c r="A198" s="17" t="inlineStr">
        <is>
          <t>PASS</t>
        </is>
      </c>
      <c r="B198" s="17" t="inlineStr">
        <is>
          <t>APP @ ECU</t>
        </is>
      </c>
      <c r="C198" s="17" t="inlineStr">
        <is>
          <t>2026-09-12 16:00</t>
        </is>
      </c>
      <c r="D198" s="25" t="n">
        <v>2</v>
      </c>
      <c r="E198" s="17" t="inlineStr">
        <is>
          <t>ML</t>
        </is>
      </c>
      <c r="F198" s="17" t="inlineStr">
        <is>
          <t>APP ML</t>
        </is>
      </c>
      <c r="G198" s="26" t="n"/>
      <c r="H198" s="18" t="n">
        <v>215</v>
      </c>
      <c r="I198" s="20" t="n">
        <v>0.3411150593984069</v>
      </c>
      <c r="J198" s="20" t="n">
        <v>0.3042300479266514</v>
      </c>
      <c r="K198" s="20" t="n">
        <v>0.3174603174603174</v>
      </c>
      <c r="L198" s="19" t="n">
        <v>0.08126998045816605</v>
      </c>
      <c r="M198" s="19" t="n">
        <v>0.07451243710498168</v>
      </c>
      <c r="N198" s="20" t="n">
        <v>0</v>
      </c>
      <c r="O198" s="27" t="n">
        <v>0.725</v>
      </c>
      <c r="P198" s="17" t="inlineStr">
        <is>
          <t>DraftKings</t>
        </is>
      </c>
      <c r="Q198" s="17" t="inlineStr">
        <is>
          <t>correlated with a stronger play on the same game</t>
        </is>
      </c>
    </row>
    <row r="199">
      <c r="A199" s="12" t="inlineStr">
        <is>
          <t>PASS</t>
        </is>
      </c>
      <c r="B199" s="12" t="inlineStr">
        <is>
          <t>BUFF @ FIU</t>
        </is>
      </c>
      <c r="C199" s="12" t="inlineStr">
        <is>
          <t>2026-09-12 22:00</t>
        </is>
      </c>
      <c r="D199" s="22" t="n">
        <v>2</v>
      </c>
      <c r="E199" s="12" t="inlineStr">
        <is>
          <t>TOTAL</t>
        </is>
      </c>
      <c r="F199" s="12" t="inlineStr">
        <is>
          <t>Over 47.5</t>
        </is>
      </c>
      <c r="G199" s="23" t="n">
        <v>47.5</v>
      </c>
      <c r="H199" s="13" t="n">
        <v>-112</v>
      </c>
      <c r="I199" s="15" t="n">
        <v>0.5649481317273501</v>
      </c>
      <c r="J199" s="15" t="n">
        <v>0.5043297540699688</v>
      </c>
      <c r="K199" s="15" t="n">
        <v>0.5283018867924528</v>
      </c>
      <c r="L199" s="14" t="n">
        <v>0.08098720398404229</v>
      </c>
      <c r="M199" s="14" t="n">
        <v>0.06936610648391284</v>
      </c>
      <c r="N199" s="15" t="n">
        <v>0</v>
      </c>
      <c r="O199" s="24" t="n">
        <v>0.725</v>
      </c>
      <c r="P199" s="12" t="inlineStr">
        <is>
          <t>DraftKings</t>
        </is>
      </c>
      <c r="Q199" s="12" t="inlineStr">
        <is>
          <t>correlated with a stronger play on the same game</t>
        </is>
      </c>
    </row>
    <row r="200">
      <c r="A200" s="17" t="inlineStr">
        <is>
          <t>PASS</t>
        </is>
      </c>
      <c r="B200" s="17" t="inlineStr">
        <is>
          <t>UCF @ PITT</t>
        </is>
      </c>
      <c r="C200" s="17" t="inlineStr">
        <is>
          <t>2026-09-12 19:30</t>
        </is>
      </c>
      <c r="D200" s="25" t="n">
        <v>2</v>
      </c>
      <c r="E200" s="17" t="inlineStr">
        <is>
          <t>ATS</t>
        </is>
      </c>
      <c r="F200" s="17" t="inlineStr">
        <is>
          <t>UCF +7</t>
        </is>
      </c>
      <c r="G200" s="26" t="n">
        <v>-7</v>
      </c>
      <c r="H200" s="18" t="n">
        <v>-108</v>
      </c>
      <c r="I200" s="20" t="n">
        <v>0.5552136064104205</v>
      </c>
      <c r="J200" s="20" t="n">
        <v>0.4956702459300312</v>
      </c>
      <c r="K200" s="20" t="n">
        <v>0.5192307692307693</v>
      </c>
      <c r="L200" s="19" t="n">
        <v>0.0809683500419887</v>
      </c>
      <c r="M200" s="19" t="n">
        <v>0.06584912511783123</v>
      </c>
      <c r="N200" s="20" t="n">
        <v>0.0498</v>
      </c>
      <c r="O200" s="27" t="n">
        <v>0.725</v>
      </c>
      <c r="P200" s="17" t="inlineStr">
        <is>
          <t>DraftKings</t>
        </is>
      </c>
      <c r="Q200" s="17" t="inlineStr">
        <is>
          <t>correlated with a stronger play on the same game</t>
        </is>
      </c>
    </row>
    <row r="201">
      <c r="A201" s="12" t="inlineStr">
        <is>
          <t>PASS</t>
        </is>
      </c>
      <c r="B201" s="12" t="inlineStr">
        <is>
          <t>CP @ SJSU</t>
        </is>
      </c>
      <c r="C201" s="12" t="inlineStr">
        <is>
          <t>2026-09-13 01:00</t>
        </is>
      </c>
      <c r="D201" s="22" t="n">
        <v>2</v>
      </c>
      <c r="E201" s="12" t="inlineStr">
        <is>
          <t>TOTAL</t>
        </is>
      </c>
      <c r="F201" s="12" t="inlineStr">
        <is>
          <t>Under 56.5</t>
        </is>
      </c>
      <c r="G201" s="23" t="n">
        <v>56.5</v>
      </c>
      <c r="H201" s="13" t="n">
        <v>-108</v>
      </c>
      <c r="I201" s="15" t="n">
        <v>0.554904187495814</v>
      </c>
      <c r="J201" s="15" t="n">
        <v>0.4956702459300312</v>
      </c>
      <c r="K201" s="15" t="n">
        <v>0.5192307692307693</v>
      </c>
      <c r="L201" s="14" t="n">
        <v>0.08079660552053775</v>
      </c>
      <c r="M201" s="14" t="n">
        <v>0.06870436110304934</v>
      </c>
      <c r="N201" s="15" t="n">
        <v>0</v>
      </c>
      <c r="O201" s="24" t="n">
        <v>0.4</v>
      </c>
      <c r="P201" s="12" t="inlineStr">
        <is>
          <t>DraftKings</t>
        </is>
      </c>
      <c r="Q201" s="12" t="inlineStr">
        <is>
          <t>CP isn't a full FBS participant this season — model doesn't rate them reliably</t>
        </is>
      </c>
    </row>
    <row r="202">
      <c r="A202" s="17" t="inlineStr">
        <is>
          <t>PASS</t>
        </is>
      </c>
      <c r="B202" s="17" t="inlineStr">
        <is>
          <t>GAST @ KENN</t>
        </is>
      </c>
      <c r="C202" s="17" t="inlineStr">
        <is>
          <t>2026-09-12 23:00</t>
        </is>
      </c>
      <c r="D202" s="25" t="n">
        <v>2</v>
      </c>
      <c r="E202" s="17" t="inlineStr">
        <is>
          <t>ATS</t>
        </is>
      </c>
      <c r="F202" s="17" t="inlineStr">
        <is>
          <t>GAST +8.5</t>
        </is>
      </c>
      <c r="G202" s="26" t="n">
        <v>-8.5</v>
      </c>
      <c r="H202" s="18" t="n">
        <v>-115</v>
      </c>
      <c r="I202" s="20" t="n">
        <v>0.570748812224285</v>
      </c>
      <c r="J202" s="20" t="n">
        <v>0.5108342361863488</v>
      </c>
      <c r="K202" s="20" t="n">
        <v>0.5348837209302325</v>
      </c>
      <c r="L202" s="19" t="n">
        <v>0.08017150529628805</v>
      </c>
      <c r="M202" s="19" t="n">
        <v>0.06705212720192399</v>
      </c>
      <c r="N202" s="20" t="n">
        <v>0</v>
      </c>
      <c r="O202" s="27" t="n">
        <v>0.725</v>
      </c>
      <c r="P202" s="17" t="inlineStr">
        <is>
          <t>DraftKings</t>
        </is>
      </c>
      <c r="Q202" s="17" t="inlineStr">
        <is>
          <t>correlated with a stronger play on the same game</t>
        </is>
      </c>
    </row>
    <row r="203">
      <c r="A203" s="12" t="inlineStr">
        <is>
          <t>PASS</t>
        </is>
      </c>
      <c r="B203" s="12" t="inlineStr">
        <is>
          <t>ALA @ UK</t>
        </is>
      </c>
      <c r="C203" s="12" t="inlineStr">
        <is>
          <t>2026-09-12 19:30</t>
        </is>
      </c>
      <c r="D203" s="22" t="n">
        <v>2</v>
      </c>
      <c r="E203" s="12" t="inlineStr">
        <is>
          <t>TOTAL</t>
        </is>
      </c>
      <c r="F203" s="12" t="inlineStr">
        <is>
          <t>Over 49.5</t>
        </is>
      </c>
      <c r="G203" s="23" t="n">
        <v>49.5</v>
      </c>
      <c r="H203" s="13" t="n">
        <v>-105</v>
      </c>
      <c r="I203" s="15" t="n">
        <v>0.5439562234882699</v>
      </c>
      <c r="J203" s="15" t="n">
        <v>0.4891657638136511</v>
      </c>
      <c r="K203" s="15" t="n">
        <v>0.5121951219512195</v>
      </c>
      <c r="L203" s="14" t="n">
        <v>0.07857885760197324</v>
      </c>
      <c r="M203" s="14" t="n">
        <v>0.06200976966757454</v>
      </c>
      <c r="N203" s="15" t="n">
        <v>0</v>
      </c>
      <c r="O203" s="24" t="n">
        <v>0.725</v>
      </c>
      <c r="P203" s="12" t="inlineStr">
        <is>
          <t>DraftKings</t>
        </is>
      </c>
      <c r="Q203" s="12" t="inlineStr">
        <is>
          <t>outside the top 10 plays for this week</t>
        </is>
      </c>
    </row>
    <row r="204">
      <c r="A204" s="17" t="inlineStr">
        <is>
          <t>PASS</t>
        </is>
      </c>
      <c r="B204" s="17" t="inlineStr">
        <is>
          <t>RICH @ NCSU</t>
        </is>
      </c>
      <c r="C204" s="17" t="inlineStr">
        <is>
          <t>2026-09-11 23:00</t>
        </is>
      </c>
      <c r="D204" s="25" t="n">
        <v>2</v>
      </c>
      <c r="E204" s="17" t="inlineStr">
        <is>
          <t>TOTAL</t>
        </is>
      </c>
      <c r="F204" s="17" t="inlineStr">
        <is>
          <t>Over 50.5</t>
        </is>
      </c>
      <c r="G204" s="26" t="n">
        <v>50.5</v>
      </c>
      <c r="H204" s="18" t="n">
        <v>-105</v>
      </c>
      <c r="I204" s="20" t="n">
        <v>0.5439562139940943</v>
      </c>
      <c r="J204" s="20" t="n">
        <v>0.4891657638136511</v>
      </c>
      <c r="K204" s="20" t="n">
        <v>0.5121951219512195</v>
      </c>
      <c r="L204" s="19" t="n">
        <v>0.07857885147206092</v>
      </c>
      <c r="M204" s="19" t="n">
        <v>0.0620097511313269</v>
      </c>
      <c r="N204" s="20" t="n">
        <v>0</v>
      </c>
      <c r="O204" s="27" t="n">
        <v>0.4</v>
      </c>
      <c r="P204" s="17" t="inlineStr">
        <is>
          <t>DraftKings</t>
        </is>
      </c>
      <c r="Q204" s="17" t="inlineStr">
        <is>
          <t>RICH isn't a full FBS participant this season — model doesn't rate them reliably</t>
        </is>
      </c>
    </row>
    <row r="205">
      <c r="A205" s="12" t="inlineStr">
        <is>
          <t>PASS</t>
        </is>
      </c>
      <c r="B205" s="12" t="inlineStr">
        <is>
          <t>NDSU @ AFA</t>
        </is>
      </c>
      <c r="C205" s="12" t="inlineStr">
        <is>
          <t>2026-09-13 02:00</t>
        </is>
      </c>
      <c r="D205" s="22" t="n">
        <v>2</v>
      </c>
      <c r="E205" s="12" t="inlineStr">
        <is>
          <t>TOTAL</t>
        </is>
      </c>
      <c r="F205" s="12" t="inlineStr">
        <is>
          <t>Over 47.5</t>
        </is>
      </c>
      <c r="G205" s="23" t="n">
        <v>47.5</v>
      </c>
      <c r="H205" s="13" t="n">
        <v>-108</v>
      </c>
      <c r="I205" s="15" t="n">
        <v>0.5510667749851725</v>
      </c>
      <c r="J205" s="15" t="n">
        <v>0.4956702459300312</v>
      </c>
      <c r="K205" s="15" t="n">
        <v>0.5192307692307693</v>
      </c>
      <c r="L205" s="14" t="n">
        <v>0.0785006452543725</v>
      </c>
      <c r="M205" s="14" t="n">
        <v>0.06131378886033234</v>
      </c>
      <c r="N205" s="15" t="n">
        <v>0</v>
      </c>
      <c r="O205" s="24" t="n">
        <v>0.725</v>
      </c>
      <c r="P205" s="12" t="inlineStr">
        <is>
          <t>DraftKings</t>
        </is>
      </c>
      <c r="Q205" s="12" t="inlineStr">
        <is>
          <t>correlated with a stronger play on the same game</t>
        </is>
      </c>
    </row>
    <row r="206">
      <c r="A206" s="17" t="inlineStr">
        <is>
          <t>PASS</t>
        </is>
      </c>
      <c r="B206" s="17" t="inlineStr">
        <is>
          <t>ARIZ @ BYU</t>
        </is>
      </c>
      <c r="C206" s="17" t="inlineStr">
        <is>
          <t>2026-09-12 19:30</t>
        </is>
      </c>
      <c r="D206" s="25" t="n">
        <v>2</v>
      </c>
      <c r="E206" s="17" t="inlineStr">
        <is>
          <t>ATS</t>
        </is>
      </c>
      <c r="F206" s="17" t="inlineStr">
        <is>
          <t>ARIZ +7.5</t>
        </is>
      </c>
      <c r="G206" s="26" t="n">
        <v>-7.5</v>
      </c>
      <c r="H206" s="18" t="n">
        <v>-112</v>
      </c>
      <c r="I206" s="20" t="n">
        <v>0.5604518865894846</v>
      </c>
      <c r="J206" s="20" t="n">
        <v>0.5043297540699688</v>
      </c>
      <c r="K206" s="20" t="n">
        <v>0.5283018867924528</v>
      </c>
      <c r="L206" s="19" t="n">
        <v>0.07834768535613544</v>
      </c>
      <c r="M206" s="19" t="n">
        <v>0.06085535675866738</v>
      </c>
      <c r="N206" s="20" t="n">
        <v>0</v>
      </c>
      <c r="O206" s="27" t="n">
        <v>0.725</v>
      </c>
      <c r="P206" s="17" t="inlineStr">
        <is>
          <t>DraftKings</t>
        </is>
      </c>
      <c r="Q206" s="17" t="inlineStr">
        <is>
          <t>correlated with a stronger play on the same game</t>
        </is>
      </c>
    </row>
    <row r="207">
      <c r="A207" s="12" t="inlineStr">
        <is>
          <t>PASS</t>
        </is>
      </c>
      <c r="B207" s="12" t="inlineStr">
        <is>
          <t>SMU @ LOU</t>
        </is>
      </c>
      <c r="C207" s="12" t="inlineStr">
        <is>
          <t>2026-09-19 19:30</t>
        </is>
      </c>
      <c r="D207" s="22" t="n">
        <v>3</v>
      </c>
      <c r="E207" s="12" t="inlineStr">
        <is>
          <t>ML</t>
        </is>
      </c>
      <c r="F207" s="12" t="inlineStr">
        <is>
          <t>LOU ML</t>
        </is>
      </c>
      <c r="G207" s="23" t="n"/>
      <c r="H207" s="13" t="n">
        <v>-112</v>
      </c>
      <c r="I207" s="15" t="n">
        <v>0.5604065709859909</v>
      </c>
      <c r="J207" s="15" t="n">
        <v>0.5043297540699688</v>
      </c>
      <c r="K207" s="15" t="n">
        <v>0.5283018867924528</v>
      </c>
      <c r="L207" s="14" t="n">
        <v>0.07831892346833917</v>
      </c>
      <c r="M207" s="14" t="n">
        <v>0.06076958079491135</v>
      </c>
      <c r="N207" s="15" t="n">
        <v>0</v>
      </c>
      <c r="O207" s="24" t="n">
        <v>0.725</v>
      </c>
      <c r="P207" s="12" t="inlineStr">
        <is>
          <t>DraftKings</t>
        </is>
      </c>
      <c r="Q207" s="12" t="inlineStr">
        <is>
          <t>correlated with a stronger play on the same game</t>
        </is>
      </c>
    </row>
    <row r="208">
      <c r="A208" s="17" t="inlineStr">
        <is>
          <t>PASS</t>
        </is>
      </c>
      <c r="B208" s="17" t="inlineStr">
        <is>
          <t>MSST @ SC</t>
        </is>
      </c>
      <c r="C208" s="17" t="inlineStr">
        <is>
          <t>2026-09-19 20:15</t>
        </is>
      </c>
      <c r="D208" s="25" t="n">
        <v>3</v>
      </c>
      <c r="E208" s="17" t="inlineStr">
        <is>
          <t>ATS</t>
        </is>
      </c>
      <c r="F208" s="17" t="inlineStr">
        <is>
          <t>MSST +7.5</t>
        </is>
      </c>
      <c r="G208" s="26" t="n">
        <v>-7.5</v>
      </c>
      <c r="H208" s="18" t="n">
        <v>-112</v>
      </c>
      <c r="I208" s="20" t="n">
        <v>0.5600348688307211</v>
      </c>
      <c r="J208" s="20" t="n">
        <v>0.5043297540699688</v>
      </c>
      <c r="K208" s="20" t="n">
        <v>0.5283018867924528</v>
      </c>
      <c r="L208" s="19" t="n">
        <v>0.07808130445922927</v>
      </c>
      <c r="M208" s="19" t="n">
        <v>0.06006600171529342</v>
      </c>
      <c r="N208" s="20" t="n">
        <v>0</v>
      </c>
      <c r="O208" s="27" t="n">
        <v>0.725</v>
      </c>
      <c r="P208" s="17" t="inlineStr">
        <is>
          <t>DraftKings</t>
        </is>
      </c>
      <c r="Q208" s="17" t="inlineStr">
        <is>
          <t>correlated with a stronger play on the same game</t>
        </is>
      </c>
    </row>
    <row r="209">
      <c r="A209" s="12" t="inlineStr">
        <is>
          <t>PASS</t>
        </is>
      </c>
      <c r="B209" s="12" t="inlineStr">
        <is>
          <t>ODU @ VT</t>
        </is>
      </c>
      <c r="C209" s="12" t="inlineStr">
        <is>
          <t>2026-09-12 16:00</t>
        </is>
      </c>
      <c r="D209" s="22" t="n">
        <v>2</v>
      </c>
      <c r="E209" s="12" t="inlineStr">
        <is>
          <t>TOTAL</t>
        </is>
      </c>
      <c r="F209" s="12" t="inlineStr">
        <is>
          <t>Over 49.5</t>
        </is>
      </c>
      <c r="G209" s="23" t="n">
        <v>49.5</v>
      </c>
      <c r="H209" s="13" t="n">
        <v>-112</v>
      </c>
      <c r="I209" s="15" t="n">
        <v>0.5592339661246535</v>
      </c>
      <c r="J209" s="15" t="n">
        <v>0.5043297540699688</v>
      </c>
      <c r="K209" s="15" t="n">
        <v>0.5283018867924528</v>
      </c>
      <c r="L209" s="14" t="n">
        <v>0.07755890555338553</v>
      </c>
      <c r="M209" s="14" t="n">
        <v>0.05855000730737969</v>
      </c>
      <c r="N209" s="15" t="n">
        <v>0</v>
      </c>
      <c r="O209" s="24" t="n">
        <v>0.725</v>
      </c>
      <c r="P209" s="12" t="inlineStr">
        <is>
          <t>DraftKings</t>
        </is>
      </c>
      <c r="Q209" s="12" t="inlineStr">
        <is>
          <t>outside the top 10 plays for this week</t>
        </is>
      </c>
    </row>
    <row r="210">
      <c r="A210" s="17" t="inlineStr">
        <is>
          <t>PASS</t>
        </is>
      </c>
      <c r="B210" s="17" t="inlineStr">
        <is>
          <t>WSU @ KSU</t>
        </is>
      </c>
      <c r="C210" s="17" t="inlineStr">
        <is>
          <t>2026-09-12 16:00</t>
        </is>
      </c>
      <c r="D210" s="25" t="n">
        <v>2</v>
      </c>
      <c r="E210" s="17" t="inlineStr">
        <is>
          <t>TOTAL</t>
        </is>
      </c>
      <c r="F210" s="17" t="inlineStr">
        <is>
          <t>Over 49.5</t>
        </is>
      </c>
      <c r="G210" s="26" t="n">
        <v>49.5</v>
      </c>
      <c r="H210" s="18" t="n">
        <v>-105</v>
      </c>
      <c r="I210" s="20" t="n">
        <v>0.5420197388408059</v>
      </c>
      <c r="J210" s="20" t="n">
        <v>0.4891657638136511</v>
      </c>
      <c r="K210" s="20" t="n">
        <v>0.5121951219512195</v>
      </c>
      <c r="L210" s="19" t="n">
        <v>0.07728470919042721</v>
      </c>
      <c r="M210" s="19" t="n">
        <v>0.05822901392728763</v>
      </c>
      <c r="N210" s="20" t="n">
        <v>0</v>
      </c>
      <c r="O210" s="27" t="n">
        <v>0.725</v>
      </c>
      <c r="P210" s="17" t="inlineStr">
        <is>
          <t>DraftKings</t>
        </is>
      </c>
      <c r="Q210" s="17" t="inlineStr">
        <is>
          <t>outside the top 10 plays for this week</t>
        </is>
      </c>
    </row>
    <row r="211">
      <c r="A211" s="12" t="inlineStr">
        <is>
          <t>PASS</t>
        </is>
      </c>
      <c r="B211" s="12" t="inlineStr">
        <is>
          <t>WEB @ COLO</t>
        </is>
      </c>
      <c r="C211" s="12" t="inlineStr">
        <is>
          <t>2026-09-12 19:30</t>
        </is>
      </c>
      <c r="D211" s="22" t="n">
        <v>2</v>
      </c>
      <c r="E211" s="12" t="inlineStr">
        <is>
          <t>TOTAL</t>
        </is>
      </c>
      <c r="F211" s="12" t="inlineStr">
        <is>
          <t>Under 54.5</t>
        </is>
      </c>
      <c r="G211" s="23" t="n">
        <v>54.5</v>
      </c>
      <c r="H211" s="13" t="n">
        <v>-105</v>
      </c>
      <c r="I211" s="15" t="n">
        <v>0.5420197008231425</v>
      </c>
      <c r="J211" s="15" t="n">
        <v>0.4891657638136511</v>
      </c>
      <c r="K211" s="15" t="n">
        <v>0.5121951219512195</v>
      </c>
      <c r="L211" s="14" t="n">
        <v>0.07728468290727404</v>
      </c>
      <c r="M211" s="14" t="n">
        <v>0.0582289397023259</v>
      </c>
      <c r="N211" s="15" t="n">
        <v>0</v>
      </c>
      <c r="O211" s="24" t="n">
        <v>0.4</v>
      </c>
      <c r="P211" s="12" t="inlineStr">
        <is>
          <t>DraftKings</t>
        </is>
      </c>
      <c r="Q211" s="12" t="inlineStr">
        <is>
          <t>WEB isn't a full FBS participant this season — model doesn't rate them reliably</t>
        </is>
      </c>
    </row>
    <row r="212">
      <c r="A212" s="17" t="inlineStr">
        <is>
          <t>PASS</t>
        </is>
      </c>
      <c r="B212" s="17" t="inlineStr">
        <is>
          <t>TTU @ ORST</t>
        </is>
      </c>
      <c r="C212" s="17" t="inlineStr">
        <is>
          <t>2026-09-12 23:30</t>
        </is>
      </c>
      <c r="D212" s="25" t="n">
        <v>2</v>
      </c>
      <c r="E212" s="17" t="inlineStr">
        <is>
          <t>TOTAL</t>
        </is>
      </c>
      <c r="F212" s="17" t="inlineStr">
        <is>
          <t>Under 53.5</t>
        </is>
      </c>
      <c r="G212" s="26" t="n">
        <v>53.5</v>
      </c>
      <c r="H212" s="18" t="n">
        <v>-105</v>
      </c>
      <c r="I212" s="20" t="n">
        <v>0.5420196905144345</v>
      </c>
      <c r="J212" s="20" t="n">
        <v>0.4891657638136511</v>
      </c>
      <c r="K212" s="20" t="n">
        <v>0.5121951219512195</v>
      </c>
      <c r="L212" s="19" t="n">
        <v>0.0772846757804399</v>
      </c>
      <c r="M212" s="19" t="n">
        <v>0.05822891957580079</v>
      </c>
      <c r="N212" s="20" t="n">
        <v>0</v>
      </c>
      <c r="O212" s="27" t="n">
        <v>0.725</v>
      </c>
      <c r="P212" s="17" t="inlineStr">
        <is>
          <t>DraftKings</t>
        </is>
      </c>
      <c r="Q212" s="17" t="inlineStr">
        <is>
          <t>outside the top 10 plays for this week</t>
        </is>
      </c>
    </row>
    <row r="213">
      <c r="A213" s="12" t="inlineStr">
        <is>
          <t>PASS</t>
        </is>
      </c>
      <c r="B213" s="12" t="inlineStr">
        <is>
          <t>CAL @ SYR</t>
        </is>
      </c>
      <c r="C213" s="12" t="inlineStr">
        <is>
          <t>2026-09-12 19:30</t>
        </is>
      </c>
      <c r="D213" s="22" t="n">
        <v>2</v>
      </c>
      <c r="E213" s="12" t="inlineStr">
        <is>
          <t>ATS</t>
        </is>
      </c>
      <c r="F213" s="12" t="inlineStr">
        <is>
          <t>SYR -3.5</t>
        </is>
      </c>
      <c r="G213" s="23" t="n">
        <v>-3.5</v>
      </c>
      <c r="H213" s="13" t="n">
        <v>-105</v>
      </c>
      <c r="I213" s="15" t="n">
        <v>0.5410967006934327</v>
      </c>
      <c r="J213" s="15" t="n">
        <v>0.4891657638136511</v>
      </c>
      <c r="K213" s="15" t="n">
        <v>0.5121951219512195</v>
      </c>
      <c r="L213" s="14" t="n">
        <v>0.07663618173325204</v>
      </c>
      <c r="M213" s="14" t="n">
        <v>0.05642689183003524</v>
      </c>
      <c r="N213" s="15" t="n">
        <v>0</v>
      </c>
      <c r="O213" s="24" t="n">
        <v>0.725</v>
      </c>
      <c r="P213" s="12" t="inlineStr">
        <is>
          <t>DraftKings</t>
        </is>
      </c>
      <c r="Q213" s="12" t="inlineStr">
        <is>
          <t>outside the top 10 plays for this week</t>
        </is>
      </c>
    </row>
    <row r="214">
      <c r="A214" s="17" t="inlineStr">
        <is>
          <t>PASS</t>
        </is>
      </c>
      <c r="B214" s="17" t="inlineStr">
        <is>
          <t>OSU @ TEX</t>
        </is>
      </c>
      <c r="C214" s="17" t="inlineStr">
        <is>
          <t>2026-09-12 23:30</t>
        </is>
      </c>
      <c r="D214" s="25" t="n">
        <v>2</v>
      </c>
      <c r="E214" s="17" t="inlineStr">
        <is>
          <t>TOTAL</t>
        </is>
      </c>
      <c r="F214" s="17" t="inlineStr">
        <is>
          <t>Over 49.5</t>
        </is>
      </c>
      <c r="G214" s="26" t="n">
        <v>49.5</v>
      </c>
      <c r="H214" s="18" t="n">
        <v>-112</v>
      </c>
      <c r="I214" s="20" t="n">
        <v>0.5573179164147899</v>
      </c>
      <c r="J214" s="20" t="n">
        <v>0.5043297540699688</v>
      </c>
      <c r="K214" s="20" t="n">
        <v>0.5283018867924528</v>
      </c>
      <c r="L214" s="19" t="n">
        <v>0.07624992565877642</v>
      </c>
      <c r="M214" s="19" t="n">
        <v>0.05492319892799502</v>
      </c>
      <c r="N214" s="20" t="n">
        <v>0</v>
      </c>
      <c r="O214" s="27" t="n">
        <v>0.725</v>
      </c>
      <c r="P214" s="17" t="inlineStr">
        <is>
          <t>DraftKings</t>
        </is>
      </c>
      <c r="Q214" s="17" t="inlineStr">
        <is>
          <t>outside the top 10 plays for this week</t>
        </is>
      </c>
    </row>
    <row r="215">
      <c r="A215" s="12" t="inlineStr">
        <is>
          <t>PASS</t>
        </is>
      </c>
      <c r="B215" s="12" t="inlineStr">
        <is>
          <t>FLA @ AUB</t>
        </is>
      </c>
      <c r="C215" s="12" t="inlineStr">
        <is>
          <t>2026-09-19 23:00</t>
        </is>
      </c>
      <c r="D215" s="22" t="n">
        <v>3</v>
      </c>
      <c r="E215" s="12" t="inlineStr">
        <is>
          <t>TOTAL</t>
        </is>
      </c>
      <c r="F215" s="12" t="inlineStr">
        <is>
          <t>Over 49.5</t>
        </is>
      </c>
      <c r="G215" s="23" t="n">
        <v>49.5</v>
      </c>
      <c r="H215" s="13" t="n">
        <v>-112</v>
      </c>
      <c r="I215" s="15" t="n">
        <v>0.5573179164147899</v>
      </c>
      <c r="J215" s="15" t="n">
        <v>0.5043297540699688</v>
      </c>
      <c r="K215" s="15" t="n">
        <v>0.5283018867924528</v>
      </c>
      <c r="L215" s="14" t="n">
        <v>0.07624992565877642</v>
      </c>
      <c r="M215" s="14" t="n">
        <v>0.05492319892799502</v>
      </c>
      <c r="N215" s="15" t="n">
        <v>0</v>
      </c>
      <c r="O215" s="24" t="n">
        <v>0.725</v>
      </c>
      <c r="P215" s="12" t="inlineStr">
        <is>
          <t>DraftKings</t>
        </is>
      </c>
      <c r="Q215" s="12" t="inlineStr">
        <is>
          <t>correlated with a stronger play on the same game</t>
        </is>
      </c>
    </row>
    <row r="216">
      <c r="A216" s="17" t="inlineStr">
        <is>
          <t>PASS</t>
        </is>
      </c>
      <c r="B216" s="17" t="inlineStr">
        <is>
          <t>CAL @ SYR</t>
        </is>
      </c>
      <c r="C216" s="17" t="inlineStr">
        <is>
          <t>2026-09-12 19:30</t>
        </is>
      </c>
      <c r="D216" s="25" t="n">
        <v>2</v>
      </c>
      <c r="E216" s="17" t="inlineStr">
        <is>
          <t>TOTAL</t>
        </is>
      </c>
      <c r="F216" s="17" t="inlineStr">
        <is>
          <t>Under 56.5</t>
        </is>
      </c>
      <c r="G216" s="26" t="n">
        <v>56.5</v>
      </c>
      <c r="H216" s="18" t="n">
        <v>-108</v>
      </c>
      <c r="I216" s="20" t="n">
        <v>0.5472084370589327</v>
      </c>
      <c r="J216" s="20" t="n">
        <v>0.4956702459300312</v>
      </c>
      <c r="K216" s="20" t="n">
        <v>0.5192307692307693</v>
      </c>
      <c r="L216" s="19" t="n">
        <v>0.07585863176035952</v>
      </c>
      <c r="M216" s="19" t="n">
        <v>0.05388291581720384</v>
      </c>
      <c r="N216" s="20" t="n">
        <v>0</v>
      </c>
      <c r="O216" s="27" t="n">
        <v>0.725</v>
      </c>
      <c r="P216" s="17" t="inlineStr">
        <is>
          <t>DraftKings</t>
        </is>
      </c>
      <c r="Q216" s="17" t="inlineStr">
        <is>
          <t>correlated with a stronger play on the same game</t>
        </is>
      </c>
    </row>
    <row r="217">
      <c r="A217" s="12" t="inlineStr">
        <is>
          <t>PASS</t>
        </is>
      </c>
      <c r="B217" s="12" t="inlineStr">
        <is>
          <t>WKU @ UGA</t>
        </is>
      </c>
      <c r="C217" s="12" t="inlineStr">
        <is>
          <t>2026-09-12 16:45</t>
        </is>
      </c>
      <c r="D217" s="22" t="n">
        <v>2</v>
      </c>
      <c r="E217" s="12" t="inlineStr">
        <is>
          <t>TOTAL</t>
        </is>
      </c>
      <c r="F217" s="12" t="inlineStr">
        <is>
          <t>Under 55.5</t>
        </is>
      </c>
      <c r="G217" s="23" t="n">
        <v>55.5</v>
      </c>
      <c r="H217" s="13" t="n">
        <v>-110</v>
      </c>
      <c r="I217" s="15" t="n">
        <v>0.5513049565527947</v>
      </c>
      <c r="J217" s="15" t="n">
        <v>0.5</v>
      </c>
      <c r="K217" s="15" t="n">
        <v>0.5238095238095238</v>
      </c>
      <c r="L217" s="14" t="n">
        <v>0.07535759004709286</v>
      </c>
      <c r="M217" s="14" t="n">
        <v>0.05249128069169884</v>
      </c>
      <c r="N217" s="15" t="n">
        <v>0</v>
      </c>
      <c r="O217" s="24" t="n">
        <v>0.725</v>
      </c>
      <c r="P217" s="12" t="inlineStr">
        <is>
          <t>DraftKings</t>
        </is>
      </c>
      <c r="Q217" s="12" t="inlineStr">
        <is>
          <t>outside the top 10 plays for this week</t>
        </is>
      </c>
    </row>
    <row r="218">
      <c r="A218" s="17" t="inlineStr">
        <is>
          <t>PASS</t>
        </is>
      </c>
      <c r="B218" s="17" t="inlineStr">
        <is>
          <t>SMU @ LOU</t>
        </is>
      </c>
      <c r="C218" s="17" t="inlineStr">
        <is>
          <t>2026-09-19 19:30</t>
        </is>
      </c>
      <c r="D218" s="25" t="n">
        <v>3</v>
      </c>
      <c r="E218" s="17" t="inlineStr">
        <is>
          <t>ATS</t>
        </is>
      </c>
      <c r="F218" s="17" t="inlineStr">
        <is>
          <t>LOU -1.5</t>
        </is>
      </c>
      <c r="G218" s="26" t="n">
        <v>-1.5</v>
      </c>
      <c r="H218" s="18" t="n">
        <v>-102</v>
      </c>
      <c r="I218" s="20" t="n">
        <v>0.5315923533165584</v>
      </c>
      <c r="J218" s="20" t="n">
        <v>0.4826358742837298</v>
      </c>
      <c r="K218" s="20" t="n">
        <v>0.504950495049505</v>
      </c>
      <c r="L218" s="19" t="n">
        <v>0.07491791185472087</v>
      </c>
      <c r="M218" s="19" t="n">
        <v>0.05276132715632165</v>
      </c>
      <c r="N218" s="20" t="n">
        <v>0</v>
      </c>
      <c r="O218" s="27" t="n">
        <v>0.725</v>
      </c>
      <c r="P218" s="17" t="inlineStr">
        <is>
          <t>DraftKings</t>
        </is>
      </c>
      <c r="Q218" s="17" t="inlineStr">
        <is>
          <t>correlated with a stronger play on the same game</t>
        </is>
      </c>
    </row>
    <row r="219">
      <c r="A219" s="12" t="inlineStr">
        <is>
          <t>PASS</t>
        </is>
      </c>
      <c r="B219" s="12" t="inlineStr">
        <is>
          <t>OSU @ TEX</t>
        </is>
      </c>
      <c r="C219" s="12" t="inlineStr">
        <is>
          <t>2026-09-12 23:30</t>
        </is>
      </c>
      <c r="D219" s="22" t="n">
        <v>2</v>
      </c>
      <c r="E219" s="12" t="inlineStr">
        <is>
          <t>ML</t>
        </is>
      </c>
      <c r="F219" s="12" t="inlineStr">
        <is>
          <t>TEX ML</t>
        </is>
      </c>
      <c r="G219" s="23" t="n"/>
      <c r="H219" s="13" t="n">
        <v>-125</v>
      </c>
      <c r="I219" s="15" t="n">
        <v>0.5857082706659729</v>
      </c>
      <c r="J219" s="15" t="n">
        <v>0.5324675324675325</v>
      </c>
      <c r="K219" s="15" t="n">
        <v>0.5555555555555556</v>
      </c>
      <c r="L219" s="14" t="n">
        <v>0.07436422467579742</v>
      </c>
      <c r="M219" s="14" t="n">
        <v>0.05427488719875129</v>
      </c>
      <c r="N219" s="15" t="n">
        <v>0</v>
      </c>
      <c r="O219" s="24" t="n">
        <v>0.725</v>
      </c>
      <c r="P219" s="12" t="inlineStr">
        <is>
          <t>DraftKings</t>
        </is>
      </c>
      <c r="Q219" s="12" t="inlineStr">
        <is>
          <t>correlated with a stronger play on the same game</t>
        </is>
      </c>
    </row>
    <row r="220">
      <c r="A220" s="17" t="inlineStr">
        <is>
          <t>PASS</t>
        </is>
      </c>
      <c r="B220" s="17" t="inlineStr">
        <is>
          <t>OSU @ TEX</t>
        </is>
      </c>
      <c r="C220" s="17" t="inlineStr">
        <is>
          <t>2026-09-12 23:30</t>
        </is>
      </c>
      <c r="D220" s="25" t="n">
        <v>2</v>
      </c>
      <c r="E220" s="17" t="inlineStr">
        <is>
          <t>ATS</t>
        </is>
      </c>
      <c r="F220" s="17" t="inlineStr">
        <is>
          <t>TEX -1.5</t>
        </is>
      </c>
      <c r="G220" s="26" t="n">
        <v>-1.5</v>
      </c>
      <c r="H220" s="18" t="n">
        <v>-112</v>
      </c>
      <c r="I220" s="20" t="n">
        <v>0.5539516633179302</v>
      </c>
      <c r="J220" s="20" t="n">
        <v>0.5043297540699688</v>
      </c>
      <c r="K220" s="20" t="n">
        <v>0.5283018867924528</v>
      </c>
      <c r="L220" s="19" t="n">
        <v>0.07373763016659524</v>
      </c>
      <c r="M220" s="19" t="n">
        <v>0.04855136270893934</v>
      </c>
      <c r="N220" s="20" t="n">
        <v>0</v>
      </c>
      <c r="O220" s="27" t="n">
        <v>0.725</v>
      </c>
      <c r="P220" s="17" t="inlineStr">
        <is>
          <t>DraftKings</t>
        </is>
      </c>
      <c r="Q220" s="17" t="n"/>
    </row>
    <row r="221">
      <c r="A221" s="12" t="inlineStr">
        <is>
          <t>PASS</t>
        </is>
      </c>
      <c r="B221" s="12" t="inlineStr">
        <is>
          <t>GWEB @ LIB</t>
        </is>
      </c>
      <c r="C221" s="12" t="inlineStr">
        <is>
          <t>2026-09-12 22:00</t>
        </is>
      </c>
      <c r="D221" s="22" t="n">
        <v>2</v>
      </c>
      <c r="E221" s="12" t="inlineStr">
        <is>
          <t>TOTAL</t>
        </is>
      </c>
      <c r="F221" s="12" t="inlineStr">
        <is>
          <t>Under 55.5</t>
        </is>
      </c>
      <c r="G221" s="23" t="n">
        <v>55.5</v>
      </c>
      <c r="H221" s="13" t="n">
        <v>-115</v>
      </c>
      <c r="I221" s="15" t="n">
        <v>0.5605701280104128</v>
      </c>
      <c r="J221" s="15" t="n">
        <v>0.5108342361863488</v>
      </c>
      <c r="K221" s="15" t="n">
        <v>0.5348837209302325</v>
      </c>
      <c r="L221" s="14" t="n">
        <v>0.07332483140574481</v>
      </c>
      <c r="M221" s="14" t="n">
        <v>0.04802241323685874</v>
      </c>
      <c r="N221" s="15" t="n">
        <v>0</v>
      </c>
      <c r="O221" s="24" t="n">
        <v>0.4</v>
      </c>
      <c r="P221" s="12" t="inlineStr">
        <is>
          <t>DraftKings</t>
        </is>
      </c>
      <c r="Q221" s="12" t="inlineStr">
        <is>
          <t>GWEB isn't a full FBS participant this season — model doesn't rate them reliably</t>
        </is>
      </c>
    </row>
    <row r="222">
      <c r="A222" s="17" t="inlineStr">
        <is>
          <t>PASS</t>
        </is>
      </c>
      <c r="B222" s="17" t="inlineStr">
        <is>
          <t>TENN @ GT</t>
        </is>
      </c>
      <c r="C222" s="17" t="inlineStr">
        <is>
          <t>2026-09-12 23:00</t>
        </is>
      </c>
      <c r="D222" s="25" t="n">
        <v>2</v>
      </c>
      <c r="E222" s="17" t="inlineStr">
        <is>
          <t>TOTAL</t>
        </is>
      </c>
      <c r="F222" s="17" t="inlineStr">
        <is>
          <t>Under 55.5</t>
        </is>
      </c>
      <c r="G222" s="26" t="n">
        <v>55.5</v>
      </c>
      <c r="H222" s="18" t="n">
        <v>-115</v>
      </c>
      <c r="I222" s="20" t="n">
        <v>0.5605701280104128</v>
      </c>
      <c r="J222" s="20" t="n">
        <v>0.5108342361863488</v>
      </c>
      <c r="K222" s="20" t="n">
        <v>0.5348837209302325</v>
      </c>
      <c r="L222" s="19" t="n">
        <v>0.07332483140574481</v>
      </c>
      <c r="M222" s="19" t="n">
        <v>0.04802241323685874</v>
      </c>
      <c r="N222" s="20" t="n">
        <v>0</v>
      </c>
      <c r="O222" s="27" t="n">
        <v>0.725</v>
      </c>
      <c r="P222" s="17" t="inlineStr">
        <is>
          <t>DraftKings</t>
        </is>
      </c>
      <c r="Q222" s="17" t="n"/>
    </row>
    <row r="223">
      <c r="A223" s="12" t="inlineStr">
        <is>
          <t>PASS</t>
        </is>
      </c>
      <c r="B223" s="12" t="inlineStr">
        <is>
          <t>UTM @ WVU</t>
        </is>
      </c>
      <c r="C223" s="12" t="inlineStr">
        <is>
          <t>2026-09-12 17:00</t>
        </is>
      </c>
      <c r="D223" s="22" t="n">
        <v>2</v>
      </c>
      <c r="E223" s="12" t="inlineStr">
        <is>
          <t>TOTAL</t>
        </is>
      </c>
      <c r="F223" s="12" t="inlineStr">
        <is>
          <t>Under 55.5</t>
        </is>
      </c>
      <c r="G223" s="23" t="n">
        <v>55.5</v>
      </c>
      <c r="H223" s="13" t="n">
        <v>-108</v>
      </c>
      <c r="I223" s="15" t="n">
        <v>0.5433308056022643</v>
      </c>
      <c r="J223" s="15" t="n">
        <v>0.4956702459300312</v>
      </c>
      <c r="K223" s="15" t="n">
        <v>0.5192307692307693</v>
      </c>
      <c r="L223" s="14" t="n">
        <v>0.07283153178853613</v>
      </c>
      <c r="M223" s="14" t="n">
        <v>0.04641488486362033</v>
      </c>
      <c r="N223" s="15" t="n">
        <v>0</v>
      </c>
      <c r="O223" s="24" t="n">
        <v>0.4</v>
      </c>
      <c r="P223" s="12" t="inlineStr">
        <is>
          <t>DraftKings</t>
        </is>
      </c>
      <c r="Q223" s="12" t="inlineStr">
        <is>
          <t>UTM isn't a full FBS participant this season — model doesn't rate them reliably</t>
        </is>
      </c>
    </row>
    <row r="224">
      <c r="A224" s="17" t="inlineStr">
        <is>
          <t>PASS</t>
        </is>
      </c>
      <c r="B224" s="17" t="inlineStr">
        <is>
          <t>DEL @ VAN</t>
        </is>
      </c>
      <c r="C224" s="17" t="inlineStr">
        <is>
          <t>2026-09-12 20:15</t>
        </is>
      </c>
      <c r="D224" s="25" t="n">
        <v>2</v>
      </c>
      <c r="E224" s="17" t="inlineStr">
        <is>
          <t>TOTAL</t>
        </is>
      </c>
      <c r="F224" s="17" t="inlineStr">
        <is>
          <t>Under 54.5</t>
        </is>
      </c>
      <c r="G224" s="26" t="n">
        <v>54.5</v>
      </c>
      <c r="H224" s="18" t="n">
        <v>-105</v>
      </c>
      <c r="I224" s="20" t="n">
        <v>0.5361830388758124</v>
      </c>
      <c r="J224" s="20" t="n">
        <v>0.4891657638136511</v>
      </c>
      <c r="K224" s="20" t="n">
        <v>0.5121951219512195</v>
      </c>
      <c r="L224" s="19" t="n">
        <v>0.07281648050069525</v>
      </c>
      <c r="M224" s="19" t="n">
        <v>0.04683355209087181</v>
      </c>
      <c r="N224" s="20" t="n">
        <v>0</v>
      </c>
      <c r="O224" s="27" t="n">
        <v>0.725</v>
      </c>
      <c r="P224" s="17" t="inlineStr">
        <is>
          <t>DraftKings</t>
        </is>
      </c>
      <c r="Q224" s="17" t="n"/>
    </row>
    <row r="225">
      <c r="A225" s="12" t="inlineStr">
        <is>
          <t>PASS</t>
        </is>
      </c>
      <c r="B225" s="12" t="inlineStr">
        <is>
          <t>PSU @ TEM</t>
        </is>
      </c>
      <c r="C225" s="12" t="inlineStr">
        <is>
          <t>2026-09-12 16:00</t>
        </is>
      </c>
      <c r="D225" s="22" t="n">
        <v>2</v>
      </c>
      <c r="E225" s="12" t="inlineStr">
        <is>
          <t>TOTAL</t>
        </is>
      </c>
      <c r="F225" s="12" t="inlineStr">
        <is>
          <t>Over 49.5</t>
        </is>
      </c>
      <c r="G225" s="23" t="n">
        <v>49.5</v>
      </c>
      <c r="H225" s="13" t="n">
        <v>-112</v>
      </c>
      <c r="I225" s="15" t="n">
        <v>0.5515382186164288</v>
      </c>
      <c r="J225" s="15" t="n">
        <v>0.5043297540699688</v>
      </c>
      <c r="K225" s="15" t="n">
        <v>0.5283018867924528</v>
      </c>
      <c r="L225" s="14" t="n">
        <v>0.07175957484848108</v>
      </c>
      <c r="M225" s="14" t="n">
        <v>0.04398305666681157</v>
      </c>
      <c r="N225" s="15" t="n">
        <v>0</v>
      </c>
      <c r="O225" s="24" t="n">
        <v>0.725</v>
      </c>
      <c r="P225" s="12" t="inlineStr">
        <is>
          <t>DraftKings</t>
        </is>
      </c>
      <c r="Q225" s="12" t="n"/>
    </row>
    <row r="226">
      <c r="A226" s="17" t="inlineStr">
        <is>
          <t>PASS</t>
        </is>
      </c>
      <c r="B226" s="17" t="inlineStr">
        <is>
          <t>LT @ LSU</t>
        </is>
      </c>
      <c r="C226" s="17" t="inlineStr">
        <is>
          <t>2026-09-12 23:30</t>
        </is>
      </c>
      <c r="D226" s="25" t="n">
        <v>2</v>
      </c>
      <c r="E226" s="17" t="inlineStr">
        <is>
          <t>TOTAL</t>
        </is>
      </c>
      <c r="F226" s="17" t="inlineStr">
        <is>
          <t>Under 55.5</t>
        </is>
      </c>
      <c r="G226" s="26" t="n">
        <v>55.5</v>
      </c>
      <c r="H226" s="18" t="n">
        <v>-108</v>
      </c>
      <c r="I226" s="20" t="n">
        <v>0.5413851897523503</v>
      </c>
      <c r="J226" s="20" t="n">
        <v>0.4956702459300312</v>
      </c>
      <c r="K226" s="20" t="n">
        <v>0.5192307692307693</v>
      </c>
      <c r="L226" s="19" t="n">
        <v>0.07116140030658814</v>
      </c>
      <c r="M226" s="19" t="n">
        <v>0.04266777285637846</v>
      </c>
      <c r="N226" s="20" t="n">
        <v>0</v>
      </c>
      <c r="O226" s="27" t="n">
        <v>0.725</v>
      </c>
      <c r="P226" s="17" t="inlineStr">
        <is>
          <t>DraftKings</t>
        </is>
      </c>
      <c r="Q226" s="17" t="n"/>
    </row>
    <row r="227">
      <c r="A227" s="12" t="inlineStr">
        <is>
          <t>PASS</t>
        </is>
      </c>
      <c r="B227" s="12" t="inlineStr">
        <is>
          <t>APP @ ECU</t>
        </is>
      </c>
      <c r="C227" s="12" t="inlineStr">
        <is>
          <t>2026-09-12 16:00</t>
        </is>
      </c>
      <c r="D227" s="22" t="n">
        <v>2</v>
      </c>
      <c r="E227" s="12" t="inlineStr">
        <is>
          <t>ATS</t>
        </is>
      </c>
      <c r="F227" s="12" t="inlineStr">
        <is>
          <t>APP +7</t>
        </is>
      </c>
      <c r="G227" s="23" t="n">
        <v>-7</v>
      </c>
      <c r="H227" s="13" t="n">
        <v>-120</v>
      </c>
      <c r="I227" s="15" t="n">
        <v>0.5692672051020891</v>
      </c>
      <c r="J227" s="15" t="n">
        <v>0.5217391304347826</v>
      </c>
      <c r="K227" s="15" t="n">
        <v>0.5454545454545454</v>
      </c>
      <c r="L227" s="14" t="n">
        <v>0.07065964127323926</v>
      </c>
      <c r="M227" s="14" t="n">
        <v>0.04148681251561133</v>
      </c>
      <c r="N227" s="15" t="n">
        <v>0.0497</v>
      </c>
      <c r="O227" s="24" t="n">
        <v>0.725</v>
      </c>
      <c r="P227" s="12" t="inlineStr">
        <is>
          <t>DraftKings</t>
        </is>
      </c>
      <c r="Q227" s="12" t="n"/>
    </row>
    <row r="228">
      <c r="A228" s="17" t="inlineStr">
        <is>
          <t>PASS</t>
        </is>
      </c>
      <c r="B228" s="17" t="inlineStr">
        <is>
          <t>MEM @ BOIS</t>
        </is>
      </c>
      <c r="C228" s="17" t="inlineStr">
        <is>
          <t>2026-09-12 22:00</t>
        </is>
      </c>
      <c r="D228" s="25" t="n">
        <v>2</v>
      </c>
      <c r="E228" s="17" t="inlineStr">
        <is>
          <t>TOTAL</t>
        </is>
      </c>
      <c r="F228" s="17" t="inlineStr">
        <is>
          <t>Under 55.5</t>
        </is>
      </c>
      <c r="G228" s="26" t="n">
        <v>55.5</v>
      </c>
      <c r="H228" s="18" t="n">
        <v>-115</v>
      </c>
      <c r="I228" s="20" t="n">
        <v>0.5567220746459691</v>
      </c>
      <c r="J228" s="20" t="n">
        <v>0.5108342361863488</v>
      </c>
      <c r="K228" s="20" t="n">
        <v>0.5348837209302325</v>
      </c>
      <c r="L228" s="19" t="n">
        <v>0.07008826666444185</v>
      </c>
      <c r="M228" s="19" t="n">
        <v>0.04082822651202922</v>
      </c>
      <c r="N228" s="20" t="n">
        <v>0</v>
      </c>
      <c r="O228" s="27" t="n">
        <v>0.725</v>
      </c>
      <c r="P228" s="17" t="inlineStr">
        <is>
          <t>DraftKings</t>
        </is>
      </c>
      <c r="Q228" s="17" t="n"/>
    </row>
    <row r="229">
      <c r="A229" s="12" t="inlineStr">
        <is>
          <t>PASS</t>
        </is>
      </c>
      <c r="B229" s="12" t="inlineStr">
        <is>
          <t>UTSA @ TXST</t>
        </is>
      </c>
      <c r="C229" s="12" t="inlineStr">
        <is>
          <t>2026-09-12 19:30</t>
        </is>
      </c>
      <c r="D229" s="22" t="n">
        <v>2</v>
      </c>
      <c r="E229" s="12" t="inlineStr">
        <is>
          <t>ML</t>
        </is>
      </c>
      <c r="F229" s="12" t="inlineStr">
        <is>
          <t>TXST ML</t>
        </is>
      </c>
      <c r="G229" s="23" t="n"/>
      <c r="H229" s="13" t="n">
        <v>-122</v>
      </c>
      <c r="I229" s="15" t="n">
        <v>0.5726655443361105</v>
      </c>
      <c r="J229" s="15" t="n">
        <v>0.5260865852617197</v>
      </c>
      <c r="K229" s="15" t="n">
        <v>0.5495495495495496</v>
      </c>
      <c r="L229" s="14" t="n">
        <v>0.06949421469875214</v>
      </c>
      <c r="M229" s="14" t="n">
        <v>0.04206353149685693</v>
      </c>
      <c r="N229" s="15" t="n">
        <v>0</v>
      </c>
      <c r="O229" s="24" t="n">
        <v>0.725</v>
      </c>
      <c r="P229" s="12" t="inlineStr">
        <is>
          <t>DraftKings</t>
        </is>
      </c>
      <c r="Q229" s="12" t="n"/>
    </row>
    <row r="230">
      <c r="A230" s="17" t="inlineStr">
        <is>
          <t>PASS</t>
        </is>
      </c>
      <c r="B230" s="17" t="inlineStr">
        <is>
          <t>WAG @ JMU</t>
        </is>
      </c>
      <c r="C230" s="17" t="inlineStr">
        <is>
          <t>2026-09-12 19:30</t>
        </is>
      </c>
      <c r="D230" s="25" t="n">
        <v>2</v>
      </c>
      <c r="E230" s="17" t="inlineStr">
        <is>
          <t>TOTAL</t>
        </is>
      </c>
      <c r="F230" s="17" t="inlineStr">
        <is>
          <t>Under 54.5</t>
        </is>
      </c>
      <c r="G230" s="26" t="n">
        <v>54.5</v>
      </c>
      <c r="H230" s="18" t="n">
        <v>-105</v>
      </c>
      <c r="I230" s="20" t="n">
        <v>0.5322711101880166</v>
      </c>
      <c r="J230" s="20" t="n">
        <v>0.4891657638136511</v>
      </c>
      <c r="K230" s="20" t="n">
        <v>0.5121951219512195</v>
      </c>
      <c r="L230" s="19" t="n">
        <v>0.069299053527956</v>
      </c>
      <c r="M230" s="19" t="n">
        <v>0.03919597703374667</v>
      </c>
      <c r="N230" s="20" t="n">
        <v>0</v>
      </c>
      <c r="O230" s="27" t="n">
        <v>0.4</v>
      </c>
      <c r="P230" s="17" t="inlineStr">
        <is>
          <t>DraftKings</t>
        </is>
      </c>
      <c r="Q230" s="17" t="inlineStr">
        <is>
          <t>WAG isn't a full FBS participant this season — model doesn't rate them reliably</t>
        </is>
      </c>
    </row>
    <row r="231">
      <c r="A231" s="12" t="inlineStr">
        <is>
          <t>PASS</t>
        </is>
      </c>
      <c r="B231" s="12" t="inlineStr">
        <is>
          <t>VILL @ LOU</t>
        </is>
      </c>
      <c r="C231" s="12" t="inlineStr">
        <is>
          <t>2026-09-11 23:00</t>
        </is>
      </c>
      <c r="D231" s="22" t="n">
        <v>2</v>
      </c>
      <c r="E231" s="12" t="inlineStr">
        <is>
          <t>TOTAL</t>
        </is>
      </c>
      <c r="F231" s="12" t="inlineStr">
        <is>
          <t>Under 56.5</t>
        </is>
      </c>
      <c r="G231" s="23" t="n">
        <v>56.5</v>
      </c>
      <c r="H231" s="13" t="n">
        <v>-112</v>
      </c>
      <c r="I231" s="15" t="n">
        <v>0.5476605630810907</v>
      </c>
      <c r="J231" s="15" t="n">
        <v>0.5043297540699688</v>
      </c>
      <c r="K231" s="15" t="n">
        <v>0.5283018867924528</v>
      </c>
      <c r="L231" s="14" t="n">
        <v>0.0682510014733116</v>
      </c>
      <c r="M231" s="14" t="n">
        <v>0.03664320868920723</v>
      </c>
      <c r="N231" s="15" t="n">
        <v>0</v>
      </c>
      <c r="O231" s="24" t="n">
        <v>0.4</v>
      </c>
      <c r="P231" s="12" t="inlineStr">
        <is>
          <t>DraftKings</t>
        </is>
      </c>
      <c r="Q231" s="12" t="inlineStr">
        <is>
          <t>VILL isn't a full FBS participant this season — model doesn't rate them reliably</t>
        </is>
      </c>
    </row>
    <row r="232">
      <c r="A232" s="17" t="inlineStr">
        <is>
          <t>PASS</t>
        </is>
      </c>
      <c r="B232" s="17" t="inlineStr">
        <is>
          <t>UCF @ PITT</t>
        </is>
      </c>
      <c r="C232" s="17" t="inlineStr">
        <is>
          <t>2026-09-12 19:30</t>
        </is>
      </c>
      <c r="D232" s="25" t="n">
        <v>2</v>
      </c>
      <c r="E232" s="17" t="inlineStr">
        <is>
          <t>TOTAL</t>
        </is>
      </c>
      <c r="F232" s="17" t="inlineStr">
        <is>
          <t>Under 56.5</t>
        </is>
      </c>
      <c r="G232" s="26" t="n">
        <v>56.5</v>
      </c>
      <c r="H232" s="18" t="n">
        <v>-108</v>
      </c>
      <c r="I232" s="20" t="n">
        <v>0.5374812812721366</v>
      </c>
      <c r="J232" s="20" t="n">
        <v>0.4956702459300312</v>
      </c>
      <c r="K232" s="20" t="n">
        <v>0.5192307692307693</v>
      </c>
      <c r="L232" s="19" t="n">
        <v>0.06748472210162004</v>
      </c>
      <c r="M232" s="19" t="n">
        <v>0.03514913430189281</v>
      </c>
      <c r="N232" s="20" t="n">
        <v>0</v>
      </c>
      <c r="O232" s="27" t="n">
        <v>0.725</v>
      </c>
      <c r="P232" s="17" t="inlineStr">
        <is>
          <t>DraftKings</t>
        </is>
      </c>
      <c r="Q232" s="17" t="n"/>
    </row>
    <row r="233">
      <c r="A233" s="12" t="inlineStr">
        <is>
          <t>PASS</t>
        </is>
      </c>
      <c r="B233" s="12" t="inlineStr">
        <is>
          <t>ASU @ TA&amp;M</t>
        </is>
      </c>
      <c r="C233" s="12" t="inlineStr">
        <is>
          <t>2026-09-12 16:00</t>
        </is>
      </c>
      <c r="D233" s="22" t="n">
        <v>2</v>
      </c>
      <c r="E233" s="12" t="inlineStr">
        <is>
          <t>TOTAL</t>
        </is>
      </c>
      <c r="F233" s="12" t="inlineStr">
        <is>
          <t>Over 50.5</t>
        </is>
      </c>
      <c r="G233" s="23" t="n">
        <v>50.5</v>
      </c>
      <c r="H233" s="13" t="n">
        <v>-118</v>
      </c>
      <c r="I233" s="15" t="n">
        <v>0.5599870409162027</v>
      </c>
      <c r="J233" s="15" t="n">
        <v>0.5173641257162701</v>
      </c>
      <c r="K233" s="15" t="n">
        <v>0.5412844036697247</v>
      </c>
      <c r="L233" s="14" t="n">
        <v>0.06649551267130173</v>
      </c>
      <c r="M233" s="14" t="n">
        <v>0.03455232982823886</v>
      </c>
      <c r="N233" s="15" t="n">
        <v>0</v>
      </c>
      <c r="O233" s="24" t="n">
        <v>0.725</v>
      </c>
      <c r="P233" s="12" t="inlineStr">
        <is>
          <t>DraftKings</t>
        </is>
      </c>
      <c r="Q233" s="12" t="n"/>
    </row>
    <row r="234">
      <c r="A234" s="17" t="inlineStr">
        <is>
          <t>PASS</t>
        </is>
      </c>
      <c r="B234" s="17" t="inlineStr">
        <is>
          <t>TOW @ SC</t>
        </is>
      </c>
      <c r="C234" s="17" t="inlineStr">
        <is>
          <t>2026-09-12 23:00</t>
        </is>
      </c>
      <c r="D234" s="25" t="n">
        <v>2</v>
      </c>
      <c r="E234" s="17" t="inlineStr">
        <is>
          <t>TOTAL</t>
        </is>
      </c>
      <c r="F234" s="17" t="inlineStr">
        <is>
          <t>Under 54.5</t>
        </is>
      </c>
      <c r="G234" s="26" t="n">
        <v>54.5</v>
      </c>
      <c r="H234" s="18" t="n">
        <v>-105</v>
      </c>
      <c r="I234" s="20" t="n">
        <v>0.5283442758453987</v>
      </c>
      <c r="J234" s="20" t="n">
        <v>0.4891657638136511</v>
      </c>
      <c r="K234" s="20" t="n">
        <v>0.5121951219512195</v>
      </c>
      <c r="L234" s="19" t="n">
        <v>0.06530646459384387</v>
      </c>
      <c r="M234" s="19" t="n">
        <v>0.03152930046006408</v>
      </c>
      <c r="N234" s="20" t="n">
        <v>0</v>
      </c>
      <c r="O234" s="27" t="n">
        <v>0.725</v>
      </c>
      <c r="P234" s="17" t="inlineStr">
        <is>
          <t>DraftKings</t>
        </is>
      </c>
      <c r="Q234" s="17" t="inlineStr">
        <is>
          <t>TOW isn't a full FBS participant this season — model doesn't rate them reliably</t>
        </is>
      </c>
    </row>
    <row r="235">
      <c r="A235" s="12" t="inlineStr">
        <is>
          <t>PASS</t>
        </is>
      </c>
      <c r="B235" s="12" t="inlineStr">
        <is>
          <t>UTSA @ TXST</t>
        </is>
      </c>
      <c r="C235" s="12" t="inlineStr">
        <is>
          <t>2026-09-12 19:30</t>
        </is>
      </c>
      <c r="D235" s="22" t="n">
        <v>2</v>
      </c>
      <c r="E235" s="12" t="inlineStr">
        <is>
          <t>ATS</t>
        </is>
      </c>
      <c r="F235" s="12" t="inlineStr">
        <is>
          <t>TXST -1.5</t>
        </is>
      </c>
      <c r="G235" s="23" t="n">
        <v>-1.5</v>
      </c>
      <c r="H235" s="13" t="n">
        <v>-112</v>
      </c>
      <c r="I235" s="15" t="n">
        <v>0.5438507322728614</v>
      </c>
      <c r="J235" s="15" t="n">
        <v>0.5043297540699688</v>
      </c>
      <c r="K235" s="15" t="n">
        <v>0.5283018867924528</v>
      </c>
      <c r="L235" s="14" t="n">
        <v>0.06438301076443451</v>
      </c>
      <c r="M235" s="14" t="n">
        <v>0.02943174323077336</v>
      </c>
      <c r="N235" s="15" t="n">
        <v>0</v>
      </c>
      <c r="O235" s="24" t="n">
        <v>0.725</v>
      </c>
      <c r="P235" s="12" t="inlineStr">
        <is>
          <t>DraftKings</t>
        </is>
      </c>
      <c r="Q235" s="12" t="n"/>
    </row>
    <row r="236">
      <c r="A236" s="17" t="inlineStr">
        <is>
          <t>PASS</t>
        </is>
      </c>
      <c r="B236" s="17" t="inlineStr">
        <is>
          <t>CAL @ SYR</t>
        </is>
      </c>
      <c r="C236" s="17" t="inlineStr">
        <is>
          <t>2026-09-12 19:30</t>
        </is>
      </c>
      <c r="D236" s="25" t="n">
        <v>2</v>
      </c>
      <c r="E236" s="17" t="inlineStr">
        <is>
          <t>ML</t>
        </is>
      </c>
      <c r="F236" s="17" t="inlineStr">
        <is>
          <t>SYR ML</t>
        </is>
      </c>
      <c r="G236" s="26" t="n"/>
      <c r="H236" s="18" t="n">
        <v>-180</v>
      </c>
      <c r="I236" s="20" t="n">
        <v>0.6628251236333601</v>
      </c>
      <c r="J236" s="20" t="n">
        <v>0.6164383561643836</v>
      </c>
      <c r="K236" s="20" t="n">
        <v>0.6428571428571429</v>
      </c>
      <c r="L236" s="19" t="n">
        <v>0.06266180038036702</v>
      </c>
      <c r="M236" s="19" t="n">
        <v>0.03106130342967139</v>
      </c>
      <c r="N236" s="20" t="n">
        <v>0</v>
      </c>
      <c r="O236" s="27" t="n">
        <v>0.725</v>
      </c>
      <c r="P236" s="17" t="inlineStr">
        <is>
          <t>DraftKings</t>
        </is>
      </c>
      <c r="Q236" s="17" t="n"/>
    </row>
    <row r="237">
      <c r="A237" s="12" t="inlineStr">
        <is>
          <t>PASS</t>
        </is>
      </c>
      <c r="B237" s="12" t="inlineStr">
        <is>
          <t>GRAM @ TCU</t>
        </is>
      </c>
      <c r="C237" s="12" t="inlineStr">
        <is>
          <t>2026-09-13 00:00</t>
        </is>
      </c>
      <c r="D237" s="22" t="n">
        <v>2</v>
      </c>
      <c r="E237" s="12" t="inlineStr">
        <is>
          <t>TOTAL</t>
        </is>
      </c>
      <c r="F237" s="12" t="inlineStr">
        <is>
          <t>Under 54.5</t>
        </is>
      </c>
      <c r="G237" s="23" t="n">
        <v>54.5</v>
      </c>
      <c r="H237" s="13" t="n">
        <v>-115</v>
      </c>
      <c r="I237" s="15" t="n">
        <v>0.5489671792982403</v>
      </c>
      <c r="J237" s="15" t="n">
        <v>0.5108342361863488</v>
      </c>
      <c r="K237" s="15" t="n">
        <v>0.5348837209302325</v>
      </c>
      <c r="L237" s="14" t="n">
        <v>0.06232070232957464</v>
      </c>
      <c r="M237" s="14" t="n">
        <v>0.02632994390540588</v>
      </c>
      <c r="N237" s="15" t="n">
        <v>0</v>
      </c>
      <c r="O237" s="24" t="n">
        <v>0.4</v>
      </c>
      <c r="P237" s="12" t="inlineStr">
        <is>
          <t>DraftKings</t>
        </is>
      </c>
      <c r="Q237" s="12" t="inlineStr">
        <is>
          <t>GRAM isn't a full FBS participant this season — model doesn't rate them reliably</t>
        </is>
      </c>
    </row>
    <row r="238">
      <c r="A238" s="17" t="inlineStr">
        <is>
          <t>PASS</t>
        </is>
      </c>
      <c r="B238" s="17" t="inlineStr">
        <is>
          <t>SDSU @ UCLA</t>
        </is>
      </c>
      <c r="C238" s="17" t="inlineStr">
        <is>
          <t>2026-09-12 23:15</t>
        </is>
      </c>
      <c r="D238" s="25" t="n">
        <v>2</v>
      </c>
      <c r="E238" s="17" t="inlineStr">
        <is>
          <t>TOTAL</t>
        </is>
      </c>
      <c r="F238" s="17" t="inlineStr">
        <is>
          <t>Under 54.5</t>
        </is>
      </c>
      <c r="G238" s="26" t="n">
        <v>54.5</v>
      </c>
      <c r="H238" s="18" t="n">
        <v>100</v>
      </c>
      <c r="I238" s="20" t="n">
        <v>0.5130195501152361</v>
      </c>
      <c r="J238" s="20" t="n">
        <v>0.4782608695652174</v>
      </c>
      <c r="K238" s="20" t="n">
        <v>0.5</v>
      </c>
      <c r="L238" s="19" t="n">
        <v>0.06118251130866866</v>
      </c>
      <c r="M238" s="19" t="n">
        <v>0.02603910023047229</v>
      </c>
      <c r="N238" s="20" t="n">
        <v>0</v>
      </c>
      <c r="O238" s="27" t="n">
        <v>0.725</v>
      </c>
      <c r="P238" s="17" t="inlineStr">
        <is>
          <t>DraftKings</t>
        </is>
      </c>
      <c r="Q238" s="17" t="n"/>
    </row>
    <row r="239">
      <c r="A239" s="12" t="inlineStr">
        <is>
          <t>PASS</t>
        </is>
      </c>
      <c r="B239" s="12" t="inlineStr">
        <is>
          <t>JVST @ OHIO</t>
        </is>
      </c>
      <c r="C239" s="12" t="inlineStr">
        <is>
          <t>2026-09-12 22:00</t>
        </is>
      </c>
      <c r="D239" s="22" t="n">
        <v>2</v>
      </c>
      <c r="E239" s="12" t="inlineStr">
        <is>
          <t>ML</t>
        </is>
      </c>
      <c r="F239" s="12" t="inlineStr">
        <is>
          <t>OHIO ML</t>
        </is>
      </c>
      <c r="G239" s="23" t="n"/>
      <c r="H239" s="13" t="n">
        <v>-135</v>
      </c>
      <c r="I239" s="15" t="n">
        <v>0.5894671634403511</v>
      </c>
      <c r="J239" s="15" t="n">
        <v>0.551441114716549</v>
      </c>
      <c r="K239" s="15" t="n">
        <v>0.574468085106383</v>
      </c>
      <c r="L239" s="14" t="n">
        <v>0.05895051602408675</v>
      </c>
      <c r="M239" s="14" t="n">
        <v>0.02610950672950008</v>
      </c>
      <c r="N239" s="15" t="n">
        <v>0</v>
      </c>
      <c r="O239" s="24" t="n">
        <v>0.725</v>
      </c>
      <c r="P239" s="12" t="inlineStr">
        <is>
          <t>DraftKings</t>
        </is>
      </c>
      <c r="Q239" s="12" t="n"/>
    </row>
    <row r="240">
      <c r="A240" s="17" t="inlineStr">
        <is>
          <t>PASS</t>
        </is>
      </c>
      <c r="B240" s="17" t="inlineStr">
        <is>
          <t>RUTG @ BC</t>
        </is>
      </c>
      <c r="C240" s="17" t="inlineStr">
        <is>
          <t>2026-09-11 23:30</t>
        </is>
      </c>
      <c r="D240" s="25" t="n">
        <v>2</v>
      </c>
      <c r="E240" s="17" t="inlineStr">
        <is>
          <t>ATS</t>
        </is>
      </c>
      <c r="F240" s="17" t="inlineStr">
        <is>
          <t>BC -3.5</t>
        </is>
      </c>
      <c r="G240" s="26" t="n">
        <v>-3.5</v>
      </c>
      <c r="H240" s="18" t="n">
        <v>-102</v>
      </c>
      <c r="I240" s="20" t="n">
        <v>0.5141970633453478</v>
      </c>
      <c r="J240" s="20" t="n">
        <v>0.4826358742837298</v>
      </c>
      <c r="K240" s="20" t="n">
        <v>0.504950495049505</v>
      </c>
      <c r="L240" s="19" t="n">
        <v>0.05670757265903908</v>
      </c>
      <c r="M240" s="19" t="n">
        <v>0.01831183133098291</v>
      </c>
      <c r="N240" s="20" t="n">
        <v>0</v>
      </c>
      <c r="O240" s="27" t="n">
        <v>0.725</v>
      </c>
      <c r="P240" s="17" t="inlineStr">
        <is>
          <t>DraftKings</t>
        </is>
      </c>
      <c r="Q240" s="17" t="n"/>
    </row>
    <row r="241">
      <c r="A241" s="12" t="inlineStr">
        <is>
          <t>PASS</t>
        </is>
      </c>
      <c r="B241" s="12" t="inlineStr">
        <is>
          <t>GAST @ KENN</t>
        </is>
      </c>
      <c r="C241" s="12" t="inlineStr">
        <is>
          <t>2026-09-12 23:00</t>
        </is>
      </c>
      <c r="D241" s="22" t="n">
        <v>2</v>
      </c>
      <c r="E241" s="12" t="inlineStr">
        <is>
          <t>TOTAL</t>
        </is>
      </c>
      <c r="F241" s="12" t="inlineStr">
        <is>
          <t>Under 54.5</t>
        </is>
      </c>
      <c r="G241" s="23" t="n">
        <v>54.5</v>
      </c>
      <c r="H241" s="13" t="n">
        <v>-108</v>
      </c>
      <c r="I241" s="15" t="n">
        <v>0.5276562977844587</v>
      </c>
      <c r="J241" s="15" t="n">
        <v>0.4956702459300312</v>
      </c>
      <c r="K241" s="15" t="n">
        <v>0.5192307692307693</v>
      </c>
      <c r="L241" s="14" t="n">
        <v>0.05614940727215639</v>
      </c>
      <c r="M241" s="14" t="n">
        <v>0.01622694388117973</v>
      </c>
      <c r="N241" s="15" t="n">
        <v>0</v>
      </c>
      <c r="O241" s="24" t="n">
        <v>0.725</v>
      </c>
      <c r="P241" s="12" t="inlineStr">
        <is>
          <t>DraftKings</t>
        </is>
      </c>
      <c r="Q241" s="12" t="n"/>
    </row>
    <row r="242">
      <c r="A242" s="17" t="inlineStr">
        <is>
          <t>PASS</t>
        </is>
      </c>
      <c r="B242" s="17" t="inlineStr">
        <is>
          <t>EMU @ MSU</t>
        </is>
      </c>
      <c r="C242" s="17" t="inlineStr">
        <is>
          <t>2026-09-12 19:30</t>
        </is>
      </c>
      <c r="D242" s="25" t="n">
        <v>2</v>
      </c>
      <c r="E242" s="17" t="inlineStr">
        <is>
          <t>TOTAL</t>
        </is>
      </c>
      <c r="F242" s="17" t="inlineStr">
        <is>
          <t>Over 49.5</t>
        </is>
      </c>
      <c r="G242" s="26" t="n">
        <v>49.5</v>
      </c>
      <c r="H242" s="18" t="n">
        <v>-115</v>
      </c>
      <c r="I242" s="20" t="n">
        <v>0.543105387772187</v>
      </c>
      <c r="J242" s="20" t="n">
        <v>0.5108342361863488</v>
      </c>
      <c r="K242" s="20" t="n">
        <v>0.5348837209302325</v>
      </c>
      <c r="L242" s="19" t="n">
        <v>0.05525868275233015</v>
      </c>
      <c r="M242" s="19" t="n">
        <v>0.01537094235669723</v>
      </c>
      <c r="N242" s="20" t="n">
        <v>0</v>
      </c>
      <c r="O242" s="27" t="n">
        <v>0.725</v>
      </c>
      <c r="P242" s="17" t="inlineStr">
        <is>
          <t>DraftKings</t>
        </is>
      </c>
      <c r="Q242" s="17" t="n"/>
    </row>
    <row r="243">
      <c r="A243" s="12" t="inlineStr">
        <is>
          <t>PASS</t>
        </is>
      </c>
      <c r="B243" s="12" t="inlineStr">
        <is>
          <t>RUTG @ BC</t>
        </is>
      </c>
      <c r="C243" s="12" t="inlineStr">
        <is>
          <t>2026-09-11 23:30</t>
        </is>
      </c>
      <c r="D243" s="22" t="n">
        <v>2</v>
      </c>
      <c r="E243" s="12" t="inlineStr">
        <is>
          <t>ML</t>
        </is>
      </c>
      <c r="F243" s="12" t="inlineStr">
        <is>
          <t>BC ML</t>
        </is>
      </c>
      <c r="G243" s="23" t="n"/>
      <c r="H243" s="13" t="n">
        <v>-162</v>
      </c>
      <c r="I243" s="15" t="n">
        <v>0.6299520852869835</v>
      </c>
      <c r="J243" s="15" t="n">
        <v>0.5933697541594239</v>
      </c>
      <c r="K243" s="15" t="n">
        <v>0.6183206106870229</v>
      </c>
      <c r="L243" s="14" t="n">
        <v>0.05424252024244082</v>
      </c>
      <c r="M243" s="14" t="n">
        <v>0.018811397192529</v>
      </c>
      <c r="N243" s="15" t="n">
        <v>0</v>
      </c>
      <c r="O243" s="24" t="n">
        <v>0.725</v>
      </c>
      <c r="P243" s="12" t="inlineStr">
        <is>
          <t>DraftKings</t>
        </is>
      </c>
      <c r="Q243" s="12" t="n"/>
    </row>
    <row r="244">
      <c r="A244" s="17" t="inlineStr">
        <is>
          <t>PASS</t>
        </is>
      </c>
      <c r="B244" s="17" t="inlineStr">
        <is>
          <t>JVST @ OHIO</t>
        </is>
      </c>
      <c r="C244" s="17" t="inlineStr">
        <is>
          <t>2026-09-12 22:00</t>
        </is>
      </c>
      <c r="D244" s="25" t="n">
        <v>2</v>
      </c>
      <c r="E244" s="17" t="inlineStr">
        <is>
          <t>ATS</t>
        </is>
      </c>
      <c r="F244" s="17" t="inlineStr">
        <is>
          <t>OHIO -2.5</t>
        </is>
      </c>
      <c r="G244" s="26" t="n">
        <v>-2.5</v>
      </c>
      <c r="H244" s="18" t="n">
        <v>-112</v>
      </c>
      <c r="I244" s="20" t="n">
        <v>0.5346329890940185</v>
      </c>
      <c r="J244" s="20" t="n">
        <v>0.5043297540699688</v>
      </c>
      <c r="K244" s="20" t="n">
        <v>0.5283018867924528</v>
      </c>
      <c r="L244" s="19" t="n">
        <v>0.05317734492900392</v>
      </c>
      <c r="M244" s="19" t="n">
        <v>0.0119838722136778</v>
      </c>
      <c r="N244" s="20" t="n">
        <v>0</v>
      </c>
      <c r="O244" s="27" t="n">
        <v>0.725</v>
      </c>
      <c r="P244" s="17" t="inlineStr">
        <is>
          <t>DraftKings</t>
        </is>
      </c>
      <c r="Q244" s="17" t="n"/>
    </row>
    <row r="245">
      <c r="A245" s="12" t="inlineStr">
        <is>
          <t>PASS</t>
        </is>
      </c>
      <c r="B245" s="12" t="inlineStr">
        <is>
          <t>MIA @ WAKE</t>
        </is>
      </c>
      <c r="C245" s="12" t="inlineStr">
        <is>
          <t>2026-09-18 23:30</t>
        </is>
      </c>
      <c r="D245" s="22" t="n">
        <v>3</v>
      </c>
      <c r="E245" s="12" t="inlineStr">
        <is>
          <t>TOTAL</t>
        </is>
      </c>
      <c r="F245" s="12" t="inlineStr">
        <is>
          <t>Under 52.5</t>
        </is>
      </c>
      <c r="G245" s="23" t="n">
        <v>52.5</v>
      </c>
      <c r="H245" s="13" t="n">
        <v>-108</v>
      </c>
      <c r="I245" s="15" t="n">
        <v>0.5237042134645598</v>
      </c>
      <c r="J245" s="15" t="n">
        <v>0.4956702459300312</v>
      </c>
      <c r="K245" s="15" t="n">
        <v>0.5192307692307693</v>
      </c>
      <c r="L245" s="14" t="n">
        <v>0.05070418917073349</v>
      </c>
      <c r="M245" s="14" t="n">
        <v>0.008615522228041073</v>
      </c>
      <c r="N245" s="15" t="n">
        <v>0</v>
      </c>
      <c r="O245" s="24" t="n">
        <v>0.725</v>
      </c>
      <c r="P245" s="12" t="inlineStr">
        <is>
          <t>DraftKings</t>
        </is>
      </c>
      <c r="Q245" s="12" t="n"/>
    </row>
    <row r="246">
      <c r="A246" s="17" t="inlineStr">
        <is>
          <t>PASS</t>
        </is>
      </c>
      <c r="B246" s="17" t="inlineStr">
        <is>
          <t>USF @ ARMY</t>
        </is>
      </c>
      <c r="C246" s="17" t="inlineStr">
        <is>
          <t>2026-09-12 16:00</t>
        </is>
      </c>
      <c r="D246" s="25" t="n">
        <v>2</v>
      </c>
      <c r="E246" s="17" t="inlineStr">
        <is>
          <t>ATS</t>
        </is>
      </c>
      <c r="F246" s="17" t="inlineStr">
        <is>
          <t>ARMY -3.5</t>
        </is>
      </c>
      <c r="G246" s="26" t="n">
        <v>-3.5</v>
      </c>
      <c r="H246" s="18" t="n">
        <v>-105</v>
      </c>
      <c r="I246" s="20" t="n">
        <v>0.5150227608477297</v>
      </c>
      <c r="J246" s="20" t="n">
        <v>0.4891657638136511</v>
      </c>
      <c r="K246" s="20" t="n">
        <v>0.5121951219512195</v>
      </c>
      <c r="L246" s="19" t="n">
        <v>0.04800466704122026</v>
      </c>
      <c r="M246" s="19" t="n">
        <v>0.005520628321757926</v>
      </c>
      <c r="N246" s="20" t="n">
        <v>0</v>
      </c>
      <c r="O246" s="27" t="n">
        <v>0.725</v>
      </c>
      <c r="P246" s="17" t="inlineStr">
        <is>
          <t>DraftKings</t>
        </is>
      </c>
      <c r="Q246" s="17" t="n"/>
    </row>
    <row r="247">
      <c r="A247" s="12" t="inlineStr">
        <is>
          <t>PASS</t>
        </is>
      </c>
      <c r="B247" s="12" t="inlineStr">
        <is>
          <t>MD @ CONN</t>
        </is>
      </c>
      <c r="C247" s="12" t="inlineStr">
        <is>
          <t>2026-09-12 19:30</t>
        </is>
      </c>
      <c r="D247" s="22" t="n">
        <v>2</v>
      </c>
      <c r="E247" s="12" t="inlineStr">
        <is>
          <t>TOTAL</t>
        </is>
      </c>
      <c r="F247" s="12" t="inlineStr">
        <is>
          <t>Over 52.5</t>
        </is>
      </c>
      <c r="G247" s="23" t="n">
        <v>52.5</v>
      </c>
      <c r="H247" s="13" t="n">
        <v>-108</v>
      </c>
      <c r="I247" s="15" t="n">
        <v>0.5217242546740455</v>
      </c>
      <c r="J247" s="15" t="n">
        <v>0.4956702459300312</v>
      </c>
      <c r="K247" s="15" t="n">
        <v>0.5192307692307693</v>
      </c>
      <c r="L247" s="14" t="n">
        <v>0.0477837611613628</v>
      </c>
      <c r="M247" s="14" t="n">
        <v>0.00480226826112462</v>
      </c>
      <c r="N247" s="15" t="n">
        <v>0</v>
      </c>
      <c r="O247" s="24" t="n">
        <v>0.725</v>
      </c>
      <c r="P247" s="12" t="inlineStr">
        <is>
          <t>DraftKings</t>
        </is>
      </c>
      <c r="Q247" s="12" t="n"/>
    </row>
    <row r="248">
      <c r="A248" s="17" t="inlineStr">
        <is>
          <t>PASS</t>
        </is>
      </c>
      <c r="B248" s="17" t="inlineStr">
        <is>
          <t>MONM @ WMU</t>
        </is>
      </c>
      <c r="C248" s="17" t="inlineStr">
        <is>
          <t>2026-09-12 22:30</t>
        </is>
      </c>
      <c r="D248" s="25" t="n">
        <v>2</v>
      </c>
      <c r="E248" s="17" t="inlineStr">
        <is>
          <t>TOTAL</t>
        </is>
      </c>
      <c r="F248" s="17" t="inlineStr">
        <is>
          <t>Under 52.5</t>
        </is>
      </c>
      <c r="G248" s="26" t="n">
        <v>52.5</v>
      </c>
      <c r="H248" s="18" t="n">
        <v>-108</v>
      </c>
      <c r="I248" s="20" t="n">
        <v>0.5217242218174296</v>
      </c>
      <c r="J248" s="20" t="n">
        <v>0.4956702459300312</v>
      </c>
      <c r="K248" s="20" t="n">
        <v>0.5192307692307693</v>
      </c>
      <c r="L248" s="19" t="n">
        <v>0.04778371164449906</v>
      </c>
      <c r="M248" s="19" t="n">
        <v>0.00480220498171624</v>
      </c>
      <c r="N248" s="20" t="n">
        <v>0</v>
      </c>
      <c r="O248" s="27" t="n">
        <v>0.4</v>
      </c>
      <c r="P248" s="17" t="inlineStr">
        <is>
          <t>DraftKings</t>
        </is>
      </c>
      <c r="Q248" s="17" t="inlineStr">
        <is>
          <t>MONM isn't a full FBS participant this season — model doesn't rate them reliably</t>
        </is>
      </c>
    </row>
    <row r="249">
      <c r="A249" s="12" t="inlineStr">
        <is>
          <t>PASS</t>
        </is>
      </c>
      <c r="B249" s="12" t="inlineStr">
        <is>
          <t>JVST @ OHIO</t>
        </is>
      </c>
      <c r="C249" s="12" t="inlineStr">
        <is>
          <t>2026-09-12 22:00</t>
        </is>
      </c>
      <c r="D249" s="22" t="n">
        <v>2</v>
      </c>
      <c r="E249" s="12" t="inlineStr">
        <is>
          <t>TOTAL</t>
        </is>
      </c>
      <c r="F249" s="12" t="inlineStr">
        <is>
          <t>Over 50.5</t>
        </is>
      </c>
      <c r="G249" s="23" t="n">
        <v>50.5</v>
      </c>
      <c r="H249" s="13" t="n">
        <v>-115</v>
      </c>
      <c r="I249" s="15" t="n">
        <v>0.5352383235064454</v>
      </c>
      <c r="J249" s="15" t="n">
        <v>0.5108342361863488</v>
      </c>
      <c r="K249" s="15" t="n">
        <v>0.5348837209302325</v>
      </c>
      <c r="L249" s="14" t="n">
        <v>0.04411554999319427</v>
      </c>
      <c r="M249" s="14" t="n">
        <v>0.0006629526424848375</v>
      </c>
      <c r="N249" s="15" t="n">
        <v>0</v>
      </c>
      <c r="O249" s="24" t="n">
        <v>0.725</v>
      </c>
      <c r="P249" s="12" t="inlineStr">
        <is>
          <t>DraftKings</t>
        </is>
      </c>
      <c r="Q249" s="12" t="n"/>
    </row>
    <row r="250">
      <c r="A250" s="17" t="inlineStr">
        <is>
          <t>PASS</t>
        </is>
      </c>
      <c r="B250" s="17" t="inlineStr">
        <is>
          <t>USA @ TULN</t>
        </is>
      </c>
      <c r="C250" s="17" t="inlineStr">
        <is>
          <t>2026-09-12 23:00</t>
        </is>
      </c>
      <c r="D250" s="25" t="n">
        <v>2</v>
      </c>
      <c r="E250" s="17" t="inlineStr">
        <is>
          <t>TOTAL</t>
        </is>
      </c>
      <c r="F250" s="17" t="inlineStr">
        <is>
          <t>Over 49.5</t>
        </is>
      </c>
      <c r="G250" s="26" t="n">
        <v>49.5</v>
      </c>
      <c r="H250" s="18" t="n">
        <v>-112</v>
      </c>
      <c r="I250" s="20" t="n">
        <v>0.5280340329827808</v>
      </c>
      <c r="J250" s="20" t="n">
        <v>0.5043297540699688</v>
      </c>
      <c r="K250" s="20" t="n">
        <v>0.5283018867924528</v>
      </c>
      <c r="L250" s="19" t="n">
        <v>0.04350817395246379</v>
      </c>
      <c r="M250" s="19" t="n">
        <v>-0.0005070089968791658</v>
      </c>
      <c r="N250" s="20" t="n">
        <v>0</v>
      </c>
      <c r="O250" s="27" t="n">
        <v>0.725</v>
      </c>
      <c r="P250" s="17" t="inlineStr">
        <is>
          <t>DraftKings</t>
        </is>
      </c>
      <c r="Q250" s="17" t="n"/>
    </row>
    <row r="251">
      <c r="A251" s="12" t="inlineStr">
        <is>
          <t>PASS</t>
        </is>
      </c>
      <c r="B251" s="12" t="inlineStr">
        <is>
          <t>MIZ @ KU</t>
        </is>
      </c>
      <c r="C251" s="12" t="inlineStr">
        <is>
          <t>2026-09-12 00:00</t>
        </is>
      </c>
      <c r="D251" s="22" t="n">
        <v>2</v>
      </c>
      <c r="E251" s="12" t="inlineStr">
        <is>
          <t>TOTAL</t>
        </is>
      </c>
      <c r="F251" s="12" t="inlineStr">
        <is>
          <t>Over 51.5</t>
        </is>
      </c>
      <c r="G251" s="23" t="n">
        <v>51.5</v>
      </c>
      <c r="H251" s="13" t="n">
        <v>-112</v>
      </c>
      <c r="I251" s="15" t="n">
        <v>0.5280340068505537</v>
      </c>
      <c r="J251" s="15" t="n">
        <v>0.5043297540699688</v>
      </c>
      <c r="K251" s="15" t="n">
        <v>0.5283018867924528</v>
      </c>
      <c r="L251" s="14" t="n">
        <v>0.0435081330048661</v>
      </c>
      <c r="M251" s="14" t="n">
        <v>-0.0005070584614519369</v>
      </c>
      <c r="N251" s="15" t="n">
        <v>0</v>
      </c>
      <c r="O251" s="24" t="n">
        <v>0.725</v>
      </c>
      <c r="P251" s="12" t="inlineStr">
        <is>
          <t>DraftKings</t>
        </is>
      </c>
      <c r="Q251" s="12" t="n"/>
    </row>
    <row r="252">
      <c r="A252" s="17" t="inlineStr">
        <is>
          <t>PASS</t>
        </is>
      </c>
      <c r="B252" s="17" t="inlineStr">
        <is>
          <t>MERC @ UNM</t>
        </is>
      </c>
      <c r="C252" s="17" t="inlineStr">
        <is>
          <t>2026-09-12 20:00</t>
        </is>
      </c>
      <c r="D252" s="25" t="n">
        <v>2</v>
      </c>
      <c r="E252" s="17" t="inlineStr">
        <is>
          <t>TOTAL</t>
        </is>
      </c>
      <c r="F252" s="17" t="inlineStr">
        <is>
          <t>Over 51.5</t>
        </is>
      </c>
      <c r="G252" s="26" t="n">
        <v>51.5</v>
      </c>
      <c r="H252" s="18" t="n">
        <v>-112</v>
      </c>
      <c r="I252" s="20" t="n">
        <v>0.5280340068505537</v>
      </c>
      <c r="J252" s="20" t="n">
        <v>0.5043297540699688</v>
      </c>
      <c r="K252" s="20" t="n">
        <v>0.5283018867924528</v>
      </c>
      <c r="L252" s="19" t="n">
        <v>0.0435081330048661</v>
      </c>
      <c r="M252" s="19" t="n">
        <v>-0.0005070584614519369</v>
      </c>
      <c r="N252" s="20" t="n">
        <v>0</v>
      </c>
      <c r="O252" s="27" t="n">
        <v>0.725</v>
      </c>
      <c r="P252" s="17" t="inlineStr">
        <is>
          <t>DraftKings</t>
        </is>
      </c>
      <c r="Q252" s="17" t="inlineStr">
        <is>
          <t>MERC isn't a full FBS participant this season — model doesn't rate them reliably</t>
        </is>
      </c>
    </row>
    <row r="253">
      <c r="A253" s="12" t="inlineStr">
        <is>
          <t>PASS</t>
        </is>
      </c>
      <c r="B253" s="12" t="inlineStr">
        <is>
          <t>RUTG @ BC</t>
        </is>
      </c>
      <c r="C253" s="12" t="inlineStr">
        <is>
          <t>2026-09-11 23:30</t>
        </is>
      </c>
      <c r="D253" s="22" t="n">
        <v>2</v>
      </c>
      <c r="E253" s="12" t="inlineStr">
        <is>
          <t>TOTAL</t>
        </is>
      </c>
      <c r="F253" s="12" t="inlineStr">
        <is>
          <t>Under 54.5</t>
        </is>
      </c>
      <c r="G253" s="23" t="n">
        <v>54.5</v>
      </c>
      <c r="H253" s="13" t="n">
        <v>-115</v>
      </c>
      <c r="I253" s="15" t="n">
        <v>0.5332636437372931</v>
      </c>
      <c r="J253" s="15" t="n">
        <v>0.5108342361863488</v>
      </c>
      <c r="K253" s="15" t="n">
        <v>0.5348837209302325</v>
      </c>
      <c r="L253" s="14" t="n">
        <v>0.04102688498792673</v>
      </c>
      <c r="M253" s="14" t="n">
        <v>-0.003028839969408725</v>
      </c>
      <c r="N253" s="15" t="n">
        <v>0</v>
      </c>
      <c r="O253" s="24" t="n">
        <v>0.725</v>
      </c>
      <c r="P253" s="12" t="inlineStr">
        <is>
          <t>DraftKings</t>
        </is>
      </c>
      <c r="Q253" s="12" t="n"/>
    </row>
    <row r="254">
      <c r="A254" s="17" t="inlineStr">
        <is>
          <t>PASS</t>
        </is>
      </c>
      <c r="B254" s="17" t="inlineStr">
        <is>
          <t>MSST @ SC</t>
        </is>
      </c>
      <c r="C254" s="17" t="inlineStr">
        <is>
          <t>2026-09-19 20:15</t>
        </is>
      </c>
      <c r="D254" s="25" t="n">
        <v>3</v>
      </c>
      <c r="E254" s="17" t="inlineStr">
        <is>
          <t>TOTAL</t>
        </is>
      </c>
      <c r="F254" s="17" t="inlineStr">
        <is>
          <t>Under 54.5</t>
        </is>
      </c>
      <c r="G254" s="26" t="n">
        <v>54.5</v>
      </c>
      <c r="H254" s="18" t="n">
        <v>-105</v>
      </c>
      <c r="I254" s="20" t="n">
        <v>0.5105301946162645</v>
      </c>
      <c r="J254" s="20" t="n">
        <v>0.4891657638136511</v>
      </c>
      <c r="K254" s="20" t="n">
        <v>0.5121951219512195</v>
      </c>
      <c r="L254" s="19" t="n">
        <v>0.04083781551930204</v>
      </c>
      <c r="M254" s="19" t="n">
        <v>-0.003250572415864572</v>
      </c>
      <c r="N254" s="20" t="n">
        <v>0</v>
      </c>
      <c r="O254" s="27" t="n">
        <v>0.725</v>
      </c>
      <c r="P254" s="17" t="inlineStr">
        <is>
          <t>DraftKings</t>
        </is>
      </c>
      <c r="Q254" s="17" t="n"/>
    </row>
    <row r="255">
      <c r="A255" s="12" t="inlineStr">
        <is>
          <t>PASS</t>
        </is>
      </c>
      <c r="B255" s="12" t="inlineStr">
        <is>
          <t>USF @ ARMY</t>
        </is>
      </c>
      <c r="C255" s="12" t="inlineStr">
        <is>
          <t>2026-09-12 16:00</t>
        </is>
      </c>
      <c r="D255" s="22" t="n">
        <v>2</v>
      </c>
      <c r="E255" s="12" t="inlineStr">
        <is>
          <t>ML</t>
        </is>
      </c>
      <c r="F255" s="12" t="inlineStr">
        <is>
          <t>ARMY ML</t>
        </is>
      </c>
      <c r="G255" s="23" t="n"/>
      <c r="H255" s="13" t="n">
        <v>-175</v>
      </c>
      <c r="I255" s="15" t="n">
        <v>0.6356355704374856</v>
      </c>
      <c r="J255" s="15" t="n">
        <v>0.6092362344582594</v>
      </c>
      <c r="K255" s="15" t="n">
        <v>0.6363636363636364</v>
      </c>
      <c r="L255" s="14" t="n">
        <v>0.0405574520904031</v>
      </c>
      <c r="M255" s="14" t="n">
        <v>-0.001144103598236912</v>
      </c>
      <c r="N255" s="15" t="n">
        <v>0</v>
      </c>
      <c r="O255" s="24" t="n">
        <v>0.725</v>
      </c>
      <c r="P255" s="12" t="inlineStr">
        <is>
          <t>DraftKings</t>
        </is>
      </c>
      <c r="Q255" s="12" t="n"/>
    </row>
    <row r="256">
      <c r="A256" s="17" t="inlineStr">
        <is>
          <t>PASS</t>
        </is>
      </c>
      <c r="B256" s="17" t="inlineStr">
        <is>
          <t>ULM @ UAB</t>
        </is>
      </c>
      <c r="C256" s="17" t="inlineStr">
        <is>
          <t>2026-09-12 19:30</t>
        </is>
      </c>
      <c r="D256" s="25" t="n">
        <v>2</v>
      </c>
      <c r="E256" s="17" t="inlineStr">
        <is>
          <t>TOTAL</t>
        </is>
      </c>
      <c r="F256" s="17" t="inlineStr">
        <is>
          <t>Under 55.5</t>
        </is>
      </c>
      <c r="G256" s="26" t="n">
        <v>55.5</v>
      </c>
      <c r="H256" s="18" t="n">
        <v>-112</v>
      </c>
      <c r="I256" s="20" t="n">
        <v>0.5260539959376047</v>
      </c>
      <c r="J256" s="20" t="n">
        <v>0.5043297540699688</v>
      </c>
      <c r="K256" s="20" t="n">
        <v>0.5283018867924528</v>
      </c>
      <c r="L256" s="19" t="n">
        <v>0.04034755614750632</v>
      </c>
      <c r="M256" s="19" t="n">
        <v>-0.004254936260962516</v>
      </c>
      <c r="N256" s="20" t="n">
        <v>0</v>
      </c>
      <c r="O256" s="27" t="n">
        <v>0.725</v>
      </c>
      <c r="P256" s="17" t="inlineStr">
        <is>
          <t>DraftKings</t>
        </is>
      </c>
      <c r="Q256" s="17" t="n"/>
    </row>
    <row r="257">
      <c r="A257" s="12" t="inlineStr">
        <is>
          <t>PASS</t>
        </is>
      </c>
      <c r="B257" s="12" t="inlineStr">
        <is>
          <t>MSST @ MINN</t>
        </is>
      </c>
      <c r="C257" s="12" t="inlineStr">
        <is>
          <t>2026-09-12 19:30</t>
        </is>
      </c>
      <c r="D257" s="22" t="n">
        <v>2</v>
      </c>
      <c r="E257" s="12" t="inlineStr">
        <is>
          <t>TOTAL</t>
        </is>
      </c>
      <c r="F257" s="12" t="inlineStr">
        <is>
          <t>Under 55.5</t>
        </is>
      </c>
      <c r="G257" s="23" t="n">
        <v>55.5</v>
      </c>
      <c r="H257" s="13" t="n">
        <v>-118</v>
      </c>
      <c r="I257" s="15" t="n">
        <v>0.538503241767099</v>
      </c>
      <c r="J257" s="15" t="n">
        <v>0.5173641257162701</v>
      </c>
      <c r="K257" s="15" t="n">
        <v>0.5412844036697247</v>
      </c>
      <c r="L257" s="14" t="n">
        <v>0.03851326390590454</v>
      </c>
      <c r="M257" s="14" t="n">
        <v>-0.00513807876925787</v>
      </c>
      <c r="N257" s="15" t="n">
        <v>0</v>
      </c>
      <c r="O257" s="24" t="n">
        <v>0.725</v>
      </c>
      <c r="P257" s="12" t="inlineStr">
        <is>
          <t>DraftKings</t>
        </is>
      </c>
      <c r="Q257" s="12" t="n"/>
    </row>
    <row r="258">
      <c r="A258" s="17" t="inlineStr">
        <is>
          <t>PASS</t>
        </is>
      </c>
      <c r="B258" s="17" t="inlineStr">
        <is>
          <t>NMSU @ HAW</t>
        </is>
      </c>
      <c r="C258" s="17" t="inlineStr">
        <is>
          <t>2026-09-13 03:59</t>
        </is>
      </c>
      <c r="D258" s="25" t="n">
        <v>2</v>
      </c>
      <c r="E258" s="17" t="inlineStr">
        <is>
          <t>TOTAL</t>
        </is>
      </c>
      <c r="F258" s="17" t="inlineStr">
        <is>
          <t>Over 50.5</t>
        </is>
      </c>
      <c r="G258" s="26" t="n">
        <v>50.5</v>
      </c>
      <c r="H258" s="18" t="n">
        <v>-108</v>
      </c>
      <c r="I258" s="20" t="n">
        <v>0.5157708035493245</v>
      </c>
      <c r="J258" s="20" t="n">
        <v>0.4956702459300312</v>
      </c>
      <c r="K258" s="20" t="n">
        <v>0.5192307692307693</v>
      </c>
      <c r="L258" s="19" t="n">
        <v>0.03825639807407567</v>
      </c>
      <c r="M258" s="19" t="n">
        <v>-0.006663637608708362</v>
      </c>
      <c r="N258" s="20" t="n">
        <v>0</v>
      </c>
      <c r="O258" s="27" t="n">
        <v>0.839</v>
      </c>
      <c r="P258" s="17" t="inlineStr">
        <is>
          <t>DraftKings</t>
        </is>
      </c>
      <c r="Q258" s="17" t="n"/>
    </row>
    <row r="259">
      <c r="A259" s="12" t="inlineStr">
        <is>
          <t>PASS</t>
        </is>
      </c>
      <c r="B259" s="12" t="inlineStr">
        <is>
          <t>FSU @ ALA</t>
        </is>
      </c>
      <c r="C259" s="12" t="inlineStr">
        <is>
          <t>2026-09-19 19:30</t>
        </is>
      </c>
      <c r="D259" s="22" t="n">
        <v>3</v>
      </c>
      <c r="E259" s="12" t="inlineStr">
        <is>
          <t>TOTAL</t>
        </is>
      </c>
      <c r="F259" s="12" t="inlineStr">
        <is>
          <t>Over 50.5</t>
        </is>
      </c>
      <c r="G259" s="23" t="n">
        <v>50.5</v>
      </c>
      <c r="H259" s="13" t="n">
        <v>-112</v>
      </c>
      <c r="I259" s="15" t="n">
        <v>0.5220870993245796</v>
      </c>
      <c r="J259" s="15" t="n">
        <v>0.5043297540699688</v>
      </c>
      <c r="K259" s="15" t="n">
        <v>0.5283018867924528</v>
      </c>
      <c r="L259" s="14" t="n">
        <v>0.03368149964348378</v>
      </c>
      <c r="M259" s="14" t="n">
        <v>-0.01176370484990286</v>
      </c>
      <c r="N259" s="15" t="n">
        <v>0</v>
      </c>
      <c r="O259" s="24" t="n">
        <v>0.725</v>
      </c>
      <c r="P259" s="12" t="inlineStr">
        <is>
          <t>DraftKings</t>
        </is>
      </c>
      <c r="Q259" s="12" t="n"/>
    </row>
    <row r="260">
      <c r="A260" s="17" t="inlineStr">
        <is>
          <t>PASS</t>
        </is>
      </c>
      <c r="B260" s="17" t="inlineStr">
        <is>
          <t>ALST @ TROY</t>
        </is>
      </c>
      <c r="C260" s="17" t="inlineStr">
        <is>
          <t>2026-09-12 20:00</t>
        </is>
      </c>
      <c r="D260" s="25" t="n">
        <v>2</v>
      </c>
      <c r="E260" s="17" t="inlineStr">
        <is>
          <t>TOTAL</t>
        </is>
      </c>
      <c r="F260" s="17" t="inlineStr">
        <is>
          <t>Over 51.5</t>
        </is>
      </c>
      <c r="G260" s="26" t="n">
        <v>51.5</v>
      </c>
      <c r="H260" s="18" t="n">
        <v>-112</v>
      </c>
      <c r="I260" s="20" t="n">
        <v>0.5220870881809174</v>
      </c>
      <c r="J260" s="20" t="n">
        <v>0.5043297540699688</v>
      </c>
      <c r="K260" s="20" t="n">
        <v>0.5283018867924528</v>
      </c>
      <c r="L260" s="19" t="n">
        <v>0.03368148032496549</v>
      </c>
      <c r="M260" s="19" t="n">
        <v>-0.01176372594326347</v>
      </c>
      <c r="N260" s="20" t="n">
        <v>0</v>
      </c>
      <c r="O260" s="27" t="n">
        <v>0.4</v>
      </c>
      <c r="P260" s="17" t="inlineStr">
        <is>
          <t>DraftKings</t>
        </is>
      </c>
      <c r="Q260" s="17" t="inlineStr">
        <is>
          <t>ALST isn't a full FBS participant this season — model doesn't rate them reliably</t>
        </is>
      </c>
    </row>
    <row r="261">
      <c r="A261" s="12" t="inlineStr">
        <is>
          <t>PASS</t>
        </is>
      </c>
      <c r="B261" s="12" t="inlineStr">
        <is>
          <t>DUKE @ ILL</t>
        </is>
      </c>
      <c r="C261" s="12" t="inlineStr">
        <is>
          <t>2026-09-12 19:30</t>
        </is>
      </c>
      <c r="D261" s="22" t="n">
        <v>2</v>
      </c>
      <c r="E261" s="12" t="inlineStr">
        <is>
          <t>ATS</t>
        </is>
      </c>
      <c r="F261" s="12" t="inlineStr">
        <is>
          <t>DUKE +6</t>
        </is>
      </c>
      <c r="G261" s="23" t="n">
        <v>-6</v>
      </c>
      <c r="H261" s="13" t="n">
        <v>-112</v>
      </c>
      <c r="I261" s="15" t="n">
        <v>0.5204581728172697</v>
      </c>
      <c r="J261" s="15" t="n">
        <v>0.5043297540699688</v>
      </c>
      <c r="K261" s="15" t="n">
        <v>0.5283018867924528</v>
      </c>
      <c r="L261" s="14" t="n">
        <v>0.03082427236696971</v>
      </c>
      <c r="M261" s="14" t="n">
        <v>-0.0144194355597496</v>
      </c>
      <c r="N261" s="15" t="n">
        <v>0.0288</v>
      </c>
      <c r="O261" s="24" t="n">
        <v>0.725</v>
      </c>
      <c r="P261" s="12" t="inlineStr">
        <is>
          <t>DraftKings</t>
        </is>
      </c>
      <c r="Q261" s="12" t="n"/>
    </row>
    <row r="262">
      <c r="A262" s="17" t="inlineStr">
        <is>
          <t>PASS</t>
        </is>
      </c>
      <c r="B262" s="17" t="inlineStr">
        <is>
          <t>ARK @ UTAH</t>
        </is>
      </c>
      <c r="C262" s="17" t="inlineStr">
        <is>
          <t>2026-09-13 02:15</t>
        </is>
      </c>
      <c r="D262" s="25" t="n">
        <v>2</v>
      </c>
      <c r="E262" s="17" t="inlineStr">
        <is>
          <t>TOTAL</t>
        </is>
      </c>
      <c r="F262" s="17" t="inlineStr">
        <is>
          <t>Under 55.5</t>
        </is>
      </c>
      <c r="G262" s="26" t="n">
        <v>55.5</v>
      </c>
      <c r="H262" s="18" t="n">
        <v>-118</v>
      </c>
      <c r="I262" s="20" t="n">
        <v>0.528604254250141</v>
      </c>
      <c r="J262" s="20" t="n">
        <v>0.5173641257162701</v>
      </c>
      <c r="K262" s="20" t="n">
        <v>0.5412844036697247</v>
      </c>
      <c r="L262" s="19" t="n">
        <v>0.02135476540948553</v>
      </c>
      <c r="M262" s="19" t="n">
        <v>-0.02342603875821403</v>
      </c>
      <c r="N262" s="20" t="n">
        <v>0</v>
      </c>
      <c r="O262" s="27" t="n">
        <v>0.725</v>
      </c>
      <c r="P262" s="17" t="inlineStr">
        <is>
          <t>DraftKings</t>
        </is>
      </c>
      <c r="Q262" s="17" t="n"/>
    </row>
    <row r="263">
      <c r="A263" s="12" t="inlineStr">
        <is>
          <t>PASS</t>
        </is>
      </c>
      <c r="B263" s="12" t="inlineStr">
        <is>
          <t>TXSO @ UTEP</t>
        </is>
      </c>
      <c r="C263" s="12" t="inlineStr">
        <is>
          <t>2026-09-13 01:00</t>
        </is>
      </c>
      <c r="D263" s="22" t="n">
        <v>2</v>
      </c>
      <c r="E263" s="12" t="inlineStr">
        <is>
          <t>TOTAL</t>
        </is>
      </c>
      <c r="F263" s="12" t="inlineStr">
        <is>
          <t>Over 52.5</t>
        </is>
      </c>
      <c r="G263" s="23" t="n">
        <v>52.5</v>
      </c>
      <c r="H263" s="13" t="n">
        <v>-115</v>
      </c>
      <c r="I263" s="15" t="n">
        <v>0.5213644474720802</v>
      </c>
      <c r="J263" s="15" t="n">
        <v>0.5108342361863488</v>
      </c>
      <c r="K263" s="15" t="n">
        <v>0.5348837209302325</v>
      </c>
      <c r="L263" s="14" t="n">
        <v>0.02029621180621492</v>
      </c>
      <c r="M263" s="14" t="n">
        <v>-0.02527516342176317</v>
      </c>
      <c r="N263" s="15" t="n">
        <v>0</v>
      </c>
      <c r="O263" s="24" t="n">
        <v>0.4</v>
      </c>
      <c r="P263" s="12" t="inlineStr">
        <is>
          <t>DraftKings</t>
        </is>
      </c>
      <c r="Q263" s="12" t="inlineStr">
        <is>
          <t>TXSO isn't a full FBS participant this season — model doesn't rate them reliably</t>
        </is>
      </c>
    </row>
    <row r="264">
      <c r="A264" s="17" t="inlineStr">
        <is>
          <t>PASS</t>
        </is>
      </c>
      <c r="B264" s="17" t="inlineStr">
        <is>
          <t>UGA @ ARK</t>
        </is>
      </c>
      <c r="C264" s="17" t="inlineStr">
        <is>
          <t>2026-09-19 16:00</t>
        </is>
      </c>
      <c r="D264" s="25" t="n">
        <v>3</v>
      </c>
      <c r="E264" s="17" t="inlineStr">
        <is>
          <t>TOTAL</t>
        </is>
      </c>
      <c r="F264" s="17" t="inlineStr">
        <is>
          <t>Over 52.5</t>
        </is>
      </c>
      <c r="G264" s="26" t="n">
        <v>52.5</v>
      </c>
      <c r="H264" s="18" t="n">
        <v>-108</v>
      </c>
      <c r="I264" s="20" t="n">
        <v>0.5058151780039191</v>
      </c>
      <c r="J264" s="20" t="n">
        <v>0.4956702459300312</v>
      </c>
      <c r="K264" s="20" t="n">
        <v>0.5192307692307693</v>
      </c>
      <c r="L264" s="19" t="n">
        <v>0.02015620478876197</v>
      </c>
      <c r="M264" s="19" t="n">
        <v>-0.02583743495541513</v>
      </c>
      <c r="N264" s="20" t="n">
        <v>0</v>
      </c>
      <c r="O264" s="27" t="n">
        <v>0.725</v>
      </c>
      <c r="P264" s="17" t="inlineStr">
        <is>
          <t>DraftKings</t>
        </is>
      </c>
      <c r="Q264" s="17" t="n"/>
    </row>
    <row r="265">
      <c r="A265" s="12" t="inlineStr">
        <is>
          <t>PASS</t>
        </is>
      </c>
      <c r="B265" s="12" t="inlineStr">
        <is>
          <t>DUKE @ ILL</t>
        </is>
      </c>
      <c r="C265" s="12" t="inlineStr">
        <is>
          <t>2026-09-12 19:30</t>
        </is>
      </c>
      <c r="D265" s="22" t="n">
        <v>2</v>
      </c>
      <c r="E265" s="12" t="inlineStr">
        <is>
          <t>TOTAL</t>
        </is>
      </c>
      <c r="F265" s="12" t="inlineStr">
        <is>
          <t>Over 51.5</t>
        </is>
      </c>
      <c r="G265" s="23" t="n">
        <v>51.5</v>
      </c>
      <c r="H265" s="13" t="n">
        <v>-110</v>
      </c>
      <c r="I265" s="15" t="n">
        <v>0.5099735765478127</v>
      </c>
      <c r="J265" s="15" t="n">
        <v>0.5</v>
      </c>
      <c r="K265" s="15" t="n">
        <v>0.5238095238095238</v>
      </c>
      <c r="L265" s="14" t="n">
        <v>0.01965909250054799</v>
      </c>
      <c r="M265" s="14" t="n">
        <v>-0.02641408113599386</v>
      </c>
      <c r="N265" s="15" t="n">
        <v>0</v>
      </c>
      <c r="O265" s="24" t="n">
        <v>0.725</v>
      </c>
      <c r="P265" s="12" t="inlineStr">
        <is>
          <t>DraftKings</t>
        </is>
      </c>
      <c r="Q265" s="12" t="n"/>
    </row>
    <row r="266">
      <c r="A266" s="17" t="inlineStr">
        <is>
          <t>PASS</t>
        </is>
      </c>
      <c r="B266" s="17" t="inlineStr">
        <is>
          <t>LIN @ MOST</t>
        </is>
      </c>
      <c r="C266" s="17" t="inlineStr">
        <is>
          <t>2026-09-12 23:00</t>
        </is>
      </c>
      <c r="D266" s="25" t="n">
        <v>2</v>
      </c>
      <c r="E266" s="17" t="inlineStr">
        <is>
          <t>TOTAL</t>
        </is>
      </c>
      <c r="F266" s="17" t="inlineStr">
        <is>
          <t>Over 52.5</t>
        </is>
      </c>
      <c r="G266" s="26" t="n">
        <v>52.5</v>
      </c>
      <c r="H266" s="18" t="n">
        <v>-115</v>
      </c>
      <c r="I266" s="20" t="n">
        <v>0.5173832023536092</v>
      </c>
      <c r="J266" s="20" t="n">
        <v>0.5108342361863488</v>
      </c>
      <c r="K266" s="20" t="n">
        <v>0.5348837209302325</v>
      </c>
      <c r="L266" s="19" t="n">
        <v>0.01274287892412448</v>
      </c>
      <c r="M266" s="19" t="n">
        <v>-0.03271836081716539</v>
      </c>
      <c r="N266" s="20" t="n">
        <v>0</v>
      </c>
      <c r="O266" s="27" t="n">
        <v>0.4</v>
      </c>
      <c r="P266" s="17" t="inlineStr">
        <is>
          <t>DraftKings</t>
        </is>
      </c>
      <c r="Q266" s="17" t="inlineStr">
        <is>
          <t>LIN isn't a full FBS participant this season — model doesn't rate them reliably</t>
        </is>
      </c>
    </row>
    <row r="267">
      <c r="A267" s="12" t="inlineStr">
        <is>
          <t>PASS</t>
        </is>
      </c>
      <c r="B267" s="12" t="inlineStr">
        <is>
          <t>VT @ MD</t>
        </is>
      </c>
      <c r="C267" s="12" t="inlineStr">
        <is>
          <t>2026-09-19 23:30</t>
        </is>
      </c>
      <c r="D267" s="22" t="n">
        <v>3</v>
      </c>
      <c r="E267" s="12" t="inlineStr">
        <is>
          <t>TOTAL</t>
        </is>
      </c>
      <c r="F267" s="12" t="inlineStr">
        <is>
          <t>Over 53.5</t>
        </is>
      </c>
      <c r="G267" s="23" t="n">
        <v>53.5</v>
      </c>
      <c r="H267" s="13" t="n">
        <v>-108</v>
      </c>
      <c r="I267" s="15" t="n">
        <v>0.499830640780445</v>
      </c>
      <c r="J267" s="15" t="n">
        <v>0.4956702459300312</v>
      </c>
      <c r="K267" s="15" t="n">
        <v>0.5192307692307693</v>
      </c>
      <c r="L267" s="14" t="n">
        <v>0.008371700828041661</v>
      </c>
      <c r="M267" s="14" t="n">
        <v>-0.03736321034877244</v>
      </c>
      <c r="N267" s="15" t="n">
        <v>0</v>
      </c>
      <c r="O267" s="24" t="n">
        <v>0.725</v>
      </c>
      <c r="P267" s="12" t="inlineStr">
        <is>
          <t>DraftKings</t>
        </is>
      </c>
      <c r="Q267" s="12" t="n"/>
    </row>
    <row r="268">
      <c r="A268" s="17" t="inlineStr">
        <is>
          <t>PASS</t>
        </is>
      </c>
      <c r="B268" s="17" t="inlineStr">
        <is>
          <t>SHU @ MASS</t>
        </is>
      </c>
      <c r="C268" s="17" t="inlineStr">
        <is>
          <t>2026-09-12 19:30</t>
        </is>
      </c>
      <c r="D268" s="25" t="n">
        <v>2</v>
      </c>
      <c r="E268" s="17" t="inlineStr">
        <is>
          <t>TOTAL</t>
        </is>
      </c>
      <c r="F268" s="17" t="inlineStr">
        <is>
          <t>Under 53.5</t>
        </is>
      </c>
      <c r="G268" s="26" t="n">
        <v>53.5</v>
      </c>
      <c r="H268" s="18" t="n">
        <v>-108</v>
      </c>
      <c r="I268" s="20" t="n">
        <v>0.4998306243101173</v>
      </c>
      <c r="J268" s="20" t="n">
        <v>0.4956702459300312</v>
      </c>
      <c r="K268" s="20" t="n">
        <v>0.5192307692307693</v>
      </c>
      <c r="L268" s="19" t="n">
        <v>0.008371667857685011</v>
      </c>
      <c r="M268" s="19" t="n">
        <v>-0.03736324206940378</v>
      </c>
      <c r="N268" s="20" t="n">
        <v>0</v>
      </c>
      <c r="O268" s="27" t="n">
        <v>0.4</v>
      </c>
      <c r="P268" s="17" t="inlineStr">
        <is>
          <t>DraftKings</t>
        </is>
      </c>
      <c r="Q268" s="17" t="inlineStr">
        <is>
          <t>SHU isn't a full FBS participant this season — model doesn't rate them reliably</t>
        </is>
      </c>
    </row>
    <row r="269">
      <c r="A269" s="12" t="inlineStr">
        <is>
          <t>PASS</t>
        </is>
      </c>
      <c r="B269" s="12" t="inlineStr">
        <is>
          <t>BGSU @ NEB</t>
        </is>
      </c>
      <c r="C269" s="12" t="inlineStr">
        <is>
          <t>2026-09-12 23:00</t>
        </is>
      </c>
      <c r="D269" s="22" t="n">
        <v>2</v>
      </c>
      <c r="E269" s="12" t="inlineStr">
        <is>
          <t>TOTAL</t>
        </is>
      </c>
      <c r="F269" s="12" t="inlineStr">
        <is>
          <t>Under 51.5</t>
        </is>
      </c>
      <c r="G269" s="23" t="n">
        <v>51.5</v>
      </c>
      <c r="H269" s="13" t="n">
        <v>-102</v>
      </c>
      <c r="I269" s="15" t="n">
        <v>0.4853321845422343</v>
      </c>
      <c r="J269" s="15" t="n">
        <v>0.4826358742837298</v>
      </c>
      <c r="K269" s="15" t="n">
        <v>0.504950495049505</v>
      </c>
      <c r="L269" s="14" t="n">
        <v>0.005580203515268601</v>
      </c>
      <c r="M269" s="14" t="n">
        <v>-0.03885194825949678</v>
      </c>
      <c r="N269" s="15" t="n">
        <v>0</v>
      </c>
      <c r="O269" s="24" t="n">
        <v>0.725</v>
      </c>
      <c r="P269" s="12" t="inlineStr">
        <is>
          <t>DraftKings</t>
        </is>
      </c>
      <c r="Q269" s="12" t="n"/>
    </row>
    <row r="270">
      <c r="A270" s="17" t="inlineStr">
        <is>
          <t>PASS</t>
        </is>
      </c>
      <c r="B270" s="17" t="inlineStr">
        <is>
          <t>FOR @ CCU</t>
        </is>
      </c>
      <c r="C270" s="17" t="inlineStr">
        <is>
          <t>2026-09-12 23:30</t>
        </is>
      </c>
      <c r="D270" s="25" t="n">
        <v>2</v>
      </c>
      <c r="E270" s="17" t="inlineStr">
        <is>
          <t>TOTAL</t>
        </is>
      </c>
      <c r="F270" s="17" t="inlineStr">
        <is>
          <t>Under 52.5</t>
        </is>
      </c>
      <c r="G270" s="26" t="n">
        <v>52.5</v>
      </c>
      <c r="H270" s="18" t="n">
        <v>-108</v>
      </c>
      <c r="I270" s="20" t="n">
        <v>0.497835108663492</v>
      </c>
      <c r="J270" s="20" t="n">
        <v>0.4956702459300312</v>
      </c>
      <c r="K270" s="20" t="n">
        <v>0.5192307692307693</v>
      </c>
      <c r="L270" s="19" t="n">
        <v>0.004364471751230086</v>
      </c>
      <c r="M270" s="19" t="n">
        <v>-0.04120645738883011</v>
      </c>
      <c r="N270" s="20" t="n">
        <v>0</v>
      </c>
      <c r="O270" s="27" t="n">
        <v>0.725</v>
      </c>
      <c r="P270" s="17" t="inlineStr">
        <is>
          <t>DraftKings</t>
        </is>
      </c>
      <c r="Q270" s="17" t="inlineStr">
        <is>
          <t>FOR isn't a full FBS participant this season — model doesn't rate them reliably</t>
        </is>
      </c>
    </row>
    <row r="271">
      <c r="A271" s="12" t="inlineStr">
        <is>
          <t>PASS</t>
        </is>
      </c>
      <c r="B271" s="12" t="inlineStr">
        <is>
          <t>WVU @ UVA</t>
        </is>
      </c>
      <c r="C271" s="12" t="inlineStr">
        <is>
          <t>2026-09-19 23:30</t>
        </is>
      </c>
      <c r="D271" s="22" t="n">
        <v>3</v>
      </c>
      <c r="E271" s="12" t="inlineStr">
        <is>
          <t>TOTAL</t>
        </is>
      </c>
      <c r="F271" s="12" t="inlineStr">
        <is>
          <t>Over 50.5</t>
        </is>
      </c>
      <c r="G271" s="23" t="n">
        <v>50.5</v>
      </c>
      <c r="H271" s="13" t="n">
        <v>-105</v>
      </c>
      <c r="I271" s="15" t="n">
        <v>0.4905921075777537</v>
      </c>
      <c r="J271" s="15" t="n">
        <v>0.4891657638136511</v>
      </c>
      <c r="K271" s="15" t="n">
        <v>0.5121951219512195</v>
      </c>
      <c r="L271" s="14" t="n">
        <v>0.002914954657449582</v>
      </c>
      <c r="M271" s="14" t="n">
        <v>-0.04217731377676659</v>
      </c>
      <c r="N271" s="15" t="n">
        <v>0</v>
      </c>
      <c r="O271" s="24" t="n">
        <v>0.725</v>
      </c>
      <c r="P271" s="12" t="inlineStr">
        <is>
          <t>DraftKings</t>
        </is>
      </c>
      <c r="Q271" s="12" t="n"/>
    </row>
    <row r="272">
      <c r="A272" s="17" t="inlineStr">
        <is>
          <t>PASS</t>
        </is>
      </c>
      <c r="B272" s="17" t="inlineStr">
        <is>
          <t>TLSA @ SHSU</t>
        </is>
      </c>
      <c r="C272" s="17" t="inlineStr">
        <is>
          <t>2026-09-12 23:00</t>
        </is>
      </c>
      <c r="D272" s="25" t="n">
        <v>2</v>
      </c>
      <c r="E272" s="17" t="inlineStr">
        <is>
          <t>TOTAL</t>
        </is>
      </c>
      <c r="F272" s="17" t="inlineStr">
        <is>
          <t>Over 51.5</t>
        </is>
      </c>
      <c r="G272" s="26" t="n">
        <v>51.5</v>
      </c>
      <c r="H272" s="18" t="n">
        <v>-105</v>
      </c>
      <c r="I272" s="20" t="n">
        <v>0.49059208864476</v>
      </c>
      <c r="J272" s="20" t="n">
        <v>0.4891657638136511</v>
      </c>
      <c r="K272" s="20" t="n">
        <v>0.5121951219512195</v>
      </c>
      <c r="L272" s="19" t="n">
        <v>0.002914915989230837</v>
      </c>
      <c r="M272" s="19" t="n">
        <v>-0.0421773507411829</v>
      </c>
      <c r="N272" s="20" t="n">
        <v>0</v>
      </c>
      <c r="O272" s="27" t="n">
        <v>0.725</v>
      </c>
      <c r="P272" s="17" t="inlineStr">
        <is>
          <t>DraftKings</t>
        </is>
      </c>
      <c r="Q272" s="17" t="n"/>
    </row>
    <row r="273">
      <c r="A273" s="12" t="inlineStr">
        <is>
          <t>PASS</t>
        </is>
      </c>
      <c r="B273" s="12" t="inlineStr">
        <is>
          <t>DUKE @ ILL</t>
        </is>
      </c>
      <c r="C273" s="12" t="inlineStr">
        <is>
          <t>2026-09-12 19:30</t>
        </is>
      </c>
      <c r="D273" s="22" t="n">
        <v>2</v>
      </c>
      <c r="E273" s="12" t="inlineStr">
        <is>
          <t>ML</t>
        </is>
      </c>
      <c r="F273" s="12" t="inlineStr">
        <is>
          <t>DUKE ML</t>
        </is>
      </c>
      <c r="G273" s="23" t="n"/>
      <c r="H273" s="13" t="n">
        <v>180</v>
      </c>
      <c r="I273" s="15" t="n">
        <v>0.343039116091465</v>
      </c>
      <c r="J273" s="15" t="n">
        <v>0.3425247738043947</v>
      </c>
      <c r="K273" s="15" t="n">
        <v>0.3571428571428572</v>
      </c>
      <c r="L273" s="14" t="n">
        <v>0.001501495643943683</v>
      </c>
      <c r="M273" s="14" t="n">
        <v>-0.03949047494389812</v>
      </c>
      <c r="N273" s="15" t="n">
        <v>0</v>
      </c>
      <c r="O273" s="24" t="n">
        <v>0.725</v>
      </c>
      <c r="P273" s="12" t="inlineStr">
        <is>
          <t>DraftKings</t>
        </is>
      </c>
      <c r="Q273" s="12" t="n"/>
    </row>
    <row r="274">
      <c r="A274" s="17" t="inlineStr">
        <is>
          <t>PASS</t>
        </is>
      </c>
      <c r="B274" s="17" t="inlineStr">
        <is>
          <t>DUKE @ ILL</t>
        </is>
      </c>
      <c r="C274" s="17" t="inlineStr">
        <is>
          <t>2026-09-12 19:30</t>
        </is>
      </c>
      <c r="D274" s="25" t="n">
        <v>2</v>
      </c>
      <c r="E274" s="17" t="inlineStr">
        <is>
          <t>ML</t>
        </is>
      </c>
      <c r="F274" s="17" t="inlineStr">
        <is>
          <t>ILL ML</t>
        </is>
      </c>
      <c r="G274" s="26" t="n"/>
      <c r="H274" s="18" t="n">
        <v>-218</v>
      </c>
      <c r="I274" s="20" t="n">
        <v>0.656960883908535</v>
      </c>
      <c r="J274" s="20" t="n">
        <v>0.6574752261956054</v>
      </c>
      <c r="K274" s="20" t="n">
        <v>0.6855345911949685</v>
      </c>
      <c r="L274" s="19" t="n">
        <v>-0.0007822814319335035</v>
      </c>
      <c r="M274" s="19" t="n">
        <v>-0.04168091246369665</v>
      </c>
      <c r="N274" s="20" t="n">
        <v>0</v>
      </c>
      <c r="O274" s="27" t="n">
        <v>0.725</v>
      </c>
      <c r="P274" s="17" t="inlineStr">
        <is>
          <t>DraftKings</t>
        </is>
      </c>
      <c r="Q274" s="17" t="n"/>
    </row>
    <row r="275">
      <c r="A275" s="12" t="inlineStr">
        <is>
          <t>PASS</t>
        </is>
      </c>
      <c r="B275" s="12" t="inlineStr">
        <is>
          <t>TLSA @ SHSU</t>
        </is>
      </c>
      <c r="C275" s="12" t="inlineStr">
        <is>
          <t>2026-09-12 23:00</t>
        </is>
      </c>
      <c r="D275" s="22" t="n">
        <v>2</v>
      </c>
      <c r="E275" s="12" t="inlineStr">
        <is>
          <t>TOTAL</t>
        </is>
      </c>
      <c r="F275" s="12" t="inlineStr">
        <is>
          <t>Under 51.5</t>
        </is>
      </c>
      <c r="G275" s="23" t="n">
        <v>51.5</v>
      </c>
      <c r="H275" s="13" t="n">
        <v>-115</v>
      </c>
      <c r="I275" s="15" t="n">
        <v>0.50940791135524</v>
      </c>
      <c r="J275" s="15" t="n">
        <v>0.5108342361863488</v>
      </c>
      <c r="K275" s="15" t="n">
        <v>0.5348837209302325</v>
      </c>
      <c r="L275" s="14" t="n">
        <v>-0.002791344373401287</v>
      </c>
      <c r="M275" s="14" t="n">
        <v>-0.04762868746629056</v>
      </c>
      <c r="N275" s="15" t="n">
        <v>0</v>
      </c>
      <c r="O275" s="24" t="n">
        <v>0.725</v>
      </c>
      <c r="P275" s="12" t="inlineStr">
        <is>
          <t>DraftKings</t>
        </is>
      </c>
      <c r="Q275" s="12" t="n"/>
    </row>
    <row r="276">
      <c r="A276" s="17" t="inlineStr">
        <is>
          <t>PASS</t>
        </is>
      </c>
      <c r="B276" s="17" t="inlineStr">
        <is>
          <t>WVU @ UVA</t>
        </is>
      </c>
      <c r="C276" s="17" t="inlineStr">
        <is>
          <t>2026-09-19 23:30</t>
        </is>
      </c>
      <c r="D276" s="25" t="n">
        <v>3</v>
      </c>
      <c r="E276" s="17" t="inlineStr">
        <is>
          <t>TOTAL</t>
        </is>
      </c>
      <c r="F276" s="17" t="inlineStr">
        <is>
          <t>Under 50.5</t>
        </is>
      </c>
      <c r="G276" s="26" t="n">
        <v>50.5</v>
      </c>
      <c r="H276" s="18" t="n">
        <v>-115</v>
      </c>
      <c r="I276" s="20" t="n">
        <v>0.5094078924222463</v>
      </c>
      <c r="J276" s="20" t="n">
        <v>0.5108342361863488</v>
      </c>
      <c r="K276" s="20" t="n">
        <v>0.5348837209302325</v>
      </c>
      <c r="L276" s="19" t="n">
        <v>-0.002791381404294462</v>
      </c>
      <c r="M276" s="19" t="n">
        <v>-0.0476287228627571</v>
      </c>
      <c r="N276" s="20" t="n">
        <v>0</v>
      </c>
      <c r="O276" s="27" t="n">
        <v>0.725</v>
      </c>
      <c r="P276" s="17" t="inlineStr">
        <is>
          <t>DraftKings</t>
        </is>
      </c>
      <c r="Q276" s="17" t="n"/>
    </row>
    <row r="277">
      <c r="A277" s="12" t="inlineStr">
        <is>
          <t>PASS</t>
        </is>
      </c>
      <c r="B277" s="12" t="inlineStr">
        <is>
          <t>FOR @ CCU</t>
        </is>
      </c>
      <c r="C277" s="12" t="inlineStr">
        <is>
          <t>2026-09-12 23:30</t>
        </is>
      </c>
      <c r="D277" s="22" t="n">
        <v>2</v>
      </c>
      <c r="E277" s="12" t="inlineStr">
        <is>
          <t>TOTAL</t>
        </is>
      </c>
      <c r="F277" s="12" t="inlineStr">
        <is>
          <t>Over 52.5</t>
        </is>
      </c>
      <c r="G277" s="23" t="n">
        <v>52.5</v>
      </c>
      <c r="H277" s="13" t="n">
        <v>-112</v>
      </c>
      <c r="I277" s="15" t="n">
        <v>0.502164891336508</v>
      </c>
      <c r="J277" s="15" t="n">
        <v>0.5043297540699688</v>
      </c>
      <c r="K277" s="15" t="n">
        <v>0.5283018867924528</v>
      </c>
      <c r="L277" s="14" t="n">
        <v>-0.00428963512573265</v>
      </c>
      <c r="M277" s="14" t="n">
        <v>-0.04947359854160993</v>
      </c>
      <c r="N277" s="15" t="n">
        <v>0</v>
      </c>
      <c r="O277" s="24" t="n">
        <v>0.725</v>
      </c>
      <c r="P277" s="12" t="inlineStr">
        <is>
          <t>DraftKings</t>
        </is>
      </c>
      <c r="Q277" s="12" t="inlineStr">
        <is>
          <t>FOR isn't a full FBS participant this season — model doesn't rate them reliably</t>
        </is>
      </c>
    </row>
    <row r="278">
      <c r="A278" s="17" t="inlineStr">
        <is>
          <t>PASS</t>
        </is>
      </c>
      <c r="B278" s="17" t="inlineStr">
        <is>
          <t>BGSU @ NEB</t>
        </is>
      </c>
      <c r="C278" s="17" t="inlineStr">
        <is>
          <t>2026-09-12 23:00</t>
        </is>
      </c>
      <c r="D278" s="25" t="n">
        <v>2</v>
      </c>
      <c r="E278" s="17" t="inlineStr">
        <is>
          <t>TOTAL</t>
        </is>
      </c>
      <c r="F278" s="17" t="inlineStr">
        <is>
          <t>Over 51.5</t>
        </is>
      </c>
      <c r="G278" s="26" t="n">
        <v>51.5</v>
      </c>
      <c r="H278" s="18" t="n">
        <v>-118</v>
      </c>
      <c r="I278" s="20" t="n">
        <v>0.5146678154577657</v>
      </c>
      <c r="J278" s="20" t="n">
        <v>0.5173641257162701</v>
      </c>
      <c r="K278" s="20" t="n">
        <v>0.5412844036697247</v>
      </c>
      <c r="L278" s="19" t="n">
        <v>-0.005206407815518353</v>
      </c>
      <c r="M278" s="19" t="n">
        <v>-0.04917301890005987</v>
      </c>
      <c r="N278" s="20" t="n">
        <v>0</v>
      </c>
      <c r="O278" s="27" t="n">
        <v>0.725</v>
      </c>
      <c r="P278" s="17" t="inlineStr">
        <is>
          <t>DraftKings</t>
        </is>
      </c>
      <c r="Q278" s="17" t="n"/>
    </row>
    <row r="279">
      <c r="A279" s="12" t="inlineStr">
        <is>
          <t>PASS</t>
        </is>
      </c>
      <c r="B279" s="12" t="inlineStr">
        <is>
          <t>SHU @ MASS</t>
        </is>
      </c>
      <c r="C279" s="12" t="inlineStr">
        <is>
          <t>2026-09-12 19:30</t>
        </is>
      </c>
      <c r="D279" s="22" t="n">
        <v>2</v>
      </c>
      <c r="E279" s="12" t="inlineStr">
        <is>
          <t>TOTAL</t>
        </is>
      </c>
      <c r="F279" s="12" t="inlineStr">
        <is>
          <t>Over 53.5</t>
        </is>
      </c>
      <c r="G279" s="23" t="n">
        <v>53.5</v>
      </c>
      <c r="H279" s="13" t="n">
        <v>-112</v>
      </c>
      <c r="I279" s="15" t="n">
        <v>0.5001693756898827</v>
      </c>
      <c r="J279" s="15" t="n">
        <v>0.5043297540699688</v>
      </c>
      <c r="K279" s="15" t="n">
        <v>0.5283018867924528</v>
      </c>
      <c r="L279" s="14" t="n">
        <v>-0.008228649887477051</v>
      </c>
      <c r="M279" s="14" t="n">
        <v>-0.05325082458700769</v>
      </c>
      <c r="N279" s="15" t="n">
        <v>0</v>
      </c>
      <c r="O279" s="24" t="n">
        <v>0.4</v>
      </c>
      <c r="P279" s="12" t="inlineStr">
        <is>
          <t>DraftKings</t>
        </is>
      </c>
      <c r="Q279" s="12" t="inlineStr">
        <is>
          <t>SHU isn't a full FBS participant this season — model doesn't rate them reliably</t>
        </is>
      </c>
    </row>
    <row r="280">
      <c r="A280" s="17" t="inlineStr">
        <is>
          <t>PASS</t>
        </is>
      </c>
      <c r="B280" s="17" t="inlineStr">
        <is>
          <t>VT @ MD</t>
        </is>
      </c>
      <c r="C280" s="17" t="inlineStr">
        <is>
          <t>2026-09-19 23:30</t>
        </is>
      </c>
      <c r="D280" s="25" t="n">
        <v>3</v>
      </c>
      <c r="E280" s="17" t="inlineStr">
        <is>
          <t>TOTAL</t>
        </is>
      </c>
      <c r="F280" s="17" t="inlineStr">
        <is>
          <t>Under 53.5</t>
        </is>
      </c>
      <c r="G280" s="26" t="n">
        <v>53.5</v>
      </c>
      <c r="H280" s="18" t="n">
        <v>-112</v>
      </c>
      <c r="I280" s="20" t="n">
        <v>0.500169359219555</v>
      </c>
      <c r="J280" s="20" t="n">
        <v>0.5043297540699688</v>
      </c>
      <c r="K280" s="20" t="n">
        <v>0.5283018867924528</v>
      </c>
      <c r="L280" s="19" t="n">
        <v>-0.008228682300312835</v>
      </c>
      <c r="M280" s="19" t="n">
        <v>-0.05325085576298527</v>
      </c>
      <c r="N280" s="20" t="n">
        <v>0</v>
      </c>
      <c r="O280" s="27" t="n">
        <v>0.725</v>
      </c>
      <c r="P280" s="17" t="inlineStr">
        <is>
          <t>DraftKings</t>
        </is>
      </c>
      <c r="Q280" s="17" t="n"/>
    </row>
    <row r="281">
      <c r="A281" s="12" t="inlineStr">
        <is>
          <t>PASS</t>
        </is>
      </c>
      <c r="B281" s="12" t="inlineStr">
        <is>
          <t>LIN @ MOST</t>
        </is>
      </c>
      <c r="C281" s="12" t="inlineStr">
        <is>
          <t>2026-09-12 23:00</t>
        </is>
      </c>
      <c r="D281" s="22" t="n">
        <v>2</v>
      </c>
      <c r="E281" s="12" t="inlineStr">
        <is>
          <t>TOTAL</t>
        </is>
      </c>
      <c r="F281" s="12" t="inlineStr">
        <is>
          <t>Under 52.5</t>
        </is>
      </c>
      <c r="G281" s="23" t="n">
        <v>52.5</v>
      </c>
      <c r="H281" s="13" t="n">
        <v>-105</v>
      </c>
      <c r="I281" s="15" t="n">
        <v>0.4826167976463908</v>
      </c>
      <c r="J281" s="15" t="n">
        <v>0.4891657638136511</v>
      </c>
      <c r="K281" s="15" t="n">
        <v>0.5121951219512195</v>
      </c>
      <c r="L281" s="14" t="n">
        <v>-0.013300098801674</v>
      </c>
      <c r="M281" s="14" t="n">
        <v>-0.05774815697609426</v>
      </c>
      <c r="N281" s="15" t="n">
        <v>0</v>
      </c>
      <c r="O281" s="24" t="n">
        <v>0.4</v>
      </c>
      <c r="P281" s="12" t="inlineStr">
        <is>
          <t>DraftKings</t>
        </is>
      </c>
      <c r="Q281" s="12" t="inlineStr">
        <is>
          <t>LIN isn't a full FBS participant this season — model doesn't rate them reliably</t>
        </is>
      </c>
    </row>
    <row r="282">
      <c r="A282" s="17" t="inlineStr">
        <is>
          <t>PASS</t>
        </is>
      </c>
      <c r="B282" s="17" t="inlineStr">
        <is>
          <t>DUKE @ ILL</t>
        </is>
      </c>
      <c r="C282" s="17" t="inlineStr">
        <is>
          <t>2026-09-12 19:30</t>
        </is>
      </c>
      <c r="D282" s="25" t="n">
        <v>2</v>
      </c>
      <c r="E282" s="17" t="inlineStr">
        <is>
          <t>TOTAL</t>
        </is>
      </c>
      <c r="F282" s="17" t="inlineStr">
        <is>
          <t>Under 51.5</t>
        </is>
      </c>
      <c r="G282" s="26" t="n">
        <v>51.5</v>
      </c>
      <c r="H282" s="18" t="n">
        <v>-110</v>
      </c>
      <c r="I282" s="20" t="n">
        <v>0.4900264234521873</v>
      </c>
      <c r="J282" s="20" t="n">
        <v>0.5</v>
      </c>
      <c r="K282" s="20" t="n">
        <v>0.5238095238095238</v>
      </c>
      <c r="L282" s="19" t="n">
        <v>-0.01965909250054799</v>
      </c>
      <c r="M282" s="19" t="n">
        <v>-0.06449500977309697</v>
      </c>
      <c r="N282" s="20" t="n">
        <v>0</v>
      </c>
      <c r="O282" s="27" t="n">
        <v>0.725</v>
      </c>
      <c r="P282" s="17" t="inlineStr">
        <is>
          <t>DraftKings</t>
        </is>
      </c>
      <c r="Q282" s="17" t="n"/>
    </row>
    <row r="283">
      <c r="A283" s="12" t="inlineStr">
        <is>
          <t>PASS</t>
        </is>
      </c>
      <c r="B283" s="12" t="inlineStr">
        <is>
          <t>UGA @ ARK</t>
        </is>
      </c>
      <c r="C283" s="12" t="inlineStr">
        <is>
          <t>2026-09-19 16:00</t>
        </is>
      </c>
      <c r="D283" s="22" t="n">
        <v>3</v>
      </c>
      <c r="E283" s="12" t="inlineStr">
        <is>
          <t>TOTAL</t>
        </is>
      </c>
      <c r="F283" s="12" t="inlineStr">
        <is>
          <t>Under 52.5</t>
        </is>
      </c>
      <c r="G283" s="23" t="n">
        <v>52.5</v>
      </c>
      <c r="H283" s="13" t="n">
        <v>-112</v>
      </c>
      <c r="I283" s="15" t="n">
        <v>0.4941848219960809</v>
      </c>
      <c r="J283" s="15" t="n">
        <v>0.5043297540699688</v>
      </c>
      <c r="K283" s="15" t="n">
        <v>0.5283018867924528</v>
      </c>
      <c r="L283" s="14" t="n">
        <v>-0.01982033582302574</v>
      </c>
      <c r="M283" s="14" t="n">
        <v>-0.06457872979313251</v>
      </c>
      <c r="N283" s="15" t="n">
        <v>0</v>
      </c>
      <c r="O283" s="24" t="n">
        <v>0.725</v>
      </c>
      <c r="P283" s="12" t="inlineStr">
        <is>
          <t>DraftKings</t>
        </is>
      </c>
      <c r="Q283" s="12" t="n"/>
    </row>
    <row r="284">
      <c r="A284" s="17" t="inlineStr">
        <is>
          <t>PASS</t>
        </is>
      </c>
      <c r="B284" s="17" t="inlineStr">
        <is>
          <t>TXSO @ UTEP</t>
        </is>
      </c>
      <c r="C284" s="17" t="inlineStr">
        <is>
          <t>2026-09-13 01:00</t>
        </is>
      </c>
      <c r="D284" s="25" t="n">
        <v>2</v>
      </c>
      <c r="E284" s="17" t="inlineStr">
        <is>
          <t>TOTAL</t>
        </is>
      </c>
      <c r="F284" s="17" t="inlineStr">
        <is>
          <t>Under 52.5</t>
        </is>
      </c>
      <c r="G284" s="26" t="n">
        <v>52.5</v>
      </c>
      <c r="H284" s="18" t="n">
        <v>-105</v>
      </c>
      <c r="I284" s="20" t="n">
        <v>0.4786355525279198</v>
      </c>
      <c r="J284" s="20" t="n">
        <v>0.4891657638136511</v>
      </c>
      <c r="K284" s="20" t="n">
        <v>0.5121951219512195</v>
      </c>
      <c r="L284" s="19" t="n">
        <v>-0.02116584382638039</v>
      </c>
      <c r="M284" s="19" t="n">
        <v>-0.06552106411215664</v>
      </c>
      <c r="N284" s="20" t="n">
        <v>0</v>
      </c>
      <c r="O284" s="27" t="n">
        <v>0.4</v>
      </c>
      <c r="P284" s="17" t="inlineStr">
        <is>
          <t>DraftKings</t>
        </is>
      </c>
      <c r="Q284" s="17" t="inlineStr">
        <is>
          <t>TXSO isn't a full FBS participant this season — model doesn't rate them reliably</t>
        </is>
      </c>
    </row>
    <row r="285">
      <c r="A285" s="12" t="inlineStr">
        <is>
          <t>PASS</t>
        </is>
      </c>
      <c r="B285" s="12" t="inlineStr">
        <is>
          <t>ARK @ UTAH</t>
        </is>
      </c>
      <c r="C285" s="12" t="inlineStr">
        <is>
          <t>2026-09-13 02:15</t>
        </is>
      </c>
      <c r="D285" s="22" t="n">
        <v>2</v>
      </c>
      <c r="E285" s="12" t="inlineStr">
        <is>
          <t>TOTAL</t>
        </is>
      </c>
      <c r="F285" s="12" t="inlineStr">
        <is>
          <t>Over 55.5</t>
        </is>
      </c>
      <c r="G285" s="23" t="n">
        <v>55.5</v>
      </c>
      <c r="H285" s="13" t="n">
        <v>-102</v>
      </c>
      <c r="I285" s="15" t="n">
        <v>0.471395745749859</v>
      </c>
      <c r="J285" s="15" t="n">
        <v>0.4826358742837298</v>
      </c>
      <c r="K285" s="15" t="n">
        <v>0.504950495049505</v>
      </c>
      <c r="L285" s="14" t="n">
        <v>-0.02283345612844996</v>
      </c>
      <c r="M285" s="14" t="n">
        <v>-0.06645156233851457</v>
      </c>
      <c r="N285" s="15" t="n">
        <v>0</v>
      </c>
      <c r="O285" s="24" t="n">
        <v>0.725</v>
      </c>
      <c r="P285" s="12" t="inlineStr">
        <is>
          <t>DraftKings</t>
        </is>
      </c>
      <c r="Q285" s="12" t="n"/>
    </row>
    <row r="286">
      <c r="A286" s="17" t="inlineStr">
        <is>
          <t>PASS</t>
        </is>
      </c>
      <c r="B286" s="17" t="inlineStr">
        <is>
          <t>DUKE @ ILL</t>
        </is>
      </c>
      <c r="C286" s="17" t="inlineStr">
        <is>
          <t>2026-09-12 19:30</t>
        </is>
      </c>
      <c r="D286" s="25" t="n">
        <v>2</v>
      </c>
      <c r="E286" s="17" t="inlineStr">
        <is>
          <t>ATS</t>
        </is>
      </c>
      <c r="F286" s="17" t="inlineStr">
        <is>
          <t>ILL -6</t>
        </is>
      </c>
      <c r="G286" s="26" t="n">
        <v>-6</v>
      </c>
      <c r="H286" s="18" t="n">
        <v>-108</v>
      </c>
      <c r="I286" s="20" t="n">
        <v>0.4795418271827303</v>
      </c>
      <c r="J286" s="20" t="n">
        <v>0.4956702459300312</v>
      </c>
      <c r="K286" s="20" t="n">
        <v>0.5192307692307693</v>
      </c>
      <c r="L286" s="19" t="n">
        <v>-0.03132319437987606</v>
      </c>
      <c r="M286" s="19" t="n">
        <v>-0.07423654914395847</v>
      </c>
      <c r="N286" s="20" t="n">
        <v>0.0288</v>
      </c>
      <c r="O286" s="27" t="n">
        <v>0.725</v>
      </c>
      <c r="P286" s="17" t="inlineStr">
        <is>
          <t>DraftKings</t>
        </is>
      </c>
      <c r="Q286" s="17" t="n"/>
    </row>
    <row r="287">
      <c r="A287" s="12" t="inlineStr">
        <is>
          <t>PASS</t>
        </is>
      </c>
      <c r="B287" s="12" t="inlineStr">
        <is>
          <t>ALST @ TROY</t>
        </is>
      </c>
      <c r="C287" s="12" t="inlineStr">
        <is>
          <t>2026-09-12 20:00</t>
        </is>
      </c>
      <c r="D287" s="22" t="n">
        <v>2</v>
      </c>
      <c r="E287" s="12" t="inlineStr">
        <is>
          <t>TOTAL</t>
        </is>
      </c>
      <c r="F287" s="12" t="inlineStr">
        <is>
          <t>Under 51.5</t>
        </is>
      </c>
      <c r="G287" s="23" t="n">
        <v>51.5</v>
      </c>
      <c r="H287" s="13" t="n">
        <v>-108</v>
      </c>
      <c r="I287" s="15" t="n">
        <v>0.4779129118190826</v>
      </c>
      <c r="J287" s="15" t="n">
        <v>0.4956702459300312</v>
      </c>
      <c r="K287" s="15" t="n">
        <v>0.5192307692307693</v>
      </c>
      <c r="L287" s="14" t="n">
        <v>-0.03421804508283911</v>
      </c>
      <c r="M287" s="14" t="n">
        <v>-0.07957513279287798</v>
      </c>
      <c r="N287" s="15" t="n">
        <v>0</v>
      </c>
      <c r="O287" s="24" t="n">
        <v>0.4</v>
      </c>
      <c r="P287" s="12" t="inlineStr">
        <is>
          <t>DraftKings</t>
        </is>
      </c>
      <c r="Q287" s="12" t="inlineStr">
        <is>
          <t>ALST isn't a full FBS participant this season — model doesn't rate them reliably</t>
        </is>
      </c>
    </row>
    <row r="288">
      <c r="A288" s="17" t="inlineStr">
        <is>
          <t>PASS</t>
        </is>
      </c>
      <c r="B288" s="17" t="inlineStr">
        <is>
          <t>FSU @ ALA</t>
        </is>
      </c>
      <c r="C288" s="17" t="inlineStr">
        <is>
          <t>2026-09-19 19:30</t>
        </is>
      </c>
      <c r="D288" s="25" t="n">
        <v>3</v>
      </c>
      <c r="E288" s="17" t="inlineStr">
        <is>
          <t>TOTAL</t>
        </is>
      </c>
      <c r="F288" s="17" t="inlineStr">
        <is>
          <t>Under 50.5</t>
        </is>
      </c>
      <c r="G288" s="26" t="n">
        <v>50.5</v>
      </c>
      <c r="H288" s="18" t="n">
        <v>-108</v>
      </c>
      <c r="I288" s="20" t="n">
        <v>0.4779129006754204</v>
      </c>
      <c r="J288" s="20" t="n">
        <v>0.4956702459300312</v>
      </c>
      <c r="K288" s="20" t="n">
        <v>0.5192307692307693</v>
      </c>
      <c r="L288" s="19" t="n">
        <v>-0.03421806464810133</v>
      </c>
      <c r="M288" s="19" t="n">
        <v>-0.07957515425474593</v>
      </c>
      <c r="N288" s="20" t="n">
        <v>0</v>
      </c>
      <c r="O288" s="27" t="n">
        <v>0.725</v>
      </c>
      <c r="P288" s="17" t="inlineStr">
        <is>
          <t>DraftKings</t>
        </is>
      </c>
      <c r="Q288" s="17" t="n"/>
    </row>
    <row r="289">
      <c r="A289" s="12" t="inlineStr">
        <is>
          <t>PASS</t>
        </is>
      </c>
      <c r="B289" s="12" t="inlineStr">
        <is>
          <t>NMSU @ HAW</t>
        </is>
      </c>
      <c r="C289" s="12" t="inlineStr">
        <is>
          <t>2026-09-13 03:59</t>
        </is>
      </c>
      <c r="D289" s="22" t="n">
        <v>2</v>
      </c>
      <c r="E289" s="12" t="inlineStr">
        <is>
          <t>TOTAL</t>
        </is>
      </c>
      <c r="F289" s="12" t="inlineStr">
        <is>
          <t>Under 50.5</t>
        </is>
      </c>
      <c r="G289" s="23" t="n">
        <v>50.5</v>
      </c>
      <c r="H289" s="13" t="n">
        <v>-112</v>
      </c>
      <c r="I289" s="15" t="n">
        <v>0.4842291964506755</v>
      </c>
      <c r="J289" s="15" t="n">
        <v>0.5043297540699688</v>
      </c>
      <c r="K289" s="15" t="n">
        <v>0.5283018867924528</v>
      </c>
      <c r="L289" s="14" t="n">
        <v>-0.03767130145526791</v>
      </c>
      <c r="M289" s="14" t="n">
        <v>-0.08342330671836418</v>
      </c>
      <c r="N289" s="15" t="n">
        <v>0</v>
      </c>
      <c r="O289" s="24" t="n">
        <v>0.839</v>
      </c>
      <c r="P289" s="12" t="inlineStr">
        <is>
          <t>DraftKings</t>
        </is>
      </c>
      <c r="Q289" s="12" t="n"/>
    </row>
    <row r="290">
      <c r="A290" s="17" t="inlineStr">
        <is>
          <t>PASS</t>
        </is>
      </c>
      <c r="B290" s="17" t="inlineStr">
        <is>
          <t>MSST @ SC</t>
        </is>
      </c>
      <c r="C290" s="17" t="inlineStr">
        <is>
          <t>2026-09-19 20:15</t>
        </is>
      </c>
      <c r="D290" s="25" t="n">
        <v>3</v>
      </c>
      <c r="E290" s="17" t="inlineStr">
        <is>
          <t>TOTAL</t>
        </is>
      </c>
      <c r="F290" s="17" t="inlineStr">
        <is>
          <t>Over 54.5</t>
        </is>
      </c>
      <c r="G290" s="26" t="n">
        <v>54.5</v>
      </c>
      <c r="H290" s="18" t="n">
        <v>-115</v>
      </c>
      <c r="I290" s="20" t="n">
        <v>0.4894698053837355</v>
      </c>
      <c r="J290" s="20" t="n">
        <v>0.5108342361863488</v>
      </c>
      <c r="K290" s="20" t="n">
        <v>0.5348837209302325</v>
      </c>
      <c r="L290" s="19" t="n">
        <v>-0.03931497739927237</v>
      </c>
      <c r="M290" s="19" t="n">
        <v>-0.08490427689127711</v>
      </c>
      <c r="N290" s="20" t="n">
        <v>0</v>
      </c>
      <c r="O290" s="27" t="n">
        <v>0.725</v>
      </c>
      <c r="P290" s="17" t="inlineStr">
        <is>
          <t>DraftKings</t>
        </is>
      </c>
      <c r="Q290" s="17" t="n"/>
    </row>
    <row r="291">
      <c r="A291" s="12" t="inlineStr">
        <is>
          <t>PASS</t>
        </is>
      </c>
      <c r="B291" s="12" t="inlineStr">
        <is>
          <t>MSST @ MINN</t>
        </is>
      </c>
      <c r="C291" s="12" t="inlineStr">
        <is>
          <t>2026-09-12 19:30</t>
        </is>
      </c>
      <c r="D291" s="22" t="n">
        <v>2</v>
      </c>
      <c r="E291" s="12" t="inlineStr">
        <is>
          <t>TOTAL</t>
        </is>
      </c>
      <c r="F291" s="12" t="inlineStr">
        <is>
          <t>Over 55.5</t>
        </is>
      </c>
      <c r="G291" s="23" t="n">
        <v>55.5</v>
      </c>
      <c r="H291" s="13" t="n">
        <v>-102</v>
      </c>
      <c r="I291" s="15" t="n">
        <v>0.461496758232901</v>
      </c>
      <c r="J291" s="15" t="n">
        <v>0.4826358742837298</v>
      </c>
      <c r="K291" s="15" t="n">
        <v>0.504950495049505</v>
      </c>
      <c r="L291" s="14" t="n">
        <v>-0.04093890031529112</v>
      </c>
      <c r="M291" s="14" t="n">
        <v>-0.08605543957798023</v>
      </c>
      <c r="N291" s="15" t="n">
        <v>0</v>
      </c>
      <c r="O291" s="24" t="n">
        <v>0.725</v>
      </c>
      <c r="P291" s="12" t="inlineStr">
        <is>
          <t>DraftKings</t>
        </is>
      </c>
      <c r="Q291" s="12" t="n"/>
    </row>
    <row r="292">
      <c r="A292" s="17" t="inlineStr">
        <is>
          <t>PASS</t>
        </is>
      </c>
      <c r="B292" s="17" t="inlineStr">
        <is>
          <t>ULM @ UAB</t>
        </is>
      </c>
      <c r="C292" s="17" t="inlineStr">
        <is>
          <t>2026-09-12 19:30</t>
        </is>
      </c>
      <c r="D292" s="25" t="n">
        <v>2</v>
      </c>
      <c r="E292" s="17" t="inlineStr">
        <is>
          <t>TOTAL</t>
        </is>
      </c>
      <c r="F292" s="17" t="inlineStr">
        <is>
          <t>Over 55.5</t>
        </is>
      </c>
      <c r="G292" s="26" t="n">
        <v>55.5</v>
      </c>
      <c r="H292" s="18" t="n">
        <v>-108</v>
      </c>
      <c r="I292" s="20" t="n">
        <v>0.4739460040623953</v>
      </c>
      <c r="J292" s="20" t="n">
        <v>0.4956702459300312</v>
      </c>
      <c r="K292" s="20" t="n">
        <v>0.5192307692307693</v>
      </c>
      <c r="L292" s="19" t="n">
        <v>-0.04096227352533879</v>
      </c>
      <c r="M292" s="19" t="n">
        <v>-0.08721510328723869</v>
      </c>
      <c r="N292" s="20" t="n">
        <v>0</v>
      </c>
      <c r="O292" s="27" t="n">
        <v>0.725</v>
      </c>
      <c r="P292" s="17" t="inlineStr">
        <is>
          <t>DraftKings</t>
        </is>
      </c>
      <c r="Q292" s="17" t="n"/>
    </row>
    <row r="293">
      <c r="A293" s="12" t="inlineStr">
        <is>
          <t>PASS</t>
        </is>
      </c>
      <c r="B293" s="12" t="inlineStr">
        <is>
          <t>RUTG @ BC</t>
        </is>
      </c>
      <c r="C293" s="12" t="inlineStr">
        <is>
          <t>2026-09-11 23:30</t>
        </is>
      </c>
      <c r="D293" s="22" t="n">
        <v>2</v>
      </c>
      <c r="E293" s="12" t="inlineStr">
        <is>
          <t>TOTAL</t>
        </is>
      </c>
      <c r="F293" s="12" t="inlineStr">
        <is>
          <t>Over 54.5</t>
        </is>
      </c>
      <c r="G293" s="23" t="n">
        <v>54.5</v>
      </c>
      <c r="H293" s="13" t="n">
        <v>-105</v>
      </c>
      <c r="I293" s="15" t="n">
        <v>0.466736356262707</v>
      </c>
      <c r="J293" s="15" t="n">
        <v>0.4891657638136511</v>
      </c>
      <c r="K293" s="15" t="n">
        <v>0.5121951219512195</v>
      </c>
      <c r="L293" s="14" t="n">
        <v>-0.04259501456203445</v>
      </c>
      <c r="M293" s="14" t="n">
        <v>-0.08875282824900066</v>
      </c>
      <c r="N293" s="15" t="n">
        <v>0</v>
      </c>
      <c r="O293" s="24" t="n">
        <v>0.725</v>
      </c>
      <c r="P293" s="12" t="inlineStr">
        <is>
          <t>DraftKings</t>
        </is>
      </c>
      <c r="Q293" s="12" t="n"/>
    </row>
    <row r="294">
      <c r="A294" s="17" t="inlineStr">
        <is>
          <t>PASS</t>
        </is>
      </c>
      <c r="B294" s="17" t="inlineStr">
        <is>
          <t>GAST @ KENN</t>
        </is>
      </c>
      <c r="C294" s="17" t="inlineStr">
        <is>
          <t>2026-09-12 23:00</t>
        </is>
      </c>
      <c r="D294" s="25" t="n">
        <v>2</v>
      </c>
      <c r="E294" s="17" t="inlineStr">
        <is>
          <t>ML</t>
        </is>
      </c>
      <c r="F294" s="17" t="inlineStr">
        <is>
          <t>KENN ML</t>
        </is>
      </c>
      <c r="G294" s="26" t="n"/>
      <c r="H294" s="18" t="n">
        <v>-305</v>
      </c>
      <c r="I294" s="20" t="n">
        <v>0.6877927944905429</v>
      </c>
      <c r="J294" s="20" t="n">
        <v>0.7220792588780237</v>
      </c>
      <c r="K294" s="20" t="n">
        <v>0.7530864197530864</v>
      </c>
      <c r="L294" s="19" t="n">
        <v>-0.04388773192226152</v>
      </c>
      <c r="M294" s="19" t="n">
        <v>-0.08670137125026278</v>
      </c>
      <c r="N294" s="20" t="n">
        <v>0</v>
      </c>
      <c r="O294" s="27" t="n">
        <v>0.725</v>
      </c>
      <c r="P294" s="17" t="inlineStr">
        <is>
          <t>DraftKings</t>
        </is>
      </c>
      <c r="Q294" s="17" t="n"/>
    </row>
    <row r="295">
      <c r="A295" s="12" t="inlineStr">
        <is>
          <t>PASS</t>
        </is>
      </c>
      <c r="B295" s="12" t="inlineStr">
        <is>
          <t>MIZ @ KU</t>
        </is>
      </c>
      <c r="C295" s="12" t="inlineStr">
        <is>
          <t>2026-09-12 00:00</t>
        </is>
      </c>
      <c r="D295" s="22" t="n">
        <v>2</v>
      </c>
      <c r="E295" s="12" t="inlineStr">
        <is>
          <t>TOTAL</t>
        </is>
      </c>
      <c r="F295" s="12" t="inlineStr">
        <is>
          <t>Under 51.5</t>
        </is>
      </c>
      <c r="G295" s="23" t="n">
        <v>51.5</v>
      </c>
      <c r="H295" s="13" t="n">
        <v>-108</v>
      </c>
      <c r="I295" s="15" t="n">
        <v>0.4719659931494463</v>
      </c>
      <c r="J295" s="15" t="n">
        <v>0.4956702459300312</v>
      </c>
      <c r="K295" s="15" t="n">
        <v>0.5192307692307693</v>
      </c>
      <c r="L295" s="14" t="n">
        <v>-0.04415445986580109</v>
      </c>
      <c r="M295" s="14" t="n">
        <v>-0.0910284576381033</v>
      </c>
      <c r="N295" s="15" t="n">
        <v>0</v>
      </c>
      <c r="O295" s="24" t="n">
        <v>0.725</v>
      </c>
      <c r="P295" s="12" t="inlineStr">
        <is>
          <t>DraftKings</t>
        </is>
      </c>
      <c r="Q295" s="12" t="n"/>
    </row>
    <row r="296">
      <c r="A296" s="17" t="inlineStr">
        <is>
          <t>PASS</t>
        </is>
      </c>
      <c r="B296" s="17" t="inlineStr">
        <is>
          <t>MERC @ UNM</t>
        </is>
      </c>
      <c r="C296" s="17" t="inlineStr">
        <is>
          <t>2026-09-12 20:00</t>
        </is>
      </c>
      <c r="D296" s="25" t="n">
        <v>2</v>
      </c>
      <c r="E296" s="17" t="inlineStr">
        <is>
          <t>TOTAL</t>
        </is>
      </c>
      <c r="F296" s="17" t="inlineStr">
        <is>
          <t>Under 51.5</t>
        </is>
      </c>
      <c r="G296" s="26" t="n">
        <v>51.5</v>
      </c>
      <c r="H296" s="18" t="n">
        <v>-108</v>
      </c>
      <c r="I296" s="20" t="n">
        <v>0.4719659931494463</v>
      </c>
      <c r="J296" s="20" t="n">
        <v>0.4956702459300312</v>
      </c>
      <c r="K296" s="20" t="n">
        <v>0.5192307692307693</v>
      </c>
      <c r="L296" s="19" t="n">
        <v>-0.04415445986580109</v>
      </c>
      <c r="M296" s="19" t="n">
        <v>-0.0910284576381033</v>
      </c>
      <c r="N296" s="20" t="n">
        <v>0</v>
      </c>
      <c r="O296" s="27" t="n">
        <v>0.725</v>
      </c>
      <c r="P296" s="17" t="inlineStr">
        <is>
          <t>DraftKings</t>
        </is>
      </c>
      <c r="Q296" s="17" t="inlineStr">
        <is>
          <t>MERC isn't a full FBS participant this season — model doesn't rate them reliably</t>
        </is>
      </c>
    </row>
    <row r="297">
      <c r="A297" s="12" t="inlineStr">
        <is>
          <t>PASS</t>
        </is>
      </c>
      <c r="B297" s="12" t="inlineStr">
        <is>
          <t>USA @ TULN</t>
        </is>
      </c>
      <c r="C297" s="12" t="inlineStr">
        <is>
          <t>2026-09-12 23:00</t>
        </is>
      </c>
      <c r="D297" s="22" t="n">
        <v>2</v>
      </c>
      <c r="E297" s="12" t="inlineStr">
        <is>
          <t>TOTAL</t>
        </is>
      </c>
      <c r="F297" s="12" t="inlineStr">
        <is>
          <t>Under 49.5</t>
        </is>
      </c>
      <c r="G297" s="23" t="n">
        <v>49.5</v>
      </c>
      <c r="H297" s="13" t="n">
        <v>-108</v>
      </c>
      <c r="I297" s="15" t="n">
        <v>0.4719659670172192</v>
      </c>
      <c r="J297" s="15" t="n">
        <v>0.4956702459300312</v>
      </c>
      <c r="K297" s="15" t="n">
        <v>0.5192307692307693</v>
      </c>
      <c r="L297" s="14" t="n">
        <v>-0.04415450119778457</v>
      </c>
      <c r="M297" s="14" t="n">
        <v>-0.09102850796683715</v>
      </c>
      <c r="N297" s="15" t="n">
        <v>0</v>
      </c>
      <c r="O297" s="24" t="n">
        <v>0.725</v>
      </c>
      <c r="P297" s="12" t="inlineStr">
        <is>
          <t>DraftKings</t>
        </is>
      </c>
      <c r="Q297" s="12" t="n"/>
    </row>
    <row r="298">
      <c r="A298" s="17" t="inlineStr">
        <is>
          <t>PASS</t>
        </is>
      </c>
      <c r="B298" s="17" t="inlineStr">
        <is>
          <t>JVST @ OHIO</t>
        </is>
      </c>
      <c r="C298" s="17" t="inlineStr">
        <is>
          <t>2026-09-12 22:00</t>
        </is>
      </c>
      <c r="D298" s="25" t="n">
        <v>2</v>
      </c>
      <c r="E298" s="17" t="inlineStr">
        <is>
          <t>TOTAL</t>
        </is>
      </c>
      <c r="F298" s="17" t="inlineStr">
        <is>
          <t>Under 50.5</t>
        </is>
      </c>
      <c r="G298" s="26" t="n">
        <v>50.5</v>
      </c>
      <c r="H298" s="18" t="n">
        <v>-105</v>
      </c>
      <c r="I298" s="20" t="n">
        <v>0.4647616764935546</v>
      </c>
      <c r="J298" s="20" t="n">
        <v>0.4891657638136511</v>
      </c>
      <c r="K298" s="20" t="n">
        <v>0.5121951219512195</v>
      </c>
      <c r="L298" s="19" t="n">
        <v>-0.04575813517130591</v>
      </c>
      <c r="M298" s="19" t="n">
        <v>-0.09260815541734579</v>
      </c>
      <c r="N298" s="20" t="n">
        <v>0</v>
      </c>
      <c r="O298" s="27" t="n">
        <v>0.725</v>
      </c>
      <c r="P298" s="17" t="inlineStr">
        <is>
          <t>DraftKings</t>
        </is>
      </c>
      <c r="Q298" s="17" t="n"/>
    </row>
    <row r="299">
      <c r="A299" s="12" t="inlineStr">
        <is>
          <t>PASS</t>
        </is>
      </c>
      <c r="B299" s="12" t="inlineStr">
        <is>
          <t>USF @ ARMY</t>
        </is>
      </c>
      <c r="C299" s="12" t="inlineStr">
        <is>
          <t>2026-09-12 16:00</t>
        </is>
      </c>
      <c r="D299" s="22" t="n">
        <v>2</v>
      </c>
      <c r="E299" s="12" t="inlineStr">
        <is>
          <t>ATS</t>
        </is>
      </c>
      <c r="F299" s="12" t="inlineStr">
        <is>
          <t>USF +3.5</t>
        </is>
      </c>
      <c r="G299" s="23" t="n">
        <v>-3.5</v>
      </c>
      <c r="H299" s="13" t="n">
        <v>-115</v>
      </c>
      <c r="I299" s="15" t="n">
        <v>0.4849772391522703</v>
      </c>
      <c r="J299" s="15" t="n">
        <v>0.5108342361863488</v>
      </c>
      <c r="K299" s="15" t="n">
        <v>0.5348837209302325</v>
      </c>
      <c r="L299" s="14" t="n">
        <v>-0.04631517119279729</v>
      </c>
      <c r="M299" s="14" t="n">
        <v>-0.09330342245445122</v>
      </c>
      <c r="N299" s="15" t="n">
        <v>0</v>
      </c>
      <c r="O299" s="24" t="n">
        <v>0.725</v>
      </c>
      <c r="P299" s="12" t="inlineStr">
        <is>
          <t>DraftKings</t>
        </is>
      </c>
      <c r="Q299" s="12" t="n"/>
    </row>
    <row r="300">
      <c r="A300" s="17" t="inlineStr">
        <is>
          <t>PASS</t>
        </is>
      </c>
      <c r="B300" s="17" t="inlineStr">
        <is>
          <t>MONM @ WMU</t>
        </is>
      </c>
      <c r="C300" s="17" t="inlineStr">
        <is>
          <t>2026-09-12 22:30</t>
        </is>
      </c>
      <c r="D300" s="25" t="n">
        <v>2</v>
      </c>
      <c r="E300" s="17" t="inlineStr">
        <is>
          <t>TOTAL</t>
        </is>
      </c>
      <c r="F300" s="17" t="inlineStr">
        <is>
          <t>Over 52.5</t>
        </is>
      </c>
      <c r="G300" s="26" t="n">
        <v>52.5</v>
      </c>
      <c r="H300" s="18" t="n">
        <v>-112</v>
      </c>
      <c r="I300" s="20" t="n">
        <v>0.4782757781825704</v>
      </c>
      <c r="J300" s="20" t="n">
        <v>0.5043297540699688</v>
      </c>
      <c r="K300" s="20" t="n">
        <v>0.5283018867924528</v>
      </c>
      <c r="L300" s="19" t="n">
        <v>-0.04710630380537872</v>
      </c>
      <c r="M300" s="19" t="n">
        <v>-0.09469227701156324</v>
      </c>
      <c r="N300" s="20" t="n">
        <v>0</v>
      </c>
      <c r="O300" s="27" t="n">
        <v>0.4</v>
      </c>
      <c r="P300" s="17" t="inlineStr">
        <is>
          <t>DraftKings</t>
        </is>
      </c>
      <c r="Q300" s="17" t="inlineStr">
        <is>
          <t>MONM isn't a full FBS participant this season — model doesn't rate them reliably</t>
        </is>
      </c>
    </row>
    <row r="301">
      <c r="A301" s="12" t="inlineStr">
        <is>
          <t>PASS</t>
        </is>
      </c>
      <c r="B301" s="12" t="inlineStr">
        <is>
          <t>MD @ CONN</t>
        </is>
      </c>
      <c r="C301" s="12" t="inlineStr">
        <is>
          <t>2026-09-12 19:30</t>
        </is>
      </c>
      <c r="D301" s="22" t="n">
        <v>2</v>
      </c>
      <c r="E301" s="12" t="inlineStr">
        <is>
          <t>TOTAL</t>
        </is>
      </c>
      <c r="F301" s="12" t="inlineStr">
        <is>
          <t>Under 52.5</t>
        </is>
      </c>
      <c r="G301" s="23" t="n">
        <v>52.5</v>
      </c>
      <c r="H301" s="13" t="n">
        <v>-112</v>
      </c>
      <c r="I301" s="15" t="n">
        <v>0.4782757453259545</v>
      </c>
      <c r="J301" s="15" t="n">
        <v>0.5043297540699688</v>
      </c>
      <c r="K301" s="15" t="n">
        <v>0.5283018867924528</v>
      </c>
      <c r="L301" s="14" t="n">
        <v>-0.04710635293603661</v>
      </c>
      <c r="M301" s="14" t="n">
        <v>-0.09469233920444331</v>
      </c>
      <c r="N301" s="15" t="n">
        <v>0</v>
      </c>
      <c r="O301" s="24" t="n">
        <v>0.725</v>
      </c>
      <c r="P301" s="12" t="inlineStr">
        <is>
          <t>DraftKings</t>
        </is>
      </c>
      <c r="Q301" s="12" t="n"/>
    </row>
    <row r="302">
      <c r="A302" s="17" t="inlineStr">
        <is>
          <t>PASS</t>
        </is>
      </c>
      <c r="B302" s="17" t="inlineStr">
        <is>
          <t>MSST @ SC</t>
        </is>
      </c>
      <c r="C302" s="17" t="inlineStr">
        <is>
          <t>2026-09-19 20:15</t>
        </is>
      </c>
      <c r="D302" s="25" t="n">
        <v>3</v>
      </c>
      <c r="E302" s="17" t="inlineStr">
        <is>
          <t>ML</t>
        </is>
      </c>
      <c r="F302" s="17" t="inlineStr">
        <is>
          <t>SC ML</t>
        </is>
      </c>
      <c r="G302" s="26" t="n"/>
      <c r="H302" s="18" t="n">
        <v>-298</v>
      </c>
      <c r="I302" s="20" t="n">
        <v>0.6799505312959013</v>
      </c>
      <c r="J302" s="20" t="n">
        <v>0.7179705215419501</v>
      </c>
      <c r="K302" s="20" t="n">
        <v>0.7487437185929648</v>
      </c>
      <c r="L302" s="19" t="n">
        <v>-0.04807569440677664</v>
      </c>
      <c r="M302" s="19" t="n">
        <v>-0.09187814947728612</v>
      </c>
      <c r="N302" s="20" t="n">
        <v>0</v>
      </c>
      <c r="O302" s="27" t="n">
        <v>0.725</v>
      </c>
      <c r="P302" s="17" t="inlineStr">
        <is>
          <t>DraftKings</t>
        </is>
      </c>
      <c r="Q302" s="17" t="n"/>
    </row>
    <row r="303">
      <c r="A303" s="12" t="inlineStr">
        <is>
          <t>PASS</t>
        </is>
      </c>
      <c r="B303" s="12" t="inlineStr">
        <is>
          <t>APP @ ECU</t>
        </is>
      </c>
      <c r="C303" s="12" t="inlineStr">
        <is>
          <t>2026-09-12 16:00</t>
        </is>
      </c>
      <c r="D303" s="22" t="n">
        <v>2</v>
      </c>
      <c r="E303" s="12" t="inlineStr">
        <is>
          <t>ML</t>
        </is>
      </c>
      <c r="F303" s="12" t="inlineStr">
        <is>
          <t>ECU ML</t>
        </is>
      </c>
      <c r="G303" s="23" t="n"/>
      <c r="H303" s="13" t="n">
        <v>-265</v>
      </c>
      <c r="I303" s="15" t="n">
        <v>0.6588849406015931</v>
      </c>
      <c r="J303" s="15" t="n">
        <v>0.6957699520733487</v>
      </c>
      <c r="K303" s="15" t="n">
        <v>0.726027397260274</v>
      </c>
      <c r="L303" s="14" t="n">
        <v>-0.04811914100887632</v>
      </c>
      <c r="M303" s="14" t="n">
        <v>-0.09247923275629633</v>
      </c>
      <c r="N303" s="15" t="n">
        <v>0</v>
      </c>
      <c r="O303" s="24" t="n">
        <v>0.725</v>
      </c>
      <c r="P303" s="12" t="inlineStr">
        <is>
          <t>DraftKings</t>
        </is>
      </c>
      <c r="Q303" s="12" t="n"/>
    </row>
    <row r="304">
      <c r="A304" s="17" t="inlineStr">
        <is>
          <t>PASS</t>
        </is>
      </c>
      <c r="B304" s="17" t="inlineStr">
        <is>
          <t>UCF @ PITT</t>
        </is>
      </c>
      <c r="C304" s="17" t="inlineStr">
        <is>
          <t>2026-09-12 19:30</t>
        </is>
      </c>
      <c r="D304" s="25" t="n">
        <v>2</v>
      </c>
      <c r="E304" s="17" t="inlineStr">
        <is>
          <t>ML</t>
        </is>
      </c>
      <c r="F304" s="17" t="inlineStr">
        <is>
          <t>PITT ML</t>
        </is>
      </c>
      <c r="G304" s="26" t="n"/>
      <c r="H304" s="18" t="n">
        <v>-270</v>
      </c>
      <c r="I304" s="20" t="n">
        <v>0.6620436746639622</v>
      </c>
      <c r="J304" s="20" t="n">
        <v>0.7001620745542949</v>
      </c>
      <c r="K304" s="20" t="n">
        <v>0.7297297297297297</v>
      </c>
      <c r="L304" s="19" t="n">
        <v>-0.04917342204670326</v>
      </c>
      <c r="M304" s="19" t="n">
        <v>-0.09275496434938524</v>
      </c>
      <c r="N304" s="20" t="n">
        <v>0</v>
      </c>
      <c r="O304" s="27" t="n">
        <v>0.725</v>
      </c>
      <c r="P304" s="17" t="inlineStr">
        <is>
          <t>DraftKings</t>
        </is>
      </c>
      <c r="Q304" s="17" t="n"/>
    </row>
    <row r="305">
      <c r="A305" s="12" t="inlineStr">
        <is>
          <t>PASS</t>
        </is>
      </c>
      <c r="B305" s="12" t="inlineStr">
        <is>
          <t>MIA @ WAKE</t>
        </is>
      </c>
      <c r="C305" s="12" t="inlineStr">
        <is>
          <t>2026-09-18 23:30</t>
        </is>
      </c>
      <c r="D305" s="22" t="n">
        <v>3</v>
      </c>
      <c r="E305" s="12" t="inlineStr">
        <is>
          <t>TOTAL</t>
        </is>
      </c>
      <c r="F305" s="12" t="inlineStr">
        <is>
          <t>Over 52.5</t>
        </is>
      </c>
      <c r="G305" s="23" t="n">
        <v>52.5</v>
      </c>
      <c r="H305" s="13" t="n">
        <v>-112</v>
      </c>
      <c r="I305" s="15" t="n">
        <v>0.4762957865354402</v>
      </c>
      <c r="J305" s="15" t="n">
        <v>0.5043297540699688</v>
      </c>
      <c r="K305" s="15" t="n">
        <v>0.5283018867924528</v>
      </c>
      <c r="L305" s="14" t="n">
        <v>-0.05000592689159239</v>
      </c>
      <c r="M305" s="14" t="n">
        <v>-0.09844011834363098</v>
      </c>
      <c r="N305" s="15" t="n">
        <v>0</v>
      </c>
      <c r="O305" s="24" t="n">
        <v>0.725</v>
      </c>
      <c r="P305" s="12" t="inlineStr">
        <is>
          <t>DraftKings</t>
        </is>
      </c>
      <c r="Q305" s="12" t="n"/>
    </row>
    <row r="306">
      <c r="A306" s="17" t="inlineStr">
        <is>
          <t>PASS</t>
        </is>
      </c>
      <c r="B306" s="17" t="inlineStr">
        <is>
          <t>ARIZ @ BYU</t>
        </is>
      </c>
      <c r="C306" s="17" t="inlineStr">
        <is>
          <t>2026-09-12 19:30</t>
        </is>
      </c>
      <c r="D306" s="25" t="n">
        <v>2</v>
      </c>
      <c r="E306" s="17" t="inlineStr">
        <is>
          <t>ML</t>
        </is>
      </c>
      <c r="F306" s="17" t="inlineStr">
        <is>
          <t>BYU ML</t>
        </is>
      </c>
      <c r="G306" s="26" t="n"/>
      <c r="H306" s="18" t="n">
        <v>-305</v>
      </c>
      <c r="I306" s="20" t="n">
        <v>0.6815987262887748</v>
      </c>
      <c r="J306" s="20" t="n">
        <v>0.7220792588780237</v>
      </c>
      <c r="K306" s="20" t="n">
        <v>0.7530864197530864</v>
      </c>
      <c r="L306" s="19" t="n">
        <v>-0.0503480406105517</v>
      </c>
      <c r="M306" s="19" t="n">
        <v>-0.09492628148539739</v>
      </c>
      <c r="N306" s="20" t="n">
        <v>0</v>
      </c>
      <c r="O306" s="27" t="n">
        <v>0.725</v>
      </c>
      <c r="P306" s="17" t="inlineStr">
        <is>
          <t>DraftKings</t>
        </is>
      </c>
      <c r="Q306" s="17" t="n"/>
    </row>
    <row r="307">
      <c r="A307" s="12" t="inlineStr">
        <is>
          <t>PASS</t>
        </is>
      </c>
      <c r="B307" s="12" t="inlineStr">
        <is>
          <t>RUTG @ BC</t>
        </is>
      </c>
      <c r="C307" s="12" t="inlineStr">
        <is>
          <t>2026-09-11 23:30</t>
        </is>
      </c>
      <c r="D307" s="22" t="n">
        <v>2</v>
      </c>
      <c r="E307" s="12" t="inlineStr">
        <is>
          <t>ATS</t>
        </is>
      </c>
      <c r="F307" s="12" t="inlineStr">
        <is>
          <t>RUTG +3.5</t>
        </is>
      </c>
      <c r="G307" s="23" t="n">
        <v>-3.5</v>
      </c>
      <c r="H307" s="13" t="n">
        <v>-118</v>
      </c>
      <c r="I307" s="15" t="n">
        <v>0.4858029366546522</v>
      </c>
      <c r="J307" s="15" t="n">
        <v>0.5173641257162701</v>
      </c>
      <c r="K307" s="15" t="n">
        <v>0.5412844036697247</v>
      </c>
      <c r="L307" s="14" t="n">
        <v>-0.05380406940229892</v>
      </c>
      <c r="M307" s="14" t="n">
        <v>-0.1024996594007272</v>
      </c>
      <c r="N307" s="15" t="n">
        <v>0</v>
      </c>
      <c r="O307" s="24" t="n">
        <v>0.725</v>
      </c>
      <c r="P307" s="12" t="inlineStr">
        <is>
          <t>DraftKings</t>
        </is>
      </c>
      <c r="Q307" s="12" t="n"/>
    </row>
    <row r="308">
      <c r="A308" s="17" t="inlineStr">
        <is>
          <t>PASS</t>
        </is>
      </c>
      <c r="B308" s="17" t="inlineStr">
        <is>
          <t>JVST @ OHIO</t>
        </is>
      </c>
      <c r="C308" s="17" t="inlineStr">
        <is>
          <t>2026-09-12 22:00</t>
        </is>
      </c>
      <c r="D308" s="25" t="n">
        <v>2</v>
      </c>
      <c r="E308" s="17" t="inlineStr">
        <is>
          <t>ATS</t>
        </is>
      </c>
      <c r="F308" s="17" t="inlineStr">
        <is>
          <t>JVST +2.5</t>
        </is>
      </c>
      <c r="G308" s="26" t="n">
        <v>-2.5</v>
      </c>
      <c r="H308" s="18" t="n">
        <v>-108</v>
      </c>
      <c r="I308" s="20" t="n">
        <v>0.4653670109059815</v>
      </c>
      <c r="J308" s="20" t="n">
        <v>0.4956702459300312</v>
      </c>
      <c r="K308" s="20" t="n">
        <v>0.5192307692307693</v>
      </c>
      <c r="L308" s="19" t="n">
        <v>-0.05389369528697482</v>
      </c>
      <c r="M308" s="19" t="n">
        <v>-0.103737608625517</v>
      </c>
      <c r="N308" s="20" t="n">
        <v>0</v>
      </c>
      <c r="O308" s="27" t="n">
        <v>0.725</v>
      </c>
      <c r="P308" s="17" t="inlineStr">
        <is>
          <t>DraftKings</t>
        </is>
      </c>
      <c r="Q308" s="17" t="n"/>
    </row>
    <row r="309">
      <c r="A309" s="12" t="inlineStr">
        <is>
          <t>PASS</t>
        </is>
      </c>
      <c r="B309" s="12" t="inlineStr">
        <is>
          <t>ULM @ UAB</t>
        </is>
      </c>
      <c r="C309" s="12" t="inlineStr">
        <is>
          <t>2026-09-12 19:30</t>
        </is>
      </c>
      <c r="D309" s="22" t="n">
        <v>2</v>
      </c>
      <c r="E309" s="12" t="inlineStr">
        <is>
          <t>ML</t>
        </is>
      </c>
      <c r="F309" s="12" t="inlineStr">
        <is>
          <t>UAB ML</t>
        </is>
      </c>
      <c r="G309" s="23" t="n"/>
      <c r="H309" s="13" t="n">
        <v>-375</v>
      </c>
      <c r="I309" s="15" t="n">
        <v>0.7096117024096339</v>
      </c>
      <c r="J309" s="15" t="n">
        <v>0.7571884984025559</v>
      </c>
      <c r="K309" s="15" t="n">
        <v>0.7894736842105263</v>
      </c>
      <c r="L309" s="14" t="n">
        <v>-0.05503328911592583</v>
      </c>
      <c r="M309" s="14" t="n">
        <v>-0.1011585102811304</v>
      </c>
      <c r="N309" s="15" t="n">
        <v>0</v>
      </c>
      <c r="O309" s="24" t="n">
        <v>0.725</v>
      </c>
      <c r="P309" s="12" t="inlineStr">
        <is>
          <t>DraftKings</t>
        </is>
      </c>
      <c r="Q309" s="12" t="n"/>
    </row>
    <row r="310">
      <c r="A310" s="17" t="inlineStr">
        <is>
          <t>PASS</t>
        </is>
      </c>
      <c r="B310" s="17" t="inlineStr">
        <is>
          <t>GAST @ KENN</t>
        </is>
      </c>
      <c r="C310" s="17" t="inlineStr">
        <is>
          <t>2026-09-12 23:00</t>
        </is>
      </c>
      <c r="D310" s="25" t="n">
        <v>2</v>
      </c>
      <c r="E310" s="17" t="inlineStr">
        <is>
          <t>TOTAL</t>
        </is>
      </c>
      <c r="F310" s="17" t="inlineStr">
        <is>
          <t>Over 54.5</t>
        </is>
      </c>
      <c r="G310" s="26" t="n">
        <v>54.5</v>
      </c>
      <c r="H310" s="18" t="n">
        <v>-112</v>
      </c>
      <c r="I310" s="20" t="n">
        <v>0.4723437022155413</v>
      </c>
      <c r="J310" s="20" t="n">
        <v>0.5043297540699688</v>
      </c>
      <c r="K310" s="20" t="n">
        <v>0.5283018867924528</v>
      </c>
      <c r="L310" s="19" t="n">
        <v>-0.05542348906997872</v>
      </c>
      <c r="M310" s="19" t="n">
        <v>-0.1059208493777254</v>
      </c>
      <c r="N310" s="20" t="n">
        <v>0</v>
      </c>
      <c r="O310" s="27" t="n">
        <v>0.725</v>
      </c>
      <c r="P310" s="17" t="inlineStr">
        <is>
          <t>DraftKings</t>
        </is>
      </c>
      <c r="Q310" s="17" t="n"/>
    </row>
    <row r="311">
      <c r="A311" s="12" t="inlineStr">
        <is>
          <t>PASS</t>
        </is>
      </c>
      <c r="B311" s="12" t="inlineStr">
        <is>
          <t>EMU @ MSU</t>
        </is>
      </c>
      <c r="C311" s="12" t="inlineStr">
        <is>
          <t>2026-09-12 19:30</t>
        </is>
      </c>
      <c r="D311" s="22" t="n">
        <v>2</v>
      </c>
      <c r="E311" s="12" t="inlineStr">
        <is>
          <t>TOTAL</t>
        </is>
      </c>
      <c r="F311" s="12" t="inlineStr">
        <is>
          <t>Under 49.5</t>
        </is>
      </c>
      <c r="G311" s="23" t="n">
        <v>49.5</v>
      </c>
      <c r="H311" s="13" t="n">
        <v>-105</v>
      </c>
      <c r="I311" s="15" t="n">
        <v>0.456894612227813</v>
      </c>
      <c r="J311" s="15" t="n">
        <v>0.4891657638136511</v>
      </c>
      <c r="K311" s="15" t="n">
        <v>0.5121951219512195</v>
      </c>
      <c r="L311" s="14" t="n">
        <v>-0.05707854983245163</v>
      </c>
      <c r="M311" s="14" t="n">
        <v>-0.1079676618409365</v>
      </c>
      <c r="N311" s="15" t="n">
        <v>0</v>
      </c>
      <c r="O311" s="24" t="n">
        <v>0.725</v>
      </c>
      <c r="P311" s="12" t="inlineStr">
        <is>
          <t>DraftKings</t>
        </is>
      </c>
      <c r="Q311" s="12" t="n"/>
    </row>
    <row r="312">
      <c r="A312" s="17" t="inlineStr">
        <is>
          <t>PASS</t>
        </is>
      </c>
      <c r="B312" s="17" t="inlineStr">
        <is>
          <t>SDSU @ UCLA</t>
        </is>
      </c>
      <c r="C312" s="17" t="inlineStr">
        <is>
          <t>2026-09-12 23:15</t>
        </is>
      </c>
      <c r="D312" s="25" t="n">
        <v>2</v>
      </c>
      <c r="E312" s="17" t="inlineStr">
        <is>
          <t>TOTAL</t>
        </is>
      </c>
      <c r="F312" s="17" t="inlineStr">
        <is>
          <t>Over 54.5</t>
        </is>
      </c>
      <c r="G312" s="26" t="n">
        <v>54.5</v>
      </c>
      <c r="H312" s="18" t="n">
        <v>-120</v>
      </c>
      <c r="I312" s="20" t="n">
        <v>0.4869804498847638</v>
      </c>
      <c r="J312" s="20" t="n">
        <v>0.5217391304347826</v>
      </c>
      <c r="K312" s="20" t="n">
        <v>0.5454545454545454</v>
      </c>
      <c r="L312" s="19" t="n">
        <v>-0.05749155922722435</v>
      </c>
      <c r="M312" s="19" t="n">
        <v>-0.1072025085445997</v>
      </c>
      <c r="N312" s="20" t="n">
        <v>0</v>
      </c>
      <c r="O312" s="27" t="n">
        <v>0.725</v>
      </c>
      <c r="P312" s="17" t="inlineStr">
        <is>
          <t>DraftKings</t>
        </is>
      </c>
      <c r="Q312" s="17" t="n"/>
    </row>
    <row r="313">
      <c r="A313" s="12" t="inlineStr">
        <is>
          <t>PASS</t>
        </is>
      </c>
      <c r="B313" s="12" t="inlineStr">
        <is>
          <t>USF @ ARMY</t>
        </is>
      </c>
      <c r="C313" s="12" t="inlineStr">
        <is>
          <t>2026-09-12 16:00</t>
        </is>
      </c>
      <c r="D313" s="22" t="n">
        <v>2</v>
      </c>
      <c r="E313" s="12" t="inlineStr">
        <is>
          <t>ML</t>
        </is>
      </c>
      <c r="F313" s="12" t="inlineStr">
        <is>
          <t>USF ML</t>
        </is>
      </c>
      <c r="G313" s="23" t="n"/>
      <c r="H313" s="13" t="n">
        <v>145</v>
      </c>
      <c r="I313" s="15" t="n">
        <v>0.3643644295625144</v>
      </c>
      <c r="J313" s="15" t="n">
        <v>0.3907637655417407</v>
      </c>
      <c r="K313" s="15" t="n">
        <v>0.4081632653061225</v>
      </c>
      <c r="L313" s="14" t="n">
        <v>-0.05808216438071737</v>
      </c>
      <c r="M313" s="14" t="n">
        <v>-0.1073071475718398</v>
      </c>
      <c r="N313" s="15" t="n">
        <v>0</v>
      </c>
      <c r="O313" s="24" t="n">
        <v>0.725</v>
      </c>
      <c r="P313" s="12" t="inlineStr">
        <is>
          <t>DraftKings</t>
        </is>
      </c>
      <c r="Q313" s="12" t="n"/>
    </row>
    <row r="314">
      <c r="A314" s="17" t="inlineStr">
        <is>
          <t>PASS</t>
        </is>
      </c>
      <c r="B314" s="17" t="inlineStr">
        <is>
          <t>MEM @ BOIS</t>
        </is>
      </c>
      <c r="C314" s="17" t="inlineStr">
        <is>
          <t>2026-09-12 22:00</t>
        </is>
      </c>
      <c r="D314" s="25" t="n">
        <v>2</v>
      </c>
      <c r="E314" s="17" t="inlineStr">
        <is>
          <t>ML</t>
        </is>
      </c>
      <c r="F314" s="17" t="inlineStr">
        <is>
          <t>BOIS ML</t>
        </is>
      </c>
      <c r="G314" s="26" t="n"/>
      <c r="H314" s="18" t="n">
        <v>-325</v>
      </c>
      <c r="I314" s="20" t="n">
        <v>0.6802436392785427</v>
      </c>
      <c r="J314" s="20" t="n">
        <v>0.7335423197492164</v>
      </c>
      <c r="K314" s="20" t="n">
        <v>0.7647058823529411</v>
      </c>
      <c r="L314" s="19" t="n">
        <v>-0.06117201751315592</v>
      </c>
      <c r="M314" s="19" t="n">
        <v>-0.1104506255588288</v>
      </c>
      <c r="N314" s="20" t="n">
        <v>0</v>
      </c>
      <c r="O314" s="27" t="n">
        <v>0.725</v>
      </c>
      <c r="P314" s="17" t="inlineStr">
        <is>
          <t>DraftKings</t>
        </is>
      </c>
      <c r="Q314" s="17" t="n"/>
    </row>
    <row r="315">
      <c r="A315" s="12" t="inlineStr">
        <is>
          <t>PASS</t>
        </is>
      </c>
      <c r="B315" s="12" t="inlineStr">
        <is>
          <t>SYR @ PITT</t>
        </is>
      </c>
      <c r="C315" s="12" t="inlineStr">
        <is>
          <t>2026-09-17 23:30</t>
        </is>
      </c>
      <c r="D315" s="22" t="n">
        <v>3</v>
      </c>
      <c r="E315" s="12" t="inlineStr">
        <is>
          <t>ML</t>
        </is>
      </c>
      <c r="F315" s="12" t="inlineStr">
        <is>
          <t>PITT ML</t>
        </is>
      </c>
      <c r="G315" s="23" t="n"/>
      <c r="H315" s="13" t="n">
        <v>-375</v>
      </c>
      <c r="I315" s="15" t="n">
        <v>0.7007762243076131</v>
      </c>
      <c r="J315" s="15" t="n">
        <v>0.7571884984025559</v>
      </c>
      <c r="K315" s="15" t="n">
        <v>0.7894736842105263</v>
      </c>
      <c r="L315" s="14" t="n">
        <v>-0.06223740096363912</v>
      </c>
      <c r="M315" s="14" t="n">
        <v>-0.1123501158770235</v>
      </c>
      <c r="N315" s="15" t="n">
        <v>0</v>
      </c>
      <c r="O315" s="24" t="n">
        <v>0.725</v>
      </c>
      <c r="P315" s="12" t="inlineStr">
        <is>
          <t>DraftKings</t>
        </is>
      </c>
      <c r="Q315" s="12" t="n"/>
    </row>
    <row r="316">
      <c r="A316" s="17" t="inlineStr">
        <is>
          <t>PASS</t>
        </is>
      </c>
      <c r="B316" s="17" t="inlineStr">
        <is>
          <t>SDSU @ UCLA</t>
        </is>
      </c>
      <c r="C316" s="17" t="inlineStr">
        <is>
          <t>2026-09-12 23:15</t>
        </is>
      </c>
      <c r="D316" s="25" t="n">
        <v>2</v>
      </c>
      <c r="E316" s="17" t="inlineStr">
        <is>
          <t>ML</t>
        </is>
      </c>
      <c r="F316" s="17" t="inlineStr">
        <is>
          <t>UCLA ML</t>
        </is>
      </c>
      <c r="G316" s="26" t="n"/>
      <c r="H316" s="18" t="n">
        <v>-500</v>
      </c>
      <c r="I316" s="20" t="n">
        <v>0.7389071013728021</v>
      </c>
      <c r="J316" s="20" t="n">
        <v>0.7999999999999999</v>
      </c>
      <c r="K316" s="20" t="n">
        <v>0.8333333333333334</v>
      </c>
      <c r="L316" s="19" t="n">
        <v>-0.06328765280334503</v>
      </c>
      <c r="M316" s="19" t="n">
        <v>-0.1133114783526374</v>
      </c>
      <c r="N316" s="20" t="n">
        <v>0</v>
      </c>
      <c r="O316" s="27" t="n">
        <v>0.725</v>
      </c>
      <c r="P316" s="17" t="inlineStr">
        <is>
          <t>DraftKings</t>
        </is>
      </c>
      <c r="Q316" s="17" t="inlineStr">
        <is>
          <t>price outside allowed range</t>
        </is>
      </c>
    </row>
    <row r="317">
      <c r="A317" s="12" t="inlineStr">
        <is>
          <t>PASS</t>
        </is>
      </c>
      <c r="B317" s="12" t="inlineStr">
        <is>
          <t>TOW @ SC</t>
        </is>
      </c>
      <c r="C317" s="12" t="inlineStr">
        <is>
          <t>2026-09-12 23:00</t>
        </is>
      </c>
      <c r="D317" s="22" t="n">
        <v>2</v>
      </c>
      <c r="E317" s="12" t="inlineStr">
        <is>
          <t>TOTAL</t>
        </is>
      </c>
      <c r="F317" s="12" t="inlineStr">
        <is>
          <t>Over 54.5</t>
        </is>
      </c>
      <c r="G317" s="23" t="n">
        <v>54.5</v>
      </c>
      <c r="H317" s="13" t="n">
        <v>-115</v>
      </c>
      <c r="I317" s="15" t="n">
        <v>0.4716557241546013</v>
      </c>
      <c r="J317" s="15" t="n">
        <v>0.5108342361863488</v>
      </c>
      <c r="K317" s="15" t="n">
        <v>0.5348837209302325</v>
      </c>
      <c r="L317" s="14" t="n">
        <v>-0.06347023826614301</v>
      </c>
      <c r="M317" s="14" t="n">
        <v>-0.1182088635370497</v>
      </c>
      <c r="N317" s="15" t="n">
        <v>0</v>
      </c>
      <c r="O317" s="24" t="n">
        <v>0.725</v>
      </c>
      <c r="P317" s="12" t="inlineStr">
        <is>
          <t>DraftKings</t>
        </is>
      </c>
      <c r="Q317" s="12" t="inlineStr">
        <is>
          <t>TOW isn't a full FBS participant this season — model doesn't rate them reliably</t>
        </is>
      </c>
    </row>
    <row r="318">
      <c r="A318" s="17" t="inlineStr">
        <is>
          <t>PASS</t>
        </is>
      </c>
      <c r="B318" s="17" t="inlineStr">
        <is>
          <t>GRAM @ TCU</t>
        </is>
      </c>
      <c r="C318" s="17" t="inlineStr">
        <is>
          <t>2026-09-13 00:00</t>
        </is>
      </c>
      <c r="D318" s="25" t="n">
        <v>2</v>
      </c>
      <c r="E318" s="17" t="inlineStr">
        <is>
          <t>TOTAL</t>
        </is>
      </c>
      <c r="F318" s="17" t="inlineStr">
        <is>
          <t>Over 54.5</t>
        </is>
      </c>
      <c r="G318" s="26" t="n">
        <v>54.5</v>
      </c>
      <c r="H318" s="18" t="n">
        <v>-105</v>
      </c>
      <c r="I318" s="20" t="n">
        <v>0.4510328207017597</v>
      </c>
      <c r="J318" s="20" t="n">
        <v>0.4891657638136511</v>
      </c>
      <c r="K318" s="20" t="n">
        <v>0.5121951219512195</v>
      </c>
      <c r="L318" s="19" t="n">
        <v>-0.06416159074769293</v>
      </c>
      <c r="M318" s="19" t="n">
        <v>-0.1194121119632312</v>
      </c>
      <c r="N318" s="20" t="n">
        <v>0</v>
      </c>
      <c r="O318" s="27" t="n">
        <v>0.4</v>
      </c>
      <c r="P318" s="17" t="inlineStr">
        <is>
          <t>DraftKings</t>
        </is>
      </c>
      <c r="Q318" s="17" t="inlineStr">
        <is>
          <t>GRAM isn't a full FBS participant this season — model doesn't rate them reliably</t>
        </is>
      </c>
    </row>
    <row r="319">
      <c r="A319" s="12" t="inlineStr">
        <is>
          <t>PASS</t>
        </is>
      </c>
      <c r="B319" s="12" t="inlineStr">
        <is>
          <t>UTSA @ TXST</t>
        </is>
      </c>
      <c r="C319" s="12" t="inlineStr">
        <is>
          <t>2026-09-12 19:30</t>
        </is>
      </c>
      <c r="D319" s="22" t="n">
        <v>2</v>
      </c>
      <c r="E319" s="12" t="inlineStr">
        <is>
          <t>ATS</t>
        </is>
      </c>
      <c r="F319" s="12" t="inlineStr">
        <is>
          <t>UTSA +1.5</t>
        </is>
      </c>
      <c r="G319" s="23" t="n">
        <v>-1.5</v>
      </c>
      <c r="H319" s="13" t="n">
        <v>-108</v>
      </c>
      <c r="I319" s="15" t="n">
        <v>0.4561492677271386</v>
      </c>
      <c r="J319" s="15" t="n">
        <v>0.4956702459300312</v>
      </c>
      <c r="K319" s="15" t="n">
        <v>0.5192307692307693</v>
      </c>
      <c r="L319" s="14" t="n">
        <v>-0.06511603789748256</v>
      </c>
      <c r="M319" s="14" t="n">
        <v>-0.1214902991921775</v>
      </c>
      <c r="N319" s="15" t="n">
        <v>0</v>
      </c>
      <c r="O319" s="24" t="n">
        <v>0.725</v>
      </c>
      <c r="P319" s="12" t="inlineStr">
        <is>
          <t>DraftKings</t>
        </is>
      </c>
      <c r="Q319" s="12" t="n"/>
    </row>
    <row r="320">
      <c r="A320" s="17" t="inlineStr">
        <is>
          <t>PASS</t>
        </is>
      </c>
      <c r="B320" s="17" t="inlineStr">
        <is>
          <t>USA @ TULN</t>
        </is>
      </c>
      <c r="C320" s="17" t="inlineStr">
        <is>
          <t>2026-09-12 23:00</t>
        </is>
      </c>
      <c r="D320" s="25" t="n">
        <v>2</v>
      </c>
      <c r="E320" s="17" t="inlineStr">
        <is>
          <t>ML</t>
        </is>
      </c>
      <c r="F320" s="17" t="inlineStr">
        <is>
          <t>TULN ML</t>
        </is>
      </c>
      <c r="G320" s="26" t="n"/>
      <c r="H320" s="18" t="n">
        <v>-395</v>
      </c>
      <c r="I320" s="20" t="n">
        <v>0.704322194785691</v>
      </c>
      <c r="J320" s="20" t="n">
        <v>0.7659021045164341</v>
      </c>
      <c r="K320" s="20" t="n">
        <v>0.797979797979798</v>
      </c>
      <c r="L320" s="19" t="n">
        <v>-0.06546923214028683</v>
      </c>
      <c r="M320" s="19" t="n">
        <v>-0.1173683888128682</v>
      </c>
      <c r="N320" s="20" t="n">
        <v>0</v>
      </c>
      <c r="O320" s="27" t="n">
        <v>0.725</v>
      </c>
      <c r="P320" s="17" t="inlineStr">
        <is>
          <t>DraftKings</t>
        </is>
      </c>
      <c r="Q320" s="17" t="n"/>
    </row>
    <row r="321">
      <c r="A321" s="12" t="inlineStr">
        <is>
          <t>PASS</t>
        </is>
      </c>
      <c r="B321" s="12" t="inlineStr">
        <is>
          <t>BUFF @ FIU</t>
        </is>
      </c>
      <c r="C321" s="12" t="inlineStr">
        <is>
          <t>2026-09-12 22:00</t>
        </is>
      </c>
      <c r="D321" s="22" t="n">
        <v>2</v>
      </c>
      <c r="E321" s="12" t="inlineStr">
        <is>
          <t>ML</t>
        </is>
      </c>
      <c r="F321" s="12" t="inlineStr">
        <is>
          <t>FIU ML</t>
        </is>
      </c>
      <c r="G321" s="23" t="n"/>
      <c r="H321" s="13" t="n">
        <v>-440</v>
      </c>
      <c r="I321" s="15" t="n">
        <v>0.7179739338063564</v>
      </c>
      <c r="J321" s="15" t="n">
        <v>0.7819063004846527</v>
      </c>
      <c r="K321" s="15" t="n">
        <v>0.8148148148148148</v>
      </c>
      <c r="L321" s="14" t="n">
        <v>-0.06617781962937851</v>
      </c>
      <c r="M321" s="14" t="n">
        <v>-0.1188501721467443</v>
      </c>
      <c r="N321" s="15" t="n">
        <v>0</v>
      </c>
      <c r="O321" s="24" t="n">
        <v>0.725</v>
      </c>
      <c r="P321" s="12" t="inlineStr">
        <is>
          <t>DraftKings</t>
        </is>
      </c>
      <c r="Q321" s="12" t="inlineStr">
        <is>
          <t>price outside allowed range</t>
        </is>
      </c>
    </row>
    <row r="322">
      <c r="A322" s="17" t="inlineStr">
        <is>
          <t>PASS</t>
        </is>
      </c>
      <c r="B322" s="17" t="inlineStr">
        <is>
          <t>UCF @ PITT</t>
        </is>
      </c>
      <c r="C322" s="17" t="inlineStr">
        <is>
          <t>2026-09-12 19:30</t>
        </is>
      </c>
      <c r="D322" s="25" t="n">
        <v>2</v>
      </c>
      <c r="E322" s="17" t="inlineStr">
        <is>
          <t>TOTAL</t>
        </is>
      </c>
      <c r="F322" s="17" t="inlineStr">
        <is>
          <t>Over 56.5</t>
        </is>
      </c>
      <c r="G322" s="26" t="n">
        <v>56.5</v>
      </c>
      <c r="H322" s="18" t="n">
        <v>-112</v>
      </c>
      <c r="I322" s="20" t="n">
        <v>0.4625187187278635</v>
      </c>
      <c r="J322" s="20" t="n">
        <v>0.5043297540699688</v>
      </c>
      <c r="K322" s="20" t="n">
        <v>0.5283018867924528</v>
      </c>
      <c r="L322" s="19" t="n">
        <v>-0.066759433169868</v>
      </c>
      <c r="M322" s="19" t="n">
        <v>-0.1245181395508299</v>
      </c>
      <c r="N322" s="20" t="n">
        <v>0</v>
      </c>
      <c r="O322" s="27" t="n">
        <v>0.725</v>
      </c>
      <c r="P322" s="17" t="inlineStr">
        <is>
          <t>DraftKings</t>
        </is>
      </c>
      <c r="Q322" s="17" t="n"/>
    </row>
    <row r="323">
      <c r="A323" s="12" t="inlineStr">
        <is>
          <t>PASS</t>
        </is>
      </c>
      <c r="B323" s="12" t="inlineStr">
        <is>
          <t>WVU @ UVA</t>
        </is>
      </c>
      <c r="C323" s="12" t="inlineStr">
        <is>
          <t>2026-09-19 23:30</t>
        </is>
      </c>
      <c r="D323" s="22" t="n">
        <v>3</v>
      </c>
      <c r="E323" s="12" t="inlineStr">
        <is>
          <t>ML</t>
        </is>
      </c>
      <c r="F323" s="12" t="inlineStr">
        <is>
          <t>UVA ML</t>
        </is>
      </c>
      <c r="G323" s="23" t="n"/>
      <c r="H323" s="13" t="n">
        <v>-298</v>
      </c>
      <c r="I323" s="15" t="n">
        <v>0.6581883564831725</v>
      </c>
      <c r="J323" s="15" t="n">
        <v>0.7179705215419501</v>
      </c>
      <c r="K323" s="15" t="n">
        <v>0.7487437185929648</v>
      </c>
      <c r="L323" s="14" t="n">
        <v>-0.06694183663652241</v>
      </c>
      <c r="M323" s="14" t="n">
        <v>-0.1209430675157629</v>
      </c>
      <c r="N323" s="15" t="n">
        <v>0</v>
      </c>
      <c r="O323" s="24" t="n">
        <v>0.725</v>
      </c>
      <c r="P323" s="12" t="inlineStr">
        <is>
          <t>DraftKings</t>
        </is>
      </c>
      <c r="Q323" s="12" t="n"/>
    </row>
    <row r="324">
      <c r="A324" s="17" t="inlineStr">
        <is>
          <t>PASS</t>
        </is>
      </c>
      <c r="B324" s="17" t="inlineStr">
        <is>
          <t>WAG @ JMU</t>
        </is>
      </c>
      <c r="C324" s="17" t="inlineStr">
        <is>
          <t>2026-09-12 19:30</t>
        </is>
      </c>
      <c r="D324" s="25" t="n">
        <v>2</v>
      </c>
      <c r="E324" s="17" t="inlineStr">
        <is>
          <t>TOTAL</t>
        </is>
      </c>
      <c r="F324" s="17" t="inlineStr">
        <is>
          <t>Over 54.5</t>
        </is>
      </c>
      <c r="G324" s="26" t="n">
        <v>54.5</v>
      </c>
      <c r="H324" s="18" t="n">
        <v>-115</v>
      </c>
      <c r="I324" s="20" t="n">
        <v>0.4677288898119834</v>
      </c>
      <c r="J324" s="20" t="n">
        <v>0.5108342361863488</v>
      </c>
      <c r="K324" s="20" t="n">
        <v>0.5348837209302325</v>
      </c>
      <c r="L324" s="19" t="n">
        <v>-0.06749944951365155</v>
      </c>
      <c r="M324" s="19" t="n">
        <v>-0.125550336438466</v>
      </c>
      <c r="N324" s="20" t="n">
        <v>0</v>
      </c>
      <c r="O324" s="27" t="n">
        <v>0.4</v>
      </c>
      <c r="P324" s="17" t="inlineStr">
        <is>
          <t>DraftKings</t>
        </is>
      </c>
      <c r="Q324" s="17" t="inlineStr">
        <is>
          <t>WAG isn't a full FBS participant this season — model doesn't rate them reliably</t>
        </is>
      </c>
    </row>
    <row r="325">
      <c r="A325" s="12" t="inlineStr">
        <is>
          <t>PASS</t>
        </is>
      </c>
      <c r="B325" s="12" t="inlineStr">
        <is>
          <t>ARK @ UTAH</t>
        </is>
      </c>
      <c r="C325" s="12" t="inlineStr">
        <is>
          <t>2026-09-13 02:15</t>
        </is>
      </c>
      <c r="D325" s="22" t="n">
        <v>2</v>
      </c>
      <c r="E325" s="12" t="inlineStr">
        <is>
          <t>ML</t>
        </is>
      </c>
      <c r="F325" s="12" t="inlineStr">
        <is>
          <t>UTAH ML</t>
        </is>
      </c>
      <c r="G325" s="23" t="n"/>
      <c r="H325" s="13" t="n">
        <v>-520</v>
      </c>
      <c r="I325" s="15" t="n">
        <v>0.7363367988566363</v>
      </c>
      <c r="J325" s="15" t="n">
        <v>0.8042929292929294</v>
      </c>
      <c r="K325" s="15" t="n">
        <v>0.8387096774193549</v>
      </c>
      <c r="L325" s="14" t="n">
        <v>-0.06755362938362248</v>
      </c>
      <c r="M325" s="14" t="n">
        <v>-0.1220599705940106</v>
      </c>
      <c r="N325" s="15" t="n">
        <v>0</v>
      </c>
      <c r="O325" s="24" t="n">
        <v>0.725</v>
      </c>
      <c r="P325" s="12" t="inlineStr">
        <is>
          <t>DraftKings</t>
        </is>
      </c>
      <c r="Q325" s="12" t="inlineStr">
        <is>
          <t>price outside allowed range</t>
        </is>
      </c>
    </row>
    <row r="326">
      <c r="A326" s="17" t="inlineStr">
        <is>
          <t>PASS</t>
        </is>
      </c>
      <c r="B326" s="17" t="inlineStr">
        <is>
          <t>JVST @ OHIO</t>
        </is>
      </c>
      <c r="C326" s="17" t="inlineStr">
        <is>
          <t>2026-09-12 22:00</t>
        </is>
      </c>
      <c r="D326" s="25" t="n">
        <v>2</v>
      </c>
      <c r="E326" s="17" t="inlineStr">
        <is>
          <t>ML</t>
        </is>
      </c>
      <c r="F326" s="17" t="inlineStr">
        <is>
          <t>JVST ML</t>
        </is>
      </c>
      <c r="G326" s="26" t="n"/>
      <c r="H326" s="18" t="n">
        <v>114</v>
      </c>
      <c r="I326" s="20" t="n">
        <v>0.4105328365596489</v>
      </c>
      <c r="J326" s="20" t="n">
        <v>0.448558885283451</v>
      </c>
      <c r="K326" s="20" t="n">
        <v>0.4672897196261682</v>
      </c>
      <c r="L326" s="19" t="n">
        <v>-0.06769276666487938</v>
      </c>
      <c r="M326" s="19" t="n">
        <v>-0.1214597297623515</v>
      </c>
      <c r="N326" s="20" t="n">
        <v>0</v>
      </c>
      <c r="O326" s="27" t="n">
        <v>0.725</v>
      </c>
      <c r="P326" s="17" t="inlineStr">
        <is>
          <t>DraftKings</t>
        </is>
      </c>
      <c r="Q326" s="17" t="n"/>
    </row>
    <row r="327">
      <c r="A327" s="12" t="inlineStr">
        <is>
          <t>PASS</t>
        </is>
      </c>
      <c r="B327" s="12" t="inlineStr">
        <is>
          <t>VILL @ LOU</t>
        </is>
      </c>
      <c r="C327" s="12" t="inlineStr">
        <is>
          <t>2026-09-11 23:00</t>
        </is>
      </c>
      <c r="D327" s="22" t="n">
        <v>2</v>
      </c>
      <c r="E327" s="12" t="inlineStr">
        <is>
          <t>TOTAL</t>
        </is>
      </c>
      <c r="F327" s="12" t="inlineStr">
        <is>
          <t>Over 56.5</t>
        </is>
      </c>
      <c r="G327" s="23" t="n">
        <v>56.5</v>
      </c>
      <c r="H327" s="13" t="n">
        <v>-108</v>
      </c>
      <c r="I327" s="15" t="n">
        <v>0.4523394369189093</v>
      </c>
      <c r="J327" s="15" t="n">
        <v>0.4956702459300312</v>
      </c>
      <c r="K327" s="15" t="n">
        <v>0.5192307692307693</v>
      </c>
      <c r="L327" s="14" t="n">
        <v>-0.06896906190625647</v>
      </c>
      <c r="M327" s="14" t="n">
        <v>-0.1288277511191376</v>
      </c>
      <c r="N327" s="15" t="n">
        <v>0</v>
      </c>
      <c r="O327" s="24" t="n">
        <v>0.4</v>
      </c>
      <c r="P327" s="12" t="inlineStr">
        <is>
          <t>DraftKings</t>
        </is>
      </c>
      <c r="Q327" s="12" t="inlineStr">
        <is>
          <t>VILL isn't a full FBS participant this season — model doesn't rate them reliably</t>
        </is>
      </c>
    </row>
    <row r="328">
      <c r="A328" s="17" t="inlineStr">
        <is>
          <t>PASS</t>
        </is>
      </c>
      <c r="B328" s="17" t="inlineStr">
        <is>
          <t>ASU @ TA&amp;M</t>
        </is>
      </c>
      <c r="C328" s="17" t="inlineStr">
        <is>
          <t>2026-09-12 16:00</t>
        </is>
      </c>
      <c r="D328" s="25" t="n">
        <v>2</v>
      </c>
      <c r="E328" s="17" t="inlineStr">
        <is>
          <t>TOTAL</t>
        </is>
      </c>
      <c r="F328" s="17" t="inlineStr">
        <is>
          <t>Under 50.5</t>
        </is>
      </c>
      <c r="G328" s="26" t="n">
        <v>50.5</v>
      </c>
      <c r="H328" s="18" t="n">
        <v>-102</v>
      </c>
      <c r="I328" s="20" t="n">
        <v>0.4400129590837973</v>
      </c>
      <c r="J328" s="20" t="n">
        <v>0.4826358742837298</v>
      </c>
      <c r="K328" s="20" t="n">
        <v>0.504950495049505</v>
      </c>
      <c r="L328" s="19" t="n">
        <v>-0.06938906141937076</v>
      </c>
      <c r="M328" s="19" t="n">
        <v>-0.1286017869124797</v>
      </c>
      <c r="N328" s="20" t="n">
        <v>0</v>
      </c>
      <c r="O328" s="27" t="n">
        <v>0.725</v>
      </c>
      <c r="P328" s="17" t="inlineStr">
        <is>
          <t>DraftKings</t>
        </is>
      </c>
      <c r="Q328" s="17" t="n"/>
    </row>
    <row r="329">
      <c r="A329" s="12" t="inlineStr">
        <is>
          <t>PASS</t>
        </is>
      </c>
      <c r="B329" s="12" t="inlineStr">
        <is>
          <t>RUTG @ BC</t>
        </is>
      </c>
      <c r="C329" s="12" t="inlineStr">
        <is>
          <t>2026-09-11 23:30</t>
        </is>
      </c>
      <c r="D329" s="22" t="n">
        <v>2</v>
      </c>
      <c r="E329" s="12" t="inlineStr">
        <is>
          <t>ML</t>
        </is>
      </c>
      <c r="F329" s="12" t="inlineStr">
        <is>
          <t>RUTG ML</t>
        </is>
      </c>
      <c r="G329" s="23" t="n"/>
      <c r="H329" s="13" t="n">
        <v>136</v>
      </c>
      <c r="I329" s="15" t="n">
        <v>0.3700479147130165</v>
      </c>
      <c r="J329" s="15" t="n">
        <v>0.4066302458405761</v>
      </c>
      <c r="K329" s="15" t="n">
        <v>0.423728813559322</v>
      </c>
      <c r="L329" s="14" t="n">
        <v>-0.07014990003271936</v>
      </c>
      <c r="M329" s="14" t="n">
        <v>-0.1266869212772811</v>
      </c>
      <c r="N329" s="15" t="n">
        <v>0</v>
      </c>
      <c r="O329" s="24" t="n">
        <v>0.725</v>
      </c>
      <c r="P329" s="12" t="inlineStr">
        <is>
          <t>DraftKings</t>
        </is>
      </c>
      <c r="Q329" s="12" t="n"/>
    </row>
    <row r="330">
      <c r="A330" s="17" t="inlineStr">
        <is>
          <t>PASS</t>
        </is>
      </c>
      <c r="B330" s="17" t="inlineStr">
        <is>
          <t>NMSU @ HAW</t>
        </is>
      </c>
      <c r="C330" s="17" t="inlineStr">
        <is>
          <t>2026-09-13 03:59</t>
        </is>
      </c>
      <c r="D330" s="25" t="n">
        <v>2</v>
      </c>
      <c r="E330" s="17" t="inlineStr">
        <is>
          <t>ML</t>
        </is>
      </c>
      <c r="F330" s="17" t="inlineStr">
        <is>
          <t>HAW ML</t>
        </is>
      </c>
      <c r="G330" s="26" t="n"/>
      <c r="H330" s="18" t="n">
        <v>-310</v>
      </c>
      <c r="I330" s="20" t="n">
        <v>0.6599786804544094</v>
      </c>
      <c r="J330" s="20" t="n">
        <v>0.725752508361204</v>
      </c>
      <c r="K330" s="20" t="n">
        <v>0.7560975609756098</v>
      </c>
      <c r="L330" s="19" t="n">
        <v>-0.07045021965774477</v>
      </c>
      <c r="M330" s="19" t="n">
        <v>-0.1271249710119101</v>
      </c>
      <c r="N330" s="20" t="n">
        <v>0</v>
      </c>
      <c r="O330" s="27" t="n">
        <v>0.839</v>
      </c>
      <c r="P330" s="17" t="inlineStr">
        <is>
          <t>DraftKings</t>
        </is>
      </c>
      <c r="Q330" s="17" t="n"/>
    </row>
    <row r="331">
      <c r="A331" s="12" t="inlineStr">
        <is>
          <t>PASS</t>
        </is>
      </c>
      <c r="B331" s="12" t="inlineStr">
        <is>
          <t>LT @ LSU</t>
        </is>
      </c>
      <c r="C331" s="12" t="inlineStr">
        <is>
          <t>2026-09-12 23:30</t>
        </is>
      </c>
      <c r="D331" s="22" t="n">
        <v>2</v>
      </c>
      <c r="E331" s="12" t="inlineStr">
        <is>
          <t>TOTAL</t>
        </is>
      </c>
      <c r="F331" s="12" t="inlineStr">
        <is>
          <t>Over 55.5</t>
        </is>
      </c>
      <c r="G331" s="23" t="n">
        <v>55.5</v>
      </c>
      <c r="H331" s="13" t="n">
        <v>-112</v>
      </c>
      <c r="I331" s="15" t="n">
        <v>0.4586148102476498</v>
      </c>
      <c r="J331" s="15" t="n">
        <v>0.5043297540699688</v>
      </c>
      <c r="K331" s="15" t="n">
        <v>0.5283018867924528</v>
      </c>
      <c r="L331" s="14" t="n">
        <v>-0.07045764143669515</v>
      </c>
      <c r="M331" s="14" t="n">
        <v>-0.131907680602663</v>
      </c>
      <c r="N331" s="15" t="n">
        <v>0</v>
      </c>
      <c r="O331" s="24" t="n">
        <v>0.725</v>
      </c>
      <c r="P331" s="12" t="inlineStr">
        <is>
          <t>DraftKings</t>
        </is>
      </c>
      <c r="Q331" s="12" t="n"/>
    </row>
    <row r="332">
      <c r="A332" s="17" t="inlineStr">
        <is>
          <t>PASS</t>
        </is>
      </c>
      <c r="B332" s="17" t="inlineStr">
        <is>
          <t>DEL @ VAN</t>
        </is>
      </c>
      <c r="C332" s="17" t="inlineStr">
        <is>
          <t>2026-09-12 20:15</t>
        </is>
      </c>
      <c r="D332" s="25" t="n">
        <v>2</v>
      </c>
      <c r="E332" s="17" t="inlineStr">
        <is>
          <t>TOTAL</t>
        </is>
      </c>
      <c r="F332" s="17" t="inlineStr">
        <is>
          <t>Over 54.5</t>
        </is>
      </c>
      <c r="G332" s="26" t="n">
        <v>54.5</v>
      </c>
      <c r="H332" s="18" t="n">
        <v>-115</v>
      </c>
      <c r="I332" s="20" t="n">
        <v>0.4638169611241876</v>
      </c>
      <c r="J332" s="20" t="n">
        <v>0.5108342361863488</v>
      </c>
      <c r="K332" s="20" t="n">
        <v>0.5348837209302325</v>
      </c>
      <c r="L332" s="19" t="n">
        <v>-0.07107860598184737</v>
      </c>
      <c r="M332" s="19" t="n">
        <v>-0.1328639422460841</v>
      </c>
      <c r="N332" s="20" t="n">
        <v>0</v>
      </c>
      <c r="O332" s="27" t="n">
        <v>0.725</v>
      </c>
      <c r="P332" s="17" t="inlineStr">
        <is>
          <t>DraftKings</t>
        </is>
      </c>
      <c r="Q332" s="17" t="n"/>
    </row>
    <row r="333">
      <c r="A333" s="12" t="inlineStr">
        <is>
          <t>PASS</t>
        </is>
      </c>
      <c r="B333" s="12" t="inlineStr">
        <is>
          <t>MEM @ BOIS</t>
        </is>
      </c>
      <c r="C333" s="12" t="inlineStr">
        <is>
          <t>2026-09-12 22:00</t>
        </is>
      </c>
      <c r="D333" s="22" t="n">
        <v>2</v>
      </c>
      <c r="E333" s="12" t="inlineStr">
        <is>
          <t>TOTAL</t>
        </is>
      </c>
      <c r="F333" s="12" t="inlineStr">
        <is>
          <t>Over 55.5</t>
        </is>
      </c>
      <c r="G333" s="23" t="n">
        <v>55.5</v>
      </c>
      <c r="H333" s="13" t="n">
        <v>-105</v>
      </c>
      <c r="I333" s="15" t="n">
        <v>0.4432779253540309</v>
      </c>
      <c r="J333" s="15" t="n">
        <v>0.4891657638136511</v>
      </c>
      <c r="K333" s="15" t="n">
        <v>0.5121951219512195</v>
      </c>
      <c r="L333" s="14" t="n">
        <v>-0.07184618663660361</v>
      </c>
      <c r="M333" s="14" t="n">
        <v>-0.1345526219278445</v>
      </c>
      <c r="N333" s="15" t="n">
        <v>0</v>
      </c>
      <c r="O333" s="24" t="n">
        <v>0.725</v>
      </c>
      <c r="P333" s="12" t="inlineStr">
        <is>
          <t>DraftKings</t>
        </is>
      </c>
      <c r="Q333" s="12" t="n"/>
    </row>
    <row r="334">
      <c r="A334" s="17" t="inlineStr">
        <is>
          <t>PASS</t>
        </is>
      </c>
      <c r="B334" s="17" t="inlineStr">
        <is>
          <t>UTM @ WVU</t>
        </is>
      </c>
      <c r="C334" s="17" t="inlineStr">
        <is>
          <t>2026-09-12 17:00</t>
        </is>
      </c>
      <c r="D334" s="25" t="n">
        <v>2</v>
      </c>
      <c r="E334" s="17" t="inlineStr">
        <is>
          <t>TOTAL</t>
        </is>
      </c>
      <c r="F334" s="17" t="inlineStr">
        <is>
          <t>Over 55.5</t>
        </is>
      </c>
      <c r="G334" s="26" t="n">
        <v>55.5</v>
      </c>
      <c r="H334" s="18" t="n">
        <v>-112</v>
      </c>
      <c r="I334" s="20" t="n">
        <v>0.4566691943977357</v>
      </c>
      <c r="J334" s="20" t="n">
        <v>0.5043297540699688</v>
      </c>
      <c r="K334" s="20" t="n">
        <v>0.5283018867924528</v>
      </c>
      <c r="L334" s="19" t="n">
        <v>-0.07214178792601675</v>
      </c>
      <c r="M334" s="19" t="n">
        <v>-0.135590453461429</v>
      </c>
      <c r="N334" s="20" t="n">
        <v>0</v>
      </c>
      <c r="O334" s="27" t="n">
        <v>0.4</v>
      </c>
      <c r="P334" s="17" t="inlineStr">
        <is>
          <t>DraftKings</t>
        </is>
      </c>
      <c r="Q334" s="17" t="inlineStr">
        <is>
          <t>UTM isn't a full FBS participant this season — model doesn't rate them reliably</t>
        </is>
      </c>
    </row>
    <row r="335">
      <c r="A335" s="12" t="inlineStr">
        <is>
          <t>PASS</t>
        </is>
      </c>
      <c r="B335" s="12" t="inlineStr">
        <is>
          <t>SMU @ LOU</t>
        </is>
      </c>
      <c r="C335" s="12" t="inlineStr">
        <is>
          <t>2026-09-19 19:30</t>
        </is>
      </c>
      <c r="D335" s="22" t="n">
        <v>3</v>
      </c>
      <c r="E335" s="12" t="inlineStr">
        <is>
          <t>ATS</t>
        </is>
      </c>
      <c r="F335" s="12" t="inlineStr">
        <is>
          <t>SMU +1.5</t>
        </is>
      </c>
      <c r="G335" s="23" t="n">
        <v>-1.5</v>
      </c>
      <c r="H335" s="13" t="n">
        <v>-118</v>
      </c>
      <c r="I335" s="15" t="n">
        <v>0.4684076466834416</v>
      </c>
      <c r="J335" s="15" t="n">
        <v>0.5173641257162701</v>
      </c>
      <c r="K335" s="15" t="n">
        <v>0.5412844036697247</v>
      </c>
      <c r="L335" s="14" t="n">
        <v>-0.07219421423051475</v>
      </c>
      <c r="M335" s="14" t="n">
        <v>-0.1346367205339808</v>
      </c>
      <c r="N335" s="15" t="n">
        <v>0</v>
      </c>
      <c r="O335" s="24" t="n">
        <v>0.725</v>
      </c>
      <c r="P335" s="12" t="inlineStr">
        <is>
          <t>DraftKings</t>
        </is>
      </c>
      <c r="Q335" s="12" t="n"/>
    </row>
    <row r="336">
      <c r="A336" s="17" t="inlineStr">
        <is>
          <t>PASS</t>
        </is>
      </c>
      <c r="B336" s="17" t="inlineStr">
        <is>
          <t>PSU @ TEM</t>
        </is>
      </c>
      <c r="C336" s="17" t="inlineStr">
        <is>
          <t>2026-09-12 16:00</t>
        </is>
      </c>
      <c r="D336" s="25" t="n">
        <v>2</v>
      </c>
      <c r="E336" s="17" t="inlineStr">
        <is>
          <t>TOTAL</t>
        </is>
      </c>
      <c r="F336" s="17" t="inlineStr">
        <is>
          <t>Under 49.5</t>
        </is>
      </c>
      <c r="G336" s="26" t="n">
        <v>49.5</v>
      </c>
      <c r="H336" s="18" t="n">
        <v>-108</v>
      </c>
      <c r="I336" s="20" t="n">
        <v>0.4484617813835712</v>
      </c>
      <c r="J336" s="20" t="n">
        <v>0.4956702459300312</v>
      </c>
      <c r="K336" s="20" t="n">
        <v>0.5192307692307693</v>
      </c>
      <c r="L336" s="19" t="n">
        <v>-0.07245274569496415</v>
      </c>
      <c r="M336" s="19" t="n">
        <v>-0.1362958284464555</v>
      </c>
      <c r="N336" s="20" t="n">
        <v>0</v>
      </c>
      <c r="O336" s="27" t="n">
        <v>0.725</v>
      </c>
      <c r="P336" s="17" t="inlineStr">
        <is>
          <t>DraftKings</t>
        </is>
      </c>
      <c r="Q336" s="17" t="n"/>
    </row>
    <row r="337">
      <c r="A337" s="12" t="inlineStr">
        <is>
          <t>PASS</t>
        </is>
      </c>
      <c r="B337" s="12" t="inlineStr">
        <is>
          <t>FSU @ ALA</t>
        </is>
      </c>
      <c r="C337" s="12" t="inlineStr">
        <is>
          <t>2026-09-19 19:30</t>
        </is>
      </c>
      <c r="D337" s="22" t="n">
        <v>3</v>
      </c>
      <c r="E337" s="12" t="inlineStr">
        <is>
          <t>ML</t>
        </is>
      </c>
      <c r="F337" s="12" t="inlineStr">
        <is>
          <t>ALA ML</t>
        </is>
      </c>
      <c r="G337" s="23" t="n"/>
      <c r="H337" s="13" t="n">
        <v>-950</v>
      </c>
      <c r="I337" s="15" t="n">
        <v>0.7839394408136693</v>
      </c>
      <c r="J337" s="15" t="n">
        <v>0.8677165354330709</v>
      </c>
      <c r="K337" s="15" t="n">
        <v>0.9047619047619048</v>
      </c>
      <c r="L337" s="14" t="n">
        <v>-0.07299391686516574</v>
      </c>
      <c r="M337" s="14" t="n">
        <v>-0.1335406180480498</v>
      </c>
      <c r="N337" s="15" t="n">
        <v>0</v>
      </c>
      <c r="O337" s="24" t="n">
        <v>0.725</v>
      </c>
      <c r="P337" s="12" t="inlineStr">
        <is>
          <t>DraftKings</t>
        </is>
      </c>
      <c r="Q337" s="12" t="inlineStr">
        <is>
          <t>price outside allowed range</t>
        </is>
      </c>
    </row>
    <row r="338">
      <c r="A338" s="17" t="inlineStr">
        <is>
          <t>PASS</t>
        </is>
      </c>
      <c r="B338" s="17" t="inlineStr">
        <is>
          <t>UTSA @ TXST</t>
        </is>
      </c>
      <c r="C338" s="17" t="inlineStr">
        <is>
          <t>2026-09-12 19:30</t>
        </is>
      </c>
      <c r="D338" s="25" t="n">
        <v>2</v>
      </c>
      <c r="E338" s="17" t="inlineStr">
        <is>
          <t>ML</t>
        </is>
      </c>
      <c r="F338" s="17" t="inlineStr">
        <is>
          <t>UTSA ML</t>
        </is>
      </c>
      <c r="G338" s="26" t="n"/>
      <c r="H338" s="18" t="n">
        <v>102</v>
      </c>
      <c r="I338" s="20" t="n">
        <v>0.4273344556638895</v>
      </c>
      <c r="J338" s="20" t="n">
        <v>0.4739134147382802</v>
      </c>
      <c r="K338" s="20" t="n">
        <v>0.495049504950495</v>
      </c>
      <c r="L338" s="19" t="n">
        <v>-0.07369545723474398</v>
      </c>
      <c r="M338" s="19" t="n">
        <v>-0.1367843995589432</v>
      </c>
      <c r="N338" s="20" t="n">
        <v>0</v>
      </c>
      <c r="O338" s="27" t="n">
        <v>0.725</v>
      </c>
      <c r="P338" s="17" t="inlineStr">
        <is>
          <t>DraftKings</t>
        </is>
      </c>
      <c r="Q338" s="17" t="n"/>
    </row>
    <row r="339">
      <c r="A339" s="12" t="inlineStr">
        <is>
          <t>PASS</t>
        </is>
      </c>
      <c r="B339" s="12" t="inlineStr">
        <is>
          <t>APP @ ECU</t>
        </is>
      </c>
      <c r="C339" s="12" t="inlineStr">
        <is>
          <t>2026-09-12 16:00</t>
        </is>
      </c>
      <c r="D339" s="22" t="n">
        <v>2</v>
      </c>
      <c r="E339" s="12" t="inlineStr">
        <is>
          <t>ATS</t>
        </is>
      </c>
      <c r="F339" s="12" t="inlineStr">
        <is>
          <t>ECU -7</t>
        </is>
      </c>
      <c r="G339" s="23" t="n">
        <v>-7</v>
      </c>
      <c r="H339" s="13" t="n">
        <v>100</v>
      </c>
      <c r="I339" s="15" t="n">
        <v>0.4307327948979109</v>
      </c>
      <c r="J339" s="15" t="n">
        <v>0.4782608695652174</v>
      </c>
      <c r="K339" s="15" t="n">
        <v>0.5</v>
      </c>
      <c r="L339" s="14" t="n">
        <v>-0.07412609810082962</v>
      </c>
      <c r="M339" s="14" t="n">
        <v>-0.1316492500170305</v>
      </c>
      <c r="N339" s="15" t="n">
        <v>0.0497</v>
      </c>
      <c r="O339" s="24" t="n">
        <v>0.725</v>
      </c>
      <c r="P339" s="12" t="inlineStr">
        <is>
          <t>DraftKings</t>
        </is>
      </c>
      <c r="Q339" s="12" t="n"/>
    </row>
    <row r="340">
      <c r="A340" s="17" t="inlineStr">
        <is>
          <t>PASS</t>
        </is>
      </c>
      <c r="B340" s="17" t="inlineStr">
        <is>
          <t>OSU @ TEX</t>
        </is>
      </c>
      <c r="C340" s="17" t="inlineStr">
        <is>
          <t>2026-09-12 23:30</t>
        </is>
      </c>
      <c r="D340" s="25" t="n">
        <v>2</v>
      </c>
      <c r="E340" s="17" t="inlineStr">
        <is>
          <t>ATS</t>
        </is>
      </c>
      <c r="F340" s="17" t="inlineStr">
        <is>
          <t>OSU +1.5</t>
        </is>
      </c>
      <c r="G340" s="26" t="n">
        <v>-1.5</v>
      </c>
      <c r="H340" s="18" t="n">
        <v>-108</v>
      </c>
      <c r="I340" s="20" t="n">
        <v>0.4460483366820698</v>
      </c>
      <c r="J340" s="20" t="n">
        <v>0.4956702459300312</v>
      </c>
      <c r="K340" s="20" t="n">
        <v>0.5192307692307693</v>
      </c>
      <c r="L340" s="19" t="n">
        <v>-0.07441143167313176</v>
      </c>
      <c r="M340" s="19" t="n">
        <v>-0.1409439441678656</v>
      </c>
      <c r="N340" s="20" t="n">
        <v>0</v>
      </c>
      <c r="O340" s="27" t="n">
        <v>0.725</v>
      </c>
      <c r="P340" s="17" t="inlineStr">
        <is>
          <t>DraftKings</t>
        </is>
      </c>
      <c r="Q340" s="17" t="n"/>
    </row>
    <row r="341">
      <c r="A341" s="12" t="inlineStr">
        <is>
          <t>PASS</t>
        </is>
      </c>
      <c r="B341" s="12" t="inlineStr">
        <is>
          <t>CAL @ SYR</t>
        </is>
      </c>
      <c r="C341" s="12" t="inlineStr">
        <is>
          <t>2026-09-12 19:30</t>
        </is>
      </c>
      <c r="D341" s="22" t="n">
        <v>2</v>
      </c>
      <c r="E341" s="12" t="inlineStr">
        <is>
          <t>ATS</t>
        </is>
      </c>
      <c r="F341" s="12" t="inlineStr">
        <is>
          <t>CAL +3.5</t>
        </is>
      </c>
      <c r="G341" s="23" t="n">
        <v>-3.5</v>
      </c>
      <c r="H341" s="13" t="n">
        <v>-115</v>
      </c>
      <c r="I341" s="15" t="n">
        <v>0.4589032993065673</v>
      </c>
      <c r="J341" s="15" t="n">
        <v>0.5108342361863488</v>
      </c>
      <c r="K341" s="15" t="n">
        <v>0.5348837209302325</v>
      </c>
      <c r="L341" s="14" t="n">
        <v>-0.07500223544912774</v>
      </c>
      <c r="M341" s="14" t="n">
        <v>-0.1420503534703308</v>
      </c>
      <c r="N341" s="15" t="n">
        <v>0</v>
      </c>
      <c r="O341" s="24" t="n">
        <v>0.725</v>
      </c>
      <c r="P341" s="12" t="inlineStr">
        <is>
          <t>DraftKings</t>
        </is>
      </c>
      <c r="Q341" s="12" t="n"/>
    </row>
    <row r="342">
      <c r="A342" s="17" t="inlineStr">
        <is>
          <t>PASS</t>
        </is>
      </c>
      <c r="B342" s="17" t="inlineStr">
        <is>
          <t>GWEB @ LIB</t>
        </is>
      </c>
      <c r="C342" s="17" t="inlineStr">
        <is>
          <t>2026-09-12 22:00</t>
        </is>
      </c>
      <c r="D342" s="25" t="n">
        <v>2</v>
      </c>
      <c r="E342" s="17" t="inlineStr">
        <is>
          <t>TOTAL</t>
        </is>
      </c>
      <c r="F342" s="17" t="inlineStr">
        <is>
          <t>Over 55.5</t>
        </is>
      </c>
      <c r="G342" s="26" t="n">
        <v>55.5</v>
      </c>
      <c r="H342" s="18" t="n">
        <v>-105</v>
      </c>
      <c r="I342" s="20" t="n">
        <v>0.4394298719895872</v>
      </c>
      <c r="J342" s="20" t="n">
        <v>0.4891657638136511</v>
      </c>
      <c r="K342" s="20" t="n">
        <v>0.5121951219512195</v>
      </c>
      <c r="L342" s="19" t="n">
        <v>-0.07500820416043656</v>
      </c>
      <c r="M342" s="19" t="n">
        <v>-0.1420654880203298</v>
      </c>
      <c r="N342" s="20" t="n">
        <v>0</v>
      </c>
      <c r="O342" s="27" t="n">
        <v>0.4</v>
      </c>
      <c r="P342" s="17" t="inlineStr">
        <is>
          <t>DraftKings</t>
        </is>
      </c>
      <c r="Q342" s="17" t="inlineStr">
        <is>
          <t>GWEB isn't a full FBS participant this season — model doesn't rate them reliably</t>
        </is>
      </c>
    </row>
    <row r="343">
      <c r="A343" s="12" t="inlineStr">
        <is>
          <t>PASS</t>
        </is>
      </c>
      <c r="B343" s="12" t="inlineStr">
        <is>
          <t>TENN @ GT</t>
        </is>
      </c>
      <c r="C343" s="12" t="inlineStr">
        <is>
          <t>2026-09-12 23:00</t>
        </is>
      </c>
      <c r="D343" s="22" t="n">
        <v>2</v>
      </c>
      <c r="E343" s="12" t="inlineStr">
        <is>
          <t>TOTAL</t>
        </is>
      </c>
      <c r="F343" s="12" t="inlineStr">
        <is>
          <t>Over 55.5</t>
        </is>
      </c>
      <c r="G343" s="23" t="n">
        <v>55.5</v>
      </c>
      <c r="H343" s="13" t="n">
        <v>-105</v>
      </c>
      <c r="I343" s="15" t="n">
        <v>0.4394298719895872</v>
      </c>
      <c r="J343" s="15" t="n">
        <v>0.4891657638136511</v>
      </c>
      <c r="K343" s="15" t="n">
        <v>0.5121951219512195</v>
      </c>
      <c r="L343" s="14" t="n">
        <v>-0.07500820416043656</v>
      </c>
      <c r="M343" s="14" t="n">
        <v>-0.1420654880203298</v>
      </c>
      <c r="N343" s="15" t="n">
        <v>0</v>
      </c>
      <c r="O343" s="24" t="n">
        <v>0.725</v>
      </c>
      <c r="P343" s="12" t="inlineStr">
        <is>
          <t>DraftKings</t>
        </is>
      </c>
      <c r="Q343" s="12" t="n"/>
    </row>
    <row r="344">
      <c r="A344" s="17" t="inlineStr">
        <is>
          <t>PASS</t>
        </is>
      </c>
      <c r="B344" s="17" t="inlineStr">
        <is>
          <t>CAL @ SYR</t>
        </is>
      </c>
      <c r="C344" s="17" t="inlineStr">
        <is>
          <t>2026-09-12 19:30</t>
        </is>
      </c>
      <c r="D344" s="25" t="n">
        <v>2</v>
      </c>
      <c r="E344" s="17" t="inlineStr">
        <is>
          <t>TOTAL</t>
        </is>
      </c>
      <c r="F344" s="17" t="inlineStr">
        <is>
          <t>Over 56.5</t>
        </is>
      </c>
      <c r="G344" s="26" t="n">
        <v>56.5</v>
      </c>
      <c r="H344" s="18" t="n">
        <v>-112</v>
      </c>
      <c r="I344" s="20" t="n">
        <v>0.4527915629410673</v>
      </c>
      <c r="J344" s="20" t="n">
        <v>0.5043297540699688</v>
      </c>
      <c r="K344" s="20" t="n">
        <v>0.5283018867924528</v>
      </c>
      <c r="L344" s="19" t="n">
        <v>-0.07520189355732665</v>
      </c>
      <c r="M344" s="19" t="n">
        <v>-0.1429302558615512</v>
      </c>
      <c r="N344" s="20" t="n">
        <v>0</v>
      </c>
      <c r="O344" s="27" t="n">
        <v>0.725</v>
      </c>
      <c r="P344" s="17" t="inlineStr">
        <is>
          <t>DraftKings</t>
        </is>
      </c>
      <c r="Q344" s="17" t="n"/>
    </row>
    <row r="345">
      <c r="A345" s="12" t="inlineStr">
        <is>
          <t>PASS</t>
        </is>
      </c>
      <c r="B345" s="12" t="inlineStr">
        <is>
          <t>WKU @ UGA</t>
        </is>
      </c>
      <c r="C345" s="12" t="inlineStr">
        <is>
          <t>2026-09-12 16:45</t>
        </is>
      </c>
      <c r="D345" s="22" t="n">
        <v>2</v>
      </c>
      <c r="E345" s="12" t="inlineStr">
        <is>
          <t>TOTAL</t>
        </is>
      </c>
      <c r="F345" s="12" t="inlineStr">
        <is>
          <t>Over 55.5</t>
        </is>
      </c>
      <c r="G345" s="23" t="n">
        <v>55.5</v>
      </c>
      <c r="H345" s="13" t="n">
        <v>-110</v>
      </c>
      <c r="I345" s="15" t="n">
        <v>0.4486950434472053</v>
      </c>
      <c r="J345" s="15" t="n">
        <v>0.5</v>
      </c>
      <c r="K345" s="15" t="n">
        <v>0.5238095238095238</v>
      </c>
      <c r="L345" s="14" t="n">
        <v>-0.07535759004709286</v>
      </c>
      <c r="M345" s="14" t="n">
        <v>-0.1434003716007898</v>
      </c>
      <c r="N345" s="15" t="n">
        <v>0</v>
      </c>
      <c r="O345" s="24" t="n">
        <v>0.725</v>
      </c>
      <c r="P345" s="12" t="inlineStr">
        <is>
          <t>DraftKings</t>
        </is>
      </c>
      <c r="Q345" s="12" t="n"/>
    </row>
    <row r="346">
      <c r="A346" s="17" t="inlineStr">
        <is>
          <t>PASS</t>
        </is>
      </c>
      <c r="B346" s="17" t="inlineStr">
        <is>
          <t>TTU @ ORST</t>
        </is>
      </c>
      <c r="C346" s="17" t="inlineStr">
        <is>
          <t>2026-09-12 23:30</t>
        </is>
      </c>
      <c r="D346" s="25" t="n">
        <v>2</v>
      </c>
      <c r="E346" s="17" t="inlineStr">
        <is>
          <t>TOTAL</t>
        </is>
      </c>
      <c r="F346" s="17" t="inlineStr">
        <is>
          <t>Over 53.5</t>
        </is>
      </c>
      <c r="G346" s="26" t="n">
        <v>53.5</v>
      </c>
      <c r="H346" s="18" t="n">
        <v>-115</v>
      </c>
      <c r="I346" s="20" t="n">
        <v>0.4579803094855655</v>
      </c>
      <c r="J346" s="20" t="n">
        <v>0.5108342361863488</v>
      </c>
      <c r="K346" s="20" t="n">
        <v>0.5348837209302325</v>
      </c>
      <c r="L346" s="19" t="n">
        <v>-0.07567270871499397</v>
      </c>
      <c r="M346" s="19" t="n">
        <v>-0.143775943135682</v>
      </c>
      <c r="N346" s="20" t="n">
        <v>0</v>
      </c>
      <c r="O346" s="27" t="n">
        <v>0.725</v>
      </c>
      <c r="P346" s="17" t="inlineStr">
        <is>
          <t>DraftKings</t>
        </is>
      </c>
      <c r="Q346" s="17" t="n"/>
    </row>
    <row r="347">
      <c r="A347" s="12" t="inlineStr">
        <is>
          <t>PASS</t>
        </is>
      </c>
      <c r="B347" s="12" t="inlineStr">
        <is>
          <t>WEB @ COLO</t>
        </is>
      </c>
      <c r="C347" s="12" t="inlineStr">
        <is>
          <t>2026-09-12 19:30</t>
        </is>
      </c>
      <c r="D347" s="22" t="n">
        <v>2</v>
      </c>
      <c r="E347" s="12" t="inlineStr">
        <is>
          <t>TOTAL</t>
        </is>
      </c>
      <c r="F347" s="12" t="inlineStr">
        <is>
          <t>Over 54.5</t>
        </is>
      </c>
      <c r="G347" s="23" t="n">
        <v>54.5</v>
      </c>
      <c r="H347" s="13" t="n">
        <v>-115</v>
      </c>
      <c r="I347" s="15" t="n">
        <v>0.4579802991768575</v>
      </c>
      <c r="J347" s="15" t="n">
        <v>0.5108342361863488</v>
      </c>
      <c r="K347" s="15" t="n">
        <v>0.5348837209302325</v>
      </c>
      <c r="L347" s="14" t="n">
        <v>-0.07567271609084325</v>
      </c>
      <c r="M347" s="14" t="n">
        <v>-0.143775962408484</v>
      </c>
      <c r="N347" s="15" t="n">
        <v>0</v>
      </c>
      <c r="O347" s="24" t="n">
        <v>0.4</v>
      </c>
      <c r="P347" s="12" t="inlineStr">
        <is>
          <t>DraftKings</t>
        </is>
      </c>
      <c r="Q347" s="12" t="inlineStr">
        <is>
          <t>WEB isn't a full FBS participant this season — model doesn't rate them reliably</t>
        </is>
      </c>
    </row>
    <row r="348">
      <c r="A348" s="17" t="inlineStr">
        <is>
          <t>PASS</t>
        </is>
      </c>
      <c r="B348" s="17" t="inlineStr">
        <is>
          <t>WSU @ KSU</t>
        </is>
      </c>
      <c r="C348" s="17" t="inlineStr">
        <is>
          <t>2026-09-12 16:00</t>
        </is>
      </c>
      <c r="D348" s="25" t="n">
        <v>2</v>
      </c>
      <c r="E348" s="17" t="inlineStr">
        <is>
          <t>TOTAL</t>
        </is>
      </c>
      <c r="F348" s="17" t="inlineStr">
        <is>
          <t>Under 49.5</t>
        </is>
      </c>
      <c r="G348" s="26" t="n">
        <v>49.5</v>
      </c>
      <c r="H348" s="18" t="n">
        <v>-115</v>
      </c>
      <c r="I348" s="20" t="n">
        <v>0.4579802611591941</v>
      </c>
      <c r="J348" s="20" t="n">
        <v>0.5108342361863488</v>
      </c>
      <c r="K348" s="20" t="n">
        <v>0.5348837209302325</v>
      </c>
      <c r="L348" s="19" t="n">
        <v>-0.07567274329234422</v>
      </c>
      <c r="M348" s="19" t="n">
        <v>-0.143776033484985</v>
      </c>
      <c r="N348" s="20" t="n">
        <v>0</v>
      </c>
      <c r="O348" s="27" t="n">
        <v>0.725</v>
      </c>
      <c r="P348" s="17" t="inlineStr">
        <is>
          <t>DraftKings</t>
        </is>
      </c>
      <c r="Q348" s="17" t="n"/>
    </row>
    <row r="349">
      <c r="A349" s="12" t="inlineStr">
        <is>
          <t>PASS</t>
        </is>
      </c>
      <c r="B349" s="12" t="inlineStr">
        <is>
          <t>OSU @ TEX</t>
        </is>
      </c>
      <c r="C349" s="12" t="inlineStr">
        <is>
          <t>2026-09-12 23:30</t>
        </is>
      </c>
      <c r="D349" s="22" t="n">
        <v>2</v>
      </c>
      <c r="E349" s="12" t="inlineStr">
        <is>
          <t>TOTAL</t>
        </is>
      </c>
      <c r="F349" s="12" t="inlineStr">
        <is>
          <t>Under 49.5</t>
        </is>
      </c>
      <c r="G349" s="23" t="n">
        <v>49.5</v>
      </c>
      <c r="H349" s="13" t="n">
        <v>-108</v>
      </c>
      <c r="I349" s="15" t="n">
        <v>0.4426820835852101</v>
      </c>
      <c r="J349" s="15" t="n">
        <v>0.4956702459300312</v>
      </c>
      <c r="K349" s="15" t="n">
        <v>0.5192307692307693</v>
      </c>
      <c r="L349" s="14" t="n">
        <v>-0.07689293049290767</v>
      </c>
      <c r="M349" s="14" t="n">
        <v>-0.1474270982803361</v>
      </c>
      <c r="N349" s="15" t="n">
        <v>0</v>
      </c>
      <c r="O349" s="24" t="n">
        <v>0.725</v>
      </c>
      <c r="P349" s="12" t="inlineStr">
        <is>
          <t>DraftKings</t>
        </is>
      </c>
      <c r="Q349" s="12" t="n"/>
    </row>
    <row r="350">
      <c r="A350" s="17" t="inlineStr">
        <is>
          <t>PASS</t>
        </is>
      </c>
      <c r="B350" s="17" t="inlineStr">
        <is>
          <t>FLA @ AUB</t>
        </is>
      </c>
      <c r="C350" s="17" t="inlineStr">
        <is>
          <t>2026-09-19 23:00</t>
        </is>
      </c>
      <c r="D350" s="25" t="n">
        <v>3</v>
      </c>
      <c r="E350" s="17" t="inlineStr">
        <is>
          <t>TOTAL</t>
        </is>
      </c>
      <c r="F350" s="17" t="inlineStr">
        <is>
          <t>Under 49.5</t>
        </is>
      </c>
      <c r="G350" s="26" t="n">
        <v>49.5</v>
      </c>
      <c r="H350" s="18" t="n">
        <v>-108</v>
      </c>
      <c r="I350" s="20" t="n">
        <v>0.4426820835852101</v>
      </c>
      <c r="J350" s="20" t="n">
        <v>0.4956702459300312</v>
      </c>
      <c r="K350" s="20" t="n">
        <v>0.5192307692307693</v>
      </c>
      <c r="L350" s="19" t="n">
        <v>-0.07689293049290767</v>
      </c>
      <c r="M350" s="19" t="n">
        <v>-0.1474270982803361</v>
      </c>
      <c r="N350" s="20" t="n">
        <v>0</v>
      </c>
      <c r="O350" s="27" t="n">
        <v>0.725</v>
      </c>
      <c r="P350" s="17" t="inlineStr">
        <is>
          <t>DraftKings</t>
        </is>
      </c>
      <c r="Q350" s="17" t="n"/>
    </row>
    <row r="351">
      <c r="A351" s="12" t="inlineStr">
        <is>
          <t>PASS</t>
        </is>
      </c>
      <c r="B351" s="12" t="inlineStr">
        <is>
          <t>RICH @ NCSU</t>
        </is>
      </c>
      <c r="C351" s="12" t="inlineStr">
        <is>
          <t>2026-09-11 23:00</t>
        </is>
      </c>
      <c r="D351" s="22" t="n">
        <v>2</v>
      </c>
      <c r="E351" s="12" t="inlineStr">
        <is>
          <t>TOTAL</t>
        </is>
      </c>
      <c r="F351" s="12" t="inlineStr">
        <is>
          <t>Under 50.5</t>
        </is>
      </c>
      <c r="G351" s="23" t="n">
        <v>50.5</v>
      </c>
      <c r="H351" s="13" t="n">
        <v>-115</v>
      </c>
      <c r="I351" s="15" t="n">
        <v>0.4560437860059057</v>
      </c>
      <c r="J351" s="15" t="n">
        <v>0.5108342361863488</v>
      </c>
      <c r="K351" s="15" t="n">
        <v>0.5348837209302325</v>
      </c>
      <c r="L351" s="14" t="n">
        <v>-0.07701491015752571</v>
      </c>
      <c r="M351" s="14" t="n">
        <v>-0.1473964000759156</v>
      </c>
      <c r="N351" s="15" t="n">
        <v>0</v>
      </c>
      <c r="O351" s="24" t="n">
        <v>0.4</v>
      </c>
      <c r="P351" s="12" t="inlineStr">
        <is>
          <t>DraftKings</t>
        </is>
      </c>
      <c r="Q351" s="12" t="inlineStr">
        <is>
          <t>RICH isn't a full FBS participant this season — model doesn't rate them reliably</t>
        </is>
      </c>
    </row>
    <row r="352">
      <c r="A352" s="17" t="inlineStr">
        <is>
          <t>PASS</t>
        </is>
      </c>
      <c r="B352" s="17" t="inlineStr">
        <is>
          <t>ALA @ UK</t>
        </is>
      </c>
      <c r="C352" s="17" t="inlineStr">
        <is>
          <t>2026-09-12 19:30</t>
        </is>
      </c>
      <c r="D352" s="25" t="n">
        <v>2</v>
      </c>
      <c r="E352" s="17" t="inlineStr">
        <is>
          <t>TOTAL</t>
        </is>
      </c>
      <c r="F352" s="17" t="inlineStr">
        <is>
          <t>Under 49.5</t>
        </is>
      </c>
      <c r="G352" s="26" t="n">
        <v>49.5</v>
      </c>
      <c r="H352" s="18" t="n">
        <v>-115</v>
      </c>
      <c r="I352" s="20" t="n">
        <v>0.4560437765117301</v>
      </c>
      <c r="J352" s="20" t="n">
        <v>0.5108342361863488</v>
      </c>
      <c r="K352" s="20" t="n">
        <v>0.5348837209302325</v>
      </c>
      <c r="L352" s="19" t="n">
        <v>-0.07701491652854156</v>
      </c>
      <c r="M352" s="19" t="n">
        <v>-0.147396417825896</v>
      </c>
      <c r="N352" s="20" t="n">
        <v>0</v>
      </c>
      <c r="O352" s="27" t="n">
        <v>0.725</v>
      </c>
      <c r="P352" s="17" t="inlineStr">
        <is>
          <t>DraftKings</t>
        </is>
      </c>
      <c r="Q352" s="17" t="n"/>
    </row>
    <row r="353">
      <c r="A353" s="12" t="inlineStr">
        <is>
          <t>PASS</t>
        </is>
      </c>
      <c r="B353" s="12" t="inlineStr">
        <is>
          <t>NDSU @ AFA</t>
        </is>
      </c>
      <c r="C353" s="12" t="inlineStr">
        <is>
          <t>2026-09-13 02:00</t>
        </is>
      </c>
      <c r="D353" s="22" t="n">
        <v>2</v>
      </c>
      <c r="E353" s="12" t="inlineStr">
        <is>
          <t>TOTAL</t>
        </is>
      </c>
      <c r="F353" s="12" t="inlineStr">
        <is>
          <t>Under 47.5</t>
        </is>
      </c>
      <c r="G353" s="23" t="n">
        <v>47.5</v>
      </c>
      <c r="H353" s="13" t="n">
        <v>-112</v>
      </c>
      <c r="I353" s="15" t="n">
        <v>0.4489332250148275</v>
      </c>
      <c r="J353" s="15" t="n">
        <v>0.5043297540699688</v>
      </c>
      <c r="K353" s="15" t="n">
        <v>0.5283018867924528</v>
      </c>
      <c r="L353" s="14" t="n">
        <v>-0.07788171842845988</v>
      </c>
      <c r="M353" s="14" t="n">
        <v>-0.1502335383647909</v>
      </c>
      <c r="N353" s="15" t="n">
        <v>0</v>
      </c>
      <c r="O353" s="24" t="n">
        <v>0.725</v>
      </c>
      <c r="P353" s="12" t="inlineStr">
        <is>
          <t>DraftKings</t>
        </is>
      </c>
      <c r="Q353" s="12" t="n"/>
    </row>
    <row r="354">
      <c r="A354" s="17" t="inlineStr">
        <is>
          <t>PASS</t>
        </is>
      </c>
      <c r="B354" s="17" t="inlineStr">
        <is>
          <t>ODU @ VT</t>
        </is>
      </c>
      <c r="C354" s="17" t="inlineStr">
        <is>
          <t>2026-09-12 16:00</t>
        </is>
      </c>
      <c r="D354" s="25" t="n">
        <v>2</v>
      </c>
      <c r="E354" s="17" t="inlineStr">
        <is>
          <t>TOTAL</t>
        </is>
      </c>
      <c r="F354" s="17" t="inlineStr">
        <is>
          <t>Under 49.5</t>
        </is>
      </c>
      <c r="G354" s="26" t="n">
        <v>49.5</v>
      </c>
      <c r="H354" s="18" t="n">
        <v>-108</v>
      </c>
      <c r="I354" s="20" t="n">
        <v>0.4407660338753465</v>
      </c>
      <c r="J354" s="20" t="n">
        <v>0.4956702459300312</v>
      </c>
      <c r="K354" s="20" t="n">
        <v>0.5192307692307693</v>
      </c>
      <c r="L354" s="19" t="n">
        <v>-0.07818286627777601</v>
      </c>
      <c r="M354" s="19" t="n">
        <v>-0.1511172680919252</v>
      </c>
      <c r="N354" s="20" t="n">
        <v>0</v>
      </c>
      <c r="O354" s="27" t="n">
        <v>0.725</v>
      </c>
      <c r="P354" s="17" t="inlineStr">
        <is>
          <t>DraftKings</t>
        </is>
      </c>
      <c r="Q354" s="17" t="n"/>
    </row>
    <row r="355">
      <c r="A355" s="12" t="inlineStr">
        <is>
          <t>PASS</t>
        </is>
      </c>
      <c r="B355" s="12" t="inlineStr">
        <is>
          <t>MSST @ SC</t>
        </is>
      </c>
      <c r="C355" s="12" t="inlineStr">
        <is>
          <t>2026-09-19 20:15</t>
        </is>
      </c>
      <c r="D355" s="22" t="n">
        <v>3</v>
      </c>
      <c r="E355" s="12" t="inlineStr">
        <is>
          <t>ATS</t>
        </is>
      </c>
      <c r="F355" s="12" t="inlineStr">
        <is>
          <t>SC -7.5</t>
        </is>
      </c>
      <c r="G355" s="23" t="n">
        <v>-7.5</v>
      </c>
      <c r="H355" s="13" t="n">
        <v>-108</v>
      </c>
      <c r="I355" s="15" t="n">
        <v>0.439965131169279</v>
      </c>
      <c r="J355" s="15" t="n">
        <v>0.4956702459300312</v>
      </c>
      <c r="K355" s="15" t="n">
        <v>0.5192307692307693</v>
      </c>
      <c r="L355" s="14" t="n">
        <v>-0.07869705010002631</v>
      </c>
      <c r="M355" s="14" t="n">
        <v>-0.1526597473776848</v>
      </c>
      <c r="N355" s="15" t="n">
        <v>0</v>
      </c>
      <c r="O355" s="24" t="n">
        <v>0.725</v>
      </c>
      <c r="P355" s="12" t="inlineStr">
        <is>
          <t>DraftKings</t>
        </is>
      </c>
      <c r="Q355" s="12" t="n"/>
    </row>
    <row r="356">
      <c r="A356" s="17" t="inlineStr">
        <is>
          <t>PASS</t>
        </is>
      </c>
      <c r="B356" s="17" t="inlineStr">
        <is>
          <t>WOF @ KENT</t>
        </is>
      </c>
      <c r="C356" s="17" t="inlineStr">
        <is>
          <t>2026-09-12 16:00</t>
        </is>
      </c>
      <c r="D356" s="25" t="n">
        <v>2</v>
      </c>
      <c r="E356" s="17" t="inlineStr">
        <is>
          <t>ML</t>
        </is>
      </c>
      <c r="F356" s="17" t="inlineStr">
        <is>
          <t>KENT ML</t>
        </is>
      </c>
      <c r="G356" s="26" t="n"/>
      <c r="H356" s="18" t="n">
        <v>-550</v>
      </c>
      <c r="I356" s="20" t="n">
        <v>0.7203648210466667</v>
      </c>
      <c r="J356" s="20" t="n">
        <v>0.8118668596237336</v>
      </c>
      <c r="K356" s="20" t="n">
        <v>0.8461538461538461</v>
      </c>
      <c r="L356" s="19" t="n">
        <v>-0.07879789590485646</v>
      </c>
      <c r="M356" s="19" t="n">
        <v>-0.1486597569448485</v>
      </c>
      <c r="N356" s="20" t="n">
        <v>0</v>
      </c>
      <c r="O356" s="27" t="n">
        <v>0.4</v>
      </c>
      <c r="P356" s="17" t="inlineStr">
        <is>
          <t>DraftKings</t>
        </is>
      </c>
      <c r="Q356" s="17" t="inlineStr">
        <is>
          <t>WOF isn't a full FBS participant this season — model doesn't rate them reliably</t>
        </is>
      </c>
    </row>
    <row r="357">
      <c r="A357" s="12" t="inlineStr">
        <is>
          <t>PASS</t>
        </is>
      </c>
      <c r="B357" s="12" t="inlineStr">
        <is>
          <t>SMU @ LOU</t>
        </is>
      </c>
      <c r="C357" s="12" t="inlineStr">
        <is>
          <t>2026-09-19 19:30</t>
        </is>
      </c>
      <c r="D357" s="22" t="n">
        <v>3</v>
      </c>
      <c r="E357" s="12" t="inlineStr">
        <is>
          <t>ML</t>
        </is>
      </c>
      <c r="F357" s="12" t="inlineStr">
        <is>
          <t>SMU ML</t>
        </is>
      </c>
      <c r="G357" s="23" t="n"/>
      <c r="H357" s="13" t="n">
        <v>-108</v>
      </c>
      <c r="I357" s="15" t="n">
        <v>0.4395934290140091</v>
      </c>
      <c r="J357" s="15" t="n">
        <v>0.4956702459300312</v>
      </c>
      <c r="K357" s="15" t="n">
        <v>0.5192307692307693</v>
      </c>
      <c r="L357" s="14" t="n">
        <v>-0.07893081218557421</v>
      </c>
      <c r="M357" s="14" t="n">
        <v>-0.1533756181952417</v>
      </c>
      <c r="N357" s="15" t="n">
        <v>0</v>
      </c>
      <c r="O357" s="24" t="n">
        <v>0.725</v>
      </c>
      <c r="P357" s="12" t="inlineStr">
        <is>
          <t>DraftKings</t>
        </is>
      </c>
      <c r="Q357" s="12" t="n"/>
    </row>
    <row r="358">
      <c r="A358" s="17" t="inlineStr">
        <is>
          <t>PASS</t>
        </is>
      </c>
      <c r="B358" s="17" t="inlineStr">
        <is>
          <t>ARIZ @ BYU</t>
        </is>
      </c>
      <c r="C358" s="17" t="inlineStr">
        <is>
          <t>2026-09-12 19:30</t>
        </is>
      </c>
      <c r="D358" s="25" t="n">
        <v>2</v>
      </c>
      <c r="E358" s="17" t="inlineStr">
        <is>
          <t>ATS</t>
        </is>
      </c>
      <c r="F358" s="17" t="inlineStr">
        <is>
          <t>BYU -7.5</t>
        </is>
      </c>
      <c r="G358" s="26" t="n">
        <v>-7.5</v>
      </c>
      <c r="H358" s="18" t="n">
        <v>-108</v>
      </c>
      <c r="I358" s="20" t="n">
        <v>0.4395481134105154</v>
      </c>
      <c r="J358" s="20" t="n">
        <v>0.4956702459300312</v>
      </c>
      <c r="K358" s="20" t="n">
        <v>0.5192307692307693</v>
      </c>
      <c r="L358" s="19" t="n">
        <v>-0.07895910205331495</v>
      </c>
      <c r="M358" s="19" t="n">
        <v>-0.1534628926908592</v>
      </c>
      <c r="N358" s="20" t="n">
        <v>0</v>
      </c>
      <c r="O358" s="27" t="n">
        <v>0.725</v>
      </c>
      <c r="P358" s="17" t="inlineStr">
        <is>
          <t>DraftKings</t>
        </is>
      </c>
      <c r="Q358" s="17" t="n"/>
    </row>
    <row r="359">
      <c r="A359" s="12" t="inlineStr">
        <is>
          <t>PASS</t>
        </is>
      </c>
      <c r="B359" s="12" t="inlineStr">
        <is>
          <t>OSU @ TEX</t>
        </is>
      </c>
      <c r="C359" s="12" t="inlineStr">
        <is>
          <t>2026-09-12 23:30</t>
        </is>
      </c>
      <c r="D359" s="22" t="n">
        <v>2</v>
      </c>
      <c r="E359" s="12" t="inlineStr">
        <is>
          <t>ML</t>
        </is>
      </c>
      <c r="F359" s="12" t="inlineStr">
        <is>
          <t>OSU ML</t>
        </is>
      </c>
      <c r="G359" s="23" t="n"/>
      <c r="H359" s="13" t="n">
        <v>105</v>
      </c>
      <c r="I359" s="15" t="n">
        <v>0.4142917293340271</v>
      </c>
      <c r="J359" s="15" t="n">
        <v>0.4675324675324675</v>
      </c>
      <c r="K359" s="15" t="n">
        <v>0.4878048780487805</v>
      </c>
      <c r="L359" s="14" t="n">
        <v>-0.07915933115071923</v>
      </c>
      <c r="M359" s="14" t="n">
        <v>-0.1507019548652444</v>
      </c>
      <c r="N359" s="15" t="n">
        <v>0</v>
      </c>
      <c r="O359" s="24" t="n">
        <v>0.725</v>
      </c>
      <c r="P359" s="12" t="inlineStr">
        <is>
          <t>DraftKings</t>
        </is>
      </c>
      <c r="Q359" s="12" t="n"/>
    </row>
    <row r="360">
      <c r="A360" s="17" t="inlineStr">
        <is>
          <t>PASS</t>
        </is>
      </c>
      <c r="B360" s="17" t="inlineStr">
        <is>
          <t>ISU @ IOWA</t>
        </is>
      </c>
      <c r="C360" s="17" t="inlineStr">
        <is>
          <t>2026-09-12 23:30</t>
        </is>
      </c>
      <c r="D360" s="25" t="n">
        <v>2</v>
      </c>
      <c r="E360" s="17" t="inlineStr">
        <is>
          <t>ML</t>
        </is>
      </c>
      <c r="F360" s="17" t="inlineStr">
        <is>
          <t>IOWA ML</t>
        </is>
      </c>
      <c r="G360" s="26" t="n"/>
      <c r="H360" s="18" t="n">
        <v>-650</v>
      </c>
      <c r="I360" s="20" t="n">
        <v>0.7369255106157653</v>
      </c>
      <c r="J360" s="20" t="n">
        <v>0.8316498316498315</v>
      </c>
      <c r="K360" s="20" t="n">
        <v>0.8666666666666667</v>
      </c>
      <c r="L360" s="19" t="n">
        <v>-0.07916644035493078</v>
      </c>
      <c r="M360" s="19" t="n">
        <v>-0.1497013339048863</v>
      </c>
      <c r="N360" s="20" t="n">
        <v>0</v>
      </c>
      <c r="O360" s="27" t="n">
        <v>0.725</v>
      </c>
      <c r="P360" s="17" t="inlineStr">
        <is>
          <t>DraftKings</t>
        </is>
      </c>
      <c r="Q360" s="17" t="inlineStr">
        <is>
          <t>price outside allowed range</t>
        </is>
      </c>
    </row>
    <row r="361">
      <c r="A361" s="12" t="inlineStr">
        <is>
          <t>PASS</t>
        </is>
      </c>
      <c r="B361" s="12" t="inlineStr">
        <is>
          <t>MTSU @ MRSH</t>
        </is>
      </c>
      <c r="C361" s="12" t="inlineStr">
        <is>
          <t>2026-09-12 23:00</t>
        </is>
      </c>
      <c r="D361" s="22" t="n">
        <v>2</v>
      </c>
      <c r="E361" s="12" t="inlineStr">
        <is>
          <t>ML</t>
        </is>
      </c>
      <c r="F361" s="12" t="inlineStr">
        <is>
          <t>MRSH ML</t>
        </is>
      </c>
      <c r="G361" s="23" t="n"/>
      <c r="H361" s="13" t="n">
        <v>-550</v>
      </c>
      <c r="I361" s="15" t="n">
        <v>0.7188572940824418</v>
      </c>
      <c r="J361" s="15" t="n">
        <v>0.8118668596237336</v>
      </c>
      <c r="K361" s="15" t="n">
        <v>0.8461538461538461</v>
      </c>
      <c r="L361" s="14" t="n">
        <v>-0.0793679421396995</v>
      </c>
      <c r="M361" s="14" t="n">
        <v>-0.1504413797207506</v>
      </c>
      <c r="N361" s="15" t="n">
        <v>0</v>
      </c>
      <c r="O361" s="24" t="n">
        <v>0.725</v>
      </c>
      <c r="P361" s="12" t="inlineStr">
        <is>
          <t>DraftKings</t>
        </is>
      </c>
      <c r="Q361" s="12" t="inlineStr">
        <is>
          <t>price outside allowed range</t>
        </is>
      </c>
    </row>
    <row r="362">
      <c r="A362" s="17" t="inlineStr">
        <is>
          <t>PASS</t>
        </is>
      </c>
      <c r="B362" s="17" t="inlineStr">
        <is>
          <t>ASU @ TA&amp;M</t>
        </is>
      </c>
      <c r="C362" s="17" t="inlineStr">
        <is>
          <t>2026-09-12 16:00</t>
        </is>
      </c>
      <c r="D362" s="25" t="n">
        <v>2</v>
      </c>
      <c r="E362" s="17" t="inlineStr">
        <is>
          <t>ML</t>
        </is>
      </c>
      <c r="F362" s="17" t="inlineStr">
        <is>
          <t>TA&amp;M ML</t>
        </is>
      </c>
      <c r="G362" s="26" t="n"/>
      <c r="H362" s="18" t="n">
        <v>-750</v>
      </c>
      <c r="I362" s="20" t="n">
        <v>0.7493340534982695</v>
      </c>
      <c r="J362" s="20" t="n">
        <v>0.8465011286681716</v>
      </c>
      <c r="K362" s="20" t="n">
        <v>0.8823529411764706</v>
      </c>
      <c r="L362" s="19" t="n">
        <v>-0.07943549772152</v>
      </c>
      <c r="M362" s="19" t="n">
        <v>-0.1507547393686279</v>
      </c>
      <c r="N362" s="20" t="n">
        <v>0</v>
      </c>
      <c r="O362" s="27" t="n">
        <v>0.725</v>
      </c>
      <c r="P362" s="17" t="inlineStr">
        <is>
          <t>DraftKings</t>
        </is>
      </c>
      <c r="Q362" s="17" t="inlineStr">
        <is>
          <t>price outside allowed range</t>
        </is>
      </c>
    </row>
    <row r="363">
      <c r="A363" s="12" t="inlineStr">
        <is>
          <t>PASS</t>
        </is>
      </c>
      <c r="B363" s="12" t="inlineStr">
        <is>
          <t>RICE @ ND</t>
        </is>
      </c>
      <c r="C363" s="12" t="inlineStr">
        <is>
          <t>2026-09-12 19:30</t>
        </is>
      </c>
      <c r="D363" s="22" t="n">
        <v>2</v>
      </c>
      <c r="E363" s="12" t="inlineStr">
        <is>
          <t>TOTAL</t>
        </is>
      </c>
      <c r="F363" s="12" t="inlineStr">
        <is>
          <t>Over 54.5</t>
        </is>
      </c>
      <c r="G363" s="23" t="n">
        <v>54.5</v>
      </c>
      <c r="H363" s="13" t="n">
        <v>-118</v>
      </c>
      <c r="I363" s="15" t="n">
        <v>0.4573771129493022</v>
      </c>
      <c r="J363" s="15" t="n">
        <v>0.5173641257162701</v>
      </c>
      <c r="K363" s="15" t="n">
        <v>0.5412844036697247</v>
      </c>
      <c r="L363" s="14" t="n">
        <v>-0.07978111582374421</v>
      </c>
      <c r="M363" s="14" t="n">
        <v>-0.1550151642123062</v>
      </c>
      <c r="N363" s="15" t="n">
        <v>0</v>
      </c>
      <c r="O363" s="24" t="n">
        <v>0.725</v>
      </c>
      <c r="P363" s="12" t="inlineStr">
        <is>
          <t>DraftKings</t>
        </is>
      </c>
      <c r="Q363" s="12" t="n"/>
    </row>
    <row r="364">
      <c r="A364" s="17" t="inlineStr">
        <is>
          <t>PASS</t>
        </is>
      </c>
      <c r="B364" s="17" t="inlineStr">
        <is>
          <t>CP @ SJSU</t>
        </is>
      </c>
      <c r="C364" s="17" t="inlineStr">
        <is>
          <t>2026-09-13 01:00</t>
        </is>
      </c>
      <c r="D364" s="25" t="n">
        <v>2</v>
      </c>
      <c r="E364" s="17" t="inlineStr">
        <is>
          <t>TOTAL</t>
        </is>
      </c>
      <c r="F364" s="17" t="inlineStr">
        <is>
          <t>Over 56.5</t>
        </is>
      </c>
      <c r="G364" s="26" t="n">
        <v>56.5</v>
      </c>
      <c r="H364" s="18" t="n">
        <v>-112</v>
      </c>
      <c r="I364" s="20" t="n">
        <v>0.445095812504186</v>
      </c>
      <c r="J364" s="20" t="n">
        <v>0.5043297540699688</v>
      </c>
      <c r="K364" s="20" t="n">
        <v>0.5283018867924528</v>
      </c>
      <c r="L364" s="19" t="n">
        <v>-0.08021838287253352</v>
      </c>
      <c r="M364" s="19" t="n">
        <v>-0.157497212045648</v>
      </c>
      <c r="N364" s="20" t="n">
        <v>0</v>
      </c>
      <c r="O364" s="27" t="n">
        <v>0.4</v>
      </c>
      <c r="P364" s="17" t="inlineStr">
        <is>
          <t>DraftKings</t>
        </is>
      </c>
      <c r="Q364" s="17" t="inlineStr">
        <is>
          <t>CP isn't a full FBS participant this season — model doesn't rate them reliably</t>
        </is>
      </c>
    </row>
    <row r="365">
      <c r="A365" s="12" t="inlineStr">
        <is>
          <t>PASS</t>
        </is>
      </c>
      <c r="B365" s="12" t="inlineStr">
        <is>
          <t>EMU @ MSU</t>
        </is>
      </c>
      <c r="C365" s="12" t="inlineStr">
        <is>
          <t>2026-09-12 19:30</t>
        </is>
      </c>
      <c r="D365" s="22" t="n">
        <v>2</v>
      </c>
      <c r="E365" s="12" t="inlineStr">
        <is>
          <t>ML</t>
        </is>
      </c>
      <c r="F365" s="12" t="inlineStr">
        <is>
          <t>MSU ML</t>
        </is>
      </c>
      <c r="G365" s="23" t="n"/>
      <c r="H365" s="13" t="n">
        <v>-900</v>
      </c>
      <c r="I365" s="15" t="n">
        <v>0.7613288094511397</v>
      </c>
      <c r="J365" s="15" t="n">
        <v>0.863013698630137</v>
      </c>
      <c r="K365" s="15" t="n">
        <v>0.9</v>
      </c>
      <c r="L365" s="14" t="n">
        <v>-0.08032550927251667</v>
      </c>
      <c r="M365" s="14" t="n">
        <v>-0.1540791006098448</v>
      </c>
      <c r="N365" s="15" t="n">
        <v>0</v>
      </c>
      <c r="O365" s="24" t="n">
        <v>0.725</v>
      </c>
      <c r="P365" s="12" t="inlineStr">
        <is>
          <t>DraftKings</t>
        </is>
      </c>
      <c r="Q365" s="12" t="inlineStr">
        <is>
          <t>price outside allowed range</t>
        </is>
      </c>
    </row>
    <row r="366">
      <c r="A366" s="17" t="inlineStr">
        <is>
          <t>PASS</t>
        </is>
      </c>
      <c r="B366" s="17" t="inlineStr">
        <is>
          <t>UCF @ PITT</t>
        </is>
      </c>
      <c r="C366" s="17" t="inlineStr">
        <is>
          <t>2026-09-12 19:30</t>
        </is>
      </c>
      <c r="D366" s="25" t="n">
        <v>2</v>
      </c>
      <c r="E366" s="17" t="inlineStr">
        <is>
          <t>ATS</t>
        </is>
      </c>
      <c r="F366" s="17" t="inlineStr">
        <is>
          <t>PITT -7</t>
        </is>
      </c>
      <c r="G366" s="26" t="n">
        <v>-7</v>
      </c>
      <c r="H366" s="18" t="n">
        <v>-112</v>
      </c>
      <c r="I366" s="20" t="n">
        <v>0.4447863935895794</v>
      </c>
      <c r="J366" s="20" t="n">
        <v>0.5043297540699688</v>
      </c>
      <c r="K366" s="20" t="n">
        <v>0.5283018867924528</v>
      </c>
      <c r="L366" s="19" t="n">
        <v>-0.08039349602521075</v>
      </c>
      <c r="M366" s="19" t="n">
        <v>-0.150210369535451</v>
      </c>
      <c r="N366" s="20" t="n">
        <v>0.0498</v>
      </c>
      <c r="O366" s="27" t="n">
        <v>0.725</v>
      </c>
      <c r="P366" s="17" t="inlineStr">
        <is>
          <t>DraftKings</t>
        </is>
      </c>
      <c r="Q366" s="17" t="n"/>
    </row>
    <row r="367">
      <c r="A367" s="12" t="inlineStr">
        <is>
          <t>PASS</t>
        </is>
      </c>
      <c r="B367" s="12" t="inlineStr">
        <is>
          <t>CAL @ SYR</t>
        </is>
      </c>
      <c r="C367" s="12" t="inlineStr">
        <is>
          <t>2026-09-12 19:30</t>
        </is>
      </c>
      <c r="D367" s="22" t="n">
        <v>2</v>
      </c>
      <c r="E367" s="12" t="inlineStr">
        <is>
          <t>ML</t>
        </is>
      </c>
      <c r="F367" s="12" t="inlineStr">
        <is>
          <t>CAL ML</t>
        </is>
      </c>
      <c r="G367" s="23" t="n"/>
      <c r="H367" s="13" t="n">
        <v>150</v>
      </c>
      <c r="I367" s="15" t="n">
        <v>0.3371748763666399</v>
      </c>
      <c r="J367" s="15" t="n">
        <v>0.3835616438356164</v>
      </c>
      <c r="K367" s="15" t="n">
        <v>0.4</v>
      </c>
      <c r="L367" s="14" t="n">
        <v>-0.08118834316240879</v>
      </c>
      <c r="M367" s="14" t="n">
        <v>-0.1570628090834003</v>
      </c>
      <c r="N367" s="15" t="n">
        <v>0</v>
      </c>
      <c r="O367" s="24" t="n">
        <v>0.725</v>
      </c>
      <c r="P367" s="12" t="inlineStr">
        <is>
          <t>DraftKings</t>
        </is>
      </c>
      <c r="Q367" s="12" t="n"/>
    </row>
    <row r="368">
      <c r="A368" s="17" t="inlineStr">
        <is>
          <t>PASS</t>
        </is>
      </c>
      <c r="B368" s="17" t="inlineStr">
        <is>
          <t>CCSU @ TOL</t>
        </is>
      </c>
      <c r="C368" s="17" t="inlineStr">
        <is>
          <t>2026-09-12 19:30</t>
        </is>
      </c>
      <c r="D368" s="25" t="n">
        <v>2</v>
      </c>
      <c r="E368" s="17" t="inlineStr">
        <is>
          <t>TOTAL</t>
        </is>
      </c>
      <c r="F368" s="17" t="inlineStr">
        <is>
          <t>Over 55.5</t>
        </is>
      </c>
      <c r="G368" s="26" t="n">
        <v>55.5</v>
      </c>
      <c r="H368" s="18" t="n">
        <v>-112</v>
      </c>
      <c r="I368" s="20" t="n">
        <v>0.4431853198722414</v>
      </c>
      <c r="J368" s="20" t="n">
        <v>0.5043297540699688</v>
      </c>
      <c r="K368" s="20" t="n">
        <v>0.5283018867924528</v>
      </c>
      <c r="L368" s="19" t="n">
        <v>-0.08126957039297517</v>
      </c>
      <c r="M368" s="19" t="n">
        <v>-0.1611135016704002</v>
      </c>
      <c r="N368" s="20" t="n">
        <v>0</v>
      </c>
      <c r="O368" s="27" t="n">
        <v>0.4</v>
      </c>
      <c r="P368" s="17" t="inlineStr">
        <is>
          <t>DraftKings</t>
        </is>
      </c>
      <c r="Q368" s="17" t="inlineStr">
        <is>
          <t>CCSU isn't a full FBS participant this season — model doesn't rate them reliably</t>
        </is>
      </c>
    </row>
    <row r="369">
      <c r="A369" s="12" t="inlineStr">
        <is>
          <t>PASS</t>
        </is>
      </c>
      <c r="B369" s="12" t="inlineStr">
        <is>
          <t>BUFF @ FIU</t>
        </is>
      </c>
      <c r="C369" s="12" t="inlineStr">
        <is>
          <t>2026-09-12 22:00</t>
        </is>
      </c>
      <c r="D369" s="22" t="n">
        <v>2</v>
      </c>
      <c r="E369" s="12" t="inlineStr">
        <is>
          <t>TOTAL</t>
        </is>
      </c>
      <c r="F369" s="12" t="inlineStr">
        <is>
          <t>Under 47.5</t>
        </is>
      </c>
      <c r="G369" s="23" t="n">
        <v>47.5</v>
      </c>
      <c r="H369" s="13" t="n">
        <v>-108</v>
      </c>
      <c r="I369" s="15" t="n">
        <v>0.4350518682726499</v>
      </c>
      <c r="J369" s="15" t="n">
        <v>0.4956702459300312</v>
      </c>
      <c r="K369" s="15" t="n">
        <v>0.5192307692307693</v>
      </c>
      <c r="L369" s="14" t="n">
        <v>-0.08155028634656608</v>
      </c>
      <c r="M369" s="14" t="n">
        <v>-0.1621223277711928</v>
      </c>
      <c r="N369" s="15" t="n">
        <v>0</v>
      </c>
      <c r="O369" s="24" t="n">
        <v>0.725</v>
      </c>
      <c r="P369" s="12" t="inlineStr">
        <is>
          <t>DraftKings</t>
        </is>
      </c>
      <c r="Q369" s="12" t="n"/>
    </row>
    <row r="370">
      <c r="A370" s="17" t="inlineStr">
        <is>
          <t>PASS</t>
        </is>
      </c>
      <c r="B370" s="17" t="inlineStr">
        <is>
          <t>ETSU @ UNC</t>
        </is>
      </c>
      <c r="C370" s="17" t="inlineStr">
        <is>
          <t>2026-09-12 16:00</t>
        </is>
      </c>
      <c r="D370" s="25" t="n">
        <v>2</v>
      </c>
      <c r="E370" s="17" t="inlineStr">
        <is>
          <t>TOTAL</t>
        </is>
      </c>
      <c r="F370" s="17" t="inlineStr">
        <is>
          <t>Over 54.5</t>
        </is>
      </c>
      <c r="G370" s="26" t="n">
        <v>54.5</v>
      </c>
      <c r="H370" s="18" t="n">
        <v>-115</v>
      </c>
      <c r="I370" s="20" t="n">
        <v>0.4483480655635618</v>
      </c>
      <c r="J370" s="20" t="n">
        <v>0.5108342361863488</v>
      </c>
      <c r="K370" s="20" t="n">
        <v>0.5348837209302325</v>
      </c>
      <c r="L370" s="19" t="n">
        <v>-0.08155713549218457</v>
      </c>
      <c r="M370" s="19" t="n">
        <v>-0.1617840513376888</v>
      </c>
      <c r="N370" s="20" t="n">
        <v>0</v>
      </c>
      <c r="O370" s="27" t="n">
        <v>0.4</v>
      </c>
      <c r="P370" s="17" t="inlineStr">
        <is>
          <t>DraftKings</t>
        </is>
      </c>
      <c r="Q370" s="17" t="inlineStr">
        <is>
          <t>ETSU isn't a full FBS participant this season — model doesn't rate them reliably</t>
        </is>
      </c>
    </row>
    <row r="371">
      <c r="A371" s="12" t="inlineStr">
        <is>
          <t>PASS</t>
        </is>
      </c>
      <c r="B371" s="12" t="inlineStr">
        <is>
          <t>GAST @ KENN</t>
        </is>
      </c>
      <c r="C371" s="12" t="inlineStr">
        <is>
          <t>2026-09-12 23:00</t>
        </is>
      </c>
      <c r="D371" s="22" t="n">
        <v>2</v>
      </c>
      <c r="E371" s="12" t="inlineStr">
        <is>
          <t>ATS</t>
        </is>
      </c>
      <c r="F371" s="12" t="inlineStr">
        <is>
          <t>KENN -8.5</t>
        </is>
      </c>
      <c r="G371" s="23" t="n">
        <v>-8.5</v>
      </c>
      <c r="H371" s="13" t="n">
        <v>-105</v>
      </c>
      <c r="I371" s="15" t="n">
        <v>0.429251187775715</v>
      </c>
      <c r="J371" s="15" t="n">
        <v>0.4891657638136511</v>
      </c>
      <c r="K371" s="15" t="n">
        <v>0.5121951219512195</v>
      </c>
      <c r="L371" s="14" t="n">
        <v>-0.0815995090753627</v>
      </c>
      <c r="M371" s="14" t="n">
        <v>-0.1619381571997947</v>
      </c>
      <c r="N371" s="15" t="n">
        <v>0</v>
      </c>
      <c r="O371" s="24" t="n">
        <v>0.725</v>
      </c>
      <c r="P371" s="12" t="inlineStr">
        <is>
          <t>DraftKings</t>
        </is>
      </c>
      <c r="Q371" s="12" t="n"/>
    </row>
    <row r="372">
      <c r="A372" s="17" t="inlineStr">
        <is>
          <t>PASS</t>
        </is>
      </c>
      <c r="B372" s="17" t="inlineStr">
        <is>
          <t>WSU @ KSU</t>
        </is>
      </c>
      <c r="C372" s="17" t="inlineStr">
        <is>
          <t>2026-09-12 16:00</t>
        </is>
      </c>
      <c r="D372" s="25" t="n">
        <v>2</v>
      </c>
      <c r="E372" s="17" t="inlineStr">
        <is>
          <t>ML</t>
        </is>
      </c>
      <c r="F372" s="17" t="inlineStr">
        <is>
          <t>KSU ML</t>
        </is>
      </c>
      <c r="G372" s="26" t="n"/>
      <c r="H372" s="18" t="n">
        <v>-950</v>
      </c>
      <c r="I372" s="20" t="n">
        <v>0.7607452600706504</v>
      </c>
      <c r="J372" s="20" t="n">
        <v>0.8677165354330709</v>
      </c>
      <c r="K372" s="20" t="n">
        <v>0.9047619047619048</v>
      </c>
      <c r="L372" s="19" t="n">
        <v>-0.08180670769652286</v>
      </c>
      <c r="M372" s="19" t="n">
        <v>-0.1591762915008602</v>
      </c>
      <c r="N372" s="20" t="n">
        <v>0</v>
      </c>
      <c r="O372" s="27" t="n">
        <v>0.725</v>
      </c>
      <c r="P372" s="17" t="inlineStr">
        <is>
          <t>DraftKings</t>
        </is>
      </c>
      <c r="Q372" s="17" t="inlineStr">
        <is>
          <t>price outside allowed range</t>
        </is>
      </c>
    </row>
    <row r="373">
      <c r="A373" s="12" t="inlineStr">
        <is>
          <t>PASS</t>
        </is>
      </c>
      <c r="B373" s="12" t="inlineStr">
        <is>
          <t>WAKE @ PUR</t>
        </is>
      </c>
      <c r="C373" s="12" t="inlineStr">
        <is>
          <t>2026-09-12 16:00</t>
        </is>
      </c>
      <c r="D373" s="22" t="n">
        <v>2</v>
      </c>
      <c r="E373" s="12" t="inlineStr">
        <is>
          <t>TOTAL</t>
        </is>
      </c>
      <c r="F373" s="12" t="inlineStr">
        <is>
          <t>Under 49.5</t>
        </is>
      </c>
      <c r="G373" s="23" t="n">
        <v>49.5</v>
      </c>
      <c r="H373" s="13" t="n">
        <v>-110</v>
      </c>
      <c r="I373" s="15" t="n">
        <v>0.4372167765219039</v>
      </c>
      <c r="J373" s="15" t="n">
        <v>0.5</v>
      </c>
      <c r="K373" s="15" t="n">
        <v>0.5238095238095238</v>
      </c>
      <c r="L373" s="14" t="n">
        <v>-0.08238580339623149</v>
      </c>
      <c r="M373" s="14" t="n">
        <v>-0.1653134266400016</v>
      </c>
      <c r="N373" s="15" t="n">
        <v>0</v>
      </c>
      <c r="O373" s="24" t="n">
        <v>0.725</v>
      </c>
      <c r="P373" s="12" t="inlineStr">
        <is>
          <t>DraftKings</t>
        </is>
      </c>
      <c r="Q373" s="12" t="n"/>
    </row>
    <row r="374">
      <c r="A374" s="17" t="inlineStr">
        <is>
          <t>PASS</t>
        </is>
      </c>
      <c r="B374" s="17" t="inlineStr">
        <is>
          <t>COLG @ CMU</t>
        </is>
      </c>
      <c r="C374" s="17" t="inlineStr">
        <is>
          <t>2026-09-12 17:00</t>
        </is>
      </c>
      <c r="D374" s="25" t="n">
        <v>2</v>
      </c>
      <c r="E374" s="17" t="inlineStr">
        <is>
          <t>TOTAL</t>
        </is>
      </c>
      <c r="F374" s="17" t="inlineStr">
        <is>
          <t>Under 49.5</t>
        </is>
      </c>
      <c r="G374" s="26" t="n">
        <v>49.5</v>
      </c>
      <c r="H374" s="18" t="n">
        <v>-115</v>
      </c>
      <c r="I374" s="20" t="n">
        <v>0.4464375323273843</v>
      </c>
      <c r="J374" s="20" t="n">
        <v>0.5108342361863488</v>
      </c>
      <c r="K374" s="20" t="n">
        <v>0.5348837209302325</v>
      </c>
      <c r="L374" s="19" t="n">
        <v>-0.08250807281704099</v>
      </c>
      <c r="M374" s="19" t="n">
        <v>-0.1653559178227164</v>
      </c>
      <c r="N374" s="20" t="n">
        <v>0</v>
      </c>
      <c r="O374" s="27" t="n">
        <v>0.4</v>
      </c>
      <c r="P374" s="17" t="inlineStr">
        <is>
          <t>DraftKings</t>
        </is>
      </c>
      <c r="Q374" s="17" t="inlineStr">
        <is>
          <t>COLG isn't a full FBS participant this season — model doesn't rate them reliably</t>
        </is>
      </c>
    </row>
    <row r="375">
      <c r="A375" s="12" t="inlineStr">
        <is>
          <t>PASS</t>
        </is>
      </c>
      <c r="B375" s="12" t="inlineStr">
        <is>
          <t>MSST @ MINN</t>
        </is>
      </c>
      <c r="C375" s="12" t="inlineStr">
        <is>
          <t>2026-09-12 19:30</t>
        </is>
      </c>
      <c r="D375" s="22" t="n">
        <v>2</v>
      </c>
      <c r="E375" s="12" t="inlineStr">
        <is>
          <t>ATS</t>
        </is>
      </c>
      <c r="F375" s="12" t="inlineStr">
        <is>
          <t>MSST +1.5</t>
        </is>
      </c>
      <c r="G375" s="23" t="n">
        <v>-1.5</v>
      </c>
      <c r="H375" s="13" t="n">
        <v>-120</v>
      </c>
      <c r="I375" s="15" t="n">
        <v>0.4528318307681765</v>
      </c>
      <c r="J375" s="15" t="n">
        <v>0.5217391304347826</v>
      </c>
      <c r="K375" s="15" t="n">
        <v>0.5454545454545454</v>
      </c>
      <c r="L375" s="14" t="n">
        <v>-0.0839061449921019</v>
      </c>
      <c r="M375" s="14" t="n">
        <v>-0.1698083102583431</v>
      </c>
      <c r="N375" s="15" t="n">
        <v>0</v>
      </c>
      <c r="O375" s="24" t="n">
        <v>0.725</v>
      </c>
      <c r="P375" s="12" t="inlineStr">
        <is>
          <t>DraftKings</t>
        </is>
      </c>
      <c r="Q375" s="12" t="n"/>
    </row>
    <row r="376">
      <c r="A376" s="17" t="inlineStr">
        <is>
          <t>PASS</t>
        </is>
      </c>
      <c r="B376" s="17" t="inlineStr">
        <is>
          <t>SHU @ MASS</t>
        </is>
      </c>
      <c r="C376" s="17" t="inlineStr">
        <is>
          <t>2026-09-12 19:30</t>
        </is>
      </c>
      <c r="D376" s="25" t="n">
        <v>2</v>
      </c>
      <c r="E376" s="17" t="inlineStr">
        <is>
          <t>ML</t>
        </is>
      </c>
      <c r="F376" s="17" t="inlineStr">
        <is>
          <t>MASS ML</t>
        </is>
      </c>
      <c r="G376" s="26" t="n"/>
      <c r="H376" s="18" t="n">
        <v>-2400</v>
      </c>
      <c r="I376" s="20" t="n">
        <v>0.8032458304968334</v>
      </c>
      <c r="J376" s="20" t="n">
        <v>0.9258160237388724</v>
      </c>
      <c r="K376" s="20" t="n">
        <v>0.96</v>
      </c>
      <c r="L376" s="19" t="n">
        <v>-0.08397613447608228</v>
      </c>
      <c r="M376" s="19" t="n">
        <v>-0.1632855932324652</v>
      </c>
      <c r="N376" s="20" t="n">
        <v>0</v>
      </c>
      <c r="O376" s="27" t="n">
        <v>0.4</v>
      </c>
      <c r="P376" s="17" t="inlineStr">
        <is>
          <t>DraftKings</t>
        </is>
      </c>
      <c r="Q376" s="17" t="inlineStr">
        <is>
          <t>SHU isn't a full FBS participant this season — model doesn't rate them reliably</t>
        </is>
      </c>
    </row>
    <row r="377">
      <c r="A377" s="12" t="inlineStr">
        <is>
          <t>PASS</t>
        </is>
      </c>
      <c r="B377" s="12" t="inlineStr">
        <is>
          <t>CP @ SJSU</t>
        </is>
      </c>
      <c r="C377" s="12" t="inlineStr">
        <is>
          <t>2026-09-13 01:00</t>
        </is>
      </c>
      <c r="D377" s="22" t="n">
        <v>2</v>
      </c>
      <c r="E377" s="12" t="inlineStr">
        <is>
          <t>ML</t>
        </is>
      </c>
      <c r="F377" s="12" t="inlineStr">
        <is>
          <t>SJSU ML</t>
        </is>
      </c>
      <c r="G377" s="23" t="n"/>
      <c r="H377" s="13" t="n">
        <v>-2100</v>
      </c>
      <c r="I377" s="15" t="n">
        <v>0.7966712073743678</v>
      </c>
      <c r="J377" s="15" t="n">
        <v>0.9197080291970804</v>
      </c>
      <c r="K377" s="15" t="n">
        <v>0.9545454545454546</v>
      </c>
      <c r="L377" s="14" t="n">
        <v>-0.08427538701048322</v>
      </c>
      <c r="M377" s="14" t="n">
        <v>-0.1653920684649479</v>
      </c>
      <c r="N377" s="15" t="n">
        <v>0</v>
      </c>
      <c r="O377" s="24" t="n">
        <v>0.4</v>
      </c>
      <c r="P377" s="12" t="inlineStr">
        <is>
          <t>DraftKings</t>
        </is>
      </c>
      <c r="Q377" s="12" t="inlineStr">
        <is>
          <t>CP isn't a full FBS participant this season — model doesn't rate them reliably</t>
        </is>
      </c>
    </row>
    <row r="378">
      <c r="A378" s="17" t="inlineStr">
        <is>
          <t>PASS</t>
        </is>
      </c>
      <c r="B378" s="17" t="inlineStr">
        <is>
          <t>STBK @ BALL</t>
        </is>
      </c>
      <c r="C378" s="17" t="inlineStr">
        <is>
          <t>2026-09-12 18:00</t>
        </is>
      </c>
      <c r="D378" s="25" t="n">
        <v>2</v>
      </c>
      <c r="E378" s="17" t="inlineStr">
        <is>
          <t>ML</t>
        </is>
      </c>
      <c r="F378" s="17" t="inlineStr">
        <is>
          <t>BALL ML</t>
        </is>
      </c>
      <c r="G378" s="26" t="n"/>
      <c r="H378" s="18" t="n">
        <v>-850</v>
      </c>
      <c r="I378" s="20" t="n">
        <v>0.7429925741275789</v>
      </c>
      <c r="J378" s="20" t="n">
        <v>0.8579439252336449</v>
      </c>
      <c r="K378" s="20" t="n">
        <v>0.8947368421052632</v>
      </c>
      <c r="L378" s="19" t="n">
        <v>-0.08431930686108718</v>
      </c>
      <c r="M378" s="19" t="n">
        <v>-0.1695965347985883</v>
      </c>
      <c r="N378" s="20" t="n">
        <v>0</v>
      </c>
      <c r="O378" s="27" t="n">
        <v>0.4</v>
      </c>
      <c r="P378" s="17" t="inlineStr">
        <is>
          <t>DraftKings</t>
        </is>
      </c>
      <c r="Q378" s="17" t="inlineStr">
        <is>
          <t>STBK isn't a full FBS participant this season — model doesn't rate them reliably</t>
        </is>
      </c>
    </row>
    <row r="379">
      <c r="A379" s="12" t="inlineStr">
        <is>
          <t>PASS</t>
        </is>
      </c>
      <c r="B379" s="12" t="inlineStr">
        <is>
          <t>ODU @ VT</t>
        </is>
      </c>
      <c r="C379" s="12" t="inlineStr">
        <is>
          <t>2026-09-12 16:00</t>
        </is>
      </c>
      <c r="D379" s="22" t="n">
        <v>2</v>
      </c>
      <c r="E379" s="12" t="inlineStr">
        <is>
          <t>ML</t>
        </is>
      </c>
      <c r="F379" s="12" t="inlineStr">
        <is>
          <t>VT ML</t>
        </is>
      </c>
      <c r="G379" s="23" t="n"/>
      <c r="H379" s="13" t="n">
        <v>-1200</v>
      </c>
      <c r="I379" s="15" t="n">
        <v>0.7664698426733156</v>
      </c>
      <c r="J379" s="15" t="n">
        <v>0.8869565217391304</v>
      </c>
      <c r="K379" s="15" t="n">
        <v>0.9230769230769231</v>
      </c>
      <c r="L379" s="14" t="n">
        <v>-0.08470685631653613</v>
      </c>
      <c r="M379" s="14" t="n">
        <v>-0.1696576704372414</v>
      </c>
      <c r="N379" s="15" t="n">
        <v>0</v>
      </c>
      <c r="O379" s="24" t="n">
        <v>0.725</v>
      </c>
      <c r="P379" s="12" t="inlineStr">
        <is>
          <t>DraftKings</t>
        </is>
      </c>
      <c r="Q379" s="12" t="inlineStr">
        <is>
          <t>price outside allowed range</t>
        </is>
      </c>
    </row>
    <row r="380">
      <c r="A380" s="17" t="inlineStr">
        <is>
          <t>PASS</t>
        </is>
      </c>
      <c r="B380" s="17" t="inlineStr">
        <is>
          <t>UNLV @ UNT</t>
        </is>
      </c>
      <c r="C380" s="17" t="inlineStr">
        <is>
          <t>2026-09-12 19:45</t>
        </is>
      </c>
      <c r="D380" s="25" t="n">
        <v>2</v>
      </c>
      <c r="E380" s="17" t="inlineStr">
        <is>
          <t>TOTAL</t>
        </is>
      </c>
      <c r="F380" s="17" t="inlineStr">
        <is>
          <t>Over 56.5</t>
        </is>
      </c>
      <c r="G380" s="26" t="n">
        <v>56.5</v>
      </c>
      <c r="H380" s="18" t="n">
        <v>-112</v>
      </c>
      <c r="I380" s="20" t="n">
        <v>0.4356023227073688</v>
      </c>
      <c r="J380" s="20" t="n">
        <v>0.5043297540699688</v>
      </c>
      <c r="K380" s="20" t="n">
        <v>0.5283018867924528</v>
      </c>
      <c r="L380" s="19" t="n">
        <v>-0.0847950331438909</v>
      </c>
      <c r="M380" s="19" t="n">
        <v>-0.1754670320181949</v>
      </c>
      <c r="N380" s="20" t="n">
        <v>0</v>
      </c>
      <c r="O380" s="27" t="n">
        <v>0.725</v>
      </c>
      <c r="P380" s="17" t="inlineStr">
        <is>
          <t>DraftKings</t>
        </is>
      </c>
      <c r="Q380" s="17" t="n"/>
    </row>
    <row r="381">
      <c r="A381" s="12" t="inlineStr">
        <is>
          <t>PASS</t>
        </is>
      </c>
      <c r="B381" s="12" t="inlineStr">
        <is>
          <t>WIU @ WIS</t>
        </is>
      </c>
      <c r="C381" s="12" t="inlineStr">
        <is>
          <t>2026-09-12 23:15</t>
        </is>
      </c>
      <c r="D381" s="22" t="n">
        <v>2</v>
      </c>
      <c r="E381" s="12" t="inlineStr">
        <is>
          <t>TOTAL</t>
        </is>
      </c>
      <c r="F381" s="12" t="inlineStr">
        <is>
          <t>Under 48.5</t>
        </is>
      </c>
      <c r="G381" s="23" t="n">
        <v>48.5</v>
      </c>
      <c r="H381" s="13" t="n">
        <v>-108</v>
      </c>
      <c r="I381" s="15" t="n">
        <v>0.4275188167545141</v>
      </c>
      <c r="J381" s="15" t="n">
        <v>0.4956702459300312</v>
      </c>
      <c r="K381" s="15" t="n">
        <v>0.5192307692307693</v>
      </c>
      <c r="L381" s="14" t="n">
        <v>-0.08503997822293029</v>
      </c>
      <c r="M381" s="14" t="n">
        <v>-0.1766304269913062</v>
      </c>
      <c r="N381" s="15" t="n">
        <v>0</v>
      </c>
      <c r="O381" s="24" t="n">
        <v>0.4</v>
      </c>
      <c r="P381" s="12" t="inlineStr">
        <is>
          <t>DraftKings</t>
        </is>
      </c>
      <c r="Q381" s="12" t="inlineStr">
        <is>
          <t>WIU isn't a full FBS participant this season — model doesn't rate them reliably</t>
        </is>
      </c>
    </row>
    <row r="382">
      <c r="A382" s="17" t="inlineStr">
        <is>
          <t>PASS</t>
        </is>
      </c>
      <c r="B382" s="17" t="inlineStr">
        <is>
          <t>UCD @ SMU</t>
        </is>
      </c>
      <c r="C382" s="17" t="inlineStr">
        <is>
          <t>2026-09-12 20:00</t>
        </is>
      </c>
      <c r="D382" s="25" t="n">
        <v>2</v>
      </c>
      <c r="E382" s="17" t="inlineStr">
        <is>
          <t>ML</t>
        </is>
      </c>
      <c r="F382" s="17" t="inlineStr">
        <is>
          <t>SMU ML</t>
        </is>
      </c>
      <c r="G382" s="26" t="n"/>
      <c r="H382" s="18" t="n">
        <v>-2800</v>
      </c>
      <c r="I382" s="20" t="n">
        <v>0.8014577973846395</v>
      </c>
      <c r="J382" s="20" t="n">
        <v>0.9311163895486935</v>
      </c>
      <c r="K382" s="20" t="n">
        <v>0.9655172413793104</v>
      </c>
      <c r="L382" s="19" t="n">
        <v>-0.08538339533604289</v>
      </c>
      <c r="M382" s="19" t="n">
        <v>-0.1699187098516233</v>
      </c>
      <c r="N382" s="20" t="n">
        <v>0</v>
      </c>
      <c r="O382" s="27" t="n">
        <v>0.4</v>
      </c>
      <c r="P382" s="17" t="inlineStr">
        <is>
          <t>DraftKings</t>
        </is>
      </c>
      <c r="Q382" s="17" t="inlineStr">
        <is>
          <t>UCD isn't a full FBS participant this season — model doesn't rate them reliably</t>
        </is>
      </c>
    </row>
    <row r="383">
      <c r="A383" s="12" t="inlineStr">
        <is>
          <t>PASS</t>
        </is>
      </c>
      <c r="B383" s="12" t="inlineStr">
        <is>
          <t>VT @ MD</t>
        </is>
      </c>
      <c r="C383" s="12" t="inlineStr">
        <is>
          <t>2026-09-19 23:30</t>
        </is>
      </c>
      <c r="D383" s="22" t="n">
        <v>3</v>
      </c>
      <c r="E383" s="12" t="inlineStr">
        <is>
          <t>ML</t>
        </is>
      </c>
      <c r="F383" s="12" t="inlineStr">
        <is>
          <t>VT ML</t>
        </is>
      </c>
      <c r="G383" s="23" t="n"/>
      <c r="H383" s="13" t="n">
        <v>-115</v>
      </c>
      <c r="I383" s="15" t="n">
        <v>0.4393453802617633</v>
      </c>
      <c r="J383" s="15" t="n">
        <v>0.5108342361863488</v>
      </c>
      <c r="K383" s="15" t="n">
        <v>0.5348837209302325</v>
      </c>
      <c r="L383" s="14" t="n">
        <v>-0.08551603442142011</v>
      </c>
      <c r="M383" s="14" t="n">
        <v>-0.1786151586410513</v>
      </c>
      <c r="N383" s="15" t="n">
        <v>0</v>
      </c>
      <c r="O383" s="24" t="n">
        <v>0.725</v>
      </c>
      <c r="P383" s="12" t="inlineStr">
        <is>
          <t>DraftKings</t>
        </is>
      </c>
      <c r="Q383" s="12" t="n"/>
    </row>
    <row r="384">
      <c r="A384" s="17" t="inlineStr">
        <is>
          <t>PASS</t>
        </is>
      </c>
      <c r="B384" s="17" t="inlineStr">
        <is>
          <t>PV @ BAY</t>
        </is>
      </c>
      <c r="C384" s="17" t="inlineStr">
        <is>
          <t>2026-09-13 00:08</t>
        </is>
      </c>
      <c r="D384" s="25" t="n">
        <v>2</v>
      </c>
      <c r="E384" s="17" t="inlineStr">
        <is>
          <t>TOTAL</t>
        </is>
      </c>
      <c r="F384" s="17" t="inlineStr">
        <is>
          <t>Over 56.5</t>
        </is>
      </c>
      <c r="G384" s="26" t="n">
        <v>56.5</v>
      </c>
      <c r="H384" s="18" t="n">
        <v>-112</v>
      </c>
      <c r="I384" s="20" t="n">
        <v>0.4337221750660443</v>
      </c>
      <c r="J384" s="20" t="n">
        <v>0.5043297540699688</v>
      </c>
      <c r="K384" s="20" t="n">
        <v>0.5283018867924528</v>
      </c>
      <c r="L384" s="19" t="n">
        <v>-0.08552693446534837</v>
      </c>
      <c r="M384" s="19" t="n">
        <v>-0.179025882910702</v>
      </c>
      <c r="N384" s="20" t="n">
        <v>0</v>
      </c>
      <c r="O384" s="27" t="n">
        <v>0.4</v>
      </c>
      <c r="P384" s="17" t="inlineStr">
        <is>
          <t>DraftKings</t>
        </is>
      </c>
      <c r="Q384" s="17" t="inlineStr">
        <is>
          <t>PV isn't a full FBS participant this season — model doesn't rate them reliably</t>
        </is>
      </c>
    </row>
    <row r="385">
      <c r="A385" s="12" t="inlineStr">
        <is>
          <t>PASS</t>
        </is>
      </c>
      <c r="B385" s="12" t="inlineStr">
        <is>
          <t>ILST @ NIU</t>
        </is>
      </c>
      <c r="C385" s="12" t="inlineStr">
        <is>
          <t>2026-09-12 23:00</t>
        </is>
      </c>
      <c r="D385" s="22" t="n">
        <v>2</v>
      </c>
      <c r="E385" s="12" t="inlineStr">
        <is>
          <t>TOTAL</t>
        </is>
      </c>
      <c r="F385" s="12" t="inlineStr">
        <is>
          <t>Under 48.5</t>
        </is>
      </c>
      <c r="G385" s="23" t="n">
        <v>48.5</v>
      </c>
      <c r="H385" s="13" t="n">
        <v>-112</v>
      </c>
      <c r="I385" s="15" t="n">
        <v>0.433722143247393</v>
      </c>
      <c r="J385" s="15" t="n">
        <v>0.5043297540699688</v>
      </c>
      <c r="K385" s="15" t="n">
        <v>0.5283018867924528</v>
      </c>
      <c r="L385" s="14" t="n">
        <v>-0.08552694642042198</v>
      </c>
      <c r="M385" s="14" t="n">
        <v>-0.1790259431388633</v>
      </c>
      <c r="N385" s="15" t="n">
        <v>0</v>
      </c>
      <c r="O385" s="24" t="n">
        <v>0.4</v>
      </c>
      <c r="P385" s="12" t="inlineStr">
        <is>
          <t>DraftKings</t>
        </is>
      </c>
      <c r="Q385" s="12" t="inlineStr">
        <is>
          <t>ILST isn't a full FBS participant this season — model doesn't rate them reliably</t>
        </is>
      </c>
    </row>
    <row r="386">
      <c r="A386" s="17" t="inlineStr">
        <is>
          <t>PASS</t>
        </is>
      </c>
      <c r="B386" s="17" t="inlineStr">
        <is>
          <t>BGSU @ NEB</t>
        </is>
      </c>
      <c r="C386" s="17" t="inlineStr">
        <is>
          <t>2026-09-12 23:00</t>
        </is>
      </c>
      <c r="D386" s="25" t="n">
        <v>2</v>
      </c>
      <c r="E386" s="17" t="inlineStr">
        <is>
          <t>ML</t>
        </is>
      </c>
      <c r="F386" s="17" t="inlineStr">
        <is>
          <t>NEB ML</t>
        </is>
      </c>
      <c r="G386" s="26" t="n"/>
      <c r="H386" s="18" t="n">
        <v>-6500</v>
      </c>
      <c r="I386" s="20" t="n">
        <v>0.8193490362486144</v>
      </c>
      <c r="J386" s="20" t="n">
        <v>0.9538784067085954</v>
      </c>
      <c r="K386" s="20" t="n">
        <v>0.9848484848484849</v>
      </c>
      <c r="L386" s="19" t="n">
        <v>-0.08572045327887158</v>
      </c>
      <c r="M386" s="19" t="n">
        <v>-0.1680455939629454</v>
      </c>
      <c r="N386" s="20" t="n">
        <v>0</v>
      </c>
      <c r="O386" s="27" t="n">
        <v>0.725</v>
      </c>
      <c r="P386" s="17" t="inlineStr">
        <is>
          <t>DraftKings</t>
        </is>
      </c>
      <c r="Q386" s="17" t="inlineStr">
        <is>
          <t>price outside allowed range</t>
        </is>
      </c>
    </row>
    <row r="387">
      <c r="A387" s="12" t="inlineStr">
        <is>
          <t>PASS</t>
        </is>
      </c>
      <c r="B387" s="12" t="inlineStr">
        <is>
          <t>SAC @ FRES</t>
        </is>
      </c>
      <c r="C387" s="12" t="inlineStr">
        <is>
          <t>2026-09-13 02:30</t>
        </is>
      </c>
      <c r="D387" s="22" t="n">
        <v>2</v>
      </c>
      <c r="E387" s="12" t="inlineStr">
        <is>
          <t>ML</t>
        </is>
      </c>
      <c r="F387" s="12" t="inlineStr">
        <is>
          <t>FRES ML</t>
        </is>
      </c>
      <c r="G387" s="23" t="n"/>
      <c r="H387" s="13" t="n">
        <v>-950</v>
      </c>
      <c r="I387" s="15" t="n">
        <v>0.743894134842997</v>
      </c>
      <c r="J387" s="15" t="n">
        <v>0.8677165354330709</v>
      </c>
      <c r="K387" s="15" t="n">
        <v>0.9047619047619048</v>
      </c>
      <c r="L387" s="14" t="n">
        <v>-0.0860250012373651</v>
      </c>
      <c r="M387" s="14" t="n">
        <v>-0.177801219384056</v>
      </c>
      <c r="N387" s="15" t="n">
        <v>0</v>
      </c>
      <c r="O387" s="24" t="n">
        <v>0.725</v>
      </c>
      <c r="P387" s="12" t="inlineStr">
        <is>
          <t>DraftKings</t>
        </is>
      </c>
      <c r="Q387" s="12" t="inlineStr">
        <is>
          <t>price outside allowed range</t>
        </is>
      </c>
    </row>
    <row r="388">
      <c r="A388" s="17" t="inlineStr">
        <is>
          <t>PASS</t>
        </is>
      </c>
      <c r="B388" s="17" t="inlineStr">
        <is>
          <t>NORF @ UVA</t>
        </is>
      </c>
      <c r="C388" s="17" t="inlineStr">
        <is>
          <t>2026-09-11 23:00</t>
        </is>
      </c>
      <c r="D388" s="25" t="n">
        <v>2</v>
      </c>
      <c r="E388" s="17" t="inlineStr">
        <is>
          <t>TOTAL</t>
        </is>
      </c>
      <c r="F388" s="17" t="inlineStr">
        <is>
          <t>Over 54.5</t>
        </is>
      </c>
      <c r="G388" s="26" t="n">
        <v>54.5</v>
      </c>
      <c r="H388" s="18" t="n">
        <v>-122</v>
      </c>
      <c r="I388" s="20" t="n">
        <v>0.45026010571654</v>
      </c>
      <c r="J388" s="20" t="n">
        <v>0.5260865852617197</v>
      </c>
      <c r="K388" s="20" t="n">
        <v>0.5495495495495496</v>
      </c>
      <c r="L388" s="19" t="n">
        <v>-0.08627964273095559</v>
      </c>
      <c r="M388" s="19" t="n">
        <v>-0.1806742338600666</v>
      </c>
      <c r="N388" s="20" t="n">
        <v>0</v>
      </c>
      <c r="O388" s="27" t="n">
        <v>0.725</v>
      </c>
      <c r="P388" s="17" t="inlineStr">
        <is>
          <t>DraftKings</t>
        </is>
      </c>
      <c r="Q388" s="17" t="inlineStr">
        <is>
          <t>NORF isn't a full FBS participant this season — model doesn't rate them reliably</t>
        </is>
      </c>
    </row>
    <row r="389">
      <c r="A389" s="12" t="inlineStr">
        <is>
          <t>PASS</t>
        </is>
      </c>
      <c r="B389" s="12" t="inlineStr">
        <is>
          <t>SUU @ CSU</t>
        </is>
      </c>
      <c r="C389" s="12" t="inlineStr">
        <is>
          <t>2026-09-12 23:00</t>
        </is>
      </c>
      <c r="D389" s="22" t="n">
        <v>2</v>
      </c>
      <c r="E389" s="12" t="inlineStr">
        <is>
          <t>TOTAL</t>
        </is>
      </c>
      <c r="F389" s="12" t="inlineStr">
        <is>
          <t>Over 56.5</t>
        </is>
      </c>
      <c r="G389" s="23" t="n">
        <v>56.5</v>
      </c>
      <c r="H389" s="13" t="n">
        <v>-115</v>
      </c>
      <c r="I389" s="15" t="n">
        <v>0.4369744161242343</v>
      </c>
      <c r="J389" s="15" t="n">
        <v>0.5108342361863488</v>
      </c>
      <c r="K389" s="15" t="n">
        <v>0.5348837209302325</v>
      </c>
      <c r="L389" s="14" t="n">
        <v>-0.08635874987716478</v>
      </c>
      <c r="M389" s="14" t="n">
        <v>-0.1830478307242578</v>
      </c>
      <c r="N389" s="15" t="n">
        <v>0</v>
      </c>
      <c r="O389" s="24" t="n">
        <v>0.4</v>
      </c>
      <c r="P389" s="12" t="inlineStr">
        <is>
          <t>DraftKings</t>
        </is>
      </c>
      <c r="Q389" s="12" t="inlineStr">
        <is>
          <t>SUU isn't a full FBS participant this season — model doesn't rate them reliably</t>
        </is>
      </c>
    </row>
    <row r="390">
      <c r="A390" s="17" t="inlineStr">
        <is>
          <t>PASS</t>
        </is>
      </c>
      <c r="B390" s="17" t="inlineStr">
        <is>
          <t>NAVY @ FAU</t>
        </is>
      </c>
      <c r="C390" s="17" t="inlineStr">
        <is>
          <t>2026-09-12 23:30</t>
        </is>
      </c>
      <c r="D390" s="25" t="n">
        <v>2</v>
      </c>
      <c r="E390" s="17" t="inlineStr">
        <is>
          <t>TOTAL</t>
        </is>
      </c>
      <c r="F390" s="17" t="inlineStr">
        <is>
          <t>Over 58.5</t>
        </is>
      </c>
      <c r="G390" s="26" t="n">
        <v>58.5</v>
      </c>
      <c r="H390" s="18" t="n">
        <v>-115</v>
      </c>
      <c r="I390" s="20" t="n">
        <v>0.4369744107967183</v>
      </c>
      <c r="J390" s="20" t="n">
        <v>0.5108342361863488</v>
      </c>
      <c r="K390" s="20" t="n">
        <v>0.5348837209302325</v>
      </c>
      <c r="L390" s="19" t="n">
        <v>-0.0863587516881404</v>
      </c>
      <c r="M390" s="19" t="n">
        <v>-0.1830478406843963</v>
      </c>
      <c r="N390" s="20" t="n">
        <v>0</v>
      </c>
      <c r="O390" s="27" t="n">
        <v>0.725</v>
      </c>
      <c r="P390" s="17" t="inlineStr">
        <is>
          <t>DraftKings</t>
        </is>
      </c>
      <c r="Q390" s="17" t="n"/>
    </row>
    <row r="391">
      <c r="A391" s="12" t="inlineStr">
        <is>
          <t>PASS</t>
        </is>
      </c>
      <c r="B391" s="12" t="inlineStr">
        <is>
          <t>GASO @ CLEM</t>
        </is>
      </c>
      <c r="C391" s="12" t="inlineStr">
        <is>
          <t>2026-09-12 23:30</t>
        </is>
      </c>
      <c r="D391" s="22" t="n">
        <v>2</v>
      </c>
      <c r="E391" s="12" t="inlineStr">
        <is>
          <t>TOTAL</t>
        </is>
      </c>
      <c r="F391" s="12" t="inlineStr">
        <is>
          <t>Over 55.5</t>
        </is>
      </c>
      <c r="G391" s="23" t="n">
        <v>55.5</v>
      </c>
      <c r="H391" s="13" t="n">
        <v>-108</v>
      </c>
      <c r="I391" s="15" t="n">
        <v>0.4237920847919542</v>
      </c>
      <c r="J391" s="15" t="n">
        <v>0.4956702459300312</v>
      </c>
      <c r="K391" s="15" t="n">
        <v>0.5192307692307693</v>
      </c>
      <c r="L391" s="14" t="n">
        <v>-0.0864323172867438</v>
      </c>
      <c r="M391" s="14" t="n">
        <v>-0.1838078366969771</v>
      </c>
      <c r="N391" s="15" t="n">
        <v>0</v>
      </c>
      <c r="O391" s="24" t="n">
        <v>0.725</v>
      </c>
      <c r="P391" s="12" t="inlineStr">
        <is>
          <t>DraftKings</t>
        </is>
      </c>
      <c r="Q391" s="12" t="n"/>
    </row>
    <row r="392">
      <c r="A392" s="17" t="inlineStr">
        <is>
          <t>PASS</t>
        </is>
      </c>
      <c r="B392" s="17" t="inlineStr">
        <is>
          <t>USU @ WASH</t>
        </is>
      </c>
      <c r="C392" s="17" t="inlineStr">
        <is>
          <t>2026-09-12 19:30</t>
        </is>
      </c>
      <c r="D392" s="25" t="n">
        <v>2</v>
      </c>
      <c r="E392" s="17" t="inlineStr">
        <is>
          <t>ML</t>
        </is>
      </c>
      <c r="F392" s="17" t="inlineStr">
        <is>
          <t>WASH ML</t>
        </is>
      </c>
      <c r="G392" s="26" t="n"/>
      <c r="H392" s="18" t="n">
        <v>-3600</v>
      </c>
      <c r="I392" s="20" t="n">
        <v>0.8032197548434139</v>
      </c>
      <c r="J392" s="20" t="n">
        <v>0.9396411092985318</v>
      </c>
      <c r="K392" s="20" t="n">
        <v>0.972972972972973</v>
      </c>
      <c r="L392" s="19" t="n">
        <v>-0.08646197537862689</v>
      </c>
      <c r="M392" s="19" t="n">
        <v>-0.1744685852998247</v>
      </c>
      <c r="N392" s="20" t="n">
        <v>0</v>
      </c>
      <c r="O392" s="27" t="n">
        <v>0.725</v>
      </c>
      <c r="P392" s="17" t="inlineStr">
        <is>
          <t>DraftKings</t>
        </is>
      </c>
      <c r="Q392" s="17" t="inlineStr">
        <is>
          <t>price outside allowed range</t>
        </is>
      </c>
    </row>
    <row r="393">
      <c r="A393" s="12" t="inlineStr">
        <is>
          <t>PASS</t>
        </is>
      </c>
      <c r="B393" s="12" t="inlineStr">
        <is>
          <t>UNC @ CLEM</t>
        </is>
      </c>
      <c r="C393" s="12" t="inlineStr">
        <is>
          <t>2026-09-19 16:00</t>
        </is>
      </c>
      <c r="D393" s="22" t="n">
        <v>3</v>
      </c>
      <c r="E393" s="12" t="inlineStr">
        <is>
          <t>ML</t>
        </is>
      </c>
      <c r="F393" s="12" t="inlineStr">
        <is>
          <t>CLEM ML</t>
        </is>
      </c>
      <c r="G393" s="23" t="n"/>
      <c r="H393" s="13" t="n">
        <v>-410</v>
      </c>
      <c r="I393" s="15" t="n">
        <v>0.6594604778810262</v>
      </c>
      <c r="J393" s="15" t="n">
        <v>0.771505376344086</v>
      </c>
      <c r="K393" s="15" t="n">
        <v>0.803921568627451</v>
      </c>
      <c r="L393" s="14" t="n">
        <v>-0.08646959360464257</v>
      </c>
      <c r="M393" s="14" t="n">
        <v>-0.1796955031236015</v>
      </c>
      <c r="N393" s="15" t="n">
        <v>0</v>
      </c>
      <c r="O393" s="24" t="n">
        <v>0.725</v>
      </c>
      <c r="P393" s="12" t="inlineStr">
        <is>
          <t>DraftKings</t>
        </is>
      </c>
      <c r="Q393" s="12" t="inlineStr">
        <is>
          <t>price outside allowed range</t>
        </is>
      </c>
    </row>
    <row r="394">
      <c r="A394" s="17" t="inlineStr">
        <is>
          <t>PASS</t>
        </is>
      </c>
      <c r="B394" s="17" t="inlineStr">
        <is>
          <t>MONM @ WMU</t>
        </is>
      </c>
      <c r="C394" s="17" t="inlineStr">
        <is>
          <t>2026-09-12 22:30</t>
        </is>
      </c>
      <c r="D394" s="25" t="n">
        <v>2</v>
      </c>
      <c r="E394" s="17" t="inlineStr">
        <is>
          <t>ML</t>
        </is>
      </c>
      <c r="F394" s="17" t="inlineStr">
        <is>
          <t>WMU ML</t>
        </is>
      </c>
      <c r="G394" s="26" t="n"/>
      <c r="H394" s="18" t="n">
        <v>-3600</v>
      </c>
      <c r="I394" s="20" t="n">
        <v>0.8028236625361017</v>
      </c>
      <c r="J394" s="20" t="n">
        <v>0.9396411092985318</v>
      </c>
      <c r="K394" s="20" t="n">
        <v>0.972972972972973</v>
      </c>
      <c r="L394" s="19" t="n">
        <v>-0.0865340491174483</v>
      </c>
      <c r="M394" s="19" t="n">
        <v>-0.1748756801712289</v>
      </c>
      <c r="N394" s="20" t="n">
        <v>0</v>
      </c>
      <c r="O394" s="27" t="n">
        <v>0.4</v>
      </c>
      <c r="P394" s="17" t="inlineStr">
        <is>
          <t>DraftKings</t>
        </is>
      </c>
      <c r="Q394" s="17" t="inlineStr">
        <is>
          <t>MONM isn't a full FBS participant this season — model doesn't rate them reliably</t>
        </is>
      </c>
    </row>
    <row r="395">
      <c r="A395" s="12" t="inlineStr">
        <is>
          <t>PASS</t>
        </is>
      </c>
      <c r="B395" s="12" t="inlineStr">
        <is>
          <t>APP @ ECU</t>
        </is>
      </c>
      <c r="C395" s="12" t="inlineStr">
        <is>
          <t>2026-09-12 16:00</t>
        </is>
      </c>
      <c r="D395" s="22" t="n">
        <v>2</v>
      </c>
      <c r="E395" s="12" t="inlineStr">
        <is>
          <t>TOTAL</t>
        </is>
      </c>
      <c r="F395" s="12" t="inlineStr">
        <is>
          <t>Over 56.5</t>
        </is>
      </c>
      <c r="G395" s="23" t="n">
        <v>56.5</v>
      </c>
      <c r="H395" s="13" t="n">
        <v>-112</v>
      </c>
      <c r="I395" s="15" t="n">
        <v>0.4299817669832371</v>
      </c>
      <c r="J395" s="15" t="n">
        <v>0.5043297540699688</v>
      </c>
      <c r="K395" s="15" t="n">
        <v>0.5283018867924528</v>
      </c>
      <c r="L395" s="14" t="n">
        <v>-0.08683752553088783</v>
      </c>
      <c r="M395" s="14" t="n">
        <v>-0.1861059410674442</v>
      </c>
      <c r="N395" s="15" t="n">
        <v>0</v>
      </c>
      <c r="O395" s="24" t="n">
        <v>0.725</v>
      </c>
      <c r="P395" s="12" t="inlineStr">
        <is>
          <t>DraftKings</t>
        </is>
      </c>
      <c r="Q395" s="12" t="n"/>
    </row>
    <row r="396">
      <c r="A396" s="17" t="inlineStr">
        <is>
          <t>PASS</t>
        </is>
      </c>
      <c r="B396" s="17" t="inlineStr">
        <is>
          <t>MSST @ MINN</t>
        </is>
      </c>
      <c r="C396" s="17" t="inlineStr">
        <is>
          <t>2026-09-12 19:30</t>
        </is>
      </c>
      <c r="D396" s="25" t="n">
        <v>2</v>
      </c>
      <c r="E396" s="17" t="inlineStr">
        <is>
          <t>ML</t>
        </is>
      </c>
      <c r="F396" s="17" t="inlineStr">
        <is>
          <t>MSST ML</t>
        </is>
      </c>
      <c r="G396" s="26" t="n"/>
      <c r="H396" s="18" t="n">
        <v>-108</v>
      </c>
      <c r="I396" s="20" t="n">
        <v>0.422288018297321</v>
      </c>
      <c r="J396" s="20" t="n">
        <v>0.4956702459300312</v>
      </c>
      <c r="K396" s="20" t="n">
        <v>0.5192307692307693</v>
      </c>
      <c r="L396" s="19" t="n">
        <v>-0.08694003299331611</v>
      </c>
      <c r="M396" s="19" t="n">
        <v>-0.1867045573533077</v>
      </c>
      <c r="N396" s="20" t="n">
        <v>0</v>
      </c>
      <c r="O396" s="27" t="n">
        <v>0.725</v>
      </c>
      <c r="P396" s="17" t="inlineStr">
        <is>
          <t>DraftKings</t>
        </is>
      </c>
      <c r="Q396" s="17" t="n"/>
    </row>
    <row r="397">
      <c r="A397" s="12" t="inlineStr">
        <is>
          <t>PASS</t>
        </is>
      </c>
      <c r="B397" s="12" t="inlineStr">
        <is>
          <t>NMSU @ HAW</t>
        </is>
      </c>
      <c r="C397" s="12" t="inlineStr">
        <is>
          <t>2026-09-13 03:59</t>
        </is>
      </c>
      <c r="D397" s="22" t="n">
        <v>2</v>
      </c>
      <c r="E397" s="12" t="inlineStr">
        <is>
          <t>ATS</t>
        </is>
      </c>
      <c r="F397" s="12" t="inlineStr">
        <is>
          <t>HAW -7</t>
        </is>
      </c>
      <c r="G397" s="23" t="n">
        <v>-7</v>
      </c>
      <c r="H397" s="13" t="n">
        <v>-112</v>
      </c>
      <c r="I397" s="15" t="n">
        <v>0.4294209300677226</v>
      </c>
      <c r="J397" s="15" t="n">
        <v>0.5043297540699688</v>
      </c>
      <c r="K397" s="15" t="n">
        <v>0.5283018867924528</v>
      </c>
      <c r="L397" s="14" t="n">
        <v>-0.08701846706334471</v>
      </c>
      <c r="M397" s="14" t="n">
        <v>-0.1780524667503036</v>
      </c>
      <c r="N397" s="15" t="n">
        <v>0.0487</v>
      </c>
      <c r="O397" s="24" t="n">
        <v>0.839</v>
      </c>
      <c r="P397" s="12" t="inlineStr">
        <is>
          <t>DraftKings</t>
        </is>
      </c>
      <c r="Q397" s="12" t="n"/>
    </row>
    <row r="398">
      <c r="A398" s="17" t="inlineStr">
        <is>
          <t>PASS</t>
        </is>
      </c>
      <c r="B398" s="17" t="inlineStr">
        <is>
          <t>HC @ M-OH</t>
        </is>
      </c>
      <c r="C398" s="17" t="inlineStr">
        <is>
          <t>2026-09-12 17:00</t>
        </is>
      </c>
      <c r="D398" s="25" t="n">
        <v>2</v>
      </c>
      <c r="E398" s="17" t="inlineStr">
        <is>
          <t>TOTAL</t>
        </is>
      </c>
      <c r="F398" s="17" t="inlineStr">
        <is>
          <t>Under 49.5</t>
        </is>
      </c>
      <c r="G398" s="26" t="n">
        <v>49.5</v>
      </c>
      <c r="H398" s="18" t="n">
        <v>-108</v>
      </c>
      <c r="I398" s="20" t="n">
        <v>0.4219391830002497</v>
      </c>
      <c r="J398" s="20" t="n">
        <v>0.4956702459300312</v>
      </c>
      <c r="K398" s="20" t="n">
        <v>0.5192307692307693</v>
      </c>
      <c r="L398" s="19" t="n">
        <v>-0.08705361240735447</v>
      </c>
      <c r="M398" s="19" t="n">
        <v>-0.1873763882958154</v>
      </c>
      <c r="N398" s="20" t="n">
        <v>0</v>
      </c>
      <c r="O398" s="27" t="n">
        <v>0.4</v>
      </c>
      <c r="P398" s="17" t="inlineStr">
        <is>
          <t>DraftKings</t>
        </is>
      </c>
      <c r="Q398" s="17" t="inlineStr">
        <is>
          <t>HC isn't a full FBS participant this season — model doesn't rate them reliably</t>
        </is>
      </c>
    </row>
    <row r="399">
      <c r="A399" s="12" t="inlineStr">
        <is>
          <t>PASS</t>
        </is>
      </c>
      <c r="B399" s="12" t="inlineStr">
        <is>
          <t>SUU @ CSU</t>
        </is>
      </c>
      <c r="C399" s="12" t="inlineStr">
        <is>
          <t>2026-09-12 23:00</t>
        </is>
      </c>
      <c r="D399" s="22" t="n">
        <v>2</v>
      </c>
      <c r="E399" s="12" t="inlineStr">
        <is>
          <t>ML</t>
        </is>
      </c>
      <c r="F399" s="12" t="inlineStr">
        <is>
          <t>CSU ML</t>
        </is>
      </c>
      <c r="G399" s="23" t="n"/>
      <c r="H399" s="13" t="n">
        <v>-2100</v>
      </c>
      <c r="I399" s="15" t="n">
        <v>0.7808192851234665</v>
      </c>
      <c r="J399" s="15" t="n">
        <v>0.9197080291970804</v>
      </c>
      <c r="K399" s="15" t="n">
        <v>0.9545454545454546</v>
      </c>
      <c r="L399" s="14" t="n">
        <v>-0.0874086575347707</v>
      </c>
      <c r="M399" s="14" t="n">
        <v>-0.1819988441563684</v>
      </c>
      <c r="N399" s="15" t="n">
        <v>0</v>
      </c>
      <c r="O399" s="24" t="n">
        <v>0.4</v>
      </c>
      <c r="P399" s="12" t="inlineStr">
        <is>
          <t>DraftKings</t>
        </is>
      </c>
      <c r="Q399" s="12" t="inlineStr">
        <is>
          <t>SUU isn't a full FBS participant this season — model doesn't rate them reliably</t>
        </is>
      </c>
    </row>
    <row r="400">
      <c r="A400" s="17" t="inlineStr">
        <is>
          <t>PASS</t>
        </is>
      </c>
      <c r="B400" s="17" t="inlineStr">
        <is>
          <t>MTST @ NEV</t>
        </is>
      </c>
      <c r="C400" s="17" t="inlineStr">
        <is>
          <t>2026-09-13 02:30</t>
        </is>
      </c>
      <c r="D400" s="25" t="n">
        <v>2</v>
      </c>
      <c r="E400" s="17" t="inlineStr">
        <is>
          <t>TOTAL</t>
        </is>
      </c>
      <c r="F400" s="17" t="inlineStr">
        <is>
          <t>Under 49.5</t>
        </is>
      </c>
      <c r="G400" s="26" t="n">
        <v>49.5</v>
      </c>
      <c r="H400" s="18" t="n">
        <v>-110</v>
      </c>
      <c r="I400" s="20" t="n">
        <v>0.4241040600352342</v>
      </c>
      <c r="J400" s="20" t="n">
        <v>0.5</v>
      </c>
      <c r="K400" s="20" t="n">
        <v>0.5238095238095238</v>
      </c>
      <c r="L400" s="19" t="n">
        <v>-0.08752712163049618</v>
      </c>
      <c r="M400" s="19" t="n">
        <v>-0.1903467944781894</v>
      </c>
      <c r="N400" s="20" t="n">
        <v>0</v>
      </c>
      <c r="O400" s="27" t="n">
        <v>0.4</v>
      </c>
      <c r="P400" s="17" t="inlineStr">
        <is>
          <t>DraftKings</t>
        </is>
      </c>
      <c r="Q400" s="17" t="inlineStr">
        <is>
          <t>MTST isn't a full FBS participant this season — model doesn't rate them reliably</t>
        </is>
      </c>
    </row>
    <row r="401">
      <c r="A401" s="12" t="inlineStr">
        <is>
          <t>PASS</t>
        </is>
      </c>
      <c r="B401" s="12" t="inlineStr">
        <is>
          <t>NDSU @ AFA</t>
        </is>
      </c>
      <c r="C401" s="12" t="inlineStr">
        <is>
          <t>2026-09-13 02:00</t>
        </is>
      </c>
      <c r="D401" s="22" t="n">
        <v>2</v>
      </c>
      <c r="E401" s="12" t="inlineStr">
        <is>
          <t>ML</t>
        </is>
      </c>
      <c r="F401" s="12" t="inlineStr">
        <is>
          <t>NDSU ML</t>
        </is>
      </c>
      <c r="G401" s="23" t="n"/>
      <c r="H401" s="13" t="n">
        <v>-125</v>
      </c>
      <c r="I401" s="15" t="n">
        <v>0.4515286748454111</v>
      </c>
      <c r="J401" s="15" t="n">
        <v>0.5324675324675325</v>
      </c>
      <c r="K401" s="15" t="n">
        <v>0.5555555555555556</v>
      </c>
      <c r="L401" s="14" t="n">
        <v>-0.08755958477650336</v>
      </c>
      <c r="M401" s="14" t="n">
        <v>-0.1872483852782599</v>
      </c>
      <c r="N401" s="15" t="n">
        <v>0</v>
      </c>
      <c r="O401" s="24" t="n">
        <v>0.725</v>
      </c>
      <c r="P401" s="12" t="inlineStr">
        <is>
          <t>DraftKings</t>
        </is>
      </c>
      <c r="Q401" s="12" t="n"/>
    </row>
    <row r="402">
      <c r="A402" s="17" t="inlineStr">
        <is>
          <t>PASS</t>
        </is>
      </c>
      <c r="B402" s="17" t="inlineStr">
        <is>
          <t>LIN @ MOST</t>
        </is>
      </c>
      <c r="C402" s="17" t="inlineStr">
        <is>
          <t>2026-09-12 23:00</t>
        </is>
      </c>
      <c r="D402" s="25" t="n">
        <v>2</v>
      </c>
      <c r="E402" s="17" t="inlineStr">
        <is>
          <t>ML</t>
        </is>
      </c>
      <c r="F402" s="17" t="inlineStr">
        <is>
          <t>MOST ML</t>
        </is>
      </c>
      <c r="G402" s="26" t="n"/>
      <c r="H402" s="18" t="n">
        <v>-1650</v>
      </c>
      <c r="I402" s="20" t="n">
        <v>0.76910710893985</v>
      </c>
      <c r="J402" s="20" t="n">
        <v>0.9082568807339451</v>
      </c>
      <c r="K402" s="20" t="n">
        <v>0.9428571428571428</v>
      </c>
      <c r="L402" s="19" t="n">
        <v>-0.08773783703264576</v>
      </c>
      <c r="M402" s="19" t="n">
        <v>-0.1842803390031894</v>
      </c>
      <c r="N402" s="20" t="n">
        <v>0</v>
      </c>
      <c r="O402" s="27" t="n">
        <v>0.4</v>
      </c>
      <c r="P402" s="17" t="inlineStr">
        <is>
          <t>DraftKings</t>
        </is>
      </c>
      <c r="Q402" s="17" t="inlineStr">
        <is>
          <t>LIN isn't a full FBS participant this season — model doesn't rate them reliably</t>
        </is>
      </c>
    </row>
    <row r="403">
      <c r="A403" s="12" t="inlineStr">
        <is>
          <t>PASS</t>
        </is>
      </c>
      <c r="B403" s="12" t="inlineStr">
        <is>
          <t>FOR @ CCU</t>
        </is>
      </c>
      <c r="C403" s="12" t="inlineStr">
        <is>
          <t>2026-09-12 23:30</t>
        </is>
      </c>
      <c r="D403" s="22" t="n">
        <v>2</v>
      </c>
      <c r="E403" s="12" t="inlineStr">
        <is>
          <t>ML</t>
        </is>
      </c>
      <c r="F403" s="12" t="inlineStr">
        <is>
          <t>CCU ML</t>
        </is>
      </c>
      <c r="G403" s="23" t="n"/>
      <c r="H403" s="13" t="n">
        <v>-9000</v>
      </c>
      <c r="I403" s="15" t="n">
        <v>0.8144185998796238</v>
      </c>
      <c r="J403" s="15" t="n">
        <v>0.9625668449197861</v>
      </c>
      <c r="K403" s="15" t="n">
        <v>0.9890109890109891</v>
      </c>
      <c r="L403" s="14" t="n">
        <v>-0.08784068836797551</v>
      </c>
      <c r="M403" s="14" t="n">
        <v>-0.1765323045661582</v>
      </c>
      <c r="N403" s="15" t="n">
        <v>0</v>
      </c>
      <c r="O403" s="24" t="n">
        <v>0.725</v>
      </c>
      <c r="P403" s="12" t="inlineStr">
        <is>
          <t>DraftKings</t>
        </is>
      </c>
      <c r="Q403" s="12" t="inlineStr">
        <is>
          <t>FOR isn't a full FBS participant this season — model doesn't rate them reliably</t>
        </is>
      </c>
    </row>
    <row r="404">
      <c r="A404" s="17" t="inlineStr">
        <is>
          <t>PASS</t>
        </is>
      </c>
      <c r="B404" s="17" t="inlineStr">
        <is>
          <t>GWEB @ LIB</t>
        </is>
      </c>
      <c r="C404" s="17" t="inlineStr">
        <is>
          <t>2026-09-12 22:00</t>
        </is>
      </c>
      <c r="D404" s="25" t="n">
        <v>2</v>
      </c>
      <c r="E404" s="17" t="inlineStr">
        <is>
          <t>ML</t>
        </is>
      </c>
      <c r="F404" s="17" t="inlineStr">
        <is>
          <t>LIB ML</t>
        </is>
      </c>
      <c r="G404" s="26" t="n"/>
      <c r="H404" s="18" t="n">
        <v>-5000</v>
      </c>
      <c r="I404" s="20" t="n">
        <v>0.8028821724644428</v>
      </c>
      <c r="J404" s="20" t="n">
        <v>0.949050949050949</v>
      </c>
      <c r="K404" s="20" t="n">
        <v>0.9803921568627451</v>
      </c>
      <c r="L404" s="19" t="n">
        <v>-0.08785607114666803</v>
      </c>
      <c r="M404" s="19" t="n">
        <v>-0.1810601840862683</v>
      </c>
      <c r="N404" s="20" t="n">
        <v>0</v>
      </c>
      <c r="O404" s="27" t="n">
        <v>0.4</v>
      </c>
      <c r="P404" s="17" t="inlineStr">
        <is>
          <t>DraftKings</t>
        </is>
      </c>
      <c r="Q404" s="17" t="inlineStr">
        <is>
          <t>GWEB isn't a full FBS participant this season — model doesn't rate them reliably</t>
        </is>
      </c>
    </row>
    <row r="405">
      <c r="A405" s="12" t="inlineStr">
        <is>
          <t>PASS</t>
        </is>
      </c>
      <c r="B405" s="12" t="inlineStr">
        <is>
          <t>GASO @ CLEM</t>
        </is>
      </c>
      <c r="C405" s="12" t="inlineStr">
        <is>
          <t>2026-09-12 23:30</t>
        </is>
      </c>
      <c r="D405" s="22" t="n">
        <v>2</v>
      </c>
      <c r="E405" s="12" t="inlineStr">
        <is>
          <t>ML</t>
        </is>
      </c>
      <c r="F405" s="12" t="inlineStr">
        <is>
          <t>CLEM ML</t>
        </is>
      </c>
      <c r="G405" s="23" t="n"/>
      <c r="H405" s="13" t="n">
        <v>-1200</v>
      </c>
      <c r="I405" s="15" t="n">
        <v>0.7488118033185263</v>
      </c>
      <c r="J405" s="15" t="n">
        <v>0.8869565217391304</v>
      </c>
      <c r="K405" s="15" t="n">
        <v>0.9230769230769231</v>
      </c>
      <c r="L405" s="14" t="n">
        <v>-0.088103096395759</v>
      </c>
      <c r="M405" s="14" t="n">
        <v>-0.1887872130715966</v>
      </c>
      <c r="N405" s="15" t="n">
        <v>0</v>
      </c>
      <c r="O405" s="24" t="n">
        <v>0.725</v>
      </c>
      <c r="P405" s="12" t="inlineStr">
        <is>
          <t>DraftKings</t>
        </is>
      </c>
      <c r="Q405" s="12" t="inlineStr">
        <is>
          <t>price outside allowed range</t>
        </is>
      </c>
    </row>
    <row r="406">
      <c r="A406" s="17" t="inlineStr">
        <is>
          <t>PASS</t>
        </is>
      </c>
      <c r="B406" s="17" t="inlineStr">
        <is>
          <t>USU @ WASH</t>
        </is>
      </c>
      <c r="C406" s="17" t="inlineStr">
        <is>
          <t>2026-09-12 19:30</t>
        </is>
      </c>
      <c r="D406" s="25" t="n">
        <v>2</v>
      </c>
      <c r="E406" s="17" t="inlineStr">
        <is>
          <t>TOTAL</t>
        </is>
      </c>
      <c r="F406" s="17" t="inlineStr">
        <is>
          <t>Over 55.5</t>
        </is>
      </c>
      <c r="G406" s="26" t="n">
        <v>55.5</v>
      </c>
      <c r="H406" s="18" t="n">
        <v>-108</v>
      </c>
      <c r="I406" s="20" t="n">
        <v>0.4182552723874231</v>
      </c>
      <c r="J406" s="20" t="n">
        <v>0.4956702459300312</v>
      </c>
      <c r="K406" s="20" t="n">
        <v>0.5192307692307693</v>
      </c>
      <c r="L406" s="19" t="n">
        <v>-0.08816315361840843</v>
      </c>
      <c r="M406" s="19" t="n">
        <v>-0.1944713272538517</v>
      </c>
      <c r="N406" s="20" t="n">
        <v>0</v>
      </c>
      <c r="O406" s="27" t="n">
        <v>0.725</v>
      </c>
      <c r="P406" s="17" t="inlineStr">
        <is>
          <t>DraftKings</t>
        </is>
      </c>
      <c r="Q406" s="17" t="n"/>
    </row>
    <row r="407">
      <c r="A407" s="12" t="inlineStr">
        <is>
          <t>PASS</t>
        </is>
      </c>
      <c r="B407" s="12" t="inlineStr">
        <is>
          <t>WEB @ COLO</t>
        </is>
      </c>
      <c r="C407" s="12" t="inlineStr">
        <is>
          <t>2026-09-12 19:30</t>
        </is>
      </c>
      <c r="D407" s="22" t="n">
        <v>2</v>
      </c>
      <c r="E407" s="12" t="inlineStr">
        <is>
          <t>ML</t>
        </is>
      </c>
      <c r="F407" s="12" t="inlineStr">
        <is>
          <t>COLO ML</t>
        </is>
      </c>
      <c r="G407" s="23" t="n"/>
      <c r="H407" s="13" t="n">
        <v>-10000</v>
      </c>
      <c r="I407" s="15" t="n">
        <v>0.8168303474698153</v>
      </c>
      <c r="J407" s="15" t="n">
        <v>0.9684473601999376</v>
      </c>
      <c r="K407" s="15" t="n">
        <v>0.9900990099009901</v>
      </c>
      <c r="L407" s="14" t="n">
        <v>-0.08821491132708151</v>
      </c>
      <c r="M407" s="14" t="n">
        <v>-0.1750013490554865</v>
      </c>
      <c r="N407" s="15" t="n">
        <v>0</v>
      </c>
      <c r="O407" s="24" t="n">
        <v>0.4</v>
      </c>
      <c r="P407" s="12" t="inlineStr">
        <is>
          <t>DraftKings</t>
        </is>
      </c>
      <c r="Q407" s="12" t="inlineStr">
        <is>
          <t>WEB isn't a full FBS participant this season — model doesn't rate them reliably</t>
        </is>
      </c>
    </row>
    <row r="408">
      <c r="A408" s="17" t="inlineStr">
        <is>
          <t>PASS</t>
        </is>
      </c>
      <c r="B408" s="17" t="inlineStr">
        <is>
          <t>DEL @ VAN</t>
        </is>
      </c>
      <c r="C408" s="17" t="inlineStr">
        <is>
          <t>2026-09-12 20:15</t>
        </is>
      </c>
      <c r="D408" s="25" t="n">
        <v>2</v>
      </c>
      <c r="E408" s="17" t="inlineStr">
        <is>
          <t>ML</t>
        </is>
      </c>
      <c r="F408" s="17" t="inlineStr">
        <is>
          <t>VAN ML</t>
        </is>
      </c>
      <c r="G408" s="26" t="n"/>
      <c r="H408" s="18" t="n">
        <v>-1350</v>
      </c>
      <c r="I408" s="20" t="n">
        <v>0.7532725343411093</v>
      </c>
      <c r="J408" s="20" t="n">
        <v>0.8933823529411765</v>
      </c>
      <c r="K408" s="20" t="n">
        <v>0.9310344827586207</v>
      </c>
      <c r="L408" s="19" t="n">
        <v>-0.08825254519608272</v>
      </c>
      <c r="M408" s="19" t="n">
        <v>-0.1909295001521419</v>
      </c>
      <c r="N408" s="20" t="n">
        <v>0</v>
      </c>
      <c r="O408" s="27" t="n">
        <v>0.725</v>
      </c>
      <c r="P408" s="17" t="inlineStr">
        <is>
          <t>DraftKings</t>
        </is>
      </c>
      <c r="Q408" s="17" t="inlineStr">
        <is>
          <t>price outside allowed range</t>
        </is>
      </c>
    </row>
    <row r="409">
      <c r="A409" s="12" t="inlineStr">
        <is>
          <t>PASS</t>
        </is>
      </c>
      <c r="B409" s="12" t="inlineStr">
        <is>
          <t>MEM @ BOIS</t>
        </is>
      </c>
      <c r="C409" s="12" t="inlineStr">
        <is>
          <t>2026-09-12 22:00</t>
        </is>
      </c>
      <c r="D409" s="22" t="n">
        <v>2</v>
      </c>
      <c r="E409" s="12" t="inlineStr">
        <is>
          <t>ATS</t>
        </is>
      </c>
      <c r="F409" s="12" t="inlineStr">
        <is>
          <t>BOIS -8.5</t>
        </is>
      </c>
      <c r="G409" s="23" t="n">
        <v>-8.5</v>
      </c>
      <c r="H409" s="13" t="n">
        <v>-110</v>
      </c>
      <c r="I409" s="15" t="n">
        <v>0.4213367843130611</v>
      </c>
      <c r="J409" s="15" t="n">
        <v>0.5</v>
      </c>
      <c r="K409" s="15" t="n">
        <v>0.5238095238095238</v>
      </c>
      <c r="L409" s="14" t="n">
        <v>-0.08832012970896191</v>
      </c>
      <c r="M409" s="14" t="n">
        <v>-0.1956297754023378</v>
      </c>
      <c r="N409" s="15" t="n">
        <v>0</v>
      </c>
      <c r="O409" s="24" t="n">
        <v>0.725</v>
      </c>
      <c r="P409" s="12" t="inlineStr">
        <is>
          <t>DraftKings</t>
        </is>
      </c>
      <c r="Q409" s="12" t="n"/>
    </row>
    <row r="410">
      <c r="A410" s="17" t="inlineStr">
        <is>
          <t>PASS</t>
        </is>
      </c>
      <c r="B410" s="17" t="inlineStr">
        <is>
          <t>MTSU @ MRSH</t>
        </is>
      </c>
      <c r="C410" s="17" t="inlineStr">
        <is>
          <t>2026-09-12 23:00</t>
        </is>
      </c>
      <c r="D410" s="25" t="n">
        <v>2</v>
      </c>
      <c r="E410" s="17" t="inlineStr">
        <is>
          <t>TOTAL</t>
        </is>
      </c>
      <c r="F410" s="17" t="inlineStr">
        <is>
          <t>Over 56.5</t>
        </is>
      </c>
      <c r="G410" s="26" t="n">
        <v>56.5</v>
      </c>
      <c r="H410" s="18" t="n">
        <v>-112</v>
      </c>
      <c r="I410" s="20" t="n">
        <v>0.4244233014530925</v>
      </c>
      <c r="J410" s="20" t="n">
        <v>0.5043297540699688</v>
      </c>
      <c r="K410" s="20" t="n">
        <v>0.5283018867924528</v>
      </c>
      <c r="L410" s="19" t="n">
        <v>-0.08846970588864529</v>
      </c>
      <c r="M410" s="19" t="n">
        <v>-0.1966273222495035</v>
      </c>
      <c r="N410" s="20" t="n">
        <v>0</v>
      </c>
      <c r="O410" s="27" t="n">
        <v>0.725</v>
      </c>
      <c r="P410" s="17" t="inlineStr">
        <is>
          <t>DraftKings</t>
        </is>
      </c>
      <c r="Q410" s="17" t="n"/>
    </row>
    <row r="411">
      <c r="A411" s="12" t="inlineStr">
        <is>
          <t>PASS</t>
        </is>
      </c>
      <c r="B411" s="12" t="inlineStr">
        <is>
          <t>ALST @ TROY</t>
        </is>
      </c>
      <c r="C411" s="12" t="inlineStr">
        <is>
          <t>2026-09-12 20:00</t>
        </is>
      </c>
      <c r="D411" s="22" t="n">
        <v>2</v>
      </c>
      <c r="E411" s="12" t="inlineStr">
        <is>
          <t>ML</t>
        </is>
      </c>
      <c r="F411" s="12" t="inlineStr">
        <is>
          <t>TROY ML</t>
        </is>
      </c>
      <c r="G411" s="23" t="n"/>
      <c r="H411" s="13" t="n">
        <v>-1650</v>
      </c>
      <c r="I411" s="15" t="n">
        <v>0.7640264642399683</v>
      </c>
      <c r="J411" s="15" t="n">
        <v>0.9082568807339451</v>
      </c>
      <c r="K411" s="15" t="n">
        <v>0.9428571428571428</v>
      </c>
      <c r="L411" s="14" t="n">
        <v>-0.08851709996117837</v>
      </c>
      <c r="M411" s="14" t="n">
        <v>-0.18966890156367</v>
      </c>
      <c r="N411" s="15" t="n">
        <v>0</v>
      </c>
      <c r="O411" s="24" t="n">
        <v>0.4</v>
      </c>
      <c r="P411" s="12" t="inlineStr">
        <is>
          <t>DraftKings</t>
        </is>
      </c>
      <c r="Q411" s="12" t="inlineStr">
        <is>
          <t>ALST isn't a full FBS participant this season — model doesn't rate them reliably</t>
        </is>
      </c>
    </row>
    <row r="412">
      <c r="A412" s="17" t="inlineStr">
        <is>
          <t>PASS</t>
        </is>
      </c>
      <c r="B412" s="17" t="inlineStr">
        <is>
          <t>CCSU @ TOL</t>
        </is>
      </c>
      <c r="C412" s="17" t="inlineStr">
        <is>
          <t>2026-09-12 19:30</t>
        </is>
      </c>
      <c r="D412" s="25" t="n">
        <v>2</v>
      </c>
      <c r="E412" s="17" t="inlineStr">
        <is>
          <t>ML</t>
        </is>
      </c>
      <c r="F412" s="17" t="inlineStr">
        <is>
          <t>TOL ML</t>
        </is>
      </c>
      <c r="G412" s="26" t="n"/>
      <c r="H412" s="18" t="n">
        <v>-9000</v>
      </c>
      <c r="I412" s="20" t="n">
        <v>0.8089726186725804</v>
      </c>
      <c r="J412" s="20" t="n">
        <v>0.9625668449197861</v>
      </c>
      <c r="K412" s="20" t="n">
        <v>0.9890109890109891</v>
      </c>
      <c r="L412" s="19" t="n">
        <v>-0.08861760730761555</v>
      </c>
      <c r="M412" s="19" t="n">
        <v>-0.182038796675502</v>
      </c>
      <c r="N412" s="20" t="n">
        <v>0</v>
      </c>
      <c r="O412" s="27" t="n">
        <v>0.4</v>
      </c>
      <c r="P412" s="17" t="inlineStr">
        <is>
          <t>DraftKings</t>
        </is>
      </c>
      <c r="Q412" s="17" t="inlineStr">
        <is>
          <t>CCSU isn't a full FBS participant this season — model doesn't rate them reliably</t>
        </is>
      </c>
    </row>
    <row r="413">
      <c r="A413" s="12" t="inlineStr">
        <is>
          <t>PASS</t>
        </is>
      </c>
      <c r="B413" s="12" t="inlineStr">
        <is>
          <t>UNCO @ WYO</t>
        </is>
      </c>
      <c r="C413" s="12" t="inlineStr">
        <is>
          <t>2026-09-12 20:00</t>
        </is>
      </c>
      <c r="D413" s="22" t="n">
        <v>2</v>
      </c>
      <c r="E413" s="12" t="inlineStr">
        <is>
          <t>ML</t>
        </is>
      </c>
      <c r="F413" s="12" t="inlineStr">
        <is>
          <t>WYO ML</t>
        </is>
      </c>
      <c r="G413" s="23" t="n"/>
      <c r="H413" s="13" t="n">
        <v>-3200</v>
      </c>
      <c r="I413" s="15" t="n">
        <v>0.7860880828029533</v>
      </c>
      <c r="J413" s="15" t="n">
        <v>0.9356725146198831</v>
      </c>
      <c r="K413" s="15" t="n">
        <v>0.9696969696969697</v>
      </c>
      <c r="L413" s="14" t="n">
        <v>-0.08865658104494746</v>
      </c>
      <c r="M413" s="14" t="n">
        <v>-0.1893466646094544</v>
      </c>
      <c r="N413" s="15" t="n">
        <v>0</v>
      </c>
      <c r="O413" s="24" t="n">
        <v>0.4</v>
      </c>
      <c r="P413" s="12" t="inlineStr">
        <is>
          <t>DraftKings</t>
        </is>
      </c>
      <c r="Q413" s="12" t="inlineStr">
        <is>
          <t>UNCO isn't a full FBS participant this season — model doesn't rate them reliably</t>
        </is>
      </c>
    </row>
    <row r="414">
      <c r="A414" s="17" t="inlineStr">
        <is>
          <t>PASS</t>
        </is>
      </c>
      <c r="B414" s="17" t="inlineStr">
        <is>
          <t>COLG @ CMU</t>
        </is>
      </c>
      <c r="C414" s="17" t="inlineStr">
        <is>
          <t>2026-09-12 17:00</t>
        </is>
      </c>
      <c r="D414" s="25" t="n">
        <v>2</v>
      </c>
      <c r="E414" s="17" t="inlineStr">
        <is>
          <t>ML</t>
        </is>
      </c>
      <c r="F414" s="17" t="inlineStr">
        <is>
          <t>CMU ML</t>
        </is>
      </c>
      <c r="G414" s="26" t="n"/>
      <c r="H414" s="18" t="n">
        <v>-2800</v>
      </c>
      <c r="I414" s="20" t="n">
        <v>0.7805368633472243</v>
      </c>
      <c r="J414" s="20" t="n">
        <v>0.9311163895486935</v>
      </c>
      <c r="K414" s="20" t="n">
        <v>0.9655172413793104</v>
      </c>
      <c r="L414" s="19" t="n">
        <v>-0.08889122199496445</v>
      </c>
      <c r="M414" s="19" t="n">
        <v>-0.1915868201046605</v>
      </c>
      <c r="N414" s="20" t="n">
        <v>0</v>
      </c>
      <c r="O414" s="27" t="n">
        <v>0.4</v>
      </c>
      <c r="P414" s="17" t="inlineStr">
        <is>
          <t>DraftKings</t>
        </is>
      </c>
      <c r="Q414" s="17" t="inlineStr">
        <is>
          <t>COLG isn't a full FBS participant this season — model doesn't rate them reliably</t>
        </is>
      </c>
    </row>
    <row r="415">
      <c r="A415" s="12" t="inlineStr">
        <is>
          <t>PASS</t>
        </is>
      </c>
      <c r="B415" s="12" t="inlineStr">
        <is>
          <t>UL @ USC</t>
        </is>
      </c>
      <c r="C415" s="12" t="inlineStr">
        <is>
          <t>2026-09-13 03:00</t>
        </is>
      </c>
      <c r="D415" s="22" t="n">
        <v>2</v>
      </c>
      <c r="E415" s="12" t="inlineStr">
        <is>
          <t>ML</t>
        </is>
      </c>
      <c r="F415" s="12" t="inlineStr">
        <is>
          <t>USC ML</t>
        </is>
      </c>
      <c r="G415" s="23" t="n"/>
      <c r="H415" s="13" t="n">
        <v>-9000</v>
      </c>
      <c r="I415" s="15" t="n">
        <v>0.8060248860886183</v>
      </c>
      <c r="J415" s="15" t="n">
        <v>0.9625668449197861</v>
      </c>
      <c r="K415" s="15" t="n">
        <v>0.9890109890109891</v>
      </c>
      <c r="L415" s="14" t="n">
        <v>-0.08900352543378595</v>
      </c>
      <c r="M415" s="14" t="n">
        <v>-0.1850192818437304</v>
      </c>
      <c r="N415" s="15" t="n">
        <v>0</v>
      </c>
      <c r="O415" s="24" t="n">
        <v>0.725</v>
      </c>
      <c r="P415" s="12" t="inlineStr">
        <is>
          <t>DraftKings</t>
        </is>
      </c>
      <c r="Q415" s="12" t="inlineStr">
        <is>
          <t>price outside allowed range</t>
        </is>
      </c>
    </row>
    <row r="416">
      <c r="A416" s="17" t="inlineStr">
        <is>
          <t>PASS</t>
        </is>
      </c>
      <c r="B416" s="17" t="inlineStr">
        <is>
          <t>VT @ MD</t>
        </is>
      </c>
      <c r="C416" s="17" t="inlineStr">
        <is>
          <t>2026-09-19 23:30</t>
        </is>
      </c>
      <c r="D416" s="25" t="n">
        <v>3</v>
      </c>
      <c r="E416" s="17" t="inlineStr">
        <is>
          <t>ATS</t>
        </is>
      </c>
      <c r="F416" s="17" t="inlineStr">
        <is>
          <t>VT -1.5</t>
        </is>
      </c>
      <c r="G416" s="26" t="n">
        <v>1.5</v>
      </c>
      <c r="H416" s="18" t="n">
        <v>-108</v>
      </c>
      <c r="I416" s="20" t="n">
        <v>0.4147592345502711</v>
      </c>
      <c r="J416" s="20" t="n">
        <v>0.4956702459300312</v>
      </c>
      <c r="K416" s="20" t="n">
        <v>0.5192307692307693</v>
      </c>
      <c r="L416" s="19" t="n">
        <v>-0.08907715542501535</v>
      </c>
      <c r="M416" s="19" t="n">
        <v>-0.2012044371624409</v>
      </c>
      <c r="N416" s="20" t="n">
        <v>0</v>
      </c>
      <c r="O416" s="27" t="n">
        <v>0.725</v>
      </c>
      <c r="P416" s="17" t="inlineStr">
        <is>
          <t>DraftKings</t>
        </is>
      </c>
      <c r="Q416" s="17" t="n"/>
    </row>
    <row r="417">
      <c r="A417" s="12" t="inlineStr">
        <is>
          <t>PASS</t>
        </is>
      </c>
      <c r="B417" s="12" t="inlineStr">
        <is>
          <t>RMU @ AKR</t>
        </is>
      </c>
      <c r="C417" s="12" t="inlineStr">
        <is>
          <t>2026-09-12 19:30</t>
        </is>
      </c>
      <c r="D417" s="22" t="n">
        <v>2</v>
      </c>
      <c r="E417" s="12" t="inlineStr">
        <is>
          <t>ML</t>
        </is>
      </c>
      <c r="F417" s="12" t="inlineStr">
        <is>
          <t>AKR ML</t>
        </is>
      </c>
      <c r="G417" s="23" t="n"/>
      <c r="H417" s="13" t="n">
        <v>-5000</v>
      </c>
      <c r="I417" s="15" t="n">
        <v>0.7931851527312564</v>
      </c>
      <c r="J417" s="15" t="n">
        <v>0.949050949050949</v>
      </c>
      <c r="K417" s="15" t="n">
        <v>0.9803921568627451</v>
      </c>
      <c r="L417" s="14" t="n">
        <v>-0.08919651024015969</v>
      </c>
      <c r="M417" s="14" t="n">
        <v>-0.1909511442141184</v>
      </c>
      <c r="N417" s="15" t="n">
        <v>0</v>
      </c>
      <c r="O417" s="24" t="n">
        <v>0.4</v>
      </c>
      <c r="P417" s="12" t="inlineStr">
        <is>
          <t>DraftKings</t>
        </is>
      </c>
      <c r="Q417" s="12" t="inlineStr">
        <is>
          <t>RMU isn't a full FBS participant this season — model doesn't rate them reliably</t>
        </is>
      </c>
    </row>
    <row r="418">
      <c r="A418" s="17" t="inlineStr">
        <is>
          <t>PASS</t>
        </is>
      </c>
      <c r="B418" s="17" t="inlineStr">
        <is>
          <t>ULM @ UAB</t>
        </is>
      </c>
      <c r="C418" s="17" t="inlineStr">
        <is>
          <t>2026-09-12 19:30</t>
        </is>
      </c>
      <c r="D418" s="25" t="n">
        <v>2</v>
      </c>
      <c r="E418" s="17" t="inlineStr">
        <is>
          <t>ATS</t>
        </is>
      </c>
      <c r="F418" s="17" t="inlineStr">
        <is>
          <t>UAB -10</t>
        </is>
      </c>
      <c r="G418" s="26" t="n">
        <v>-10</v>
      </c>
      <c r="H418" s="18" t="n">
        <v>-108</v>
      </c>
      <c r="I418" s="20" t="n">
        <v>0.4126049884429562</v>
      </c>
      <c r="J418" s="20" t="n">
        <v>0.4956702459300312</v>
      </c>
      <c r="K418" s="20" t="n">
        <v>0.5192307692307693</v>
      </c>
      <c r="L418" s="19" t="n">
        <v>-0.08958025494527048</v>
      </c>
      <c r="M418" s="19" t="n">
        <v>-0.1974472514010769</v>
      </c>
      <c r="N418" s="20" t="n">
        <v>0.0385</v>
      </c>
      <c r="O418" s="27" t="n">
        <v>0.725</v>
      </c>
      <c r="P418" s="17" t="inlineStr">
        <is>
          <t>DraftKings</t>
        </is>
      </c>
      <c r="Q418" s="17" t="n"/>
    </row>
    <row r="419">
      <c r="A419" s="12" t="inlineStr">
        <is>
          <t>PASS</t>
        </is>
      </c>
      <c r="B419" s="12" t="inlineStr">
        <is>
          <t>RICH @ NCSU</t>
        </is>
      </c>
      <c r="C419" s="12" t="inlineStr">
        <is>
          <t>2026-09-11 23:00</t>
        </is>
      </c>
      <c r="D419" s="22" t="n">
        <v>2</v>
      </c>
      <c r="E419" s="12" t="inlineStr">
        <is>
          <t>ML</t>
        </is>
      </c>
      <c r="F419" s="12" t="inlineStr">
        <is>
          <t>NCSU ML</t>
        </is>
      </c>
      <c r="G419" s="23" t="n"/>
      <c r="H419" s="13" t="n">
        <v>-8000</v>
      </c>
      <c r="I419" s="15" t="n">
        <v>0.7958074552650879</v>
      </c>
      <c r="J419" s="15" t="n">
        <v>0.9578344612181156</v>
      </c>
      <c r="K419" s="15" t="n">
        <v>0.9876543209876543</v>
      </c>
      <c r="L419" s="14" t="n">
        <v>-0.08975245852366692</v>
      </c>
      <c r="M419" s="14" t="n">
        <v>-0.1942449515440986</v>
      </c>
      <c r="N419" s="15" t="n">
        <v>0</v>
      </c>
      <c r="O419" s="24" t="n">
        <v>0.4</v>
      </c>
      <c r="P419" s="12" t="inlineStr">
        <is>
          <t>DraftKings</t>
        </is>
      </c>
      <c r="Q419" s="12" t="inlineStr">
        <is>
          <t>RICH isn't a full FBS participant this season — model doesn't rate them reliably</t>
        </is>
      </c>
    </row>
    <row r="420">
      <c r="A420" s="17" t="inlineStr">
        <is>
          <t>PASS</t>
        </is>
      </c>
      <c r="B420" s="17" t="inlineStr">
        <is>
          <t>STBK @ BALL</t>
        </is>
      </c>
      <c r="C420" s="17" t="inlineStr">
        <is>
          <t>2026-09-12 18:00</t>
        </is>
      </c>
      <c r="D420" s="25" t="n">
        <v>2</v>
      </c>
      <c r="E420" s="17" t="inlineStr">
        <is>
          <t>TOTAL</t>
        </is>
      </c>
      <c r="F420" s="17" t="inlineStr">
        <is>
          <t>Over 57.5</t>
        </is>
      </c>
      <c r="G420" s="26" t="n">
        <v>57.5</v>
      </c>
      <c r="H420" s="18" t="n">
        <v>-112</v>
      </c>
      <c r="I420" s="20" t="n">
        <v>0.4189311843547009</v>
      </c>
      <c r="J420" s="20" t="n">
        <v>0.5043297540699688</v>
      </c>
      <c r="K420" s="20" t="n">
        <v>0.5283018867924528</v>
      </c>
      <c r="L420" s="19" t="n">
        <v>-0.08977080756427928</v>
      </c>
      <c r="M420" s="19" t="n">
        <v>-0.207023115328602</v>
      </c>
      <c r="N420" s="20" t="n">
        <v>0</v>
      </c>
      <c r="O420" s="27" t="n">
        <v>0.4</v>
      </c>
      <c r="P420" s="17" t="inlineStr">
        <is>
          <t>DraftKings</t>
        </is>
      </c>
      <c r="Q420" s="17" t="inlineStr">
        <is>
          <t>STBK isn't a full FBS participant this season — model doesn't rate them reliably</t>
        </is>
      </c>
    </row>
    <row r="421">
      <c r="A421" s="12" t="inlineStr">
        <is>
          <t>PASS</t>
        </is>
      </c>
      <c r="B421" s="12" t="inlineStr">
        <is>
          <t>USM @ AUB</t>
        </is>
      </c>
      <c r="C421" s="12" t="inlineStr">
        <is>
          <t>2026-09-12 23:45</t>
        </is>
      </c>
      <c r="D421" s="22" t="n">
        <v>2</v>
      </c>
      <c r="E421" s="12" t="inlineStr">
        <is>
          <t>ML</t>
        </is>
      </c>
      <c r="F421" s="12" t="inlineStr">
        <is>
          <t>AUB ML</t>
        </is>
      </c>
      <c r="G421" s="23" t="n"/>
      <c r="H421" s="13" t="n">
        <v>-8000</v>
      </c>
      <c r="I421" s="15" t="n">
        <v>0.7948524438789124</v>
      </c>
      <c r="J421" s="15" t="n">
        <v>0.9578344612181156</v>
      </c>
      <c r="K421" s="15" t="n">
        <v>0.9876543209876543</v>
      </c>
      <c r="L421" s="14" t="n">
        <v>-0.08985850985736633</v>
      </c>
      <c r="M421" s="14" t="n">
        <v>-0.1952119005726012</v>
      </c>
      <c r="N421" s="15" t="n">
        <v>0</v>
      </c>
      <c r="O421" s="24" t="n">
        <v>0.725</v>
      </c>
      <c r="P421" s="12" t="inlineStr">
        <is>
          <t>DraftKings</t>
        </is>
      </c>
      <c r="Q421" s="12" t="inlineStr">
        <is>
          <t>price outside allowed range</t>
        </is>
      </c>
    </row>
    <row r="422">
      <c r="A422" s="17" t="inlineStr">
        <is>
          <t>PASS</t>
        </is>
      </c>
      <c r="B422" s="17" t="inlineStr">
        <is>
          <t>UNCO @ WYO</t>
        </is>
      </c>
      <c r="C422" s="17" t="inlineStr">
        <is>
          <t>2026-09-12 20:00</t>
        </is>
      </c>
      <c r="D422" s="25" t="n">
        <v>2</v>
      </c>
      <c r="E422" s="17" t="inlineStr">
        <is>
          <t>TOTAL</t>
        </is>
      </c>
      <c r="F422" s="17" t="inlineStr">
        <is>
          <t>Under 47.5</t>
        </is>
      </c>
      <c r="G422" s="26" t="n">
        <v>47.5</v>
      </c>
      <c r="H422" s="18" t="n">
        <v>-105</v>
      </c>
      <c r="I422" s="20" t="n">
        <v>0.4059274912691666</v>
      </c>
      <c r="J422" s="20" t="n">
        <v>0.4891657638136511</v>
      </c>
      <c r="K422" s="20" t="n">
        <v>0.5121951219512195</v>
      </c>
      <c r="L422" s="19" t="n">
        <v>-0.08985924321048379</v>
      </c>
      <c r="M422" s="19" t="n">
        <v>-0.2074748979982938</v>
      </c>
      <c r="N422" s="20" t="n">
        <v>0</v>
      </c>
      <c r="O422" s="27" t="n">
        <v>0.4</v>
      </c>
      <c r="P422" s="17" t="inlineStr">
        <is>
          <t>DraftKings</t>
        </is>
      </c>
      <c r="Q422" s="17" t="inlineStr">
        <is>
          <t>UNCO isn't a full FBS participant this season — model doesn't rate them reliably</t>
        </is>
      </c>
    </row>
    <row r="423">
      <c r="A423" s="12" t="inlineStr">
        <is>
          <t>PASS</t>
        </is>
      </c>
      <c r="B423" s="12" t="inlineStr">
        <is>
          <t>TXSO @ UTEP</t>
        </is>
      </c>
      <c r="C423" s="12" t="inlineStr">
        <is>
          <t>2026-09-13 01:00</t>
        </is>
      </c>
      <c r="D423" s="22" t="n">
        <v>2</v>
      </c>
      <c r="E423" s="12" t="inlineStr">
        <is>
          <t>ML</t>
        </is>
      </c>
      <c r="F423" s="12" t="inlineStr">
        <is>
          <t>UTEP ML</t>
        </is>
      </c>
      <c r="G423" s="23" t="n"/>
      <c r="H423" s="13" t="n">
        <v>-6500</v>
      </c>
      <c r="I423" s="15" t="n">
        <v>0.7910967719570504</v>
      </c>
      <c r="J423" s="15" t="n">
        <v>0.9538784067085954</v>
      </c>
      <c r="K423" s="15" t="n">
        <v>0.9848484848484849</v>
      </c>
      <c r="L423" s="14" t="n">
        <v>-0.08991044884371995</v>
      </c>
      <c r="M423" s="14" t="n">
        <v>-0.1967325084743796</v>
      </c>
      <c r="N423" s="15" t="n">
        <v>0</v>
      </c>
      <c r="O423" s="24" t="n">
        <v>0.4</v>
      </c>
      <c r="P423" s="12" t="inlineStr">
        <is>
          <t>DraftKings</t>
        </is>
      </c>
      <c r="Q423" s="12" t="inlineStr">
        <is>
          <t>TXSO isn't a full FBS participant this season — model doesn't rate them reliably</t>
        </is>
      </c>
    </row>
    <row r="424">
      <c r="A424" s="17" t="inlineStr">
        <is>
          <t>PASS</t>
        </is>
      </c>
      <c r="B424" s="17" t="inlineStr">
        <is>
          <t>NDSU @ AFA</t>
        </is>
      </c>
      <c r="C424" s="17" t="inlineStr">
        <is>
          <t>2026-09-13 02:00</t>
        </is>
      </c>
      <c r="D424" s="25" t="n">
        <v>2</v>
      </c>
      <c r="E424" s="17" t="inlineStr">
        <is>
          <t>ATS</t>
        </is>
      </c>
      <c r="F424" s="17" t="inlineStr">
        <is>
          <t>NDSU -1.5</t>
        </is>
      </c>
      <c r="G424" s="26" t="n">
        <v>1.5</v>
      </c>
      <c r="H424" s="18" t="n">
        <v>-115</v>
      </c>
      <c r="I424" s="20" t="n">
        <v>0.423658056736981</v>
      </c>
      <c r="J424" s="20" t="n">
        <v>0.5108342361863488</v>
      </c>
      <c r="K424" s="20" t="n">
        <v>0.5348837209302325</v>
      </c>
      <c r="L424" s="19" t="n">
        <v>-0.08991067206648992</v>
      </c>
      <c r="M424" s="19" t="n">
        <v>-0.2079436330569486</v>
      </c>
      <c r="N424" s="20" t="n">
        <v>0</v>
      </c>
      <c r="O424" s="27" t="n">
        <v>0.725</v>
      </c>
      <c r="P424" s="17" t="inlineStr">
        <is>
          <t>DraftKings</t>
        </is>
      </c>
      <c r="Q424" s="17" t="n"/>
    </row>
    <row r="425">
      <c r="A425" s="12" t="inlineStr">
        <is>
          <t>PASS</t>
        </is>
      </c>
      <c r="B425" s="12" t="inlineStr">
        <is>
          <t>HC @ M-OH</t>
        </is>
      </c>
      <c r="C425" s="12" t="inlineStr">
        <is>
          <t>2026-09-12 17:00</t>
        </is>
      </c>
      <c r="D425" s="22" t="n">
        <v>2</v>
      </c>
      <c r="E425" s="12" t="inlineStr">
        <is>
          <t>ML</t>
        </is>
      </c>
      <c r="F425" s="12" t="inlineStr">
        <is>
          <t>M-OH ML</t>
        </is>
      </c>
      <c r="G425" s="23" t="n"/>
      <c r="H425" s="13" t="n">
        <v>-8000</v>
      </c>
      <c r="I425" s="15" t="n">
        <v>0.7940326415076833</v>
      </c>
      <c r="J425" s="15" t="n">
        <v>0.9578344612181156</v>
      </c>
      <c r="K425" s="15" t="n">
        <v>0.9876543209876543</v>
      </c>
      <c r="L425" s="14" t="n">
        <v>-0.0899478821751107</v>
      </c>
      <c r="M425" s="14" t="n">
        <v>-0.1960419504734707</v>
      </c>
      <c r="N425" s="15" t="n">
        <v>0</v>
      </c>
      <c r="O425" s="24" t="n">
        <v>0.4</v>
      </c>
      <c r="P425" s="12" t="inlineStr">
        <is>
          <t>DraftKings</t>
        </is>
      </c>
      <c r="Q425" s="12" t="inlineStr">
        <is>
          <t>HC isn't a full FBS participant this season — model doesn't rate them reliably</t>
        </is>
      </c>
    </row>
    <row r="426">
      <c r="A426" s="17" t="inlineStr">
        <is>
          <t>PASS</t>
        </is>
      </c>
      <c r="B426" s="17" t="inlineStr">
        <is>
          <t>USA @ TULN</t>
        </is>
      </c>
      <c r="C426" s="17" t="inlineStr">
        <is>
          <t>2026-09-12 23:00</t>
        </is>
      </c>
      <c r="D426" s="25" t="n">
        <v>2</v>
      </c>
      <c r="E426" s="17" t="inlineStr">
        <is>
          <t>ATS</t>
        </is>
      </c>
      <c r="F426" s="17" t="inlineStr">
        <is>
          <t>TULN -9.5</t>
        </is>
      </c>
      <c r="G426" s="26" t="n">
        <v>-9.5</v>
      </c>
      <c r="H426" s="18" t="n">
        <v>-115</v>
      </c>
      <c r="I426" s="20" t="n">
        <v>0.4233706482210801</v>
      </c>
      <c r="J426" s="20" t="n">
        <v>0.5108342361863488</v>
      </c>
      <c r="K426" s="20" t="n">
        <v>0.5348837209302325</v>
      </c>
      <c r="L426" s="19" t="n">
        <v>-0.08996901151510754</v>
      </c>
      <c r="M426" s="19" t="n">
        <v>-0.208480962021459</v>
      </c>
      <c r="N426" s="20" t="n">
        <v>0</v>
      </c>
      <c r="O426" s="27" t="n">
        <v>0.725</v>
      </c>
      <c r="P426" s="17" t="inlineStr">
        <is>
          <t>DraftKings</t>
        </is>
      </c>
      <c r="Q426" s="17" t="n"/>
    </row>
    <row r="427">
      <c r="A427" s="12" t="inlineStr">
        <is>
          <t>PASS</t>
        </is>
      </c>
      <c r="B427" s="12" t="inlineStr">
        <is>
          <t>FLA @ AUB</t>
        </is>
      </c>
      <c r="C427" s="12" t="inlineStr">
        <is>
          <t>2026-09-19 23:00</t>
        </is>
      </c>
      <c r="D427" s="22" t="n">
        <v>3</v>
      </c>
      <c r="E427" s="12" t="inlineStr">
        <is>
          <t>ML</t>
        </is>
      </c>
      <c r="F427" s="12" t="inlineStr">
        <is>
          <t>FLA ML</t>
        </is>
      </c>
      <c r="G427" s="23" t="n"/>
      <c r="H427" s="13" t="n">
        <v>-142</v>
      </c>
      <c r="I427" s="15" t="n">
        <v>0.465401338911751</v>
      </c>
      <c r="J427" s="15" t="n">
        <v>0.5634920634920635</v>
      </c>
      <c r="K427" s="15" t="n">
        <v>0.5867768595041323</v>
      </c>
      <c r="L427" s="14" t="n">
        <v>-0.09025558539559045</v>
      </c>
      <c r="M427" s="14" t="n">
        <v>-0.2068512393194104</v>
      </c>
      <c r="N427" s="15" t="n">
        <v>0</v>
      </c>
      <c r="O427" s="24" t="n">
        <v>0.725</v>
      </c>
      <c r="P427" s="12" t="inlineStr">
        <is>
          <t>DraftKings</t>
        </is>
      </c>
      <c r="Q427" s="12" t="n"/>
    </row>
    <row r="428">
      <c r="A428" s="17" t="inlineStr">
        <is>
          <t>PASS</t>
        </is>
      </c>
      <c r="B428" s="17" t="inlineStr">
        <is>
          <t>LT @ LSU</t>
        </is>
      </c>
      <c r="C428" s="17" t="inlineStr">
        <is>
          <t>2026-09-12 23:30</t>
        </is>
      </c>
      <c r="D428" s="25" t="n">
        <v>2</v>
      </c>
      <c r="E428" s="17" t="inlineStr">
        <is>
          <t>ML</t>
        </is>
      </c>
      <c r="F428" s="17" t="inlineStr">
        <is>
          <t>LSU ML</t>
        </is>
      </c>
      <c r="G428" s="26" t="n"/>
      <c r="H428" s="18" t="n">
        <v>-50000</v>
      </c>
      <c r="I428" s="20" t="n">
        <v>0.8035974486473313</v>
      </c>
      <c r="J428" s="20" t="n">
        <v>0.9761439931431837</v>
      </c>
      <c r="K428" s="20" t="n">
        <v>0.998003992015968</v>
      </c>
      <c r="L428" s="19" t="n">
        <v>-0.0905103460436059</v>
      </c>
      <c r="M428" s="19" t="n">
        <v>-0.194795356455374</v>
      </c>
      <c r="N428" s="20" t="n">
        <v>0</v>
      </c>
      <c r="O428" s="27" t="n">
        <v>0.725</v>
      </c>
      <c r="P428" s="17" t="inlineStr">
        <is>
          <t>DraftKings</t>
        </is>
      </c>
      <c r="Q428" s="17" t="inlineStr">
        <is>
          <t>price outside allowed range</t>
        </is>
      </c>
    </row>
    <row r="429">
      <c r="A429" s="12" t="inlineStr">
        <is>
          <t>PASS</t>
        </is>
      </c>
      <c r="B429" s="12" t="inlineStr">
        <is>
          <t>ARIZ @ BYU</t>
        </is>
      </c>
      <c r="C429" s="12" t="inlineStr">
        <is>
          <t>2026-09-12 19:30</t>
        </is>
      </c>
      <c r="D429" s="22" t="n">
        <v>2</v>
      </c>
      <c r="E429" s="12" t="inlineStr">
        <is>
          <t>TOTAL</t>
        </is>
      </c>
      <c r="F429" s="12" t="inlineStr">
        <is>
          <t>Under 47.5</t>
        </is>
      </c>
      <c r="G429" s="23" t="n">
        <v>47.5</v>
      </c>
      <c r="H429" s="13" t="n">
        <v>-112</v>
      </c>
      <c r="I429" s="15" t="n">
        <v>0.4135094863973254</v>
      </c>
      <c r="J429" s="15" t="n">
        <v>0.5043297540699688</v>
      </c>
      <c r="K429" s="15" t="n">
        <v>0.5283018867924528</v>
      </c>
      <c r="L429" s="14" t="n">
        <v>-0.09080654675527518</v>
      </c>
      <c r="M429" s="14" t="n">
        <v>-0.2172856150336341</v>
      </c>
      <c r="N429" s="15" t="n">
        <v>0</v>
      </c>
      <c r="O429" s="24" t="n">
        <v>0.725</v>
      </c>
      <c r="P429" s="12" t="inlineStr">
        <is>
          <t>DraftKings</t>
        </is>
      </c>
      <c r="Q429" s="12" t="n"/>
    </row>
    <row r="430">
      <c r="A430" s="17" t="inlineStr">
        <is>
          <t>PASS</t>
        </is>
      </c>
      <c r="B430" s="17" t="inlineStr">
        <is>
          <t>WVU @ UVA</t>
        </is>
      </c>
      <c r="C430" s="17" t="inlineStr">
        <is>
          <t>2026-09-19 23:30</t>
        </is>
      </c>
      <c r="D430" s="25" t="n">
        <v>3</v>
      </c>
      <c r="E430" s="17" t="inlineStr">
        <is>
          <t>ATS</t>
        </is>
      </c>
      <c r="F430" s="17" t="inlineStr">
        <is>
          <t>UVA -8.5</t>
        </is>
      </c>
      <c r="G430" s="26" t="n">
        <v>-8.5</v>
      </c>
      <c r="H430" s="18" t="n">
        <v>-108</v>
      </c>
      <c r="I430" s="20" t="n">
        <v>0.4056065225669204</v>
      </c>
      <c r="J430" s="20" t="n">
        <v>0.4956702459300312</v>
      </c>
      <c r="K430" s="20" t="n">
        <v>0.5192307692307693</v>
      </c>
      <c r="L430" s="19" t="n">
        <v>-0.09094413315397513</v>
      </c>
      <c r="M430" s="19" t="n">
        <v>-0.2188318824637088</v>
      </c>
      <c r="N430" s="20" t="n">
        <v>0</v>
      </c>
      <c r="O430" s="27" t="n">
        <v>0.725</v>
      </c>
      <c r="P430" s="17" t="inlineStr">
        <is>
          <t>DraftKings</t>
        </is>
      </c>
      <c r="Q430" s="17" t="n"/>
    </row>
    <row r="431">
      <c r="A431" s="12" t="inlineStr">
        <is>
          <t>PASS</t>
        </is>
      </c>
      <c r="B431" s="12" t="inlineStr">
        <is>
          <t>BUFF @ FIU</t>
        </is>
      </c>
      <c r="C431" s="12" t="inlineStr">
        <is>
          <t>2026-09-12 22:00</t>
        </is>
      </c>
      <c r="D431" s="22" t="n">
        <v>2</v>
      </c>
      <c r="E431" s="12" t="inlineStr">
        <is>
          <t>ATS</t>
        </is>
      </c>
      <c r="F431" s="12" t="inlineStr">
        <is>
          <t>FIU -10.5</t>
        </is>
      </c>
      <c r="G431" s="23" t="n">
        <v>-10.5</v>
      </c>
      <c r="H431" s="13" t="n">
        <v>-105</v>
      </c>
      <c r="I431" s="15" t="n">
        <v>0.3990990486656356</v>
      </c>
      <c r="J431" s="15" t="n">
        <v>0.4891657638136511</v>
      </c>
      <c r="K431" s="15" t="n">
        <v>0.5121951219512195</v>
      </c>
      <c r="L431" s="14" t="n">
        <v>-0.09114167798805795</v>
      </c>
      <c r="M431" s="14" t="n">
        <v>-0.2208066192718543</v>
      </c>
      <c r="N431" s="15" t="n">
        <v>0</v>
      </c>
      <c r="O431" s="24" t="n">
        <v>0.725</v>
      </c>
      <c r="P431" s="12" t="inlineStr">
        <is>
          <t>DraftKings</t>
        </is>
      </c>
      <c r="Q431" s="12" t="n"/>
    </row>
    <row r="432">
      <c r="A432" s="17" t="inlineStr">
        <is>
          <t>PASS</t>
        </is>
      </c>
      <c r="B432" s="17" t="inlineStr">
        <is>
          <t>WAKE @ PUR</t>
        </is>
      </c>
      <c r="C432" s="17" t="inlineStr">
        <is>
          <t>2026-09-12 16:00</t>
        </is>
      </c>
      <c r="D432" s="25" t="n">
        <v>2</v>
      </c>
      <c r="E432" s="17" t="inlineStr">
        <is>
          <t>ML</t>
        </is>
      </c>
      <c r="F432" s="17" t="inlineStr">
        <is>
          <t>WAKE ML</t>
        </is>
      </c>
      <c r="G432" s="26" t="n"/>
      <c r="H432" s="18" t="n">
        <v>-155</v>
      </c>
      <c r="I432" s="20" t="n">
        <v>0.4754245826918923</v>
      </c>
      <c r="J432" s="20" t="n">
        <v>0.5829926410466066</v>
      </c>
      <c r="K432" s="20" t="n">
        <v>0.6078431372549019</v>
      </c>
      <c r="L432" s="19" t="n">
        <v>-0.09117235879158346</v>
      </c>
      <c r="M432" s="19" t="n">
        <v>-0.2178498800875321</v>
      </c>
      <c r="N432" s="20" t="n">
        <v>0</v>
      </c>
      <c r="O432" s="27" t="n">
        <v>0.725</v>
      </c>
      <c r="P432" s="17" t="inlineStr">
        <is>
          <t>DraftKings</t>
        </is>
      </c>
      <c r="Q432" s="17" t="n"/>
    </row>
    <row r="433">
      <c r="A433" s="12" t="inlineStr">
        <is>
          <t>PASS</t>
        </is>
      </c>
      <c r="B433" s="12" t="inlineStr">
        <is>
          <t>UNLV @ UNT</t>
        </is>
      </c>
      <c r="C433" s="12" t="inlineStr">
        <is>
          <t>2026-09-12 19:45</t>
        </is>
      </c>
      <c r="D433" s="22" t="n">
        <v>2</v>
      </c>
      <c r="E433" s="12" t="inlineStr">
        <is>
          <t>ML</t>
        </is>
      </c>
      <c r="F433" s="12" t="inlineStr">
        <is>
          <t>UNLV ML</t>
        </is>
      </c>
      <c r="G433" s="23" t="n"/>
      <c r="H433" s="13" t="n">
        <v>-162</v>
      </c>
      <c r="I433" s="15" t="n">
        <v>0.4823903818818071</v>
      </c>
      <c r="J433" s="15" t="n">
        <v>0.5933697541594239</v>
      </c>
      <c r="K433" s="15" t="n">
        <v>0.6183206106870229</v>
      </c>
      <c r="L433" s="14" t="n">
        <v>-0.09136651969271493</v>
      </c>
      <c r="M433" s="14" t="n">
        <v>-0.2198377774504108</v>
      </c>
      <c r="N433" s="15" t="n">
        <v>0</v>
      </c>
      <c r="O433" s="24" t="n">
        <v>0.725</v>
      </c>
      <c r="P433" s="12" t="inlineStr">
        <is>
          <t>DraftKings</t>
        </is>
      </c>
      <c r="Q433" s="12" t="n"/>
    </row>
    <row r="434">
      <c r="A434" s="17" t="inlineStr">
        <is>
          <t>PASS</t>
        </is>
      </c>
      <c r="B434" s="17" t="inlineStr">
        <is>
          <t>LSU @ MISS</t>
        </is>
      </c>
      <c r="C434" s="17" t="inlineStr">
        <is>
          <t>2026-09-19 23:30</t>
        </is>
      </c>
      <c r="D434" s="25" t="n">
        <v>3</v>
      </c>
      <c r="E434" s="17" t="inlineStr">
        <is>
          <t>TOTAL</t>
        </is>
      </c>
      <c r="F434" s="17" t="inlineStr">
        <is>
          <t>Over 58.5</t>
        </is>
      </c>
      <c r="G434" s="26" t="n">
        <v>58.5</v>
      </c>
      <c r="H434" s="18" t="n">
        <v>-110</v>
      </c>
      <c r="I434" s="20" t="n">
        <v>0.4059973321075563</v>
      </c>
      <c r="J434" s="20" t="n">
        <v>0.5</v>
      </c>
      <c r="K434" s="20" t="n">
        <v>0.5238095238095238</v>
      </c>
      <c r="L434" s="19" t="n">
        <v>-0.09143880559383079</v>
      </c>
      <c r="M434" s="19" t="n">
        <v>-0.2249141841583016</v>
      </c>
      <c r="N434" s="20" t="n">
        <v>0</v>
      </c>
      <c r="O434" s="27" t="n">
        <v>0.725</v>
      </c>
      <c r="P434" s="17" t="inlineStr">
        <is>
          <t>DraftKings</t>
        </is>
      </c>
      <c r="Q434" s="17" t="n"/>
    </row>
    <row r="435">
      <c r="A435" s="12" t="inlineStr">
        <is>
          <t>PASS</t>
        </is>
      </c>
      <c r="B435" s="12" t="inlineStr">
        <is>
          <t>LSU @ MISS</t>
        </is>
      </c>
      <c r="C435" s="12" t="inlineStr">
        <is>
          <t>2026-09-19 23:30</t>
        </is>
      </c>
      <c r="D435" s="22" t="n">
        <v>3</v>
      </c>
      <c r="E435" s="12" t="inlineStr">
        <is>
          <t>ML</t>
        </is>
      </c>
      <c r="F435" s="12" t="inlineStr">
        <is>
          <t>LSU ML</t>
        </is>
      </c>
      <c r="G435" s="23" t="n"/>
      <c r="H435" s="13" t="n">
        <v>-155</v>
      </c>
      <c r="I435" s="15" t="n">
        <v>0.4733805106594595</v>
      </c>
      <c r="J435" s="15" t="n">
        <v>0.5829926410466066</v>
      </c>
      <c r="K435" s="15" t="n">
        <v>0.6078431372549019</v>
      </c>
      <c r="L435" s="14" t="n">
        <v>-0.09143961351104253</v>
      </c>
      <c r="M435" s="14" t="n">
        <v>-0.2212127082699215</v>
      </c>
      <c r="N435" s="15" t="n">
        <v>0</v>
      </c>
      <c r="O435" s="24" t="n">
        <v>0.725</v>
      </c>
      <c r="P435" s="12" t="inlineStr">
        <is>
          <t>DraftKings</t>
        </is>
      </c>
      <c r="Q435" s="12" t="n"/>
    </row>
    <row r="436">
      <c r="A436" s="17" t="inlineStr">
        <is>
          <t>PASS</t>
        </is>
      </c>
      <c r="B436" s="17" t="inlineStr">
        <is>
          <t>ORE @ OKST</t>
        </is>
      </c>
      <c r="C436" s="17" t="inlineStr">
        <is>
          <t>2026-09-12 16:00</t>
        </is>
      </c>
      <c r="D436" s="25" t="n">
        <v>2</v>
      </c>
      <c r="E436" s="17" t="inlineStr">
        <is>
          <t>TOTAL</t>
        </is>
      </c>
      <c r="F436" s="17" t="inlineStr">
        <is>
          <t>Over 56.5</t>
        </is>
      </c>
      <c r="G436" s="26" t="n">
        <v>56.5</v>
      </c>
      <c r="H436" s="18" t="n">
        <v>-112</v>
      </c>
      <c r="I436" s="20" t="n">
        <v>0.4063969586662212</v>
      </c>
      <c r="J436" s="20" t="n">
        <v>0.5043297540699688</v>
      </c>
      <c r="K436" s="20" t="n">
        <v>0.5283018867924528</v>
      </c>
      <c r="L436" s="19" t="n">
        <v>-0.09186601132958448</v>
      </c>
      <c r="M436" s="19" t="n">
        <v>-0.2307486139532241</v>
      </c>
      <c r="N436" s="20" t="n">
        <v>0</v>
      </c>
      <c r="O436" s="27" t="n">
        <v>0.725</v>
      </c>
      <c r="P436" s="17" t="inlineStr">
        <is>
          <t>DraftKings</t>
        </is>
      </c>
      <c r="Q436" s="17" t="n"/>
    </row>
    <row r="437">
      <c r="A437" s="12" t="inlineStr">
        <is>
          <t>PASS</t>
        </is>
      </c>
      <c r="B437" s="12" t="inlineStr">
        <is>
          <t>USF @ ARMY</t>
        </is>
      </c>
      <c r="C437" s="12" t="inlineStr">
        <is>
          <t>2026-09-12 16:00</t>
        </is>
      </c>
      <c r="D437" s="22" t="n">
        <v>2</v>
      </c>
      <c r="E437" s="12" t="inlineStr">
        <is>
          <t>TOTAL</t>
        </is>
      </c>
      <c r="F437" s="12" t="inlineStr">
        <is>
          <t>Under 46.5</t>
        </is>
      </c>
      <c r="G437" s="23" t="n">
        <v>46.5</v>
      </c>
      <c r="H437" s="13" t="n">
        <v>-110</v>
      </c>
      <c r="I437" s="15" t="n">
        <v>0.4024755847260979</v>
      </c>
      <c r="J437" s="15" t="n">
        <v>0.5</v>
      </c>
      <c r="K437" s="15" t="n">
        <v>0.5238095238095238</v>
      </c>
      <c r="L437" s="14" t="n">
        <v>-0.09192163595838937</v>
      </c>
      <c r="M437" s="14" t="n">
        <v>-0.2316375200683585</v>
      </c>
      <c r="N437" s="15" t="n">
        <v>0</v>
      </c>
      <c r="O437" s="24" t="n">
        <v>0.725</v>
      </c>
      <c r="P437" s="12" t="inlineStr">
        <is>
          <t>DraftKings</t>
        </is>
      </c>
      <c r="Q437" s="12" t="n"/>
    </row>
    <row r="438">
      <c r="A438" s="17" t="inlineStr">
        <is>
          <t>PASS</t>
        </is>
      </c>
      <c r="B438" s="17" t="inlineStr">
        <is>
          <t>ILST @ NIU</t>
        </is>
      </c>
      <c r="C438" s="17" t="inlineStr">
        <is>
          <t>2026-09-12 23:00</t>
        </is>
      </c>
      <c r="D438" s="25" t="n">
        <v>2</v>
      </c>
      <c r="E438" s="17" t="inlineStr">
        <is>
          <t>ML</t>
        </is>
      </c>
      <c r="F438" s="17" t="inlineStr">
        <is>
          <t>ILST ML</t>
        </is>
      </c>
      <c r="G438" s="26" t="n"/>
      <c r="H438" s="18" t="n">
        <v>-175</v>
      </c>
      <c r="I438" s="20" t="n">
        <v>0.4903236220312247</v>
      </c>
      <c r="J438" s="20" t="n">
        <v>0.6092362344582594</v>
      </c>
      <c r="K438" s="20" t="n">
        <v>0.6363636363636364</v>
      </c>
      <c r="L438" s="19" t="n">
        <v>-0.09193018450278273</v>
      </c>
      <c r="M438" s="19" t="n">
        <v>-0.2294914510937898</v>
      </c>
      <c r="N438" s="20" t="n">
        <v>0</v>
      </c>
      <c r="O438" s="27" t="n">
        <v>0.4</v>
      </c>
      <c r="P438" s="17" t="inlineStr">
        <is>
          <t>DraftKings</t>
        </is>
      </c>
      <c r="Q438" s="17" t="inlineStr">
        <is>
          <t>ILST isn't a full FBS participant this season — model doesn't rate them reliably</t>
        </is>
      </c>
    </row>
    <row r="439">
      <c r="A439" s="12" t="inlineStr">
        <is>
          <t>PASS</t>
        </is>
      </c>
      <c r="B439" s="12" t="inlineStr">
        <is>
          <t>FLA @ AUB</t>
        </is>
      </c>
      <c r="C439" s="12" t="inlineStr">
        <is>
          <t>2026-09-19 23:00</t>
        </is>
      </c>
      <c r="D439" s="22" t="n">
        <v>3</v>
      </c>
      <c r="E439" s="12" t="inlineStr">
        <is>
          <t>ATS</t>
        </is>
      </c>
      <c r="F439" s="12" t="inlineStr">
        <is>
          <t>FLA -2.5</t>
        </is>
      </c>
      <c r="G439" s="23" t="n">
        <v>2.5</v>
      </c>
      <c r="H439" s="13" t="n">
        <v>-115</v>
      </c>
      <c r="I439" s="15" t="n">
        <v>0.4100789298122375</v>
      </c>
      <c r="J439" s="15" t="n">
        <v>0.5108342361863488</v>
      </c>
      <c r="K439" s="15" t="n">
        <v>0.5348837209302325</v>
      </c>
      <c r="L439" s="14" t="n">
        <v>-0.09205807074380203</v>
      </c>
      <c r="M439" s="14" t="n">
        <v>-0.2333306964379909</v>
      </c>
      <c r="N439" s="15" t="n">
        <v>0</v>
      </c>
      <c r="O439" s="24" t="n">
        <v>0.725</v>
      </c>
      <c r="P439" s="12" t="inlineStr">
        <is>
          <t>DraftKings</t>
        </is>
      </c>
      <c r="Q439" s="12" t="n"/>
    </row>
    <row r="440">
      <c r="A440" s="17" t="inlineStr">
        <is>
          <t>PASS</t>
        </is>
      </c>
      <c r="B440" s="17" t="inlineStr">
        <is>
          <t>SYR @ PITT</t>
        </is>
      </c>
      <c r="C440" s="17" t="inlineStr">
        <is>
          <t>2026-09-17 23:30</t>
        </is>
      </c>
      <c r="D440" s="25" t="n">
        <v>3</v>
      </c>
      <c r="E440" s="17" t="inlineStr">
        <is>
          <t>ATS</t>
        </is>
      </c>
      <c r="F440" s="17" t="inlineStr">
        <is>
          <t>PITT -10.5</t>
        </is>
      </c>
      <c r="G440" s="26" t="n">
        <v>-10.5</v>
      </c>
      <c r="H440" s="18" t="n">
        <v>-108</v>
      </c>
      <c r="I440" s="20" t="n">
        <v>0.3977203735013397</v>
      </c>
      <c r="J440" s="20" t="n">
        <v>0.4956702459300312</v>
      </c>
      <c r="K440" s="20" t="n">
        <v>0.5192307692307693</v>
      </c>
      <c r="L440" s="19" t="n">
        <v>-0.09208079914805969</v>
      </c>
      <c r="M440" s="19" t="n">
        <v>-0.2340200214048271</v>
      </c>
      <c r="N440" s="20" t="n">
        <v>0</v>
      </c>
      <c r="O440" s="27" t="n">
        <v>0.725</v>
      </c>
      <c r="P440" s="17" t="inlineStr">
        <is>
          <t>DraftKings</t>
        </is>
      </c>
      <c r="Q440" s="17" t="n"/>
    </row>
    <row r="441">
      <c r="A441" s="12" t="inlineStr">
        <is>
          <t>PASS</t>
        </is>
      </c>
      <c r="B441" s="12" t="inlineStr">
        <is>
          <t>SMU @ LOU</t>
        </is>
      </c>
      <c r="C441" s="12" t="inlineStr">
        <is>
          <t>2026-09-19 19:30</t>
        </is>
      </c>
      <c r="D441" s="22" t="n">
        <v>3</v>
      </c>
      <c r="E441" s="12" t="inlineStr">
        <is>
          <t>TOTAL</t>
        </is>
      </c>
      <c r="F441" s="12" t="inlineStr">
        <is>
          <t>Over 58.5</t>
        </is>
      </c>
      <c r="G441" s="23" t="n">
        <v>58.5</v>
      </c>
      <c r="H441" s="13" t="n">
        <v>-105</v>
      </c>
      <c r="I441" s="15" t="n">
        <v>0.3918433233618595</v>
      </c>
      <c r="J441" s="15" t="n">
        <v>0.4891657638136511</v>
      </c>
      <c r="K441" s="15" t="n">
        <v>0.5121951219512195</v>
      </c>
      <c r="L441" s="14" t="n">
        <v>-0.0921610812006851</v>
      </c>
      <c r="M441" s="14" t="n">
        <v>-0.2349725591506554</v>
      </c>
      <c r="N441" s="15" t="n">
        <v>0</v>
      </c>
      <c r="O441" s="24" t="n">
        <v>0.725</v>
      </c>
      <c r="P441" s="12" t="inlineStr">
        <is>
          <t>DraftKings</t>
        </is>
      </c>
      <c r="Q441" s="12" t="n"/>
    </row>
    <row r="442">
      <c r="A442" s="17" t="inlineStr">
        <is>
          <t>PASS</t>
        </is>
      </c>
      <c r="B442" s="17" t="inlineStr">
        <is>
          <t>OU @ MICH</t>
        </is>
      </c>
      <c r="C442" s="17" t="inlineStr">
        <is>
          <t>2026-09-12 16:00</t>
        </is>
      </c>
      <c r="D442" s="25" t="n">
        <v>2</v>
      </c>
      <c r="E442" s="17" t="inlineStr">
        <is>
          <t>ML</t>
        </is>
      </c>
      <c r="F442" s="17" t="inlineStr">
        <is>
          <t>OU ML</t>
        </is>
      </c>
      <c r="G442" s="26" t="n"/>
      <c r="H442" s="18" t="n">
        <v>-218</v>
      </c>
      <c r="I442" s="20" t="n">
        <v>0.52576687200978</v>
      </c>
      <c r="J442" s="20" t="n">
        <v>0.6574752261956054</v>
      </c>
      <c r="K442" s="20" t="n">
        <v>0.6855345911949685</v>
      </c>
      <c r="L442" s="19" t="n">
        <v>-0.09224053310748599</v>
      </c>
      <c r="M442" s="19" t="n">
        <v>-0.2330556637655503</v>
      </c>
      <c r="N442" s="20" t="n">
        <v>0</v>
      </c>
      <c r="O442" s="27" t="n">
        <v>0.725</v>
      </c>
      <c r="P442" s="17" t="inlineStr">
        <is>
          <t>DraftKings</t>
        </is>
      </c>
      <c r="Q442" s="17" t="n"/>
    </row>
    <row r="443">
      <c r="A443" s="12" t="inlineStr">
        <is>
          <t>PASS</t>
        </is>
      </c>
      <c r="B443" s="12" t="inlineStr">
        <is>
          <t>UCD @ SMU</t>
        </is>
      </c>
      <c r="C443" s="12" t="inlineStr">
        <is>
          <t>2026-09-12 20:00</t>
        </is>
      </c>
      <c r="D443" s="22" t="n">
        <v>2</v>
      </c>
      <c r="E443" s="12" t="inlineStr">
        <is>
          <t>TOTAL</t>
        </is>
      </c>
      <c r="F443" s="12" t="inlineStr">
        <is>
          <t>Over 58.5</t>
        </is>
      </c>
      <c r="G443" s="23" t="n">
        <v>58.5</v>
      </c>
      <c r="H443" s="13" t="n">
        <v>-110</v>
      </c>
      <c r="I443" s="15" t="n">
        <v>0.3989896802031984</v>
      </c>
      <c r="J443" s="15" t="n">
        <v>0.5</v>
      </c>
      <c r="K443" s="15" t="n">
        <v>0.5238095238095238</v>
      </c>
      <c r="L443" s="14" t="n">
        <v>-0.09233597650029246</v>
      </c>
      <c r="M443" s="14" t="n">
        <v>-0.2382924287029849</v>
      </c>
      <c r="N443" s="15" t="n">
        <v>0</v>
      </c>
      <c r="O443" s="24" t="n">
        <v>0.4</v>
      </c>
      <c r="P443" s="12" t="inlineStr">
        <is>
          <t>DraftKings</t>
        </is>
      </c>
      <c r="Q443" s="12" t="inlineStr">
        <is>
          <t>UCD isn't a full FBS participant this season — model doesn't rate them reliably</t>
        </is>
      </c>
    </row>
    <row r="444">
      <c r="A444" s="17" t="inlineStr">
        <is>
          <t>PASS</t>
        </is>
      </c>
      <c r="B444" s="17" t="inlineStr">
        <is>
          <t>USM @ AUB</t>
        </is>
      </c>
      <c r="C444" s="17" t="inlineStr">
        <is>
          <t>2026-09-12 23:45</t>
        </is>
      </c>
      <c r="D444" s="25" t="n">
        <v>2</v>
      </c>
      <c r="E444" s="17" t="inlineStr">
        <is>
          <t>TOTAL</t>
        </is>
      </c>
      <c r="F444" s="17" t="inlineStr">
        <is>
          <t>Over 56.5</t>
        </is>
      </c>
      <c r="G444" s="26" t="n">
        <v>56.5</v>
      </c>
      <c r="H444" s="18" t="n">
        <v>-112</v>
      </c>
      <c r="I444" s="20" t="n">
        <v>0.4011545686841015</v>
      </c>
      <c r="J444" s="20" t="n">
        <v>0.5043297540699688</v>
      </c>
      <c r="K444" s="20" t="n">
        <v>0.5283018867924528</v>
      </c>
      <c r="L444" s="19" t="n">
        <v>-0.09247379899453055</v>
      </c>
      <c r="M444" s="19" t="n">
        <v>-0.2406717092765223</v>
      </c>
      <c r="N444" s="20" t="n">
        <v>0</v>
      </c>
      <c r="O444" s="27" t="n">
        <v>0.725</v>
      </c>
      <c r="P444" s="17" t="inlineStr">
        <is>
          <t>DraftKings</t>
        </is>
      </c>
      <c r="Q444" s="17" t="n"/>
    </row>
    <row r="445">
      <c r="A445" s="12" t="inlineStr">
        <is>
          <t>PASS</t>
        </is>
      </c>
      <c r="B445" s="12" t="inlineStr">
        <is>
          <t>CLT @ MISS</t>
        </is>
      </c>
      <c r="C445" s="12" t="inlineStr">
        <is>
          <t>2026-09-12 23:45</t>
        </is>
      </c>
      <c r="D445" s="22" t="n">
        <v>2</v>
      </c>
      <c r="E445" s="12" t="inlineStr">
        <is>
          <t>TOTAL</t>
        </is>
      </c>
      <c r="F445" s="12" t="inlineStr">
        <is>
          <t>Over 60.5</t>
        </is>
      </c>
      <c r="G445" s="23" t="n">
        <v>60.5</v>
      </c>
      <c r="H445" s="13" t="n">
        <v>-112</v>
      </c>
      <c r="I445" s="15" t="n">
        <v>0.3994253143977443</v>
      </c>
      <c r="J445" s="15" t="n">
        <v>0.5043297540699688</v>
      </c>
      <c r="K445" s="15" t="n">
        <v>0.5283018867924528</v>
      </c>
      <c r="L445" s="14" t="n">
        <v>-0.09264754996617876</v>
      </c>
      <c r="M445" s="14" t="n">
        <v>-0.2439449406042697</v>
      </c>
      <c r="N445" s="15" t="n">
        <v>0</v>
      </c>
      <c r="O445" s="24" t="n">
        <v>0.725</v>
      </c>
      <c r="P445" s="12" t="inlineStr">
        <is>
          <t>DraftKings</t>
        </is>
      </c>
      <c r="Q445" s="12" t="n"/>
    </row>
    <row r="446">
      <c r="A446" s="17" t="inlineStr">
        <is>
          <t>PASS</t>
        </is>
      </c>
      <c r="B446" s="17" t="inlineStr">
        <is>
          <t>MTST @ NEV</t>
        </is>
      </c>
      <c r="C446" s="17" t="inlineStr">
        <is>
          <t>2026-09-13 02:30</t>
        </is>
      </c>
      <c r="D446" s="25" t="n">
        <v>2</v>
      </c>
      <c r="E446" s="17" t="inlineStr">
        <is>
          <t>ML</t>
        </is>
      </c>
      <c r="F446" s="17" t="inlineStr">
        <is>
          <t>MTST ML</t>
        </is>
      </c>
      <c r="G446" s="26" t="n"/>
      <c r="H446" s="18" t="n">
        <v>-166</v>
      </c>
      <c r="I446" s="20" t="n">
        <v>0.4745406868155906</v>
      </c>
      <c r="J446" s="20" t="n">
        <v>0.5996387718242023</v>
      </c>
      <c r="K446" s="20" t="n">
        <v>0.6240601503759399</v>
      </c>
      <c r="L446" s="19" t="n">
        <v>-0.09267743080802068</v>
      </c>
      <c r="M446" s="19" t="n">
        <v>-0.2395914295605597</v>
      </c>
      <c r="N446" s="20" t="n">
        <v>0</v>
      </c>
      <c r="O446" s="27" t="n">
        <v>0.4</v>
      </c>
      <c r="P446" s="17" t="inlineStr">
        <is>
          <t>DraftKings</t>
        </is>
      </c>
      <c r="Q446" s="17" t="inlineStr">
        <is>
          <t>MTST isn't a full FBS participant this season — model doesn't rate them reliably</t>
        </is>
      </c>
    </row>
    <row r="447">
      <c r="A447" s="12" t="inlineStr">
        <is>
          <t>PASS</t>
        </is>
      </c>
      <c r="B447" s="12" t="inlineStr">
        <is>
          <t>NAVY @ FAU</t>
        </is>
      </c>
      <c r="C447" s="12" t="inlineStr">
        <is>
          <t>2026-09-12 23:30</t>
        </is>
      </c>
      <c r="D447" s="22" t="n">
        <v>2</v>
      </c>
      <c r="E447" s="12" t="inlineStr">
        <is>
          <t>ML</t>
        </is>
      </c>
      <c r="F447" s="12" t="inlineStr">
        <is>
          <t>NAVY ML</t>
        </is>
      </c>
      <c r="G447" s="23" t="n"/>
      <c r="H447" s="13" t="n">
        <v>-218</v>
      </c>
      <c r="I447" s="15" t="n">
        <v>0.519943358670797</v>
      </c>
      <c r="J447" s="15" t="n">
        <v>0.6574752261956054</v>
      </c>
      <c r="K447" s="15" t="n">
        <v>0.6855345911949685</v>
      </c>
      <c r="L447" s="14" t="n">
        <v>-0.09270429511150916</v>
      </c>
      <c r="M447" s="14" t="n">
        <v>-0.2415505134985623</v>
      </c>
      <c r="N447" s="15" t="n">
        <v>0</v>
      </c>
      <c r="O447" s="24" t="n">
        <v>0.725</v>
      </c>
      <c r="P447" s="12" t="inlineStr">
        <is>
          <t>DraftKings</t>
        </is>
      </c>
      <c r="Q447" s="12" t="n"/>
    </row>
    <row r="448">
      <c r="A448" s="17" t="inlineStr">
        <is>
          <t>PASS</t>
        </is>
      </c>
      <c r="B448" s="17" t="inlineStr">
        <is>
          <t>SDSU @ UCLA</t>
        </is>
      </c>
      <c r="C448" s="17" t="inlineStr">
        <is>
          <t>2026-09-12 23:15</t>
        </is>
      </c>
      <c r="D448" s="25" t="n">
        <v>2</v>
      </c>
      <c r="E448" s="17" t="inlineStr">
        <is>
          <t>ATS</t>
        </is>
      </c>
      <c r="F448" s="17" t="inlineStr">
        <is>
          <t>UCLA -12.5</t>
        </is>
      </c>
      <c r="G448" s="26" t="n">
        <v>-12.5</v>
      </c>
      <c r="H448" s="18" t="n">
        <v>-108</v>
      </c>
      <c r="I448" s="20" t="n">
        <v>0.3905100335676097</v>
      </c>
      <c r="J448" s="20" t="n">
        <v>0.4956702459300312</v>
      </c>
      <c r="K448" s="20" t="n">
        <v>0.5192307692307693</v>
      </c>
      <c r="L448" s="19" t="n">
        <v>-0.09284212071497631</v>
      </c>
      <c r="M448" s="19" t="n">
        <v>-0.2479066020179368</v>
      </c>
      <c r="N448" s="20" t="n">
        <v>0</v>
      </c>
      <c r="O448" s="27" t="n">
        <v>0.725</v>
      </c>
      <c r="P448" s="17" t="inlineStr">
        <is>
          <t>DraftKings</t>
        </is>
      </c>
      <c r="Q448" s="17" t="n"/>
    </row>
    <row r="449">
      <c r="A449" s="12" t="inlineStr">
        <is>
          <t>PASS</t>
        </is>
      </c>
      <c r="B449" s="12" t="inlineStr">
        <is>
          <t>MIZ @ KU</t>
        </is>
      </c>
      <c r="C449" s="12" t="inlineStr">
        <is>
          <t>2026-09-12 00:00</t>
        </is>
      </c>
      <c r="D449" s="22" t="n">
        <v>2</v>
      </c>
      <c r="E449" s="12" t="inlineStr">
        <is>
          <t>ML</t>
        </is>
      </c>
      <c r="F449" s="12" t="inlineStr">
        <is>
          <t>MIZ ML</t>
        </is>
      </c>
      <c r="G449" s="23" t="n"/>
      <c r="H449" s="13" t="n">
        <v>-218</v>
      </c>
      <c r="I449" s="15" t="n">
        <v>0.5136222021991772</v>
      </c>
      <c r="J449" s="15" t="n">
        <v>0.6574752261956054</v>
      </c>
      <c r="K449" s="15" t="n">
        <v>0.6855345911949685</v>
      </c>
      <c r="L449" s="14" t="n">
        <v>-0.09312079219683073</v>
      </c>
      <c r="M449" s="14" t="n">
        <v>-0.2507712830305581</v>
      </c>
      <c r="N449" s="15" t="n">
        <v>0</v>
      </c>
      <c r="O449" s="24" t="n">
        <v>0.725</v>
      </c>
      <c r="P449" s="12" t="inlineStr">
        <is>
          <t>DraftKings</t>
        </is>
      </c>
      <c r="Q449" s="12" t="n"/>
    </row>
    <row r="450">
      <c r="A450" s="17" t="inlineStr">
        <is>
          <t>PASS</t>
        </is>
      </c>
      <c r="B450" s="17" t="inlineStr">
        <is>
          <t>SAC @ FRES</t>
        </is>
      </c>
      <c r="C450" s="17" t="inlineStr">
        <is>
          <t>2026-09-13 02:30</t>
        </is>
      </c>
      <c r="D450" s="25" t="n">
        <v>2</v>
      </c>
      <c r="E450" s="17" t="inlineStr">
        <is>
          <t>TOTAL</t>
        </is>
      </c>
      <c r="F450" s="17" t="inlineStr">
        <is>
          <t>Under 44.5</t>
        </is>
      </c>
      <c r="G450" s="26" t="n">
        <v>44.5</v>
      </c>
      <c r="H450" s="18" t="n">
        <v>100</v>
      </c>
      <c r="I450" s="20" t="n">
        <v>0.3729022741284236</v>
      </c>
      <c r="J450" s="20" t="n">
        <v>0.4782608695652174</v>
      </c>
      <c r="K450" s="20" t="n">
        <v>0.5</v>
      </c>
      <c r="L450" s="19" t="n">
        <v>-0.09317861543435763</v>
      </c>
      <c r="M450" s="19" t="n">
        <v>-0.2541954517431528</v>
      </c>
      <c r="N450" s="20" t="n">
        <v>0</v>
      </c>
      <c r="O450" s="27" t="n">
        <v>0.725</v>
      </c>
      <c r="P450" s="17" t="inlineStr">
        <is>
          <t>DraftKings</t>
        </is>
      </c>
      <c r="Q450" s="17" t="n"/>
    </row>
    <row r="451">
      <c r="A451" s="12" t="inlineStr">
        <is>
          <t>PASS</t>
        </is>
      </c>
      <c r="B451" s="12" t="inlineStr">
        <is>
          <t>WOF @ KENT</t>
        </is>
      </c>
      <c r="C451" s="12" t="inlineStr">
        <is>
          <t>2026-09-12 16:00</t>
        </is>
      </c>
      <c r="D451" s="22" t="n">
        <v>2</v>
      </c>
      <c r="E451" s="12" t="inlineStr">
        <is>
          <t>TOTAL</t>
        </is>
      </c>
      <c r="F451" s="12" t="inlineStr">
        <is>
          <t>Under 47.5</t>
        </is>
      </c>
      <c r="G451" s="23" t="n">
        <v>47.5</v>
      </c>
      <c r="H451" s="13" t="n">
        <v>-105</v>
      </c>
      <c r="I451" s="15" t="n">
        <v>0.3800061982883602</v>
      </c>
      <c r="J451" s="15" t="n">
        <v>0.4891657638136511</v>
      </c>
      <c r="K451" s="15" t="n">
        <v>0.5121951219512195</v>
      </c>
      <c r="L451" s="14" t="n">
        <v>-0.09328405960160692</v>
      </c>
      <c r="M451" s="14" t="n">
        <v>-0.2580831366751062</v>
      </c>
      <c r="N451" s="15" t="n">
        <v>0</v>
      </c>
      <c r="O451" s="24" t="n">
        <v>0.4</v>
      </c>
      <c r="P451" s="12" t="inlineStr">
        <is>
          <t>DraftKings</t>
        </is>
      </c>
      <c r="Q451" s="12" t="inlineStr">
        <is>
          <t>WOF isn't a full FBS participant this season — model doesn't rate them reliably</t>
        </is>
      </c>
    </row>
    <row r="452">
      <c r="A452" s="17" t="inlineStr">
        <is>
          <t>PASS</t>
        </is>
      </c>
      <c r="B452" s="17" t="inlineStr">
        <is>
          <t>ARK @ UTAH</t>
        </is>
      </c>
      <c r="C452" s="17" t="inlineStr">
        <is>
          <t>2026-09-13 02:15</t>
        </is>
      </c>
      <c r="D452" s="25" t="n">
        <v>2</v>
      </c>
      <c r="E452" s="17" t="inlineStr">
        <is>
          <t>ATS</t>
        </is>
      </c>
      <c r="F452" s="17" t="inlineStr">
        <is>
          <t>UTAH -12.5</t>
        </is>
      </c>
      <c r="G452" s="26" t="n">
        <v>-12.5</v>
      </c>
      <c r="H452" s="18" t="n">
        <v>-112</v>
      </c>
      <c r="I452" s="20" t="n">
        <v>0.3903400305077774</v>
      </c>
      <c r="J452" s="20" t="n">
        <v>0.5043297540699688</v>
      </c>
      <c r="K452" s="20" t="n">
        <v>0.5283018867924528</v>
      </c>
      <c r="L452" s="19" t="n">
        <v>-0.09338373361713354</v>
      </c>
      <c r="M452" s="19" t="n">
        <v>-0.2611420851102785</v>
      </c>
      <c r="N452" s="20" t="n">
        <v>0</v>
      </c>
      <c r="O452" s="27" t="n">
        <v>0.725</v>
      </c>
      <c r="P452" s="17" t="inlineStr">
        <is>
          <t>DraftKings</t>
        </is>
      </c>
      <c r="Q452" s="17" t="n"/>
    </row>
    <row r="453">
      <c r="A453" s="12" t="inlineStr">
        <is>
          <t>PASS</t>
        </is>
      </c>
      <c r="B453" s="12" t="inlineStr">
        <is>
          <t>WAKE @ PUR</t>
        </is>
      </c>
      <c r="C453" s="12" t="inlineStr">
        <is>
          <t>2026-09-12 16:00</t>
        </is>
      </c>
      <c r="D453" s="22" t="n">
        <v>2</v>
      </c>
      <c r="E453" s="12" t="inlineStr">
        <is>
          <t>ATS</t>
        </is>
      </c>
      <c r="F453" s="12" t="inlineStr">
        <is>
          <t>WAKE -3</t>
        </is>
      </c>
      <c r="G453" s="23" t="n">
        <v>3</v>
      </c>
      <c r="H453" s="13" t="n">
        <v>-112</v>
      </c>
      <c r="I453" s="15" t="n">
        <v>0.3883370085692517</v>
      </c>
      <c r="J453" s="15" t="n">
        <v>0.5043297540699688</v>
      </c>
      <c r="K453" s="15" t="n">
        <v>0.5283018867924528</v>
      </c>
      <c r="L453" s="14" t="n">
        <v>-0.09351236493016465</v>
      </c>
      <c r="M453" s="14" t="n">
        <v>-0.2512894432399798</v>
      </c>
      <c r="N453" s="15" t="n">
        <v>0.0515</v>
      </c>
      <c r="O453" s="24" t="n">
        <v>0.725</v>
      </c>
      <c r="P453" s="12" t="inlineStr">
        <is>
          <t>DraftKings</t>
        </is>
      </c>
      <c r="Q453" s="12" t="n"/>
    </row>
    <row r="454">
      <c r="A454" s="17" t="inlineStr">
        <is>
          <t>PASS</t>
        </is>
      </c>
      <c r="B454" s="17" t="inlineStr">
        <is>
          <t>UNLV @ UNT</t>
        </is>
      </c>
      <c r="C454" s="17" t="inlineStr">
        <is>
          <t>2026-09-12 19:45</t>
        </is>
      </c>
      <c r="D454" s="25" t="n">
        <v>2</v>
      </c>
      <c r="E454" s="17" t="inlineStr">
        <is>
          <t>ATS</t>
        </is>
      </c>
      <c r="F454" s="17" t="inlineStr">
        <is>
          <t>UNLV -3</t>
        </is>
      </c>
      <c r="G454" s="26" t="n">
        <v>3</v>
      </c>
      <c r="H454" s="18" t="n">
        <v>-115</v>
      </c>
      <c r="I454" s="20" t="n">
        <v>0.3932269064672512</v>
      </c>
      <c r="J454" s="20" t="n">
        <v>0.5108342361863488</v>
      </c>
      <c r="K454" s="20" t="n">
        <v>0.5348837209302325</v>
      </c>
      <c r="L454" s="19" t="n">
        <v>-0.09351956148854339</v>
      </c>
      <c r="M454" s="19" t="n">
        <v>-0.2511181144944937</v>
      </c>
      <c r="N454" s="20" t="n">
        <v>0.0518</v>
      </c>
      <c r="O454" s="27" t="n">
        <v>0.725</v>
      </c>
      <c r="P454" s="17" t="inlineStr">
        <is>
          <t>DraftKings</t>
        </is>
      </c>
      <c r="Q454" s="17" t="n"/>
    </row>
    <row r="455">
      <c r="A455" s="12" t="inlineStr">
        <is>
          <t>PASS</t>
        </is>
      </c>
      <c r="B455" s="12" t="inlineStr">
        <is>
          <t>UNC @ CLEM</t>
        </is>
      </c>
      <c r="C455" s="12" t="inlineStr">
        <is>
          <t>2026-09-19 16:00</t>
        </is>
      </c>
      <c r="D455" s="22" t="n">
        <v>3</v>
      </c>
      <c r="E455" s="12" t="inlineStr">
        <is>
          <t>TOTAL</t>
        </is>
      </c>
      <c r="F455" s="12" t="inlineStr">
        <is>
          <t>Under 44.5</t>
        </is>
      </c>
      <c r="G455" s="23" t="n">
        <v>44.5</v>
      </c>
      <c r="H455" s="13" t="n">
        <v>-112</v>
      </c>
      <c r="I455" s="15" t="n">
        <v>0.3875881466932609</v>
      </c>
      <c r="J455" s="15" t="n">
        <v>0.5043297540699688</v>
      </c>
      <c r="K455" s="15" t="n">
        <v>0.5283018867924528</v>
      </c>
      <c r="L455" s="14" t="n">
        <v>-0.09355780201123899</v>
      </c>
      <c r="M455" s="14" t="n">
        <v>-0.266351008044899</v>
      </c>
      <c r="N455" s="15" t="n">
        <v>0</v>
      </c>
      <c r="O455" s="24" t="n">
        <v>0.725</v>
      </c>
      <c r="P455" s="12" t="inlineStr">
        <is>
          <t>DraftKings</t>
        </is>
      </c>
      <c r="Q455" s="12" t="n"/>
    </row>
    <row r="456">
      <c r="A456" s="17" t="inlineStr">
        <is>
          <t>PASS</t>
        </is>
      </c>
      <c r="B456" s="17" t="inlineStr">
        <is>
          <t>OU @ MICH</t>
        </is>
      </c>
      <c r="C456" s="17" t="inlineStr">
        <is>
          <t>2026-09-12 16:00</t>
        </is>
      </c>
      <c r="D456" s="25" t="n">
        <v>2</v>
      </c>
      <c r="E456" s="17" t="inlineStr">
        <is>
          <t>TOTAL</t>
        </is>
      </c>
      <c r="F456" s="17" t="inlineStr">
        <is>
          <t>Under 43.5</t>
        </is>
      </c>
      <c r="G456" s="26" t="n">
        <v>43.5</v>
      </c>
      <c r="H456" s="18" t="n">
        <v>-105</v>
      </c>
      <c r="I456" s="20" t="n">
        <v>0.3750825722655767</v>
      </c>
      <c r="J456" s="20" t="n">
        <v>0.4891657638136511</v>
      </c>
      <c r="K456" s="20" t="n">
        <v>0.5121951219512195</v>
      </c>
      <c r="L456" s="19" t="n">
        <v>-0.09360933066604486</v>
      </c>
      <c r="M456" s="19" t="n">
        <v>-0.2676959303386359</v>
      </c>
      <c r="N456" s="20" t="n">
        <v>0</v>
      </c>
      <c r="O456" s="27" t="n">
        <v>0.725</v>
      </c>
      <c r="P456" s="17" t="inlineStr">
        <is>
          <t>DraftKings</t>
        </is>
      </c>
      <c r="Q456" s="17" t="n"/>
    </row>
    <row r="457">
      <c r="A457" s="12" t="inlineStr">
        <is>
          <t>PASS</t>
        </is>
      </c>
      <c r="B457" s="12" t="inlineStr">
        <is>
          <t>LSU @ MISS</t>
        </is>
      </c>
      <c r="C457" s="12" t="inlineStr">
        <is>
          <t>2026-09-19 23:30</t>
        </is>
      </c>
      <c r="D457" s="22" t="n">
        <v>3</v>
      </c>
      <c r="E457" s="12" t="inlineStr">
        <is>
          <t>ATS</t>
        </is>
      </c>
      <c r="F457" s="12" t="inlineStr">
        <is>
          <t>LSU -3</t>
        </is>
      </c>
      <c r="G457" s="23" t="n">
        <v>3</v>
      </c>
      <c r="H457" s="13" t="n">
        <v>-112</v>
      </c>
      <c r="I457" s="15" t="n">
        <v>0.3864597907393481</v>
      </c>
      <c r="J457" s="15" t="n">
        <v>0.5043297540699688</v>
      </c>
      <c r="K457" s="15" t="n">
        <v>0.5283018867924528</v>
      </c>
      <c r="L457" s="14" t="n">
        <v>-0.09362367654044876</v>
      </c>
      <c r="M457" s="14" t="n">
        <v>-0.2547402992487445</v>
      </c>
      <c r="N457" s="15" t="n">
        <v>0.0512</v>
      </c>
      <c r="O457" s="24" t="n">
        <v>0.725</v>
      </c>
      <c r="P457" s="12" t="inlineStr">
        <is>
          <t>DraftKings</t>
        </is>
      </c>
      <c r="Q457" s="12" t="n"/>
    </row>
    <row r="458">
      <c r="A458" s="17" t="inlineStr">
        <is>
          <t>PASS</t>
        </is>
      </c>
      <c r="B458" s="17" t="inlineStr">
        <is>
          <t>WOF @ KENT</t>
        </is>
      </c>
      <c r="C458" s="17" t="inlineStr">
        <is>
          <t>2026-09-12 16:00</t>
        </is>
      </c>
      <c r="D458" s="25" t="n">
        <v>2</v>
      </c>
      <c r="E458" s="17" t="inlineStr">
        <is>
          <t>ATS</t>
        </is>
      </c>
      <c r="F458" s="17" t="inlineStr">
        <is>
          <t>KENT -11.5</t>
        </is>
      </c>
      <c r="G458" s="26" t="n">
        <v>-11.5</v>
      </c>
      <c r="H458" s="18" t="n">
        <v>-112</v>
      </c>
      <c r="I458" s="20" t="n">
        <v>0.3821755049662403</v>
      </c>
      <c r="J458" s="20" t="n">
        <v>0.5043297540699688</v>
      </c>
      <c r="K458" s="20" t="n">
        <v>0.5283018867924528</v>
      </c>
      <c r="L458" s="19" t="n">
        <v>-0.09384769941019966</v>
      </c>
      <c r="M458" s="19" t="n">
        <v>-0.2765963655996165</v>
      </c>
      <c r="N458" s="20" t="n">
        <v>0</v>
      </c>
      <c r="O458" s="27" t="n">
        <v>0.4</v>
      </c>
      <c r="P458" s="17" t="inlineStr">
        <is>
          <t>DraftKings</t>
        </is>
      </c>
      <c r="Q458" s="17" t="inlineStr">
        <is>
          <t>WOF isn't a full FBS participant this season — model doesn't rate them reliably</t>
        </is>
      </c>
    </row>
    <row r="459">
      <c r="A459" s="12" t="inlineStr">
        <is>
          <t>PASS</t>
        </is>
      </c>
      <c r="B459" s="12" t="inlineStr">
        <is>
          <t>UNC @ CLEM</t>
        </is>
      </c>
      <c r="C459" s="12" t="inlineStr">
        <is>
          <t>2026-09-19 16:00</t>
        </is>
      </c>
      <c r="D459" s="22" t="n">
        <v>3</v>
      </c>
      <c r="E459" s="12" t="inlineStr">
        <is>
          <t>ATS</t>
        </is>
      </c>
      <c r="F459" s="12" t="inlineStr">
        <is>
          <t>CLEM -9.5</t>
        </is>
      </c>
      <c r="G459" s="23" t="n">
        <v>-9.5</v>
      </c>
      <c r="H459" s="13" t="n">
        <v>-112</v>
      </c>
      <c r="I459" s="15" t="n">
        <v>0.3775358281301793</v>
      </c>
      <c r="J459" s="15" t="n">
        <v>0.5043297540699688</v>
      </c>
      <c r="K459" s="15" t="n">
        <v>0.5283018867924528</v>
      </c>
      <c r="L459" s="14" t="n">
        <v>-0.094049577612611</v>
      </c>
      <c r="M459" s="14" t="n">
        <v>-0.2853786110393035</v>
      </c>
      <c r="N459" s="15" t="n">
        <v>0</v>
      </c>
      <c r="O459" s="24" t="n">
        <v>0.725</v>
      </c>
      <c r="P459" s="12" t="inlineStr">
        <is>
          <t>DraftKings</t>
        </is>
      </c>
      <c r="Q459" s="12" t="n"/>
    </row>
    <row r="460">
      <c r="A460" s="17" t="inlineStr">
        <is>
          <t>PASS</t>
        </is>
      </c>
      <c r="B460" s="17" t="inlineStr">
        <is>
          <t>MTST @ NEV</t>
        </is>
      </c>
      <c r="C460" s="17" t="inlineStr">
        <is>
          <t>2026-09-13 02:30</t>
        </is>
      </c>
      <c r="D460" s="25" t="n">
        <v>2</v>
      </c>
      <c r="E460" s="17" t="inlineStr">
        <is>
          <t>ATS</t>
        </is>
      </c>
      <c r="F460" s="17" t="inlineStr">
        <is>
          <t>MTST -3.5</t>
        </is>
      </c>
      <c r="G460" s="26" t="n">
        <v>3.5</v>
      </c>
      <c r="H460" s="18" t="n">
        <v>-108</v>
      </c>
      <c r="I460" s="20" t="n">
        <v>0.3692184946483026</v>
      </c>
      <c r="J460" s="20" t="n">
        <v>0.4956702459300312</v>
      </c>
      <c r="K460" s="20" t="n">
        <v>0.5192307692307693</v>
      </c>
      <c r="L460" s="19" t="n">
        <v>-0.09412050577312468</v>
      </c>
      <c r="M460" s="19" t="n">
        <v>-0.2889125288254912</v>
      </c>
      <c r="N460" s="20" t="n">
        <v>0</v>
      </c>
      <c r="O460" s="27" t="n">
        <v>0.4</v>
      </c>
      <c r="P460" s="17" t="inlineStr">
        <is>
          <t>DraftKings</t>
        </is>
      </c>
      <c r="Q460" s="17" t="inlineStr">
        <is>
          <t>MTST isn't a full FBS participant this season — model doesn't rate them reliably</t>
        </is>
      </c>
    </row>
    <row r="461">
      <c r="A461" s="12" t="inlineStr">
        <is>
          <t>PASS</t>
        </is>
      </c>
      <c r="B461" s="12" t="inlineStr">
        <is>
          <t>ILST @ NIU</t>
        </is>
      </c>
      <c r="C461" s="12" t="inlineStr">
        <is>
          <t>2026-09-12 23:00</t>
        </is>
      </c>
      <c r="D461" s="22" t="n">
        <v>2</v>
      </c>
      <c r="E461" s="12" t="inlineStr">
        <is>
          <t>ATS</t>
        </is>
      </c>
      <c r="F461" s="12" t="inlineStr">
        <is>
          <t>ILST -4.5</t>
        </is>
      </c>
      <c r="G461" s="23" t="n">
        <v>4.5</v>
      </c>
      <c r="H461" s="13" t="n">
        <v>-105</v>
      </c>
      <c r="I461" s="15" t="n">
        <v>0.3626424683348568</v>
      </c>
      <c r="J461" s="15" t="n">
        <v>0.4891657638136511</v>
      </c>
      <c r="K461" s="15" t="n">
        <v>0.5121951219512195</v>
      </c>
      <c r="L461" s="14" t="n">
        <v>-0.09418337146263507</v>
      </c>
      <c r="M461" s="14" t="n">
        <v>-0.291983752298613</v>
      </c>
      <c r="N461" s="15" t="n">
        <v>0</v>
      </c>
      <c r="O461" s="24" t="n">
        <v>0.4</v>
      </c>
      <c r="P461" s="12" t="inlineStr">
        <is>
          <t>DraftKings</t>
        </is>
      </c>
      <c r="Q461" s="12" t="inlineStr">
        <is>
          <t>ILST isn't a full FBS participant this season — model doesn't rate them reliably</t>
        </is>
      </c>
    </row>
    <row r="462">
      <c r="A462" s="17" t="inlineStr">
        <is>
          <t>PASS</t>
        </is>
      </c>
      <c r="B462" s="17" t="inlineStr">
        <is>
          <t>NAVY @ FAU</t>
        </is>
      </c>
      <c r="C462" s="17" t="inlineStr">
        <is>
          <t>2026-09-12 23:30</t>
        </is>
      </c>
      <c r="D462" s="25" t="n">
        <v>2</v>
      </c>
      <c r="E462" s="17" t="inlineStr">
        <is>
          <t>ATS</t>
        </is>
      </c>
      <c r="F462" s="17" t="inlineStr">
        <is>
          <t>NAVY -4.5</t>
        </is>
      </c>
      <c r="G462" s="26" t="n">
        <v>4.5</v>
      </c>
      <c r="H462" s="18" t="n">
        <v>-115</v>
      </c>
      <c r="I462" s="20" t="n">
        <v>0.3779535299536088</v>
      </c>
      <c r="J462" s="20" t="n">
        <v>0.5108342361863488</v>
      </c>
      <c r="K462" s="20" t="n">
        <v>0.5348837209302325</v>
      </c>
      <c r="L462" s="19" t="n">
        <v>-0.09420821522653783</v>
      </c>
      <c r="M462" s="19" t="n">
        <v>-0.2933912266084706</v>
      </c>
      <c r="N462" s="20" t="n">
        <v>0</v>
      </c>
      <c r="O462" s="27" t="n">
        <v>0.725</v>
      </c>
      <c r="P462" s="17" t="inlineStr">
        <is>
          <t>DraftKings</t>
        </is>
      </c>
      <c r="Q462" s="17" t="n"/>
    </row>
    <row r="463">
      <c r="A463" s="12" t="inlineStr">
        <is>
          <t>PASS</t>
        </is>
      </c>
      <c r="B463" s="12" t="inlineStr">
        <is>
          <t>TENN @ GT</t>
        </is>
      </c>
      <c r="C463" s="12" t="inlineStr">
        <is>
          <t>2026-09-12 23:00</t>
        </is>
      </c>
      <c r="D463" s="22" t="n">
        <v>2</v>
      </c>
      <c r="E463" s="12" t="inlineStr">
        <is>
          <t>ML</t>
        </is>
      </c>
      <c r="F463" s="12" t="inlineStr">
        <is>
          <t>TENN ML</t>
        </is>
      </c>
      <c r="G463" s="23" t="n"/>
      <c r="H463" s="13" t="n">
        <v>-535</v>
      </c>
      <c r="I463" s="15" t="n">
        <v>0.5976357307332321</v>
      </c>
      <c r="J463" s="15" t="n">
        <v>0.8081570996978852</v>
      </c>
      <c r="K463" s="15" t="n">
        <v>0.84251968503937</v>
      </c>
      <c r="L463" s="14" t="n">
        <v>-0.09421434493550142</v>
      </c>
      <c r="M463" s="14" t="n">
        <v>-0.2906566560456031</v>
      </c>
      <c r="N463" s="15" t="n">
        <v>0</v>
      </c>
      <c r="O463" s="24" t="n">
        <v>0.725</v>
      </c>
      <c r="P463" s="12" t="inlineStr">
        <is>
          <t>DraftKings</t>
        </is>
      </c>
      <c r="Q463" s="12" t="inlineStr">
        <is>
          <t>price outside allowed range</t>
        </is>
      </c>
    </row>
    <row r="464">
      <c r="A464" s="17" t="inlineStr">
        <is>
          <t>PASS</t>
        </is>
      </c>
      <c r="B464" s="17" t="inlineStr">
        <is>
          <t>ALA @ UK</t>
        </is>
      </c>
      <c r="C464" s="17" t="inlineStr">
        <is>
          <t>2026-09-12 19:30</t>
        </is>
      </c>
      <c r="D464" s="25" t="n">
        <v>2</v>
      </c>
      <c r="E464" s="17" t="inlineStr">
        <is>
          <t>ML</t>
        </is>
      </c>
      <c r="F464" s="17" t="inlineStr">
        <is>
          <t>ALA ML</t>
        </is>
      </c>
      <c r="G464" s="26" t="n"/>
      <c r="H464" s="18" t="n">
        <v>-375</v>
      </c>
      <c r="I464" s="20" t="n">
        <v>0.5589840550686117</v>
      </c>
      <c r="J464" s="20" t="n">
        <v>0.7571884984025559</v>
      </c>
      <c r="K464" s="20" t="n">
        <v>0.7894736842105263</v>
      </c>
      <c r="L464" s="19" t="n">
        <v>-0.09423495818290649</v>
      </c>
      <c r="M464" s="19" t="n">
        <v>-0.2919535302464252</v>
      </c>
      <c r="N464" s="20" t="n">
        <v>0</v>
      </c>
      <c r="O464" s="27" t="n">
        <v>0.725</v>
      </c>
      <c r="P464" s="17" t="inlineStr">
        <is>
          <t>DraftKings</t>
        </is>
      </c>
      <c r="Q464" s="17" t="inlineStr">
        <is>
          <t>raw model/market disagreement exceeds the safety limit</t>
        </is>
      </c>
    </row>
    <row r="465">
      <c r="A465" s="12" t="inlineStr">
        <is>
          <t>PASS</t>
        </is>
      </c>
      <c r="B465" s="12" t="inlineStr">
        <is>
          <t>OU @ MICH</t>
        </is>
      </c>
      <c r="C465" s="12" t="inlineStr">
        <is>
          <t>2026-09-12 16:00</t>
        </is>
      </c>
      <c r="D465" s="22" t="n">
        <v>2</v>
      </c>
      <c r="E465" s="12" t="inlineStr">
        <is>
          <t>ATS</t>
        </is>
      </c>
      <c r="F465" s="12" t="inlineStr">
        <is>
          <t>OU -5.5</t>
        </is>
      </c>
      <c r="G465" s="23" t="n">
        <v>5.5</v>
      </c>
      <c r="H465" s="13" t="n">
        <v>-110</v>
      </c>
      <c r="I465" s="15" t="n">
        <v>0.36746011436501</v>
      </c>
      <c r="J465" s="15" t="n">
        <v>0.5</v>
      </c>
      <c r="K465" s="15" t="n">
        <v>0.5238095238095238</v>
      </c>
      <c r="L465" s="14" t="n">
        <v>-0.09428635226288594</v>
      </c>
      <c r="M465" s="14" t="n">
        <v>-0.2984852362122535</v>
      </c>
      <c r="N465" s="15" t="n">
        <v>0</v>
      </c>
      <c r="O465" s="24" t="n">
        <v>0.725</v>
      </c>
      <c r="P465" s="12" t="inlineStr">
        <is>
          <t>DraftKings</t>
        </is>
      </c>
      <c r="Q465" s="12" t="n"/>
    </row>
    <row r="466">
      <c r="A466" s="17" t="inlineStr">
        <is>
          <t>PASS</t>
        </is>
      </c>
      <c r="B466" s="17" t="inlineStr">
        <is>
          <t>SOU @ HOU</t>
        </is>
      </c>
      <c r="C466" s="17" t="inlineStr">
        <is>
          <t>2026-09-12 23:00</t>
        </is>
      </c>
      <c r="D466" s="25" t="n">
        <v>2</v>
      </c>
      <c r="E466" s="17" t="inlineStr">
        <is>
          <t>TOTAL</t>
        </is>
      </c>
      <c r="F466" s="17" t="inlineStr">
        <is>
          <t>Over 60.5</t>
        </is>
      </c>
      <c r="G466" s="26" t="n">
        <v>60.5</v>
      </c>
      <c r="H466" s="18" t="n">
        <v>-112</v>
      </c>
      <c r="I466" s="20" t="n">
        <v>0.3699999191105539</v>
      </c>
      <c r="J466" s="20" t="n">
        <v>0.5043297540699688</v>
      </c>
      <c r="K466" s="20" t="n">
        <v>0.5283018867924528</v>
      </c>
      <c r="L466" s="19" t="n">
        <v>-0.094305160987468</v>
      </c>
      <c r="M466" s="19" t="n">
        <v>-0.299643010255023</v>
      </c>
      <c r="N466" s="20" t="n">
        <v>0</v>
      </c>
      <c r="O466" s="27" t="n">
        <v>0.4</v>
      </c>
      <c r="P466" s="17" t="inlineStr">
        <is>
          <t>DraftKings</t>
        </is>
      </c>
      <c r="Q466" s="17" t="inlineStr">
        <is>
          <t>SOU isn't a full FBS participant this season — model doesn't rate them reliably</t>
        </is>
      </c>
    </row>
    <row r="467">
      <c r="A467" s="12" t="inlineStr">
        <is>
          <t>PASS</t>
        </is>
      </c>
      <c r="B467" s="12" t="inlineStr">
        <is>
          <t>WCU @ CIN</t>
        </is>
      </c>
      <c r="C467" s="12" t="inlineStr">
        <is>
          <t>2026-09-12 23:00</t>
        </is>
      </c>
      <c r="D467" s="22" t="n">
        <v>2</v>
      </c>
      <c r="E467" s="12" t="inlineStr">
        <is>
          <t>TOTAL</t>
        </is>
      </c>
      <c r="F467" s="12" t="inlineStr">
        <is>
          <t>Over 60.5</t>
        </is>
      </c>
      <c r="G467" s="23" t="n">
        <v>60.5</v>
      </c>
      <c r="H467" s="13" t="n">
        <v>-110</v>
      </c>
      <c r="I467" s="15" t="n">
        <v>0.3663010363554844</v>
      </c>
      <c r="J467" s="15" t="n">
        <v>0.5</v>
      </c>
      <c r="K467" s="15" t="n">
        <v>0.5238095238095238</v>
      </c>
      <c r="L467" s="14" t="n">
        <v>-0.09432022278967082</v>
      </c>
      <c r="M467" s="14" t="n">
        <v>-0.3006980215031662</v>
      </c>
      <c r="N467" s="15" t="n">
        <v>0</v>
      </c>
      <c r="O467" s="24" t="n">
        <v>0.4</v>
      </c>
      <c r="P467" s="12" t="inlineStr">
        <is>
          <t>DraftKings</t>
        </is>
      </c>
      <c r="Q467" s="12" t="inlineStr">
        <is>
          <t>WCU isn't a full FBS participant this season — model doesn't rate them reliably</t>
        </is>
      </c>
    </row>
    <row r="468">
      <c r="A468" s="17" t="inlineStr">
        <is>
          <t>PASS</t>
        </is>
      </c>
      <c r="B468" s="17" t="inlineStr">
        <is>
          <t>UL @ USC</t>
        </is>
      </c>
      <c r="C468" s="17" t="inlineStr">
        <is>
          <t>2026-09-13 03:00</t>
        </is>
      </c>
      <c r="D468" s="25" t="n">
        <v>2</v>
      </c>
      <c r="E468" s="17" t="inlineStr">
        <is>
          <t>TOTAL</t>
        </is>
      </c>
      <c r="F468" s="17" t="inlineStr">
        <is>
          <t>Over 59.5</t>
        </is>
      </c>
      <c r="G468" s="26" t="n">
        <v>59.5</v>
      </c>
      <c r="H468" s="18" t="n">
        <v>-105</v>
      </c>
      <c r="I468" s="20" t="n">
        <v>0.3578494803971468</v>
      </c>
      <c r="J468" s="20" t="n">
        <v>0.4891657638136511</v>
      </c>
      <c r="K468" s="20" t="n">
        <v>0.5121951219512195</v>
      </c>
      <c r="L468" s="19" t="n">
        <v>-0.09433505389519455</v>
      </c>
      <c r="M468" s="19" t="n">
        <v>-0.3013414906531896</v>
      </c>
      <c r="N468" s="20" t="n">
        <v>0</v>
      </c>
      <c r="O468" s="27" t="n">
        <v>0.725</v>
      </c>
      <c r="P468" s="17" t="inlineStr">
        <is>
          <t>DraftKings</t>
        </is>
      </c>
      <c r="Q468" s="17" t="n"/>
    </row>
    <row r="469">
      <c r="A469" s="12" t="inlineStr">
        <is>
          <t>PASS</t>
        </is>
      </c>
      <c r="B469" s="12" t="inlineStr">
        <is>
          <t>MIA @ WAKE</t>
        </is>
      </c>
      <c r="C469" s="12" t="inlineStr">
        <is>
          <t>2026-09-18 23:30</t>
        </is>
      </c>
      <c r="D469" s="22" t="n">
        <v>3</v>
      </c>
      <c r="E469" s="12" t="inlineStr">
        <is>
          <t>ML</t>
        </is>
      </c>
      <c r="F469" s="12" t="inlineStr">
        <is>
          <t>MIA ML</t>
        </is>
      </c>
      <c r="G469" s="23" t="n"/>
      <c r="H469" s="13" t="n">
        <v>-1200</v>
      </c>
      <c r="I469" s="15" t="n">
        <v>0.6435761139197592</v>
      </c>
      <c r="J469" s="15" t="n">
        <v>0.8869565217391304</v>
      </c>
      <c r="K469" s="15" t="n">
        <v>0.9230769230769231</v>
      </c>
      <c r="L469" s="14" t="n">
        <v>-0.09441309998232263</v>
      </c>
      <c r="M469" s="14" t="n">
        <v>-0.3027925432535943</v>
      </c>
      <c r="N469" s="15" t="n">
        <v>0</v>
      </c>
      <c r="O469" s="24" t="n">
        <v>0.725</v>
      </c>
      <c r="P469" s="12" t="inlineStr">
        <is>
          <t>DraftKings</t>
        </is>
      </c>
      <c r="Q469" s="12" t="inlineStr">
        <is>
          <t>price outside allowed range</t>
        </is>
      </c>
    </row>
    <row r="470">
      <c r="A470" s="17" t="inlineStr">
        <is>
          <t>PASS</t>
        </is>
      </c>
      <c r="B470" s="17" t="inlineStr">
        <is>
          <t>MD @ CONN</t>
        </is>
      </c>
      <c r="C470" s="17" t="inlineStr">
        <is>
          <t>2026-09-12 19:30</t>
        </is>
      </c>
      <c r="D470" s="25" t="n">
        <v>2</v>
      </c>
      <c r="E470" s="17" t="inlineStr">
        <is>
          <t>ML</t>
        </is>
      </c>
      <c r="F470" s="17" t="inlineStr">
        <is>
          <t>MD ML</t>
        </is>
      </c>
      <c r="G470" s="26" t="n"/>
      <c r="H470" s="18" t="n">
        <v>-470</v>
      </c>
      <c r="I470" s="20" t="n">
        <v>0.5695973307479686</v>
      </c>
      <c r="J470" s="20" t="n">
        <v>0.7913616398243045</v>
      </c>
      <c r="K470" s="20" t="n">
        <v>0.8245614035087719</v>
      </c>
      <c r="L470" s="19" t="n">
        <v>-0.09448072373265273</v>
      </c>
      <c r="M470" s="19" t="n">
        <v>-0.3092117478162933</v>
      </c>
      <c r="N470" s="20" t="n">
        <v>0</v>
      </c>
      <c r="O470" s="27" t="n">
        <v>0.725</v>
      </c>
      <c r="P470" s="17" t="inlineStr">
        <is>
          <t>DraftKings</t>
        </is>
      </c>
      <c r="Q470" s="17" t="inlineStr">
        <is>
          <t>price outside allowed range</t>
        </is>
      </c>
    </row>
    <row r="471">
      <c r="A471" s="12" t="inlineStr">
        <is>
          <t>PASS</t>
        </is>
      </c>
      <c r="B471" s="12" t="inlineStr">
        <is>
          <t>UGA @ ARK</t>
        </is>
      </c>
      <c r="C471" s="12" t="inlineStr">
        <is>
          <t>2026-09-19 16:00</t>
        </is>
      </c>
      <c r="D471" s="22" t="n">
        <v>3</v>
      </c>
      <c r="E471" s="12" t="inlineStr">
        <is>
          <t>ML</t>
        </is>
      </c>
      <c r="F471" s="12" t="inlineStr">
        <is>
          <t>UGA ML</t>
        </is>
      </c>
      <c r="G471" s="23" t="n"/>
      <c r="H471" s="13" t="n">
        <v>-900</v>
      </c>
      <c r="I471" s="15" t="n">
        <v>0.6196816485866126</v>
      </c>
      <c r="J471" s="15" t="n">
        <v>0.863013698630137</v>
      </c>
      <c r="K471" s="15" t="n">
        <v>0.9</v>
      </c>
      <c r="L471" s="14" t="n">
        <v>-0.0944991932177788</v>
      </c>
      <c r="M471" s="14" t="n">
        <v>-0.3114648349037638</v>
      </c>
      <c r="N471" s="15" t="n">
        <v>0</v>
      </c>
      <c r="O471" s="24" t="n">
        <v>0.725</v>
      </c>
      <c r="P471" s="12" t="inlineStr">
        <is>
          <t>DraftKings</t>
        </is>
      </c>
      <c r="Q471" s="12" t="inlineStr">
        <is>
          <t>price outside allowed range</t>
        </is>
      </c>
    </row>
    <row r="472">
      <c r="A472" s="17" t="inlineStr">
        <is>
          <t>PASS</t>
        </is>
      </c>
      <c r="B472" s="17" t="inlineStr">
        <is>
          <t>MIZ @ KU</t>
        </is>
      </c>
      <c r="C472" s="17" t="inlineStr">
        <is>
          <t>2026-09-12 00:00</t>
        </is>
      </c>
      <c r="D472" s="25" t="n">
        <v>2</v>
      </c>
      <c r="E472" s="17" t="inlineStr">
        <is>
          <t>ATS</t>
        </is>
      </c>
      <c r="F472" s="17" t="inlineStr">
        <is>
          <t>MIZ -5.5</t>
        </is>
      </c>
      <c r="G472" s="26" t="n">
        <v>5.5</v>
      </c>
      <c r="H472" s="18" t="n">
        <v>-108</v>
      </c>
      <c r="I472" s="20" t="n">
        <v>0.3557974006719666</v>
      </c>
      <c r="J472" s="20" t="n">
        <v>0.4956702459300312</v>
      </c>
      <c r="K472" s="20" t="n">
        <v>0.5192307692307693</v>
      </c>
      <c r="L472" s="19" t="n">
        <v>-0.09450163868421607</v>
      </c>
      <c r="M472" s="19" t="n">
        <v>-0.314760561668805</v>
      </c>
      <c r="N472" s="20" t="n">
        <v>0</v>
      </c>
      <c r="O472" s="27" t="n">
        <v>0.725</v>
      </c>
      <c r="P472" s="17" t="inlineStr">
        <is>
          <t>DraftKings</t>
        </is>
      </c>
      <c r="Q472" s="17" t="n"/>
    </row>
    <row r="473">
      <c r="A473" s="12" t="inlineStr">
        <is>
          <t>PASS</t>
        </is>
      </c>
      <c r="B473" s="12" t="inlineStr">
        <is>
          <t>MTSU @ MRSH</t>
        </is>
      </c>
      <c r="C473" s="12" t="inlineStr">
        <is>
          <t>2026-09-12 23:00</t>
        </is>
      </c>
      <c r="D473" s="22" t="n">
        <v>2</v>
      </c>
      <c r="E473" s="12" t="inlineStr">
        <is>
          <t>ATS</t>
        </is>
      </c>
      <c r="F473" s="12" t="inlineStr">
        <is>
          <t>MRSH -13.5</t>
        </is>
      </c>
      <c r="G473" s="23" t="n">
        <v>-13.5</v>
      </c>
      <c r="H473" s="13" t="n">
        <v>-112</v>
      </c>
      <c r="I473" s="15" t="n">
        <v>0.3615370179118608</v>
      </c>
      <c r="J473" s="15" t="n">
        <v>0.5043297540699688</v>
      </c>
      <c r="K473" s="15" t="n">
        <v>0.5283018867924528</v>
      </c>
      <c r="L473" s="14" t="n">
        <v>-0.09451142369617922</v>
      </c>
      <c r="M473" s="14" t="n">
        <v>-0.3156620732382635</v>
      </c>
      <c r="N473" s="15" t="n">
        <v>0</v>
      </c>
      <c r="O473" s="24" t="n">
        <v>0.725</v>
      </c>
      <c r="P473" s="12" t="inlineStr">
        <is>
          <t>DraftKings</t>
        </is>
      </c>
      <c r="Q473" s="12" t="n"/>
    </row>
    <row r="474">
      <c r="A474" s="17" t="inlineStr">
        <is>
          <t>PASS</t>
        </is>
      </c>
      <c r="B474" s="17" t="inlineStr">
        <is>
          <t>HOU @ TTU</t>
        </is>
      </c>
      <c r="C474" s="17" t="inlineStr">
        <is>
          <t>2026-09-19 00:00</t>
        </is>
      </c>
      <c r="D474" s="25" t="n">
        <v>3</v>
      </c>
      <c r="E474" s="17" t="inlineStr">
        <is>
          <t>ATS</t>
        </is>
      </c>
      <c r="F474" s="17" t="inlineStr">
        <is>
          <t>TTU -14</t>
        </is>
      </c>
      <c r="G474" s="26" t="n">
        <v>-14</v>
      </c>
      <c r="H474" s="18" t="n">
        <v>-112</v>
      </c>
      <c r="I474" s="20" t="n">
        <v>0.3612234561678292</v>
      </c>
      <c r="J474" s="20" t="n">
        <v>0.5043297540699688</v>
      </c>
      <c r="K474" s="20" t="n">
        <v>0.5283018867924528</v>
      </c>
      <c r="L474" s="19" t="n">
        <v>-0.09451776099799883</v>
      </c>
      <c r="M474" s="19" t="n">
        <v>-0.3055029103971242</v>
      </c>
      <c r="N474" s="20" t="n">
        <v>0.034</v>
      </c>
      <c r="O474" s="27" t="n">
        <v>0.725</v>
      </c>
      <c r="P474" s="17" t="inlineStr">
        <is>
          <t>DraftKings</t>
        </is>
      </c>
      <c r="Q474" s="17" t="n"/>
    </row>
    <row r="475">
      <c r="A475" s="12" t="inlineStr">
        <is>
          <t>PASS</t>
        </is>
      </c>
      <c r="B475" s="12" t="inlineStr">
        <is>
          <t>ASU @ TA&amp;M</t>
        </is>
      </c>
      <c r="C475" s="12" t="inlineStr">
        <is>
          <t>2026-09-12 16:00</t>
        </is>
      </c>
      <c r="D475" s="22" t="n">
        <v>2</v>
      </c>
      <c r="E475" s="12" t="inlineStr">
        <is>
          <t>ATS</t>
        </is>
      </c>
      <c r="F475" s="12" t="inlineStr">
        <is>
          <t>TA&amp;M -14.5</t>
        </is>
      </c>
      <c r="G475" s="23" t="n">
        <v>-14.5</v>
      </c>
      <c r="H475" s="13" t="n">
        <v>-105</v>
      </c>
      <c r="I475" s="15" t="n">
        <v>0.3480157715389095</v>
      </c>
      <c r="J475" s="15" t="n">
        <v>0.4891657638136511</v>
      </c>
      <c r="K475" s="15" t="n">
        <v>0.5121951219512195</v>
      </c>
      <c r="L475" s="14" t="n">
        <v>-0.09456397791553645</v>
      </c>
      <c r="M475" s="14" t="n">
        <v>-0.3205406365192719</v>
      </c>
      <c r="N475" s="15" t="n">
        <v>0</v>
      </c>
      <c r="O475" s="24" t="n">
        <v>0.725</v>
      </c>
      <c r="P475" s="12" t="inlineStr">
        <is>
          <t>DraftKings</t>
        </is>
      </c>
      <c r="Q475" s="12" t="n"/>
    </row>
    <row r="476">
      <c r="A476" s="17" t="inlineStr">
        <is>
          <t>PASS</t>
        </is>
      </c>
      <c r="B476" s="17" t="inlineStr">
        <is>
          <t>ISU @ IOWA</t>
        </is>
      </c>
      <c r="C476" s="17" t="inlineStr">
        <is>
          <t>2026-09-12 23:30</t>
        </is>
      </c>
      <c r="D476" s="25" t="n">
        <v>2</v>
      </c>
      <c r="E476" s="17" t="inlineStr">
        <is>
          <t>ATS</t>
        </is>
      </c>
      <c r="F476" s="17" t="inlineStr">
        <is>
          <t>IOWA -14</t>
        </is>
      </c>
      <c r="G476" s="26" t="n">
        <v>-14</v>
      </c>
      <c r="H476" s="18" t="n">
        <v>-105</v>
      </c>
      <c r="I476" s="20" t="n">
        <v>0.3475265471808841</v>
      </c>
      <c r="J476" s="20" t="n">
        <v>0.4891657638136511</v>
      </c>
      <c r="K476" s="20" t="n">
        <v>0.5121951219512195</v>
      </c>
      <c r="L476" s="19" t="n">
        <v>-0.09457304203931204</v>
      </c>
      <c r="M476" s="19" t="n">
        <v>-0.3108864278056899</v>
      </c>
      <c r="N476" s="20" t="n">
        <v>0.033</v>
      </c>
      <c r="O476" s="27" t="n">
        <v>0.725</v>
      </c>
      <c r="P476" s="17" t="inlineStr">
        <is>
          <t>DraftKings</t>
        </is>
      </c>
      <c r="Q476" s="17" t="n"/>
    </row>
    <row r="477">
      <c r="A477" s="12" t="inlineStr">
        <is>
          <t>PASS</t>
        </is>
      </c>
      <c r="B477" s="12" t="inlineStr">
        <is>
          <t>TLSA @ SHSU</t>
        </is>
      </c>
      <c r="C477" s="12" t="inlineStr">
        <is>
          <t>2026-09-12 23:00</t>
        </is>
      </c>
      <c r="D477" s="22" t="n">
        <v>2</v>
      </c>
      <c r="E477" s="12" t="inlineStr">
        <is>
          <t>ML</t>
        </is>
      </c>
      <c r="F477" s="12" t="inlineStr">
        <is>
          <t>TLSA ML</t>
        </is>
      </c>
      <c r="G477" s="23" t="n"/>
      <c r="H477" s="13" t="n">
        <v>-535</v>
      </c>
      <c r="I477" s="15" t="n">
        <v>0.5705473965238443</v>
      </c>
      <c r="J477" s="15" t="n">
        <v>0.8081570996978852</v>
      </c>
      <c r="K477" s="15" t="n">
        <v>0.84251968503937</v>
      </c>
      <c r="L477" s="14" t="n">
        <v>-0.09461124182781684</v>
      </c>
      <c r="M477" s="14" t="n">
        <v>-0.3228082302941286</v>
      </c>
      <c r="N477" s="15" t="n">
        <v>0</v>
      </c>
      <c r="O477" s="24" t="n">
        <v>0.725</v>
      </c>
      <c r="P477" s="12" t="inlineStr">
        <is>
          <t>DraftKings</t>
        </is>
      </c>
      <c r="Q477" s="12" t="inlineStr">
        <is>
          <t>price outside allowed range</t>
        </is>
      </c>
    </row>
    <row r="478">
      <c r="A478" s="17" t="inlineStr">
        <is>
          <t>PASS</t>
        </is>
      </c>
      <c r="B478" s="17" t="inlineStr">
        <is>
          <t>PSU @ TEM</t>
        </is>
      </c>
      <c r="C478" s="17" t="inlineStr">
        <is>
          <t>2026-09-12 16:00</t>
        </is>
      </c>
      <c r="D478" s="25" t="n">
        <v>2</v>
      </c>
      <c r="E478" s="17" t="inlineStr">
        <is>
          <t>ML</t>
        </is>
      </c>
      <c r="F478" s="17" t="inlineStr">
        <is>
          <t>PSU ML</t>
        </is>
      </c>
      <c r="G478" s="26" t="n"/>
      <c r="H478" s="18" t="n">
        <v>-2400</v>
      </c>
      <c r="I478" s="20" t="n">
        <v>0.6462904899315549</v>
      </c>
      <c r="J478" s="20" t="n">
        <v>0.9258160237388724</v>
      </c>
      <c r="K478" s="20" t="n">
        <v>0.96</v>
      </c>
      <c r="L478" s="19" t="n">
        <v>-0.09467076800090887</v>
      </c>
      <c r="M478" s="19" t="n">
        <v>-0.3267807396546303</v>
      </c>
      <c r="N478" s="20" t="n">
        <v>0</v>
      </c>
      <c r="O478" s="27" t="n">
        <v>0.725</v>
      </c>
      <c r="P478" s="17" t="inlineStr">
        <is>
          <t>DraftKings</t>
        </is>
      </c>
      <c r="Q478" s="17" t="inlineStr">
        <is>
          <t>price outside allowed range</t>
        </is>
      </c>
    </row>
    <row r="479">
      <c r="A479" s="12" t="inlineStr">
        <is>
          <t>PASS</t>
        </is>
      </c>
      <c r="B479" s="12" t="inlineStr">
        <is>
          <t>TTU @ ORST</t>
        </is>
      </c>
      <c r="C479" s="12" t="inlineStr">
        <is>
          <t>2026-09-12 23:30</t>
        </is>
      </c>
      <c r="D479" s="22" t="n">
        <v>2</v>
      </c>
      <c r="E479" s="12" t="inlineStr">
        <is>
          <t>ML</t>
        </is>
      </c>
      <c r="F479" s="12" t="inlineStr">
        <is>
          <t>TTU ML</t>
        </is>
      </c>
      <c r="G479" s="23" t="n"/>
      <c r="H479" s="13" t="n">
        <v>-3200</v>
      </c>
      <c r="I479" s="15" t="n">
        <v>0.6484974754411409</v>
      </c>
      <c r="J479" s="15" t="n">
        <v>0.9356725146198831</v>
      </c>
      <c r="K479" s="15" t="n">
        <v>0.9696969696969697</v>
      </c>
      <c r="L479" s="14" t="n">
        <v>-0.09470357932563107</v>
      </c>
      <c r="M479" s="14" t="n">
        <v>-0.3312369784513235</v>
      </c>
      <c r="N479" s="15" t="n">
        <v>0</v>
      </c>
      <c r="O479" s="24" t="n">
        <v>0.725</v>
      </c>
      <c r="P479" s="12" t="inlineStr">
        <is>
          <t>DraftKings</t>
        </is>
      </c>
      <c r="Q479" s="12" t="inlineStr">
        <is>
          <t>price outside allowed range</t>
        </is>
      </c>
    </row>
    <row r="480">
      <c r="A480" s="17" t="inlineStr">
        <is>
          <t>PASS</t>
        </is>
      </c>
      <c r="B480" s="17" t="inlineStr">
        <is>
          <t>STBK @ BALL</t>
        </is>
      </c>
      <c r="C480" s="17" t="inlineStr">
        <is>
          <t>2026-09-12 18:00</t>
        </is>
      </c>
      <c r="D480" s="25" t="n">
        <v>2</v>
      </c>
      <c r="E480" s="17" t="inlineStr">
        <is>
          <t>ATS</t>
        </is>
      </c>
      <c r="F480" s="17" t="inlineStr">
        <is>
          <t>BALL -14.5</t>
        </is>
      </c>
      <c r="G480" s="26" t="n">
        <v>-14.5</v>
      </c>
      <c r="H480" s="18" t="n">
        <v>-112</v>
      </c>
      <c r="I480" s="20" t="n">
        <v>0.3464185396683094</v>
      </c>
      <c r="J480" s="20" t="n">
        <v>0.5043297540699688</v>
      </c>
      <c r="K480" s="20" t="n">
        <v>0.5283018867924528</v>
      </c>
      <c r="L480" s="19" t="n">
        <v>-0.09473976180557452</v>
      </c>
      <c r="M480" s="19" t="n">
        <v>-0.3442791927707001</v>
      </c>
      <c r="N480" s="20" t="n">
        <v>0</v>
      </c>
      <c r="O480" s="27" t="n">
        <v>0.4</v>
      </c>
      <c r="P480" s="17" t="inlineStr">
        <is>
          <t>DraftKings</t>
        </is>
      </c>
      <c r="Q480" s="17" t="inlineStr">
        <is>
          <t>STBK isn't a full FBS participant this season — model doesn't rate them reliably</t>
        </is>
      </c>
    </row>
    <row r="481">
      <c r="A481" s="12" t="inlineStr">
        <is>
          <t>PASS</t>
        </is>
      </c>
      <c r="B481" s="12" t="inlineStr">
        <is>
          <t>ORE @ OKST</t>
        </is>
      </c>
      <c r="C481" s="12" t="inlineStr">
        <is>
          <t>2026-09-12 16:00</t>
        </is>
      </c>
      <c r="D481" s="22" t="n">
        <v>2</v>
      </c>
      <c r="E481" s="12" t="inlineStr">
        <is>
          <t>ML</t>
        </is>
      </c>
      <c r="F481" s="12" t="inlineStr">
        <is>
          <t>ORE ML</t>
        </is>
      </c>
      <c r="G481" s="23" t="n"/>
      <c r="H481" s="13" t="n">
        <v>-2100</v>
      </c>
      <c r="I481" s="15" t="n">
        <v>0.6309639759430963</v>
      </c>
      <c r="J481" s="15" t="n">
        <v>0.9197080291970804</v>
      </c>
      <c r="K481" s="15" t="n">
        <v>0.9545454545454546</v>
      </c>
      <c r="L481" s="14" t="n">
        <v>-0.09474432176190228</v>
      </c>
      <c r="M481" s="14" t="n">
        <v>-0.3389901204405658</v>
      </c>
      <c r="N481" s="15" t="n">
        <v>0</v>
      </c>
      <c r="O481" s="24" t="n">
        <v>0.725</v>
      </c>
      <c r="P481" s="12" t="inlineStr">
        <is>
          <t>DraftKings</t>
        </is>
      </c>
      <c r="Q481" s="12" t="inlineStr">
        <is>
          <t>price outside allowed range</t>
        </is>
      </c>
    </row>
    <row r="482">
      <c r="A482" s="17" t="inlineStr">
        <is>
          <t>PASS</t>
        </is>
      </c>
      <c r="B482" s="17" t="inlineStr">
        <is>
          <t>FSU @ ALA</t>
        </is>
      </c>
      <c r="C482" s="17" t="inlineStr">
        <is>
          <t>2026-09-19 19:30</t>
        </is>
      </c>
      <c r="D482" s="25" t="n">
        <v>3</v>
      </c>
      <c r="E482" s="17" t="inlineStr">
        <is>
          <t>ATS</t>
        </is>
      </c>
      <c r="F482" s="17" t="inlineStr">
        <is>
          <t>ALA -17.5</t>
        </is>
      </c>
      <c r="G482" s="26" t="n">
        <v>-17.5</v>
      </c>
      <c r="H482" s="18" t="n">
        <v>-105</v>
      </c>
      <c r="I482" s="20" t="n">
        <v>0.3354326136276392</v>
      </c>
      <c r="J482" s="20" t="n">
        <v>0.4891657638136511</v>
      </c>
      <c r="K482" s="20" t="n">
        <v>0.5121951219512195</v>
      </c>
      <c r="L482" s="19" t="n">
        <v>-0.09474605919583039</v>
      </c>
      <c r="M482" s="19" t="n">
        <v>-0.3451077543460378</v>
      </c>
      <c r="N482" s="20" t="n">
        <v>0</v>
      </c>
      <c r="O482" s="27" t="n">
        <v>0.725</v>
      </c>
      <c r="P482" s="17" t="inlineStr">
        <is>
          <t>DraftKings</t>
        </is>
      </c>
      <c r="Q482" s="17" t="inlineStr">
        <is>
          <t>raw model/market disagreement exceeds the safety limit</t>
        </is>
      </c>
    </row>
    <row r="483">
      <c r="A483" s="12" t="inlineStr">
        <is>
          <t>PASS</t>
        </is>
      </c>
      <c r="B483" s="12" t="inlineStr">
        <is>
          <t>EMU @ MSU</t>
        </is>
      </c>
      <c r="C483" s="12" t="inlineStr">
        <is>
          <t>2026-09-12 19:30</t>
        </is>
      </c>
      <c r="D483" s="22" t="n">
        <v>2</v>
      </c>
      <c r="E483" s="12" t="inlineStr">
        <is>
          <t>ATS</t>
        </is>
      </c>
      <c r="F483" s="12" t="inlineStr">
        <is>
          <t>MSU -17.5</t>
        </is>
      </c>
      <c r="G483" s="23" t="n">
        <v>-17.5</v>
      </c>
      <c r="H483" s="13" t="n">
        <v>-105</v>
      </c>
      <c r="I483" s="15" t="n">
        <v>0.3207812888146905</v>
      </c>
      <c r="J483" s="15" t="n">
        <v>0.4891657638136511</v>
      </c>
      <c r="K483" s="15" t="n">
        <v>0.5121951219512195</v>
      </c>
      <c r="L483" s="14" t="n">
        <v>-0.09486474453803982</v>
      </c>
      <c r="M483" s="14" t="n">
        <v>-0.3737127218379853</v>
      </c>
      <c r="N483" s="15" t="n">
        <v>0</v>
      </c>
      <c r="O483" s="24" t="n">
        <v>0.725</v>
      </c>
      <c r="P483" s="12" t="inlineStr">
        <is>
          <t>DraftKings</t>
        </is>
      </c>
      <c r="Q483" s="12" t="inlineStr">
        <is>
          <t>raw model/market disagreement exceeds the safety limit</t>
        </is>
      </c>
    </row>
    <row r="484">
      <c r="A484" s="17" t="inlineStr">
        <is>
          <t>PASS</t>
        </is>
      </c>
      <c r="B484" s="17" t="inlineStr">
        <is>
          <t>ISU @ IOWA</t>
        </is>
      </c>
      <c r="C484" s="17" t="inlineStr">
        <is>
          <t>2026-09-12 23:30</t>
        </is>
      </c>
      <c r="D484" s="25" t="n">
        <v>2</v>
      </c>
      <c r="E484" s="17" t="inlineStr">
        <is>
          <t>TOTAL</t>
        </is>
      </c>
      <c r="F484" s="17" t="inlineStr">
        <is>
          <t>Under 40.5</t>
        </is>
      </c>
      <c r="G484" s="26" t="n">
        <v>40.5</v>
      </c>
      <c r="H484" s="18" t="n">
        <v>-108</v>
      </c>
      <c r="I484" s="20" t="n">
        <v>0.3247167548762651</v>
      </c>
      <c r="J484" s="20" t="n">
        <v>0.4956702459300312</v>
      </c>
      <c r="K484" s="20" t="n">
        <v>0.5192307692307693</v>
      </c>
      <c r="L484" s="19" t="n">
        <v>-0.09486662570415136</v>
      </c>
      <c r="M484" s="19" t="n">
        <v>-0.3746195832012673</v>
      </c>
      <c r="N484" s="20" t="n">
        <v>0</v>
      </c>
      <c r="O484" s="27" t="n">
        <v>0.725</v>
      </c>
      <c r="P484" s="17" t="inlineStr">
        <is>
          <t>DraftKings</t>
        </is>
      </c>
      <c r="Q484" s="17" t="inlineStr">
        <is>
          <t>raw model/market disagreement exceeds the safety limit</t>
        </is>
      </c>
    </row>
    <row r="485">
      <c r="A485" s="12" t="inlineStr">
        <is>
          <t>PASS</t>
        </is>
      </c>
      <c r="B485" s="12" t="inlineStr">
        <is>
          <t>WSU @ KSU</t>
        </is>
      </c>
      <c r="C485" s="12" t="inlineStr">
        <is>
          <t>2026-09-12 16:00</t>
        </is>
      </c>
      <c r="D485" s="22" t="n">
        <v>2</v>
      </c>
      <c r="E485" s="12" t="inlineStr">
        <is>
          <t>ATS</t>
        </is>
      </c>
      <c r="F485" s="12" t="inlineStr">
        <is>
          <t>KSU -17.5</t>
        </is>
      </c>
      <c r="G485" s="23" t="n">
        <v>-17.5</v>
      </c>
      <c r="H485" s="13" t="n">
        <v>-108</v>
      </c>
      <c r="I485" s="15" t="n">
        <v>0.3221067743478845</v>
      </c>
      <c r="J485" s="15" t="n">
        <v>0.4956702459300312</v>
      </c>
      <c r="K485" s="15" t="n">
        <v>0.5192307692307693</v>
      </c>
      <c r="L485" s="14" t="n">
        <v>-0.09488061193545795</v>
      </c>
      <c r="M485" s="14" t="n">
        <v>-0.3796462123670371</v>
      </c>
      <c r="N485" s="15" t="n">
        <v>0</v>
      </c>
      <c r="O485" s="24" t="n">
        <v>0.725</v>
      </c>
      <c r="P485" s="12" t="inlineStr">
        <is>
          <t>DraftKings</t>
        </is>
      </c>
      <c r="Q485" s="12" t="inlineStr">
        <is>
          <t>raw model/market disagreement exceeds the safety limit</t>
        </is>
      </c>
    </row>
    <row r="486">
      <c r="A486" s="17" t="inlineStr">
        <is>
          <t>PASS</t>
        </is>
      </c>
      <c r="B486" s="17" t="inlineStr">
        <is>
          <t>HOW @ IU</t>
        </is>
      </c>
      <c r="C486" s="17" t="inlineStr">
        <is>
          <t>2026-09-12 16:00</t>
        </is>
      </c>
      <c r="D486" s="25" t="n">
        <v>2</v>
      </c>
      <c r="E486" s="17" t="inlineStr">
        <is>
          <t>TOTAL</t>
        </is>
      </c>
      <c r="F486" s="17" t="inlineStr">
        <is>
          <t>Over 64.5</t>
        </is>
      </c>
      <c r="G486" s="26" t="n">
        <v>64.5</v>
      </c>
      <c r="H486" s="18" t="n">
        <v>-112</v>
      </c>
      <c r="I486" s="20" t="n">
        <v>0.3221503002915364</v>
      </c>
      <c r="J486" s="20" t="n">
        <v>0.5043297540699688</v>
      </c>
      <c r="K486" s="20" t="n">
        <v>0.5283018867924528</v>
      </c>
      <c r="L486" s="19" t="n">
        <v>-0.09490542227821966</v>
      </c>
      <c r="M486" s="19" t="n">
        <v>-0.390215503019592</v>
      </c>
      <c r="N486" s="20" t="n">
        <v>0</v>
      </c>
      <c r="O486" s="27" t="n">
        <v>0.4</v>
      </c>
      <c r="P486" s="17" t="inlineStr">
        <is>
          <t>DraftKings</t>
        </is>
      </c>
      <c r="Q486" s="17" t="inlineStr">
        <is>
          <t>HOW isn't a full FBS participant this season — model doesn't rate them reliably</t>
        </is>
      </c>
    </row>
    <row r="487">
      <c r="A487" s="12" t="inlineStr">
        <is>
          <t>PASS</t>
        </is>
      </c>
      <c r="B487" s="12" t="inlineStr">
        <is>
          <t>CAM @ FLA</t>
        </is>
      </c>
      <c r="C487" s="12" t="inlineStr">
        <is>
          <t>2026-09-12 21:30</t>
        </is>
      </c>
      <c r="D487" s="22" t="n">
        <v>2</v>
      </c>
      <c r="E487" s="12" t="inlineStr">
        <is>
          <t>TOTAL</t>
        </is>
      </c>
      <c r="F487" s="12" t="inlineStr">
        <is>
          <t>Over 65.5</t>
        </is>
      </c>
      <c r="G487" s="23" t="n">
        <v>65.5</v>
      </c>
      <c r="H487" s="13" t="n">
        <v>-110</v>
      </c>
      <c r="I487" s="15" t="n">
        <v>0.31778308120503</v>
      </c>
      <c r="J487" s="15" t="n">
        <v>0.5</v>
      </c>
      <c r="K487" s="15" t="n">
        <v>0.5238095238095238</v>
      </c>
      <c r="L487" s="14" t="n">
        <v>-0.09491158668398826</v>
      </c>
      <c r="M487" s="14" t="n">
        <v>-0.3933232086085792</v>
      </c>
      <c r="N487" s="15" t="n">
        <v>0</v>
      </c>
      <c r="O487" s="24" t="n">
        <v>0.4</v>
      </c>
      <c r="P487" s="12" t="inlineStr">
        <is>
          <t>DraftKings</t>
        </is>
      </c>
      <c r="Q487" s="12" t="inlineStr">
        <is>
          <t>CAM isn't a full FBS participant this season — model doesn't rate them reliably</t>
        </is>
      </c>
    </row>
    <row r="488">
      <c r="A488" s="17" t="inlineStr">
        <is>
          <t>PASS</t>
        </is>
      </c>
      <c r="B488" s="17" t="inlineStr">
        <is>
          <t>SAC @ FRES</t>
        </is>
      </c>
      <c r="C488" s="17" t="inlineStr">
        <is>
          <t>2026-09-13 02:30</t>
        </is>
      </c>
      <c r="D488" s="25" t="n">
        <v>2</v>
      </c>
      <c r="E488" s="17" t="inlineStr">
        <is>
          <t>ATS</t>
        </is>
      </c>
      <c r="F488" s="17" t="inlineStr">
        <is>
          <t>FRES -17.5</t>
        </is>
      </c>
      <c r="G488" s="26" t="n">
        <v>-17.5</v>
      </c>
      <c r="H488" s="18" t="n">
        <v>-115</v>
      </c>
      <c r="I488" s="20" t="n">
        <v>0.3194638186788306</v>
      </c>
      <c r="J488" s="20" t="n">
        <v>0.5108342361863488</v>
      </c>
      <c r="K488" s="20" t="n">
        <v>0.5348837209302325</v>
      </c>
      <c r="L488" s="19" t="n">
        <v>-0.09492865002321911</v>
      </c>
      <c r="M488" s="19" t="n">
        <v>-0.402741556383056</v>
      </c>
      <c r="N488" s="20" t="n">
        <v>0</v>
      </c>
      <c r="O488" s="27" t="n">
        <v>0.725</v>
      </c>
      <c r="P488" s="17" t="inlineStr">
        <is>
          <t>DraftKings</t>
        </is>
      </c>
      <c r="Q488" s="17" t="inlineStr">
        <is>
          <t>raw model/market disagreement exceeds the safety limit</t>
        </is>
      </c>
    </row>
    <row r="489">
      <c r="A489" s="12" t="inlineStr">
        <is>
          <t>PASS</t>
        </is>
      </c>
      <c r="B489" s="12" t="inlineStr">
        <is>
          <t>RMU @ AKR</t>
        </is>
      </c>
      <c r="C489" s="12" t="inlineStr">
        <is>
          <t>2026-09-12 19:30</t>
        </is>
      </c>
      <c r="D489" s="22" t="n">
        <v>2</v>
      </c>
      <c r="E489" s="12" t="inlineStr">
        <is>
          <t>TOTAL</t>
        </is>
      </c>
      <c r="F489" s="12" t="inlineStr">
        <is>
          <t>Under 41.5</t>
        </is>
      </c>
      <c r="G489" s="23" t="n">
        <v>41.5</v>
      </c>
      <c r="H489" s="13" t="n">
        <v>-105</v>
      </c>
      <c r="I489" s="15" t="n">
        <v>0.3050340378801477</v>
      </c>
      <c r="J489" s="15" t="n">
        <v>0.4891657638136511</v>
      </c>
      <c r="K489" s="15" t="n">
        <v>0.5121951219512195</v>
      </c>
      <c r="L489" s="14" t="n">
        <v>-0.09493129731348159</v>
      </c>
      <c r="M489" s="14" t="n">
        <v>-0.4044573546149497</v>
      </c>
      <c r="N489" s="15" t="n">
        <v>0</v>
      </c>
      <c r="O489" s="24" t="n">
        <v>0.4</v>
      </c>
      <c r="P489" s="12" t="inlineStr">
        <is>
          <t>DraftKings</t>
        </is>
      </c>
      <c r="Q489" s="12" t="inlineStr">
        <is>
          <t>RMU isn't a full FBS participant this season — model doesn't rate them reliably</t>
        </is>
      </c>
    </row>
    <row r="490">
      <c r="A490" s="17" t="inlineStr">
        <is>
          <t>PASS</t>
        </is>
      </c>
      <c r="B490" s="17" t="inlineStr">
        <is>
          <t>UTSA @ TXST</t>
        </is>
      </c>
      <c r="C490" s="17" t="inlineStr">
        <is>
          <t>2026-09-12 19:30</t>
        </is>
      </c>
      <c r="D490" s="25" t="n">
        <v>2</v>
      </c>
      <c r="E490" s="17" t="inlineStr">
        <is>
          <t>TOTAL</t>
        </is>
      </c>
      <c r="F490" s="17" t="inlineStr">
        <is>
          <t>Over 66.5</t>
        </is>
      </c>
      <c r="G490" s="26" t="n">
        <v>66.5</v>
      </c>
      <c r="H490" s="18" t="n">
        <v>-112</v>
      </c>
      <c r="I490" s="20" t="n">
        <v>0.3126160510548042</v>
      </c>
      <c r="J490" s="20" t="n">
        <v>0.5043297540699688</v>
      </c>
      <c r="K490" s="20" t="n">
        <v>0.5283018867924528</v>
      </c>
      <c r="L490" s="19" t="n">
        <v>-0.09493646507380188</v>
      </c>
      <c r="M490" s="19" t="n">
        <v>-0.4082624747891206</v>
      </c>
      <c r="N490" s="20" t="n">
        <v>0</v>
      </c>
      <c r="O490" s="27" t="n">
        <v>0.725</v>
      </c>
      <c r="P490" s="17" t="inlineStr">
        <is>
          <t>DraftKings</t>
        </is>
      </c>
      <c r="Q490" s="17" t="inlineStr">
        <is>
          <t>raw model/market disagreement exceeds the safety limit</t>
        </is>
      </c>
    </row>
    <row r="491">
      <c r="A491" s="12" t="inlineStr">
        <is>
          <t>PASS</t>
        </is>
      </c>
      <c r="B491" s="12" t="inlineStr">
        <is>
          <t>CP @ SJSU</t>
        </is>
      </c>
      <c r="C491" s="12" t="inlineStr">
        <is>
          <t>2026-09-13 01:00</t>
        </is>
      </c>
      <c r="D491" s="22" t="n">
        <v>2</v>
      </c>
      <c r="E491" s="12" t="inlineStr">
        <is>
          <t>ATS</t>
        </is>
      </c>
      <c r="F491" s="12" t="inlineStr">
        <is>
          <t>SJSU -20.5</t>
        </is>
      </c>
      <c r="G491" s="23" t="n">
        <v>-20.5</v>
      </c>
      <c r="H491" s="13" t="n">
        <v>-110</v>
      </c>
      <c r="I491" s="15" t="n">
        <v>0.3091775680156176</v>
      </c>
      <c r="J491" s="15" t="n">
        <v>0.5</v>
      </c>
      <c r="K491" s="15" t="n">
        <v>0.5238095238095238</v>
      </c>
      <c r="L491" s="14" t="n">
        <v>-0.09493845142849427</v>
      </c>
      <c r="M491" s="14" t="n">
        <v>-0.4097519156065482</v>
      </c>
      <c r="N491" s="15" t="n">
        <v>0</v>
      </c>
      <c r="O491" s="24" t="n">
        <v>0.4</v>
      </c>
      <c r="P491" s="12" t="inlineStr">
        <is>
          <t>DraftKings</t>
        </is>
      </c>
      <c r="Q491" s="12" t="inlineStr">
        <is>
          <t>CP isn't a full FBS participant this season — model doesn't rate them reliably</t>
        </is>
      </c>
    </row>
    <row r="492">
      <c r="A492" s="17" t="inlineStr">
        <is>
          <t>PASS</t>
        </is>
      </c>
      <c r="B492" s="17" t="inlineStr">
        <is>
          <t>ODU @ VT</t>
        </is>
      </c>
      <c r="C492" s="17" t="inlineStr">
        <is>
          <t>2026-09-12 16:00</t>
        </is>
      </c>
      <c r="D492" s="25" t="n">
        <v>2</v>
      </c>
      <c r="E492" s="17" t="inlineStr">
        <is>
          <t>ATS</t>
        </is>
      </c>
      <c r="F492" s="17" t="inlineStr">
        <is>
          <t>VT -19.5</t>
        </is>
      </c>
      <c r="G492" s="26" t="n">
        <v>-19.5</v>
      </c>
      <c r="H492" s="18" t="n">
        <v>-108</v>
      </c>
      <c r="I492" s="20" t="n">
        <v>0.3060769408350723</v>
      </c>
      <c r="J492" s="20" t="n">
        <v>0.4956702459300312</v>
      </c>
      <c r="K492" s="20" t="n">
        <v>0.5192307692307693</v>
      </c>
      <c r="L492" s="19" t="n">
        <v>-0.0949395477676289</v>
      </c>
      <c r="M492" s="19" t="n">
        <v>-0.4105184843176385</v>
      </c>
      <c r="N492" s="20" t="n">
        <v>0</v>
      </c>
      <c r="O492" s="27" t="n">
        <v>0.725</v>
      </c>
      <c r="P492" s="17" t="inlineStr">
        <is>
          <t>DraftKings</t>
        </is>
      </c>
      <c r="Q492" s="17" t="inlineStr">
        <is>
          <t>raw model/market disagreement exceeds the safety limit</t>
        </is>
      </c>
    </row>
    <row r="493">
      <c r="A493" s="12" t="inlineStr">
        <is>
          <t>PASS</t>
        </is>
      </c>
      <c r="B493" s="12" t="inlineStr">
        <is>
          <t>ALA @ UK</t>
        </is>
      </c>
      <c r="C493" s="12" t="inlineStr">
        <is>
          <t>2026-09-12 19:30</t>
        </is>
      </c>
      <c r="D493" s="22" t="n">
        <v>2</v>
      </c>
      <c r="E493" s="12" t="inlineStr">
        <is>
          <t>ATS</t>
        </is>
      </c>
      <c r="F493" s="12" t="inlineStr">
        <is>
          <t>ALA -10.5</t>
        </is>
      </c>
      <c r="G493" s="23" t="n">
        <v>10.5</v>
      </c>
      <c r="H493" s="13" t="n">
        <v>-102</v>
      </c>
      <c r="I493" s="15" t="n">
        <v>0.2936005230808767</v>
      </c>
      <c r="J493" s="15" t="n">
        <v>0.4826358742837298</v>
      </c>
      <c r="K493" s="15" t="n">
        <v>0.504950495049505</v>
      </c>
      <c r="L493" s="14" t="n">
        <v>-0.09495016220898943</v>
      </c>
      <c r="M493" s="14" t="n">
        <v>-0.4185558268398324</v>
      </c>
      <c r="N493" s="15" t="n">
        <v>0</v>
      </c>
      <c r="O493" s="24" t="n">
        <v>0.725</v>
      </c>
      <c r="P493" s="12" t="inlineStr">
        <is>
          <t>DraftKings</t>
        </is>
      </c>
      <c r="Q493" s="12" t="inlineStr">
        <is>
          <t>raw model/market disagreement exceeds the safety limit</t>
        </is>
      </c>
    </row>
    <row r="494">
      <c r="A494" s="17" t="inlineStr">
        <is>
          <t>PASS</t>
        </is>
      </c>
      <c r="B494" s="17" t="inlineStr">
        <is>
          <t>LIN @ MOST</t>
        </is>
      </c>
      <c r="C494" s="17" t="inlineStr">
        <is>
          <t>2026-09-12 23:00</t>
        </is>
      </c>
      <c r="D494" s="25" t="n">
        <v>2</v>
      </c>
      <c r="E494" s="17" t="inlineStr">
        <is>
          <t>ATS</t>
        </is>
      </c>
      <c r="F494" s="17" t="inlineStr">
        <is>
          <t>MOST -19.5</t>
        </is>
      </c>
      <c r="G494" s="26" t="n">
        <v>-19.5</v>
      </c>
      <c r="H494" s="18" t="n">
        <v>-110</v>
      </c>
      <c r="I494" s="20" t="n">
        <v>0.3040125378460513</v>
      </c>
      <c r="J494" s="20" t="n">
        <v>0.5</v>
      </c>
      <c r="K494" s="20" t="n">
        <v>0.5238095238095238</v>
      </c>
      <c r="L494" s="19" t="n">
        <v>-0.09495047809950617</v>
      </c>
      <c r="M494" s="19" t="n">
        <v>-0.4196124277484474</v>
      </c>
      <c r="N494" s="20" t="n">
        <v>0</v>
      </c>
      <c r="O494" s="27" t="n">
        <v>0.4</v>
      </c>
      <c r="P494" s="17" t="inlineStr">
        <is>
          <t>DraftKings</t>
        </is>
      </c>
      <c r="Q494" s="17" t="inlineStr">
        <is>
          <t>LIN isn't a full FBS participant this season — model doesn't rate them reliably</t>
        </is>
      </c>
    </row>
    <row r="495">
      <c r="A495" s="12" t="inlineStr">
        <is>
          <t>PASS</t>
        </is>
      </c>
      <c r="B495" s="12" t="inlineStr">
        <is>
          <t>SUU @ CSU</t>
        </is>
      </c>
      <c r="C495" s="12" t="inlineStr">
        <is>
          <t>2026-09-12 23:00</t>
        </is>
      </c>
      <c r="D495" s="22" t="n">
        <v>2</v>
      </c>
      <c r="E495" s="12" t="inlineStr">
        <is>
          <t>ATS</t>
        </is>
      </c>
      <c r="F495" s="12" t="inlineStr">
        <is>
          <t>CSU -20.5</t>
        </is>
      </c>
      <c r="G495" s="23" t="n">
        <v>-20.5</v>
      </c>
      <c r="H495" s="13" t="n">
        <v>-108</v>
      </c>
      <c r="I495" s="15" t="n">
        <v>0.2985865031474208</v>
      </c>
      <c r="J495" s="15" t="n">
        <v>0.4956702459300312</v>
      </c>
      <c r="K495" s="15" t="n">
        <v>0.5192307692307693</v>
      </c>
      <c r="L495" s="14" t="n">
        <v>-0.09495601721052185</v>
      </c>
      <c r="M495" s="14" t="n">
        <v>-0.4249445124568192</v>
      </c>
      <c r="N495" s="15" t="n">
        <v>0</v>
      </c>
      <c r="O495" s="24" t="n">
        <v>0.4</v>
      </c>
      <c r="P495" s="12" t="inlineStr">
        <is>
          <t>DraftKings</t>
        </is>
      </c>
      <c r="Q495" s="12" t="inlineStr">
        <is>
          <t>SUU isn't a full FBS participant this season — model doesn't rate them reliably</t>
        </is>
      </c>
    </row>
    <row r="496">
      <c r="A496" s="17" t="inlineStr">
        <is>
          <t>PASS</t>
        </is>
      </c>
      <c r="B496" s="17" t="inlineStr">
        <is>
          <t>TENN @ GT</t>
        </is>
      </c>
      <c r="C496" s="17" t="inlineStr">
        <is>
          <t>2026-09-12 23:00</t>
        </is>
      </c>
      <c r="D496" s="25" t="n">
        <v>2</v>
      </c>
      <c r="E496" s="17" t="inlineStr">
        <is>
          <t>ATS</t>
        </is>
      </c>
      <c r="F496" s="17" t="inlineStr">
        <is>
          <t>TENN -12.5</t>
        </is>
      </c>
      <c r="G496" s="26" t="n">
        <v>12.5</v>
      </c>
      <c r="H496" s="18" t="n">
        <v>-108</v>
      </c>
      <c r="I496" s="20" t="n">
        <v>0.2941058175442384</v>
      </c>
      <c r="J496" s="20" t="n">
        <v>0.4956702459300312</v>
      </c>
      <c r="K496" s="20" t="n">
        <v>0.5192307692307693</v>
      </c>
      <c r="L496" s="19" t="n">
        <v>-0.09496363778805005</v>
      </c>
      <c r="M496" s="19" t="n">
        <v>-0.4335739810259113</v>
      </c>
      <c r="N496" s="20" t="n">
        <v>0</v>
      </c>
      <c r="O496" s="27" t="n">
        <v>0.725</v>
      </c>
      <c r="P496" s="17" t="inlineStr">
        <is>
          <t>DraftKings</t>
        </is>
      </c>
      <c r="Q496" s="17" t="inlineStr">
        <is>
          <t>raw model/market disagreement exceeds the safety limit</t>
        </is>
      </c>
    </row>
    <row r="497">
      <c r="A497" s="12" t="inlineStr">
        <is>
          <t>PASS</t>
        </is>
      </c>
      <c r="B497" s="12" t="inlineStr">
        <is>
          <t>FAMU @ MIA</t>
        </is>
      </c>
      <c r="C497" s="12" t="inlineStr">
        <is>
          <t>2026-09-11 00:00</t>
        </is>
      </c>
      <c r="D497" s="22" t="n">
        <v>2</v>
      </c>
      <c r="E497" s="12" t="inlineStr">
        <is>
          <t>TOTAL</t>
        </is>
      </c>
      <c r="F497" s="12" t="inlineStr">
        <is>
          <t>Over 65.5</t>
        </is>
      </c>
      <c r="G497" s="23" t="n">
        <v>65.5</v>
      </c>
      <c r="H497" s="13" t="n">
        <v>-118</v>
      </c>
      <c r="I497" s="15" t="n">
        <v>0.3045159707511906</v>
      </c>
      <c r="J497" s="15" t="n">
        <v>0.5173641257162701</v>
      </c>
      <c r="K497" s="15" t="n">
        <v>0.5412844036697247</v>
      </c>
      <c r="L497" s="14" t="n">
        <v>-0.09496710343426495</v>
      </c>
      <c r="M497" s="14" t="n">
        <v>-0.437419647256275</v>
      </c>
      <c r="N497" s="15" t="n">
        <v>0</v>
      </c>
      <c r="O497" s="24" t="n">
        <v>0.4</v>
      </c>
      <c r="P497" s="12" t="inlineStr">
        <is>
          <t>DraftKings</t>
        </is>
      </c>
      <c r="Q497" s="12" t="inlineStr">
        <is>
          <t>FAMU isn't a full FBS participant this season — model doesn't rate them reliably</t>
        </is>
      </c>
    </row>
    <row r="498">
      <c r="A498" s="17" t="inlineStr">
        <is>
          <t>PASS</t>
        </is>
      </c>
      <c r="B498" s="17" t="inlineStr">
        <is>
          <t>GASO @ CLEM</t>
        </is>
      </c>
      <c r="C498" s="17" t="inlineStr">
        <is>
          <t>2026-09-12 23:30</t>
        </is>
      </c>
      <c r="D498" s="25" t="n">
        <v>2</v>
      </c>
      <c r="E498" s="17" t="inlineStr">
        <is>
          <t>ATS</t>
        </is>
      </c>
      <c r="F498" s="17" t="inlineStr">
        <is>
          <t>CLEM -20.5</t>
        </is>
      </c>
      <c r="G498" s="26" t="n">
        <v>-20.5</v>
      </c>
      <c r="H498" s="18" t="n">
        <v>-108</v>
      </c>
      <c r="I498" s="20" t="n">
        <v>0.2913926567181334</v>
      </c>
      <c r="J498" s="20" t="n">
        <v>0.4956702459300312</v>
      </c>
      <c r="K498" s="20" t="n">
        <v>0.5192307692307693</v>
      </c>
      <c r="L498" s="19" t="n">
        <v>-0.09496759493644</v>
      </c>
      <c r="M498" s="19" t="n">
        <v>-0.4387993278021134</v>
      </c>
      <c r="N498" s="20" t="n">
        <v>0</v>
      </c>
      <c r="O498" s="27" t="n">
        <v>0.725</v>
      </c>
      <c r="P498" s="17" t="inlineStr">
        <is>
          <t>DraftKings</t>
        </is>
      </c>
      <c r="Q498" s="17" t="inlineStr">
        <is>
          <t>raw model/market disagreement exceeds the safety limit</t>
        </is>
      </c>
    </row>
    <row r="499">
      <c r="A499" s="12" t="inlineStr">
        <is>
          <t>PASS</t>
        </is>
      </c>
      <c r="B499" s="12" t="inlineStr">
        <is>
          <t>DEL @ VAN</t>
        </is>
      </c>
      <c r="C499" s="12" t="inlineStr">
        <is>
          <t>2026-09-12 20:15</t>
        </is>
      </c>
      <c r="D499" s="22" t="n">
        <v>2</v>
      </c>
      <c r="E499" s="12" t="inlineStr">
        <is>
          <t>ATS</t>
        </is>
      </c>
      <c r="F499" s="12" t="inlineStr">
        <is>
          <t>VAN -20.5</t>
        </is>
      </c>
      <c r="G499" s="23" t="n">
        <v>-20.5</v>
      </c>
      <c r="H499" s="13" t="n">
        <v>-115</v>
      </c>
      <c r="I499" s="15" t="n">
        <v>0.2995124481690852</v>
      </c>
      <c r="J499" s="15" t="n">
        <v>0.5108342361863488</v>
      </c>
      <c r="K499" s="15" t="n">
        <v>0.5348837209302325</v>
      </c>
      <c r="L499" s="14" t="n">
        <v>-0.09496863895416795</v>
      </c>
      <c r="M499" s="14" t="n">
        <v>-0.4400419447273626</v>
      </c>
      <c r="N499" s="15" t="n">
        <v>0</v>
      </c>
      <c r="O499" s="24" t="n">
        <v>0.725</v>
      </c>
      <c r="P499" s="12" t="inlineStr">
        <is>
          <t>DraftKings</t>
        </is>
      </c>
      <c r="Q499" s="12" t="inlineStr">
        <is>
          <t>raw model/market disagreement exceeds the safety limit</t>
        </is>
      </c>
    </row>
    <row r="500">
      <c r="A500" s="17" t="inlineStr">
        <is>
          <t>PASS</t>
        </is>
      </c>
      <c r="B500" s="17" t="inlineStr">
        <is>
          <t>MD @ CONN</t>
        </is>
      </c>
      <c r="C500" s="17" t="inlineStr">
        <is>
          <t>2026-09-12 19:30</t>
        </is>
      </c>
      <c r="D500" s="25" t="n">
        <v>2</v>
      </c>
      <c r="E500" s="17" t="inlineStr">
        <is>
          <t>ATS</t>
        </is>
      </c>
      <c r="F500" s="17" t="inlineStr">
        <is>
          <t>MD -11.5</t>
        </is>
      </c>
      <c r="G500" s="26" t="n">
        <v>11.5</v>
      </c>
      <c r="H500" s="18" t="n">
        <v>-115</v>
      </c>
      <c r="I500" s="20" t="n">
        <v>0.2981365490751895</v>
      </c>
      <c r="J500" s="20" t="n">
        <v>0.5108342361863488</v>
      </c>
      <c r="K500" s="20" t="n">
        <v>0.5348837209302325</v>
      </c>
      <c r="L500" s="19" t="n">
        <v>-0.09497036749985592</v>
      </c>
      <c r="M500" s="19" t="n">
        <v>-0.4426142778159501</v>
      </c>
      <c r="N500" s="20" t="n">
        <v>0</v>
      </c>
      <c r="O500" s="27" t="n">
        <v>0.725</v>
      </c>
      <c r="P500" s="17" t="inlineStr">
        <is>
          <t>DraftKings</t>
        </is>
      </c>
      <c r="Q500" s="17" t="inlineStr">
        <is>
          <t>raw model/market disagreement exceeds the safety limit</t>
        </is>
      </c>
    </row>
    <row r="501">
      <c r="A501" s="12" t="inlineStr">
        <is>
          <t>PASS</t>
        </is>
      </c>
      <c r="B501" s="12" t="inlineStr">
        <is>
          <t>SHU @ MASS</t>
        </is>
      </c>
      <c r="C501" s="12" t="inlineStr">
        <is>
          <t>2026-09-12 19:30</t>
        </is>
      </c>
      <c r="D501" s="22" t="n">
        <v>2</v>
      </c>
      <c r="E501" s="12" t="inlineStr">
        <is>
          <t>ATS</t>
        </is>
      </c>
      <c r="F501" s="12" t="inlineStr">
        <is>
          <t>MASS -23.5</t>
        </is>
      </c>
      <c r="G501" s="23" t="n">
        <v>-23.5</v>
      </c>
      <c r="H501" s="13" t="n">
        <v>-110</v>
      </c>
      <c r="I501" s="15" t="n">
        <v>0.2912641869850809</v>
      </c>
      <c r="J501" s="15" t="n">
        <v>0.5</v>
      </c>
      <c r="K501" s="15" t="n">
        <v>0.5238095238095238</v>
      </c>
      <c r="L501" s="14" t="n">
        <v>-0.09497104477688725</v>
      </c>
      <c r="M501" s="14" t="n">
        <v>-0.4439501884830274</v>
      </c>
      <c r="N501" s="15" t="n">
        <v>0</v>
      </c>
      <c r="O501" s="24" t="n">
        <v>0.4</v>
      </c>
      <c r="P501" s="12" t="inlineStr">
        <is>
          <t>DraftKings</t>
        </is>
      </c>
      <c r="Q501" s="12" t="inlineStr">
        <is>
          <t>SHU isn't a full FBS participant this season — model doesn't rate them reliably</t>
        </is>
      </c>
    </row>
    <row r="502">
      <c r="A502" s="17" t="inlineStr">
        <is>
          <t>PASS</t>
        </is>
      </c>
      <c r="B502" s="17" t="inlineStr">
        <is>
          <t>UNCO @ WYO</t>
        </is>
      </c>
      <c r="C502" s="17" t="inlineStr">
        <is>
          <t>2026-09-12 20:00</t>
        </is>
      </c>
      <c r="D502" s="25" t="n">
        <v>2</v>
      </c>
      <c r="E502" s="17" t="inlineStr">
        <is>
          <t>ATS</t>
        </is>
      </c>
      <c r="F502" s="17" t="inlineStr">
        <is>
          <t>WYO -22.5</t>
        </is>
      </c>
      <c r="G502" s="26" t="n">
        <v>-22.5</v>
      </c>
      <c r="H502" s="18" t="n">
        <v>-112</v>
      </c>
      <c r="I502" s="20" t="n">
        <v>0.2888271243705307</v>
      </c>
      <c r="J502" s="20" t="n">
        <v>0.5043297540699688</v>
      </c>
      <c r="K502" s="20" t="n">
        <v>0.5283018867924528</v>
      </c>
      <c r="L502" s="19" t="n">
        <v>-0.09497645860097585</v>
      </c>
      <c r="M502" s="19" t="n">
        <v>-0.4532915145843527</v>
      </c>
      <c r="N502" s="20" t="n">
        <v>0</v>
      </c>
      <c r="O502" s="27" t="n">
        <v>0.4</v>
      </c>
      <c r="P502" s="17" t="inlineStr">
        <is>
          <t>DraftKings</t>
        </is>
      </c>
      <c r="Q502" s="17" t="inlineStr">
        <is>
          <t>UNCO isn't a full FBS participant this season — model doesn't rate them reliably</t>
        </is>
      </c>
    </row>
    <row r="503">
      <c r="A503" s="12" t="inlineStr">
        <is>
          <t>PASS</t>
        </is>
      </c>
      <c r="B503" s="12" t="inlineStr">
        <is>
          <t>TLSA @ SHSU</t>
        </is>
      </c>
      <c r="C503" s="12" t="inlineStr">
        <is>
          <t>2026-09-12 23:00</t>
        </is>
      </c>
      <c r="D503" s="22" t="n">
        <v>2</v>
      </c>
      <c r="E503" s="12" t="inlineStr">
        <is>
          <t>ATS</t>
        </is>
      </c>
      <c r="F503" s="12" t="inlineStr">
        <is>
          <t>TLSA -13.5</t>
        </is>
      </c>
      <c r="G503" s="23" t="n">
        <v>13.5</v>
      </c>
      <c r="H503" s="13" t="n">
        <v>-110</v>
      </c>
      <c r="I503" s="15" t="n">
        <v>0.2810592424625373</v>
      </c>
      <c r="J503" s="15" t="n">
        <v>0.5</v>
      </c>
      <c r="K503" s="15" t="n">
        <v>0.5238095238095238</v>
      </c>
      <c r="L503" s="14" t="n">
        <v>-0.0949811573679958</v>
      </c>
      <c r="M503" s="14" t="n">
        <v>-0.4634323552987923</v>
      </c>
      <c r="N503" s="15" t="n">
        <v>0</v>
      </c>
      <c r="O503" s="24" t="n">
        <v>0.725</v>
      </c>
      <c r="P503" s="12" t="inlineStr">
        <is>
          <t>DraftKings</t>
        </is>
      </c>
      <c r="Q503" s="12" t="inlineStr">
        <is>
          <t>raw model/market disagreement exceeds the safety limit</t>
        </is>
      </c>
    </row>
    <row r="504">
      <c r="A504" s="17" t="inlineStr">
        <is>
          <t>PASS</t>
        </is>
      </c>
      <c r="B504" s="17" t="inlineStr">
        <is>
          <t>COLG @ CMU</t>
        </is>
      </c>
      <c r="C504" s="17" t="inlineStr">
        <is>
          <t>2026-09-12 17:00</t>
        </is>
      </c>
      <c r="D504" s="25" t="n">
        <v>2</v>
      </c>
      <c r="E504" s="17" t="inlineStr">
        <is>
          <t>ATS</t>
        </is>
      </c>
      <c r="F504" s="17" t="inlineStr">
        <is>
          <t>CMU -23.5</t>
        </is>
      </c>
      <c r="G504" s="26" t="n">
        <v>-23.5</v>
      </c>
      <c r="H504" s="18" t="n">
        <v>-118</v>
      </c>
      <c r="I504" s="20" t="n">
        <v>0.2900312607835892</v>
      </c>
      <c r="J504" s="20" t="n">
        <v>0.5173641257162701</v>
      </c>
      <c r="K504" s="20" t="n">
        <v>0.5412844036697247</v>
      </c>
      <c r="L504" s="19" t="n">
        <v>-0.09498175242592603</v>
      </c>
      <c r="M504" s="19" t="n">
        <v>-0.4641795351625216</v>
      </c>
      <c r="N504" s="20" t="n">
        <v>0</v>
      </c>
      <c r="O504" s="27" t="n">
        <v>0.4</v>
      </c>
      <c r="P504" s="17" t="inlineStr">
        <is>
          <t>DraftKings</t>
        </is>
      </c>
      <c r="Q504" s="17" t="inlineStr">
        <is>
          <t>COLG isn't a full FBS participant this season — model doesn't rate them reliably</t>
        </is>
      </c>
    </row>
    <row r="505">
      <c r="A505" s="12" t="inlineStr">
        <is>
          <t>PASS</t>
        </is>
      </c>
      <c r="B505" s="12" t="inlineStr">
        <is>
          <t>UCD @ SMU</t>
        </is>
      </c>
      <c r="C505" s="12" t="inlineStr">
        <is>
          <t>2026-09-12 20:00</t>
        </is>
      </c>
      <c r="D505" s="22" t="n">
        <v>2</v>
      </c>
      <c r="E505" s="12" t="inlineStr">
        <is>
          <t>ATS</t>
        </is>
      </c>
      <c r="F505" s="12" t="inlineStr">
        <is>
          <t>SMU -25.5</t>
        </is>
      </c>
      <c r="G505" s="23" t="n">
        <v>-25.5</v>
      </c>
      <c r="H505" s="13" t="n">
        <v>-105</v>
      </c>
      <c r="I505" s="15" t="n">
        <v>0.2741461101974196</v>
      </c>
      <c r="J505" s="15" t="n">
        <v>0.4891657638136511</v>
      </c>
      <c r="K505" s="15" t="n">
        <v>0.5121951219512195</v>
      </c>
      <c r="L505" s="14" t="n">
        <v>-0.09498181303834638</v>
      </c>
      <c r="M505" s="14" t="n">
        <v>-0.4647623562812283</v>
      </c>
      <c r="N505" s="15" t="n">
        <v>0</v>
      </c>
      <c r="O505" s="24" t="n">
        <v>0.4</v>
      </c>
      <c r="P505" s="12" t="inlineStr">
        <is>
          <t>DraftKings</t>
        </is>
      </c>
      <c r="Q505" s="12" t="inlineStr">
        <is>
          <t>UCD isn't a full FBS participant this season — model doesn't rate them reliably</t>
        </is>
      </c>
    </row>
    <row r="506">
      <c r="A506" s="17" t="inlineStr">
        <is>
          <t>PASS</t>
        </is>
      </c>
      <c r="B506" s="17" t="inlineStr">
        <is>
          <t>MONM @ WMU</t>
        </is>
      </c>
      <c r="C506" s="17" t="inlineStr">
        <is>
          <t>2026-09-12 22:30</t>
        </is>
      </c>
      <c r="D506" s="25" t="n">
        <v>2</v>
      </c>
      <c r="E506" s="17" t="inlineStr">
        <is>
          <t>ATS</t>
        </is>
      </c>
      <c r="F506" s="17" t="inlineStr">
        <is>
          <t>WMU -25.5</t>
        </is>
      </c>
      <c r="G506" s="26" t="n">
        <v>-25.5</v>
      </c>
      <c r="H506" s="18" t="n">
        <v>-108</v>
      </c>
      <c r="I506" s="20" t="n">
        <v>0.2764233923225061</v>
      </c>
      <c r="J506" s="20" t="n">
        <v>0.4956702459300312</v>
      </c>
      <c r="K506" s="20" t="n">
        <v>0.5192307692307693</v>
      </c>
      <c r="L506" s="19" t="n">
        <v>-0.09498283959852774</v>
      </c>
      <c r="M506" s="19" t="n">
        <v>-0.467629022193692</v>
      </c>
      <c r="N506" s="20" t="n">
        <v>0</v>
      </c>
      <c r="O506" s="27" t="n">
        <v>0.4</v>
      </c>
      <c r="P506" s="17" t="inlineStr">
        <is>
          <t>DraftKings</t>
        </is>
      </c>
      <c r="Q506" s="17" t="inlineStr">
        <is>
          <t>MONM isn't a full FBS participant this season — model doesn't rate them reliably</t>
        </is>
      </c>
    </row>
    <row r="507">
      <c r="A507" s="12" t="inlineStr">
        <is>
          <t>PASS</t>
        </is>
      </c>
      <c r="B507" s="12" t="inlineStr">
        <is>
          <t>USU @ WASH</t>
        </is>
      </c>
      <c r="C507" s="12" t="inlineStr">
        <is>
          <t>2026-09-12 19:30</t>
        </is>
      </c>
      <c r="D507" s="22" t="n">
        <v>2</v>
      </c>
      <c r="E507" s="12" t="inlineStr">
        <is>
          <t>ATS</t>
        </is>
      </c>
      <c r="F507" s="12" t="inlineStr">
        <is>
          <t>WASH -26.5</t>
        </is>
      </c>
      <c r="G507" s="23" t="n">
        <v>-26.5</v>
      </c>
      <c r="H507" s="13" t="n">
        <v>-110</v>
      </c>
      <c r="I507" s="15" t="n">
        <v>0.2747272428932513</v>
      </c>
      <c r="J507" s="15" t="n">
        <v>0.5</v>
      </c>
      <c r="K507" s="15" t="n">
        <v>0.5238095238095238</v>
      </c>
      <c r="L507" s="14" t="n">
        <v>-0.09498556674868887</v>
      </c>
      <c r="M507" s="14" t="n">
        <v>-0.4755207181128839</v>
      </c>
      <c r="N507" s="15" t="n">
        <v>0</v>
      </c>
      <c r="O507" s="24" t="n">
        <v>0.725</v>
      </c>
      <c r="P507" s="12" t="inlineStr">
        <is>
          <t>DraftKings</t>
        </is>
      </c>
      <c r="Q507" s="12" t="inlineStr">
        <is>
          <t>raw model/market disagreement exceeds the safety limit</t>
        </is>
      </c>
    </row>
    <row r="508">
      <c r="A508" s="17" t="inlineStr">
        <is>
          <t>PASS</t>
        </is>
      </c>
      <c r="B508" s="17" t="inlineStr">
        <is>
          <t>TXSO @ UTEP</t>
        </is>
      </c>
      <c r="C508" s="17" t="inlineStr">
        <is>
          <t>2026-09-13 01:00</t>
        </is>
      </c>
      <c r="D508" s="25" t="n">
        <v>2</v>
      </c>
      <c r="E508" s="17" t="inlineStr">
        <is>
          <t>ATS</t>
        </is>
      </c>
      <c r="F508" s="17" t="inlineStr">
        <is>
          <t>UTEP -25.5</t>
        </is>
      </c>
      <c r="G508" s="26" t="n">
        <v>-25.5</v>
      </c>
      <c r="H508" s="18" t="n">
        <v>-108</v>
      </c>
      <c r="I508" s="20" t="n">
        <v>0.2708114370894122</v>
      </c>
      <c r="J508" s="20" t="n">
        <v>0.4956702459300312</v>
      </c>
      <c r="K508" s="20" t="n">
        <v>0.5192307692307693</v>
      </c>
      <c r="L508" s="19" t="n">
        <v>-0.09498647869298299</v>
      </c>
      <c r="M508" s="19" t="n">
        <v>-0.4784372322722431</v>
      </c>
      <c r="N508" s="20" t="n">
        <v>0</v>
      </c>
      <c r="O508" s="27" t="n">
        <v>0.4</v>
      </c>
      <c r="P508" s="17" t="inlineStr">
        <is>
          <t>DraftKings</t>
        </is>
      </c>
      <c r="Q508" s="17" t="inlineStr">
        <is>
          <t>TXSO isn't a full FBS participant this season — model doesn't rate them reliably</t>
        </is>
      </c>
    </row>
    <row r="509">
      <c r="A509" s="12" t="inlineStr">
        <is>
          <t>PASS</t>
        </is>
      </c>
      <c r="B509" s="12" t="inlineStr">
        <is>
          <t>GWEB @ LIB</t>
        </is>
      </c>
      <c r="C509" s="12" t="inlineStr">
        <is>
          <t>2026-09-12 22:00</t>
        </is>
      </c>
      <c r="D509" s="22" t="n">
        <v>2</v>
      </c>
      <c r="E509" s="12" t="inlineStr">
        <is>
          <t>ATS</t>
        </is>
      </c>
      <c r="F509" s="12" t="inlineStr">
        <is>
          <t>LIB -27.5</t>
        </is>
      </c>
      <c r="G509" s="23" t="n">
        <v>-27.5</v>
      </c>
      <c r="H509" s="13" t="n">
        <v>-108</v>
      </c>
      <c r="I509" s="15" t="n">
        <v>0.267918086701062</v>
      </c>
      <c r="J509" s="15" t="n">
        <v>0.4956702459300312</v>
      </c>
      <c r="K509" s="15" t="n">
        <v>0.5192307692307693</v>
      </c>
      <c r="L509" s="14" t="n">
        <v>-0.09498804217917571</v>
      </c>
      <c r="M509" s="14" t="n">
        <v>-0.4840096107979547</v>
      </c>
      <c r="N509" s="15" t="n">
        <v>0</v>
      </c>
      <c r="O509" s="24" t="n">
        <v>0.4</v>
      </c>
      <c r="P509" s="12" t="inlineStr">
        <is>
          <t>DraftKings</t>
        </is>
      </c>
      <c r="Q509" s="12" t="inlineStr">
        <is>
          <t>GWEB isn't a full FBS participant this season — model doesn't rate them reliably</t>
        </is>
      </c>
    </row>
    <row r="510">
      <c r="A510" s="17" t="inlineStr">
        <is>
          <t>PASS</t>
        </is>
      </c>
      <c r="B510" s="17" t="inlineStr">
        <is>
          <t>UGA @ ARK</t>
        </is>
      </c>
      <c r="C510" s="17" t="inlineStr">
        <is>
          <t>2026-09-19 16:00</t>
        </is>
      </c>
      <c r="D510" s="25" t="n">
        <v>3</v>
      </c>
      <c r="E510" s="17" t="inlineStr">
        <is>
          <t>ATS</t>
        </is>
      </c>
      <c r="F510" s="17" t="inlineStr">
        <is>
          <t>UGA -17.5</t>
        </is>
      </c>
      <c r="G510" s="26" t="n">
        <v>17.5</v>
      </c>
      <c r="H510" s="18" t="n">
        <v>-110</v>
      </c>
      <c r="I510" s="20" t="n">
        <v>0.2691756872714282</v>
      </c>
      <c r="J510" s="20" t="n">
        <v>0.5</v>
      </c>
      <c r="K510" s="20" t="n">
        <v>0.5238095238095238</v>
      </c>
      <c r="L510" s="19" t="n">
        <v>-0.09498857503598311</v>
      </c>
      <c r="M510" s="19" t="n">
        <v>-0.486119142481819</v>
      </c>
      <c r="N510" s="20" t="n">
        <v>0</v>
      </c>
      <c r="O510" s="27" t="n">
        <v>0.725</v>
      </c>
      <c r="P510" s="17" t="inlineStr">
        <is>
          <t>DraftKings</t>
        </is>
      </c>
      <c r="Q510" s="17" t="inlineStr">
        <is>
          <t>raw model/market disagreement exceeds the safety limit</t>
        </is>
      </c>
    </row>
    <row r="511">
      <c r="A511" s="12" t="inlineStr">
        <is>
          <t>PASS</t>
        </is>
      </c>
      <c r="B511" s="12" t="inlineStr">
        <is>
          <t>RMU @ AKR</t>
        </is>
      </c>
      <c r="C511" s="12" t="inlineStr">
        <is>
          <t>2026-09-12 19:30</t>
        </is>
      </c>
      <c r="D511" s="22" t="n">
        <v>2</v>
      </c>
      <c r="E511" s="12" t="inlineStr">
        <is>
          <t>ATS</t>
        </is>
      </c>
      <c r="F511" s="12" t="inlineStr">
        <is>
          <t>AKR -27.5</t>
        </is>
      </c>
      <c r="G511" s="23" t="n">
        <v>-27.5</v>
      </c>
      <c r="H511" s="13" t="n">
        <v>-108</v>
      </c>
      <c r="I511" s="15" t="n">
        <v>0.265658220533396</v>
      </c>
      <c r="J511" s="15" t="n">
        <v>0.4956702459300312</v>
      </c>
      <c r="K511" s="15" t="n">
        <v>0.5192307692307693</v>
      </c>
      <c r="L511" s="14" t="n">
        <v>-0.09498913650748066</v>
      </c>
      <c r="M511" s="14" t="n">
        <v>-0.4883619456393855</v>
      </c>
      <c r="N511" s="15" t="n">
        <v>0</v>
      </c>
      <c r="O511" s="24" t="n">
        <v>0.4</v>
      </c>
      <c r="P511" s="12" t="inlineStr">
        <is>
          <t>DraftKings</t>
        </is>
      </c>
      <c r="Q511" s="12" t="inlineStr">
        <is>
          <t>RMU isn't a full FBS participant this season — model doesn't rate them reliably</t>
        </is>
      </c>
    </row>
    <row r="512">
      <c r="A512" s="17" t="inlineStr">
        <is>
          <t>PASS</t>
        </is>
      </c>
      <c r="B512" s="17" t="inlineStr">
        <is>
          <t>MIA @ WAKE</t>
        </is>
      </c>
      <c r="C512" s="17" t="inlineStr">
        <is>
          <t>2026-09-18 23:30</t>
        </is>
      </c>
      <c r="D512" s="25" t="n">
        <v>3</v>
      </c>
      <c r="E512" s="17" t="inlineStr">
        <is>
          <t>ATS</t>
        </is>
      </c>
      <c r="F512" s="17" t="inlineStr">
        <is>
          <t>MIA -19.5</t>
        </is>
      </c>
      <c r="G512" s="26" t="n">
        <v>19.5</v>
      </c>
      <c r="H512" s="18" t="n">
        <v>-110</v>
      </c>
      <c r="I512" s="20" t="n">
        <v>0.2664997031524896</v>
      </c>
      <c r="J512" s="20" t="n">
        <v>0.5</v>
      </c>
      <c r="K512" s="20" t="n">
        <v>0.5238095238095238</v>
      </c>
      <c r="L512" s="19" t="n">
        <v>-0.09498979238327679</v>
      </c>
      <c r="M512" s="19" t="n">
        <v>-0.4912278394361562</v>
      </c>
      <c r="N512" s="20" t="n">
        <v>0</v>
      </c>
      <c r="O512" s="27" t="n">
        <v>0.725</v>
      </c>
      <c r="P512" s="17" t="inlineStr">
        <is>
          <t>DraftKings</t>
        </is>
      </c>
      <c r="Q512" s="17" t="inlineStr">
        <is>
          <t>raw model/market disagreement exceeds the safety limit</t>
        </is>
      </c>
    </row>
    <row r="513">
      <c r="A513" s="12" t="inlineStr">
        <is>
          <t>PASS</t>
        </is>
      </c>
      <c r="B513" s="12" t="inlineStr">
        <is>
          <t>BGSU @ NEB</t>
        </is>
      </c>
      <c r="C513" s="12" t="inlineStr">
        <is>
          <t>2026-09-12 23:00</t>
        </is>
      </c>
      <c r="D513" s="22" t="n">
        <v>2</v>
      </c>
      <c r="E513" s="12" t="inlineStr">
        <is>
          <t>ATS</t>
        </is>
      </c>
      <c r="F513" s="12" t="inlineStr">
        <is>
          <t>NEB -30.5</t>
        </is>
      </c>
      <c r="G513" s="23" t="n">
        <v>-30.5</v>
      </c>
      <c r="H513" s="13" t="n">
        <v>-110</v>
      </c>
      <c r="I513" s="15" t="n">
        <v>0.2643423056930644</v>
      </c>
      <c r="J513" s="15" t="n">
        <v>0.5</v>
      </c>
      <c r="K513" s="15" t="n">
        <v>0.5238095238095238</v>
      </c>
      <c r="L513" s="14" t="n">
        <v>-0.0949906787097632</v>
      </c>
      <c r="M513" s="14" t="n">
        <v>-0.4953465073132407</v>
      </c>
      <c r="N513" s="15" t="n">
        <v>0</v>
      </c>
      <c r="O513" s="24" t="n">
        <v>0.725</v>
      </c>
      <c r="P513" s="12" t="inlineStr">
        <is>
          <t>DraftKings</t>
        </is>
      </c>
      <c r="Q513" s="12" t="inlineStr">
        <is>
          <t>raw model/market disagreement exceeds the safety limit</t>
        </is>
      </c>
    </row>
    <row r="514">
      <c r="A514" s="17" t="inlineStr">
        <is>
          <t>PASS</t>
        </is>
      </c>
      <c r="B514" s="17" t="inlineStr">
        <is>
          <t>HC @ M-OH</t>
        </is>
      </c>
      <c r="C514" s="17" t="inlineStr">
        <is>
          <t>2026-09-12 17:00</t>
        </is>
      </c>
      <c r="D514" s="25" t="n">
        <v>2</v>
      </c>
      <c r="E514" s="17" t="inlineStr">
        <is>
          <t>ATS</t>
        </is>
      </c>
      <c r="F514" s="17" t="inlineStr">
        <is>
          <t>M-OH -30.5</t>
        </is>
      </c>
      <c r="G514" s="26" t="n">
        <v>-30.5</v>
      </c>
      <c r="H514" s="18" t="n">
        <v>-105</v>
      </c>
      <c r="I514" s="20" t="n">
        <v>0.2545012163945175</v>
      </c>
      <c r="J514" s="20" t="n">
        <v>0.4891657638136511</v>
      </c>
      <c r="K514" s="20" t="n">
        <v>0.5121951219512195</v>
      </c>
      <c r="L514" s="19" t="n">
        <v>-0.09499219092885322</v>
      </c>
      <c r="M514" s="19" t="n">
        <v>-0.5031166727535611</v>
      </c>
      <c r="N514" s="20" t="n">
        <v>0</v>
      </c>
      <c r="O514" s="27" t="n">
        <v>0.4</v>
      </c>
      <c r="P514" s="17" t="inlineStr">
        <is>
          <t>DraftKings</t>
        </is>
      </c>
      <c r="Q514" s="17" t="inlineStr">
        <is>
          <t>HC isn't a full FBS participant this season — model doesn't rate them reliably</t>
        </is>
      </c>
    </row>
    <row r="515">
      <c r="A515" s="12" t="inlineStr">
        <is>
          <t>PASS</t>
        </is>
      </c>
      <c r="B515" s="12" t="inlineStr">
        <is>
          <t>UL @ USC</t>
        </is>
      </c>
      <c r="C515" s="12" t="inlineStr">
        <is>
          <t>2026-09-13 03:00</t>
        </is>
      </c>
      <c r="D515" s="22" t="n">
        <v>2</v>
      </c>
      <c r="E515" s="12" t="inlineStr">
        <is>
          <t>ATS</t>
        </is>
      </c>
      <c r="F515" s="12" t="inlineStr">
        <is>
          <t>USC -31.5</t>
        </is>
      </c>
      <c r="G515" s="23" t="n">
        <v>-31.5</v>
      </c>
      <c r="H515" s="13" t="n">
        <v>-105</v>
      </c>
      <c r="I515" s="15" t="n">
        <v>0.2539302313564152</v>
      </c>
      <c r="J515" s="15" t="n">
        <v>0.4891657638136511</v>
      </c>
      <c r="K515" s="15" t="n">
        <v>0.5121951219512195</v>
      </c>
      <c r="L515" s="14" t="n">
        <v>-0.09499238048234492</v>
      </c>
      <c r="M515" s="14" t="n">
        <v>-0.5042314530660464</v>
      </c>
      <c r="N515" s="15" t="n">
        <v>0</v>
      </c>
      <c r="O515" s="24" t="n">
        <v>0.725</v>
      </c>
      <c r="P515" s="12" t="inlineStr">
        <is>
          <t>DraftKings</t>
        </is>
      </c>
      <c r="Q515" s="12" t="inlineStr">
        <is>
          <t>raw model/market disagreement exceeds the safety limit</t>
        </is>
      </c>
    </row>
    <row r="516">
      <c r="A516" s="17" t="inlineStr">
        <is>
          <t>PASS</t>
        </is>
      </c>
      <c r="B516" s="17" t="inlineStr">
        <is>
          <t>WEB @ COLO</t>
        </is>
      </c>
      <c r="C516" s="17" t="inlineStr">
        <is>
          <t>2026-09-12 19:30</t>
        </is>
      </c>
      <c r="D516" s="25" t="n">
        <v>2</v>
      </c>
      <c r="E516" s="17" t="inlineStr">
        <is>
          <t>ATS</t>
        </is>
      </c>
      <c r="F516" s="17" t="inlineStr">
        <is>
          <t>COLO -33.5</t>
        </is>
      </c>
      <c r="G516" s="26" t="n">
        <v>-33.5</v>
      </c>
      <c r="H516" s="18" t="n">
        <v>-110</v>
      </c>
      <c r="I516" s="20" t="n">
        <v>0.257191691268757</v>
      </c>
      <c r="J516" s="20" t="n">
        <v>0.5</v>
      </c>
      <c r="K516" s="20" t="n">
        <v>0.5238095238095238</v>
      </c>
      <c r="L516" s="19" t="n">
        <v>-0.09499310197382538</v>
      </c>
      <c r="M516" s="19" t="n">
        <v>-0.5089976803051002</v>
      </c>
      <c r="N516" s="20" t="n">
        <v>0</v>
      </c>
      <c r="O516" s="27" t="n">
        <v>0.4</v>
      </c>
      <c r="P516" s="17" t="inlineStr">
        <is>
          <t>DraftKings</t>
        </is>
      </c>
      <c r="Q516" s="17" t="inlineStr">
        <is>
          <t>WEB isn't a full FBS participant this season — model doesn't rate them reliably</t>
        </is>
      </c>
    </row>
    <row r="517">
      <c r="A517" s="12" t="inlineStr">
        <is>
          <t>PASS</t>
        </is>
      </c>
      <c r="B517" s="12" t="inlineStr">
        <is>
          <t>RICH @ NCSU</t>
        </is>
      </c>
      <c r="C517" s="12" t="inlineStr">
        <is>
          <t>2026-09-11 23:00</t>
        </is>
      </c>
      <c r="D517" s="22" t="n">
        <v>2</v>
      </c>
      <c r="E517" s="12" t="inlineStr">
        <is>
          <t>ATS</t>
        </is>
      </c>
      <c r="F517" s="12" t="inlineStr">
        <is>
          <t>NCSU -32.5</t>
        </is>
      </c>
      <c r="G517" s="23" t="n">
        <v>-32.5</v>
      </c>
      <c r="H517" s="13" t="n">
        <v>-105</v>
      </c>
      <c r="I517" s="15" t="n">
        <v>0.2515181257408923</v>
      </c>
      <c r="J517" s="15" t="n">
        <v>0.4891657638136511</v>
      </c>
      <c r="K517" s="15" t="n">
        <v>0.5121951219512195</v>
      </c>
      <c r="L517" s="14" t="n">
        <v>-0.09499313177819675</v>
      </c>
      <c r="M517" s="14" t="n">
        <v>-0.5089408021249245</v>
      </c>
      <c r="N517" s="15" t="n">
        <v>0</v>
      </c>
      <c r="O517" s="24" t="n">
        <v>0.4</v>
      </c>
      <c r="P517" s="12" t="inlineStr">
        <is>
          <t>DraftKings</t>
        </is>
      </c>
      <c r="Q517" s="12" t="inlineStr">
        <is>
          <t>RICH isn't a full FBS participant this season — model doesn't rate them reliably</t>
        </is>
      </c>
    </row>
    <row r="518">
      <c r="A518" s="17" t="inlineStr">
        <is>
          <t>PASS</t>
        </is>
      </c>
      <c r="B518" s="17" t="inlineStr">
        <is>
          <t>USM @ AUB</t>
        </is>
      </c>
      <c r="C518" s="17" t="inlineStr">
        <is>
          <t>2026-09-12 23:45</t>
        </is>
      </c>
      <c r="D518" s="25" t="n">
        <v>2</v>
      </c>
      <c r="E518" s="17" t="inlineStr">
        <is>
          <t>ATS</t>
        </is>
      </c>
      <c r="F518" s="17" t="inlineStr">
        <is>
          <t>AUB -32.5</t>
        </is>
      </c>
      <c r="G518" s="26" t="n">
        <v>-32.5</v>
      </c>
      <c r="H518" s="18" t="n">
        <v>-110</v>
      </c>
      <c r="I518" s="20" t="n">
        <v>0.2568412161742054</v>
      </c>
      <c r="J518" s="20" t="n">
        <v>0.5</v>
      </c>
      <c r="K518" s="20" t="n">
        <v>0.5238095238095238</v>
      </c>
      <c r="L518" s="19" t="n">
        <v>-0.09499320301592944</v>
      </c>
      <c r="M518" s="19" t="n">
        <v>-0.5096667691219716</v>
      </c>
      <c r="N518" s="20" t="n">
        <v>0</v>
      </c>
      <c r="O518" s="27" t="n">
        <v>0.725</v>
      </c>
      <c r="P518" s="17" t="inlineStr">
        <is>
          <t>DraftKings</t>
        </is>
      </c>
      <c r="Q518" s="17" t="inlineStr">
        <is>
          <t>raw model/market disagreement exceeds the safety limit</t>
        </is>
      </c>
    </row>
    <row r="519">
      <c r="A519" s="12" t="inlineStr">
        <is>
          <t>PASS</t>
        </is>
      </c>
      <c r="B519" s="12" t="inlineStr">
        <is>
          <t>CCSU @ TOL</t>
        </is>
      </c>
      <c r="C519" s="12" t="inlineStr">
        <is>
          <t>2026-09-12 19:30</t>
        </is>
      </c>
      <c r="D519" s="22" t="n">
        <v>2</v>
      </c>
      <c r="E519" s="12" t="inlineStr">
        <is>
          <t>ATS</t>
        </is>
      </c>
      <c r="F519" s="12" t="inlineStr">
        <is>
          <t>TOL -33.5</t>
        </is>
      </c>
      <c r="G519" s="23" t="n">
        <v>-33.5</v>
      </c>
      <c r="H519" s="13" t="n">
        <v>-115</v>
      </c>
      <c r="I519" s="15" t="n">
        <v>0.2621070566366391</v>
      </c>
      <c r="J519" s="15" t="n">
        <v>0.5108342361863488</v>
      </c>
      <c r="K519" s="15" t="n">
        <v>0.5348837209302325</v>
      </c>
      <c r="L519" s="14" t="n">
        <v>-0.094993286397517</v>
      </c>
      <c r="M519" s="14" t="n">
        <v>-0.5099737636793269</v>
      </c>
      <c r="N519" s="15" t="n">
        <v>0</v>
      </c>
      <c r="O519" s="24" t="n">
        <v>0.4</v>
      </c>
      <c r="P519" s="12" t="inlineStr">
        <is>
          <t>DraftKings</t>
        </is>
      </c>
      <c r="Q519" s="12" t="inlineStr">
        <is>
          <t>CCSU isn't a full FBS participant this season — model doesn't rate them reliably</t>
        </is>
      </c>
    </row>
    <row r="520">
      <c r="A520" s="17" t="inlineStr">
        <is>
          <t>PASS</t>
        </is>
      </c>
      <c r="B520" s="17" t="inlineStr">
        <is>
          <t>PSU @ TEM</t>
        </is>
      </c>
      <c r="C520" s="17" t="inlineStr">
        <is>
          <t>2026-09-12 16:00</t>
        </is>
      </c>
      <c r="D520" s="25" t="n">
        <v>2</v>
      </c>
      <c r="E520" s="17" t="inlineStr">
        <is>
          <t>ATS</t>
        </is>
      </c>
      <c r="F520" s="17" t="inlineStr">
        <is>
          <t>PSU -23.5</t>
        </is>
      </c>
      <c r="G520" s="26" t="n">
        <v>23.5</v>
      </c>
      <c r="H520" s="18" t="n">
        <v>-115</v>
      </c>
      <c r="I520" s="20" t="n">
        <v>0.261878484517076</v>
      </c>
      <c r="J520" s="20" t="n">
        <v>0.5108342361863488</v>
      </c>
      <c r="K520" s="20" t="n">
        <v>0.5348837209302325</v>
      </c>
      <c r="L520" s="19" t="n">
        <v>-0.09499334934033102</v>
      </c>
      <c r="M520" s="19" t="n">
        <v>-0.5104010941637276</v>
      </c>
      <c r="N520" s="20" t="n">
        <v>0</v>
      </c>
      <c r="O520" s="27" t="n">
        <v>0.725</v>
      </c>
      <c r="P520" s="17" t="inlineStr">
        <is>
          <t>DraftKings</t>
        </is>
      </c>
      <c r="Q520" s="17" t="inlineStr">
        <is>
          <t>raw model/market disagreement exceeds the safety limit</t>
        </is>
      </c>
    </row>
    <row r="521">
      <c r="A521" s="12" t="inlineStr">
        <is>
          <t>PASS</t>
        </is>
      </c>
      <c r="B521" s="12" t="inlineStr">
        <is>
          <t>FOR @ CCU</t>
        </is>
      </c>
      <c r="C521" s="12" t="inlineStr">
        <is>
          <t>2026-09-12 23:30</t>
        </is>
      </c>
      <c r="D521" s="22" t="n">
        <v>2</v>
      </c>
      <c r="E521" s="12" t="inlineStr">
        <is>
          <t>ATS</t>
        </is>
      </c>
      <c r="F521" s="12" t="inlineStr">
        <is>
          <t>CCU -34.5</t>
        </is>
      </c>
      <c r="G521" s="23" t="n">
        <v>-34.5</v>
      </c>
      <c r="H521" s="13" t="n">
        <v>-108</v>
      </c>
      <c r="I521" s="15" t="n">
        <v>0.2538078854227754</v>
      </c>
      <c r="J521" s="15" t="n">
        <v>0.4956702459300312</v>
      </c>
      <c r="K521" s="15" t="n">
        <v>0.5192307692307693</v>
      </c>
      <c r="L521" s="14" t="n">
        <v>-0.09499343264943849</v>
      </c>
      <c r="M521" s="14" t="n">
        <v>-0.5111848132598399</v>
      </c>
      <c r="N521" s="15" t="n">
        <v>0</v>
      </c>
      <c r="O521" s="24" t="n">
        <v>0.725</v>
      </c>
      <c r="P521" s="12" t="inlineStr">
        <is>
          <t>DraftKings</t>
        </is>
      </c>
      <c r="Q521" s="12" t="inlineStr">
        <is>
          <t>FOR isn't a full FBS participant this season — model doesn't rate them reliably</t>
        </is>
      </c>
    </row>
    <row r="522">
      <c r="A522" s="17" t="inlineStr">
        <is>
          <t>PASS</t>
        </is>
      </c>
      <c r="B522" s="17" t="inlineStr">
        <is>
          <t>ORE @ OKST</t>
        </is>
      </c>
      <c r="C522" s="17" t="inlineStr">
        <is>
          <t>2026-09-12 16:00</t>
        </is>
      </c>
      <c r="D522" s="25" t="n">
        <v>2</v>
      </c>
      <c r="E522" s="17" t="inlineStr">
        <is>
          <t>ATS</t>
        </is>
      </c>
      <c r="F522" s="17" t="inlineStr">
        <is>
          <t>ORE -23.5</t>
        </is>
      </c>
      <c r="G522" s="26" t="n">
        <v>23.5</v>
      </c>
      <c r="H522" s="18" t="n">
        <v>-108</v>
      </c>
      <c r="I522" s="20" t="n">
        <v>0.253253782422583</v>
      </c>
      <c r="J522" s="20" t="n">
        <v>0.4956702459300312</v>
      </c>
      <c r="K522" s="20" t="n">
        <v>0.5192307692307693</v>
      </c>
      <c r="L522" s="19" t="n">
        <v>-0.09499358539871459</v>
      </c>
      <c r="M522" s="19" t="n">
        <v>-0.5122519745935439</v>
      </c>
      <c r="N522" s="20" t="n">
        <v>0</v>
      </c>
      <c r="O522" s="27" t="n">
        <v>0.725</v>
      </c>
      <c r="P522" s="17" t="inlineStr">
        <is>
          <t>DraftKings</t>
        </is>
      </c>
      <c r="Q522" s="17" t="inlineStr">
        <is>
          <t>raw model/market disagreement exceeds the safety limit</t>
        </is>
      </c>
    </row>
    <row r="523">
      <c r="A523" s="12" t="inlineStr">
        <is>
          <t>PASS</t>
        </is>
      </c>
      <c r="B523" s="12" t="inlineStr">
        <is>
          <t>ETSU @ UNC</t>
        </is>
      </c>
      <c r="C523" s="12" t="inlineStr">
        <is>
          <t>2026-09-12 16:00</t>
        </is>
      </c>
      <c r="D523" s="22" t="n">
        <v>2</v>
      </c>
      <c r="E523" s="12" t="inlineStr">
        <is>
          <t>ATS</t>
        </is>
      </c>
      <c r="F523" s="12" t="inlineStr">
        <is>
          <t>UNC -35.5</t>
        </is>
      </c>
      <c r="G523" s="23" t="n">
        <v>-35.5</v>
      </c>
      <c r="H523" s="13" t="n">
        <v>-112</v>
      </c>
      <c r="I523" s="15" t="n">
        <v>0.2563486342991594</v>
      </c>
      <c r="J523" s="15" t="n">
        <v>0.5043297540699688</v>
      </c>
      <c r="K523" s="15" t="n">
        <v>0.5283018867924528</v>
      </c>
      <c r="L523" s="14" t="n">
        <v>-0.09499393170621254</v>
      </c>
      <c r="M523" s="14" t="n">
        <v>-0.5147686565051626</v>
      </c>
      <c r="N523" s="15" t="n">
        <v>0</v>
      </c>
      <c r="O523" s="24" t="n">
        <v>0.4</v>
      </c>
      <c r="P523" s="12" t="inlineStr">
        <is>
          <t>DraftKings</t>
        </is>
      </c>
      <c r="Q523" s="12" t="inlineStr">
        <is>
          <t>ETSU isn't a full FBS participant this season — model doesn't rate them reliably</t>
        </is>
      </c>
    </row>
    <row r="524">
      <c r="A524" s="17" t="inlineStr">
        <is>
          <t>PASS</t>
        </is>
      </c>
      <c r="B524" s="17" t="inlineStr">
        <is>
          <t>TTU @ ORST</t>
        </is>
      </c>
      <c r="C524" s="17" t="inlineStr">
        <is>
          <t>2026-09-12 23:30</t>
        </is>
      </c>
      <c r="D524" s="25" t="n">
        <v>2</v>
      </c>
      <c r="E524" s="17" t="inlineStr">
        <is>
          <t>ATS</t>
        </is>
      </c>
      <c r="F524" s="17" t="inlineStr">
        <is>
          <t>TTU -25.5</t>
        </is>
      </c>
      <c r="G524" s="26" t="n">
        <v>25.5</v>
      </c>
      <c r="H524" s="18" t="n">
        <v>-112</v>
      </c>
      <c r="I524" s="20" t="n">
        <v>0.2563303370929583</v>
      </c>
      <c r="J524" s="20" t="n">
        <v>0.5043297540699688</v>
      </c>
      <c r="K524" s="20" t="n">
        <v>0.5283018867924528</v>
      </c>
      <c r="L524" s="19" t="n">
        <v>-0.09499393633922507</v>
      </c>
      <c r="M524" s="19" t="n">
        <v>-0.5148032905026148</v>
      </c>
      <c r="N524" s="20" t="n">
        <v>0</v>
      </c>
      <c r="O524" s="27" t="n">
        <v>0.725</v>
      </c>
      <c r="P524" s="17" t="inlineStr">
        <is>
          <t>DraftKings</t>
        </is>
      </c>
      <c r="Q524" s="17" t="inlineStr">
        <is>
          <t>raw model/market disagreement exceeds the safety limit</t>
        </is>
      </c>
    </row>
    <row r="525">
      <c r="A525" s="12" t="inlineStr">
        <is>
          <t>PASS</t>
        </is>
      </c>
      <c r="B525" s="12" t="inlineStr">
        <is>
          <t>LT @ LSU</t>
        </is>
      </c>
      <c r="C525" s="12" t="inlineStr">
        <is>
          <t>2026-09-12 23:30</t>
        </is>
      </c>
      <c r="D525" s="22" t="n">
        <v>2</v>
      </c>
      <c r="E525" s="12" t="inlineStr">
        <is>
          <t>ATS</t>
        </is>
      </c>
      <c r="F525" s="12" t="inlineStr">
        <is>
          <t>LSU -35.5</t>
        </is>
      </c>
      <c r="G525" s="23" t="n">
        <v>-35.5</v>
      </c>
      <c r="H525" s="13" t="n">
        <v>100</v>
      </c>
      <c r="I525" s="15" t="n">
        <v>0.2428578761953729</v>
      </c>
      <c r="J525" s="15" t="n">
        <v>0.4782608695652174</v>
      </c>
      <c r="K525" s="15" t="n">
        <v>0.5</v>
      </c>
      <c r="L525" s="14" t="n">
        <v>-0.09499399549080635</v>
      </c>
      <c r="M525" s="14" t="n">
        <v>-0.5142842476092542</v>
      </c>
      <c r="N525" s="15" t="n">
        <v>0</v>
      </c>
      <c r="O525" s="24" t="n">
        <v>0.725</v>
      </c>
      <c r="P525" s="12" t="inlineStr">
        <is>
          <t>DraftKings</t>
        </is>
      </c>
      <c r="Q525" s="12" t="inlineStr">
        <is>
          <t>raw model/market disagreement exceeds the safety limit</t>
        </is>
      </c>
    </row>
    <row r="526">
      <c r="A526" s="17" t="inlineStr">
        <is>
          <t>PASS</t>
        </is>
      </c>
      <c r="B526" s="17" t="inlineStr">
        <is>
          <t>WCU @ CIN</t>
        </is>
      </c>
      <c r="C526" s="17" t="inlineStr">
        <is>
          <t>2026-09-12 23:00</t>
        </is>
      </c>
      <c r="D526" s="25" t="n">
        <v>2</v>
      </c>
      <c r="E526" s="17" t="inlineStr">
        <is>
          <t>ATS</t>
        </is>
      </c>
      <c r="F526" s="17" t="inlineStr">
        <is>
          <t>CIN -36.5</t>
        </is>
      </c>
      <c r="G526" s="26" t="n">
        <v>-36.5</v>
      </c>
      <c r="H526" s="18" t="n">
        <v>-108</v>
      </c>
      <c r="I526" s="20" t="n">
        <v>0.2510758718123928</v>
      </c>
      <c r="J526" s="20" t="n">
        <v>0.4956702459300312</v>
      </c>
      <c r="K526" s="20" t="n">
        <v>0.5192307692307693</v>
      </c>
      <c r="L526" s="19" t="n">
        <v>-0.09499415213112618</v>
      </c>
      <c r="M526" s="19" t="n">
        <v>-0.5164464691020583</v>
      </c>
      <c r="N526" s="20" t="n">
        <v>0</v>
      </c>
      <c r="O526" s="27" t="n">
        <v>0.4</v>
      </c>
      <c r="P526" s="17" t="inlineStr">
        <is>
          <t>DraftKings</t>
        </is>
      </c>
      <c r="Q526" s="17" t="inlineStr">
        <is>
          <t>WCU isn't a full FBS participant this season — model doesn't rate them reliably</t>
        </is>
      </c>
    </row>
    <row r="527">
      <c r="A527" s="12" t="inlineStr">
        <is>
          <t>PASS</t>
        </is>
      </c>
      <c r="B527" s="12" t="inlineStr">
        <is>
          <t>VILL @ LOU</t>
        </is>
      </c>
      <c r="C527" s="12" t="inlineStr">
        <is>
          <t>2026-09-11 23:00</t>
        </is>
      </c>
      <c r="D527" s="22" t="n">
        <v>2</v>
      </c>
      <c r="E527" s="12" t="inlineStr">
        <is>
          <t>ATS</t>
        </is>
      </c>
      <c r="F527" s="12" t="inlineStr">
        <is>
          <t>LOU -36.5</t>
        </is>
      </c>
      <c r="G527" s="23" t="n">
        <v>-36.5</v>
      </c>
      <c r="H527" s="13" t="n">
        <v>-110</v>
      </c>
      <c r="I527" s="15" t="n">
        <v>0.2531991691875933</v>
      </c>
      <c r="J527" s="15" t="n">
        <v>0.5</v>
      </c>
      <c r="K527" s="15" t="n">
        <v>0.5238095238095238</v>
      </c>
      <c r="L527" s="14" t="n">
        <v>-0.09499416931357305</v>
      </c>
      <c r="M527" s="14" t="n">
        <v>-0.5166197679145945</v>
      </c>
      <c r="N527" s="15" t="n">
        <v>0</v>
      </c>
      <c r="O527" s="24" t="n">
        <v>0.4</v>
      </c>
      <c r="P527" s="12" t="inlineStr">
        <is>
          <t>DraftKings</t>
        </is>
      </c>
      <c r="Q527" s="12" t="inlineStr">
        <is>
          <t>VILL isn't a full FBS participant this season — model doesn't rate them reliably</t>
        </is>
      </c>
    </row>
    <row r="528">
      <c r="A528" s="17" t="inlineStr">
        <is>
          <t>PASS</t>
        </is>
      </c>
      <c r="B528" s="17" t="inlineStr">
        <is>
          <t>WKU @ UGA</t>
        </is>
      </c>
      <c r="C528" s="17" t="inlineStr">
        <is>
          <t>2026-09-12 16:45</t>
        </is>
      </c>
      <c r="D528" s="25" t="n">
        <v>2</v>
      </c>
      <c r="E528" s="17" t="inlineStr">
        <is>
          <t>ATS</t>
        </is>
      </c>
      <c r="F528" s="17" t="inlineStr">
        <is>
          <t>UGA -40.5</t>
        </is>
      </c>
      <c r="G528" s="26" t="n">
        <v>-40.5</v>
      </c>
      <c r="H528" s="18" t="n">
        <v>-108</v>
      </c>
      <c r="I528" s="20" t="n">
        <v>0.2496270627755611</v>
      </c>
      <c r="J528" s="20" t="n">
        <v>0.4956702459300312</v>
      </c>
      <c r="K528" s="20" t="n">
        <v>0.5192307692307693</v>
      </c>
      <c r="L528" s="19" t="n">
        <v>-0.09499450112357494</v>
      </c>
      <c r="M528" s="19" t="n">
        <v>-0.5192367679878083</v>
      </c>
      <c r="N528" s="20" t="n">
        <v>0</v>
      </c>
      <c r="O528" s="27" t="n">
        <v>0.725</v>
      </c>
      <c r="P528" s="17" t="inlineStr">
        <is>
          <t>DraftKings</t>
        </is>
      </c>
      <c r="Q528" s="17" t="inlineStr">
        <is>
          <t>raw model/market disagreement exceeds the safety limit</t>
        </is>
      </c>
    </row>
    <row r="529">
      <c r="A529" s="12" t="inlineStr">
        <is>
          <t>PASS</t>
        </is>
      </c>
      <c r="B529" s="12" t="inlineStr">
        <is>
          <t>PV @ BAY</t>
        </is>
      </c>
      <c r="C529" s="12" t="inlineStr">
        <is>
          <t>2026-09-13 00:08</t>
        </is>
      </c>
      <c r="D529" s="22" t="n">
        <v>2</v>
      </c>
      <c r="E529" s="12" t="inlineStr">
        <is>
          <t>ATS</t>
        </is>
      </c>
      <c r="F529" s="12" t="inlineStr">
        <is>
          <t>BAY -39.5</t>
        </is>
      </c>
      <c r="G529" s="23" t="n">
        <v>-39.5</v>
      </c>
      <c r="H529" s="13" t="n">
        <v>-115</v>
      </c>
      <c r="I529" s="15" t="n">
        <v>0.2570758623848014</v>
      </c>
      <c r="J529" s="15" t="n">
        <v>0.5108342361863488</v>
      </c>
      <c r="K529" s="15" t="n">
        <v>0.5348837209302325</v>
      </c>
      <c r="L529" s="14" t="n">
        <v>-0.09499454356613318</v>
      </c>
      <c r="M529" s="14" t="n">
        <v>-0.5193799094545017</v>
      </c>
      <c r="N529" s="15" t="n">
        <v>0</v>
      </c>
      <c r="O529" s="24" t="n">
        <v>0.4</v>
      </c>
      <c r="P529" s="12" t="inlineStr">
        <is>
          <t>DraftKings</t>
        </is>
      </c>
      <c r="Q529" s="12" t="inlineStr">
        <is>
          <t>PV isn't a full FBS participant this season — model doesn't rate them reliably</t>
        </is>
      </c>
    </row>
    <row r="530">
      <c r="A530" s="17" t="inlineStr">
        <is>
          <t>PASS</t>
        </is>
      </c>
      <c r="B530" s="17" t="inlineStr">
        <is>
          <t>WIU @ WIS</t>
        </is>
      </c>
      <c r="C530" s="17" t="inlineStr">
        <is>
          <t>2026-09-12 23:15</t>
        </is>
      </c>
      <c r="D530" s="25" t="n">
        <v>2</v>
      </c>
      <c r="E530" s="17" t="inlineStr">
        <is>
          <t>ATS</t>
        </is>
      </c>
      <c r="F530" s="17" t="inlineStr">
        <is>
          <t>WIS -38.5</t>
        </is>
      </c>
      <c r="G530" s="26" t="n">
        <v>-38.5</v>
      </c>
      <c r="H530" s="18" t="n">
        <v>-105</v>
      </c>
      <c r="I530" s="20" t="n">
        <v>0.2461261095747636</v>
      </c>
      <c r="J530" s="20" t="n">
        <v>0.4891657638136511</v>
      </c>
      <c r="K530" s="20" t="n">
        <v>0.5121951219512195</v>
      </c>
      <c r="L530" s="19" t="n">
        <v>-0.09499455415972732</v>
      </c>
      <c r="M530" s="19" t="n">
        <v>-0.5194680717826046</v>
      </c>
      <c r="N530" s="20" t="n">
        <v>0</v>
      </c>
      <c r="O530" s="27" t="n">
        <v>0.4</v>
      </c>
      <c r="P530" s="17" t="inlineStr">
        <is>
          <t>DraftKings</t>
        </is>
      </c>
      <c r="Q530" s="17" t="inlineStr">
        <is>
          <t>WIU isn't a full FBS participant this season — model doesn't rate them reliably</t>
        </is>
      </c>
    </row>
    <row r="531">
      <c r="A531" s="12" t="inlineStr">
        <is>
          <t>PASS</t>
        </is>
      </c>
      <c r="B531" s="12" t="inlineStr">
        <is>
          <t>MERC @ UNM</t>
        </is>
      </c>
      <c r="C531" s="12" t="inlineStr">
        <is>
          <t>2026-09-12 20:00</t>
        </is>
      </c>
      <c r="D531" s="22" t="n">
        <v>2</v>
      </c>
      <c r="E531" s="12" t="inlineStr">
        <is>
          <t>ATS</t>
        </is>
      </c>
      <c r="F531" s="12" t="inlineStr">
        <is>
          <t>UNM -41.5</t>
        </is>
      </c>
      <c r="G531" s="23" t="n">
        <v>-41.5</v>
      </c>
      <c r="H531" s="13" t="n">
        <v>-108</v>
      </c>
      <c r="I531" s="15" t="n">
        <v>0.2491370127234603</v>
      </c>
      <c r="J531" s="15" t="n">
        <v>0.4956702459300312</v>
      </c>
      <c r="K531" s="15" t="n">
        <v>0.5192307692307693</v>
      </c>
      <c r="L531" s="14" t="n">
        <v>-0.09499461439067533</v>
      </c>
      <c r="M531" s="14" t="n">
        <v>-0.5201805680881506</v>
      </c>
      <c r="N531" s="15" t="n">
        <v>0</v>
      </c>
      <c r="O531" s="24" t="n">
        <v>0.725</v>
      </c>
      <c r="P531" s="12" t="inlineStr">
        <is>
          <t>DraftKings</t>
        </is>
      </c>
      <c r="Q531" s="12" t="inlineStr">
        <is>
          <t>MERC isn't a full FBS participant this season — model doesn't rate them reliably</t>
        </is>
      </c>
    </row>
    <row r="532">
      <c r="A532" s="17" t="inlineStr">
        <is>
          <t>PASS</t>
        </is>
      </c>
      <c r="B532" s="17" t="inlineStr">
        <is>
          <t>UTM @ WVU</t>
        </is>
      </c>
      <c r="C532" s="17" t="inlineStr">
        <is>
          <t>2026-09-12 17:00</t>
        </is>
      </c>
      <c r="D532" s="25" t="n">
        <v>2</v>
      </c>
      <c r="E532" s="17" t="inlineStr">
        <is>
          <t>ATS</t>
        </is>
      </c>
      <c r="F532" s="17" t="inlineStr">
        <is>
          <t>WVU -41.5</t>
        </is>
      </c>
      <c r="G532" s="26" t="n">
        <v>-41.5</v>
      </c>
      <c r="H532" s="18" t="n">
        <v>-108</v>
      </c>
      <c r="I532" s="20" t="n">
        <v>0.2487414647273226</v>
      </c>
      <c r="J532" s="20" t="n">
        <v>0.4956702459300312</v>
      </c>
      <c r="K532" s="20" t="n">
        <v>0.5192307692307693</v>
      </c>
      <c r="L532" s="19" t="n">
        <v>-0.09499470411133848</v>
      </c>
      <c r="M532" s="19" t="n">
        <v>-0.5209423642288602</v>
      </c>
      <c r="N532" s="20" t="n">
        <v>0</v>
      </c>
      <c r="O532" s="27" t="n">
        <v>0.4</v>
      </c>
      <c r="P532" s="17" t="inlineStr">
        <is>
          <t>DraftKings</t>
        </is>
      </c>
      <c r="Q532" s="17" t="inlineStr">
        <is>
          <t>UTM isn't a full FBS participant this season — model doesn't rate them reliably</t>
        </is>
      </c>
    </row>
    <row r="533">
      <c r="A533" s="12" t="inlineStr">
        <is>
          <t>PASS</t>
        </is>
      </c>
      <c r="B533" s="12" t="inlineStr">
        <is>
          <t>NORF @ UVA</t>
        </is>
      </c>
      <c r="C533" s="12" t="inlineStr">
        <is>
          <t>2026-09-11 23:00</t>
        </is>
      </c>
      <c r="D533" s="22" t="n">
        <v>2</v>
      </c>
      <c r="E533" s="12" t="inlineStr">
        <is>
          <t>ATS</t>
        </is>
      </c>
      <c r="F533" s="12" t="inlineStr">
        <is>
          <t>UVA -45.5</t>
        </is>
      </c>
      <c r="G533" s="23" t="n">
        <v>-45.5</v>
      </c>
      <c r="H533" s="13" t="n">
        <v>-102</v>
      </c>
      <c r="I533" s="15" t="n">
        <v>0.2421383996412131</v>
      </c>
      <c r="J533" s="15" t="n">
        <v>0.4826358742837298</v>
      </c>
      <c r="K533" s="15" t="n">
        <v>0.504950495049505</v>
      </c>
      <c r="L533" s="14" t="n">
        <v>-0.09499471842456635</v>
      </c>
      <c r="M533" s="14" t="n">
        <v>-0.5204710124752445</v>
      </c>
      <c r="N533" s="15" t="n">
        <v>0</v>
      </c>
      <c r="O533" s="24" t="n">
        <v>0.725</v>
      </c>
      <c r="P533" s="12" t="inlineStr">
        <is>
          <t>DraftKings</t>
        </is>
      </c>
      <c r="Q533" s="12" t="inlineStr">
        <is>
          <t>NORF isn't a full FBS participant this season — model doesn't rate them reliably</t>
        </is>
      </c>
    </row>
    <row r="534">
      <c r="A534" s="17" t="inlineStr">
        <is>
          <t>PASS</t>
        </is>
      </c>
      <c r="B534" s="17" t="inlineStr">
        <is>
          <t>TOW @ SC</t>
        </is>
      </c>
      <c r="C534" s="17" t="inlineStr">
        <is>
          <t>2026-09-12 23:00</t>
        </is>
      </c>
      <c r="D534" s="25" t="n">
        <v>2</v>
      </c>
      <c r="E534" s="17" t="inlineStr">
        <is>
          <t>ATS</t>
        </is>
      </c>
      <c r="F534" s="17" t="inlineStr">
        <is>
          <t>SC -43.5</t>
        </is>
      </c>
      <c r="G534" s="26" t="n">
        <v>-43.5</v>
      </c>
      <c r="H534" s="18" t="n">
        <v>-112</v>
      </c>
      <c r="I534" s="20" t="n">
        <v>0.2529530096713871</v>
      </c>
      <c r="J534" s="20" t="n">
        <v>0.5043297540699688</v>
      </c>
      <c r="K534" s="20" t="n">
        <v>0.5283018867924528</v>
      </c>
      <c r="L534" s="19" t="n">
        <v>-0.09499473366075327</v>
      </c>
      <c r="M534" s="19" t="n">
        <v>-0.521196088836303</v>
      </c>
      <c r="N534" s="20" t="n">
        <v>0</v>
      </c>
      <c r="O534" s="27" t="n">
        <v>0.725</v>
      </c>
      <c r="P534" s="17" t="inlineStr">
        <is>
          <t>DraftKings</t>
        </is>
      </c>
      <c r="Q534" s="17" t="inlineStr">
        <is>
          <t>TOW isn't a full FBS participant this season — model doesn't rate them reliably</t>
        </is>
      </c>
    </row>
    <row r="535">
      <c r="A535" s="12" t="inlineStr">
        <is>
          <t>PASS</t>
        </is>
      </c>
      <c r="B535" s="12" t="inlineStr">
        <is>
          <t>GRAM @ TCU</t>
        </is>
      </c>
      <c r="C535" s="12" t="inlineStr">
        <is>
          <t>2026-09-13 00:00</t>
        </is>
      </c>
      <c r="D535" s="22" t="n">
        <v>2</v>
      </c>
      <c r="E535" s="12" t="inlineStr">
        <is>
          <t>ATS</t>
        </is>
      </c>
      <c r="F535" s="12" t="inlineStr">
        <is>
          <t>TCU -43.5</t>
        </is>
      </c>
      <c r="G535" s="23" t="n">
        <v>-43.5</v>
      </c>
      <c r="H535" s="13" t="n">
        <v>-110</v>
      </c>
      <c r="I535" s="15" t="n">
        <v>0.2506175072629604</v>
      </c>
      <c r="J535" s="15" t="n">
        <v>0.5</v>
      </c>
      <c r="K535" s="15" t="n">
        <v>0.5238095238095238</v>
      </c>
      <c r="L535" s="14" t="n">
        <v>-0.09499476986892401</v>
      </c>
      <c r="M535" s="14" t="n">
        <v>-0.5215483952252573</v>
      </c>
      <c r="N535" s="15" t="n">
        <v>0</v>
      </c>
      <c r="O535" s="24" t="n">
        <v>0.4</v>
      </c>
      <c r="P535" s="12" t="inlineStr">
        <is>
          <t>DraftKings</t>
        </is>
      </c>
      <c r="Q535" s="12" t="inlineStr">
        <is>
          <t>GRAM isn't a full FBS participant this season — model doesn't rate them reliably</t>
        </is>
      </c>
    </row>
    <row r="536">
      <c r="A536" s="17" t="inlineStr">
        <is>
          <t>PASS</t>
        </is>
      </c>
      <c r="B536" s="17" t="inlineStr">
        <is>
          <t>RICE @ ND</t>
        </is>
      </c>
      <c r="C536" s="17" t="inlineStr">
        <is>
          <t>2026-09-12 19:30</t>
        </is>
      </c>
      <c r="D536" s="25" t="n">
        <v>2</v>
      </c>
      <c r="E536" s="17" t="inlineStr">
        <is>
          <t>ATS</t>
        </is>
      </c>
      <c r="F536" s="17" t="inlineStr">
        <is>
          <t>ND -44.5</t>
        </is>
      </c>
      <c r="G536" s="26" t="n">
        <v>-44.5</v>
      </c>
      <c r="H536" s="18" t="n">
        <v>-115</v>
      </c>
      <c r="I536" s="20" t="n">
        <v>0.2560381416835281</v>
      </c>
      <c r="J536" s="20" t="n">
        <v>0.5108342361863488</v>
      </c>
      <c r="K536" s="20" t="n">
        <v>0.5348837209302325</v>
      </c>
      <c r="L536" s="19" t="n">
        <v>-0.09499477199459834</v>
      </c>
      <c r="M536" s="19" t="n">
        <v>-0.5213199959829692</v>
      </c>
      <c r="N536" s="20" t="n">
        <v>0</v>
      </c>
      <c r="O536" s="27" t="n">
        <v>0.725</v>
      </c>
      <c r="P536" s="17" t="inlineStr">
        <is>
          <t>DraftKings</t>
        </is>
      </c>
      <c r="Q536" s="17" t="inlineStr">
        <is>
          <t>raw model/market disagreement exceeds the safety limit</t>
        </is>
      </c>
    </row>
    <row r="537">
      <c r="A537" s="12" t="inlineStr">
        <is>
          <t>PASS</t>
        </is>
      </c>
      <c r="B537" s="12" t="inlineStr">
        <is>
          <t>CLT @ MISS</t>
        </is>
      </c>
      <c r="C537" s="12" t="inlineStr">
        <is>
          <t>2026-09-12 23:45</t>
        </is>
      </c>
      <c r="D537" s="22" t="n">
        <v>2</v>
      </c>
      <c r="E537" s="12" t="inlineStr">
        <is>
          <t>ATS</t>
        </is>
      </c>
      <c r="F537" s="12" t="inlineStr">
        <is>
          <t>MISS -46.5</t>
        </is>
      </c>
      <c r="G537" s="23" t="n">
        <v>-46.5</v>
      </c>
      <c r="H537" s="13" t="n">
        <v>-105</v>
      </c>
      <c r="I537" s="15" t="n">
        <v>0.2449790539744259</v>
      </c>
      <c r="J537" s="15" t="n">
        <v>0.4891657638136511</v>
      </c>
      <c r="K537" s="15" t="n">
        <v>0.5121951219512195</v>
      </c>
      <c r="L537" s="14" t="n">
        <v>-0.09499481646806578</v>
      </c>
      <c r="M537" s="14" t="n">
        <v>-0.5217075612880255</v>
      </c>
      <c r="N537" s="15" t="n">
        <v>0</v>
      </c>
      <c r="O537" s="24" t="n">
        <v>0.725</v>
      </c>
      <c r="P537" s="12" t="inlineStr">
        <is>
          <t>DraftKings</t>
        </is>
      </c>
      <c r="Q537" s="12" t="inlineStr">
        <is>
          <t>raw model/market disagreement exceeds the safety limit</t>
        </is>
      </c>
    </row>
    <row r="538">
      <c r="A538" s="17" t="inlineStr">
        <is>
          <t>PASS</t>
        </is>
      </c>
      <c r="B538" s="17" t="inlineStr">
        <is>
          <t>WAG @ JMU</t>
        </is>
      </c>
      <c r="C538" s="17" t="inlineStr">
        <is>
          <t>2026-09-12 19:30</t>
        </is>
      </c>
      <c r="D538" s="25" t="n">
        <v>2</v>
      </c>
      <c r="E538" s="17" t="inlineStr">
        <is>
          <t>ATS</t>
        </is>
      </c>
      <c r="F538" s="17" t="inlineStr">
        <is>
          <t>JMU -45.5</t>
        </is>
      </c>
      <c r="G538" s="26" t="n">
        <v>-45.5</v>
      </c>
      <c r="H538" s="18" t="n">
        <v>-108</v>
      </c>
      <c r="I538" s="20" t="n">
        <v>0.2481791917766124</v>
      </c>
      <c r="J538" s="20" t="n">
        <v>0.4956702459300312</v>
      </c>
      <c r="K538" s="20" t="n">
        <v>0.5192307692307693</v>
      </c>
      <c r="L538" s="19" t="n">
        <v>-0.09499482908321388</v>
      </c>
      <c r="M538" s="19" t="n">
        <v>-0.5220252602820797</v>
      </c>
      <c r="N538" s="20" t="n">
        <v>0</v>
      </c>
      <c r="O538" s="27" t="n">
        <v>0.4</v>
      </c>
      <c r="P538" s="17" t="inlineStr">
        <is>
          <t>DraftKings</t>
        </is>
      </c>
      <c r="Q538" s="17" t="inlineStr">
        <is>
          <t>WAG isn't a full FBS participant this season — model doesn't rate them reliably</t>
        </is>
      </c>
    </row>
    <row r="539">
      <c r="A539" s="12" t="inlineStr">
        <is>
          <t>PASS</t>
        </is>
      </c>
      <c r="B539" s="12" t="inlineStr">
        <is>
          <t>CAM @ FLA</t>
        </is>
      </c>
      <c r="C539" s="12" t="inlineStr">
        <is>
          <t>2026-09-12 21:30</t>
        </is>
      </c>
      <c r="D539" s="22" t="n">
        <v>2</v>
      </c>
      <c r="E539" s="12" t="inlineStr">
        <is>
          <t>ATS</t>
        </is>
      </c>
      <c r="F539" s="12" t="inlineStr">
        <is>
          <t>FLA -49.5</t>
        </is>
      </c>
      <c r="G539" s="23" t="n">
        <v>-49.5</v>
      </c>
      <c r="H539" s="13" t="n">
        <v>-112</v>
      </c>
      <c r="I539" s="15" t="n">
        <v>0.2523107008389657</v>
      </c>
      <c r="J539" s="15" t="n">
        <v>0.5043297540699688</v>
      </c>
      <c r="K539" s="15" t="n">
        <v>0.5283018867924528</v>
      </c>
      <c r="L539" s="14" t="n">
        <v>-0.09499487298399671</v>
      </c>
      <c r="M539" s="14" t="n">
        <v>-0.522411887697672</v>
      </c>
      <c r="N539" s="15" t="n">
        <v>0</v>
      </c>
      <c r="O539" s="24" t="n">
        <v>0.4</v>
      </c>
      <c r="P539" s="12" t="inlineStr">
        <is>
          <t>DraftKings</t>
        </is>
      </c>
      <c r="Q539" s="12" t="inlineStr">
        <is>
          <t>CAM isn't a full FBS participant this season — model doesn't rate them reliably</t>
        </is>
      </c>
    </row>
    <row r="540">
      <c r="A540" s="17" t="inlineStr">
        <is>
          <t>PASS</t>
        </is>
      </c>
      <c r="B540" s="17" t="inlineStr">
        <is>
          <t>SOU @ HOU</t>
        </is>
      </c>
      <c r="C540" s="17" t="inlineStr">
        <is>
          <t>2026-09-12 23:00</t>
        </is>
      </c>
      <c r="D540" s="25" t="n">
        <v>2</v>
      </c>
      <c r="E540" s="17" t="inlineStr">
        <is>
          <t>ATS</t>
        </is>
      </c>
      <c r="F540" s="17" t="inlineStr">
        <is>
          <t>HOU -51.5</t>
        </is>
      </c>
      <c r="G540" s="26" t="n">
        <v>-51.5</v>
      </c>
      <c r="H540" s="18" t="n">
        <v>-112</v>
      </c>
      <c r="I540" s="20" t="n">
        <v>0.2522328065736266</v>
      </c>
      <c r="J540" s="20" t="n">
        <v>0.5043297540699688</v>
      </c>
      <c r="K540" s="20" t="n">
        <v>0.5283018867924528</v>
      </c>
      <c r="L540" s="19" t="n">
        <v>-0.09499488962748642</v>
      </c>
      <c r="M540" s="19" t="n">
        <v>-0.5225593304142068</v>
      </c>
      <c r="N540" s="20" t="n">
        <v>0</v>
      </c>
      <c r="O540" s="27" t="n">
        <v>0.4</v>
      </c>
      <c r="P540" s="17" t="inlineStr">
        <is>
          <t>DraftKings</t>
        </is>
      </c>
      <c r="Q540" s="17" t="inlineStr">
        <is>
          <t>SOU isn't a full FBS participant this season — model doesn't rate them reliably</t>
        </is>
      </c>
    </row>
    <row r="541">
      <c r="A541" s="12" t="inlineStr">
        <is>
          <t>PASS</t>
        </is>
      </c>
      <c r="B541" s="12" t="inlineStr">
        <is>
          <t>HOW @ IU</t>
        </is>
      </c>
      <c r="C541" s="12" t="inlineStr">
        <is>
          <t>2026-09-12 16:00</t>
        </is>
      </c>
      <c r="D541" s="22" t="n">
        <v>2</v>
      </c>
      <c r="E541" s="12" t="inlineStr">
        <is>
          <t>ATS</t>
        </is>
      </c>
      <c r="F541" s="12" t="inlineStr">
        <is>
          <t>IU -56.5</t>
        </is>
      </c>
      <c r="G541" s="23" t="n">
        <v>-56.5</v>
      </c>
      <c r="H541" s="13" t="n">
        <v>-112</v>
      </c>
      <c r="I541" s="15" t="n">
        <v>0.2521839140833119</v>
      </c>
      <c r="J541" s="15" t="n">
        <v>0.5043297540699688</v>
      </c>
      <c r="K541" s="15" t="n">
        <v>0.5283018867924528</v>
      </c>
      <c r="L541" s="14" t="n">
        <v>-0.09499490004662337</v>
      </c>
      <c r="M541" s="14" t="n">
        <v>-0.5226518769137309</v>
      </c>
      <c r="N541" s="15" t="n">
        <v>0</v>
      </c>
      <c r="O541" s="24" t="n">
        <v>0.4</v>
      </c>
      <c r="P541" s="12" t="inlineStr">
        <is>
          <t>DraftKings</t>
        </is>
      </c>
      <c r="Q541" s="12" t="inlineStr">
        <is>
          <t>HOW isn't a full FBS participant this season — model doesn't rate them reliably</t>
        </is>
      </c>
    </row>
    <row r="542">
      <c r="A542" s="17" t="inlineStr">
        <is>
          <t>PASS</t>
        </is>
      </c>
      <c r="B542" s="17" t="inlineStr">
        <is>
          <t>FAMU @ MIA</t>
        </is>
      </c>
      <c r="C542" s="17" t="inlineStr">
        <is>
          <t>2026-09-11 00:00</t>
        </is>
      </c>
      <c r="D542" s="25" t="n">
        <v>2</v>
      </c>
      <c r="E542" s="17" t="inlineStr">
        <is>
          <t>ATS</t>
        </is>
      </c>
      <c r="F542" s="17" t="inlineStr">
        <is>
          <t>MIA -59.5</t>
        </is>
      </c>
      <c r="G542" s="26" t="n">
        <v>-59.5</v>
      </c>
      <c r="H542" s="18" t="n">
        <v>-105</v>
      </c>
      <c r="I542" s="20" t="n">
        <v>0.2445955197732022</v>
      </c>
      <c r="J542" s="20" t="n">
        <v>0.4891657638136511</v>
      </c>
      <c r="K542" s="20" t="n">
        <v>0.5121951219512195</v>
      </c>
      <c r="L542" s="19" t="n">
        <v>-0.09499490132535469</v>
      </c>
      <c r="M542" s="19" t="n">
        <v>-0.5224563661570814</v>
      </c>
      <c r="N542" s="20" t="n">
        <v>0</v>
      </c>
      <c r="O542" s="27" t="n">
        <v>0.4</v>
      </c>
      <c r="P542" s="17" t="inlineStr">
        <is>
          <t>DraftKings</t>
        </is>
      </c>
      <c r="Q542" s="17" t="inlineStr">
        <is>
          <t>FAMU isn't a full FBS participant this season — model doesn't rate them reliably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9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1" customWidth="1" min="1" max="1"/>
    <col width="18" customWidth="1" min="2" max="2"/>
    <col width="9" customWidth="1" min="3" max="3"/>
    <col width="22" customWidth="1" min="4" max="4"/>
    <col width="8" customWidth="1" min="5" max="5"/>
    <col width="10" customWidth="1" min="6" max="6"/>
    <col width="9" customWidth="1" min="7" max="7"/>
    <col width="12" customWidth="1" min="8" max="8"/>
    <col width="16" customWidth="1" min="9" max="9"/>
    <col width="9" customWidth="1" min="10" max="10"/>
    <col width="11" customWidth="1" min="11" max="11"/>
    <col width="9" customWidth="1" min="12" max="12"/>
    <col width="9" customWidth="1" min="13" max="13"/>
    <col width="18" customWidth="1" min="14" max="14"/>
    <col width="14" customWidth="1" min="15" max="15"/>
  </cols>
  <sheetData>
    <row r="1" ht="22" customHeight="1">
      <c r="A1" s="1" t="inlineStr">
        <is>
          <t>Bet Ledger</t>
        </is>
      </c>
    </row>
    <row r="2" ht="26" customHeight="1">
      <c r="A2" s="2" t="inlineStr">
        <is>
          <t>Logged at the number the bet qualified at, graded once the game finished, never re-priced afterwards. Stake (F) and Result (G) are yours to correct; Profit/Loss, Running Bankroll and Cumulative ROI are formulas that follow them.</t>
        </is>
      </c>
    </row>
    <row r="4">
      <c r="A4" s="28" t="inlineStr">
        <is>
          <t>Profit/Loss uses American-odds payout on the price in column E. A Push returns the stake, so it books as zero.</t>
        </is>
      </c>
    </row>
    <row r="5">
      <c r="A5" s="11" t="inlineStr">
        <is>
          <t>Date</t>
        </is>
      </c>
      <c r="B5" s="11" t="inlineStr">
        <is>
          <t>Game</t>
        </is>
      </c>
      <c r="C5" s="11" t="inlineStr">
        <is>
          <t>Market</t>
        </is>
      </c>
      <c r="D5" s="11" t="inlineStr">
        <is>
          <t>Pick</t>
        </is>
      </c>
      <c r="E5" s="11" t="inlineStr">
        <is>
          <t>Price</t>
        </is>
      </c>
      <c r="F5" s="11" t="inlineStr">
        <is>
          <t>Stake</t>
        </is>
      </c>
      <c r="G5" s="11" t="inlineStr">
        <is>
          <t>Result</t>
        </is>
      </c>
      <c r="H5" s="11" t="inlineStr">
        <is>
          <t>Profit/Loss</t>
        </is>
      </c>
      <c r="I5" s="11" t="inlineStr">
        <is>
          <t>Running Bankroll</t>
        </is>
      </c>
      <c r="J5" s="11" t="inlineStr">
        <is>
          <t>Cum. ROI</t>
        </is>
      </c>
      <c r="K5" s="11" t="inlineStr">
        <is>
          <t>Tier</t>
        </is>
      </c>
      <c r="L5" s="11" t="inlineStr">
        <is>
          <t>Edge</t>
        </is>
      </c>
      <c r="M5" s="11" t="inlineStr">
        <is>
          <t>CLV</t>
        </is>
      </c>
      <c r="N5" s="11" t="inlineStr">
        <is>
          <t>Final Score</t>
        </is>
      </c>
      <c r="O5" s="11" t="inlineStr">
        <is>
          <t>Book</t>
        </is>
      </c>
    </row>
    <row r="6">
      <c r="A6" s="12" t="inlineStr">
        <is>
          <t>2026-09-19</t>
        </is>
      </c>
      <c r="B6" s="12" t="inlineStr">
        <is>
          <t>LSU @ MISS</t>
        </is>
      </c>
      <c r="C6" s="12" t="inlineStr">
        <is>
          <t>ATS</t>
        </is>
      </c>
      <c r="D6" s="12" t="inlineStr">
        <is>
          <t>MISS +2.5</t>
        </is>
      </c>
      <c r="E6" s="13" t="n">
        <v>-112</v>
      </c>
      <c r="F6" s="16" t="n">
        <v>6.5</v>
      </c>
      <c r="G6" s="12" t="inlineStr">
        <is>
          <t>Pending</t>
        </is>
      </c>
      <c r="H6" s="16">
        <f>IF(OR($G6="",$G6="Pending"),"",ROUND(IF($G6="Win",IF($E6&gt;0,$F6*$E6/100,$F6*100/-$E6),IF($G6="Loss",-$F6,0)),2))</f>
        <v/>
      </c>
      <c r="I6" s="16">
        <f>Settings!$B$5+SUM($H$6:$H6)</f>
        <v/>
      </c>
      <c r="J6" s="14">
        <f>IFERROR(SUM($H$6:$H6)/SUMIF($G$6:$G6,"&lt;&gt;Pending",$F$6:$F6),"")</f>
        <v/>
      </c>
      <c r="K6" s="12" t="inlineStr">
        <is>
          <t>GOOD</t>
        </is>
      </c>
      <c r="L6" s="14" t="n">
        <v>0.0914</v>
      </c>
      <c r="M6" s="14" t="n"/>
      <c r="N6" s="12" t="n"/>
      <c r="O6" s="12" t="inlineStr">
        <is>
          <t>DraftKings</t>
        </is>
      </c>
    </row>
    <row r="7">
      <c r="A7" s="17" t="inlineStr">
        <is>
          <t>2026-09-19</t>
        </is>
      </c>
      <c r="B7" s="17" t="inlineStr">
        <is>
          <t>LSU @ MISS</t>
        </is>
      </c>
      <c r="C7" s="17" t="inlineStr">
        <is>
          <t>TOTAL</t>
        </is>
      </c>
      <c r="D7" s="17" t="inlineStr">
        <is>
          <t>Under 57.5</t>
        </is>
      </c>
      <c r="E7" s="18" t="n">
        <v>-110</v>
      </c>
      <c r="F7" s="21" t="n">
        <v>5.5</v>
      </c>
      <c r="G7" s="17" t="inlineStr">
        <is>
          <t>Pending</t>
        </is>
      </c>
      <c r="H7" s="21">
        <f>IF(OR($G7="",$G7="Pending"),"",ROUND(IF($G7="Win",IF($E7&gt;0,$F7*$E7/100,$F7*100/-$E7),IF($G7="Loss",-$F7,0)),2))</f>
        <v/>
      </c>
      <c r="I7" s="21">
        <f>Settings!$B$5+SUM($H$6:$H7)</f>
        <v/>
      </c>
      <c r="J7" s="19">
        <f>IFERROR(SUM($H$6:$H7)/SUMIF($G$6:$G7,"&lt;&gt;Pending",$F$6:$F7),"")</f>
        <v/>
      </c>
      <c r="K7" s="17" t="inlineStr">
        <is>
          <t>GOOD</t>
        </is>
      </c>
      <c r="L7" s="19" t="n">
        <v>0.08749999999999999</v>
      </c>
      <c r="M7" s="19" t="n"/>
      <c r="N7" s="17" t="n"/>
      <c r="O7" s="17" t="inlineStr">
        <is>
          <t>DraftKings</t>
        </is>
      </c>
    </row>
    <row r="8">
      <c r="A8" s="12" t="inlineStr">
        <is>
          <t>2026-09-19</t>
        </is>
      </c>
      <c r="B8" s="12" t="inlineStr">
        <is>
          <t>WVU @ UVA</t>
        </is>
      </c>
      <c r="C8" s="12" t="inlineStr">
        <is>
          <t>ML</t>
        </is>
      </c>
      <c r="D8" s="12" t="inlineStr">
        <is>
          <t>WVU ML</t>
        </is>
      </c>
      <c r="E8" s="13" t="n">
        <v>240</v>
      </c>
      <c r="F8" s="16" t="n">
        <v>2.5</v>
      </c>
      <c r="G8" s="12" t="inlineStr">
        <is>
          <t>Pending</t>
        </is>
      </c>
      <c r="H8" s="16">
        <f>IF(OR($G8="",$G8="Pending"),"",ROUND(IF($G8="Win",IF($E8&gt;0,$F8*$E8/100,$F8*100/-$E8),IF($G8="Loss",-$F8,0)),2))</f>
        <v/>
      </c>
      <c r="I8" s="16">
        <f>Settings!$B$5+SUM($H$6:$H8)</f>
        <v/>
      </c>
      <c r="J8" s="14">
        <f>IFERROR(SUM($H$6:$H8)/SUMIF($G$6:$G8,"&lt;&gt;Pending",$F$6:$F8),"")</f>
        <v/>
      </c>
      <c r="K8" s="12" t="inlineStr">
        <is>
          <t>GOOD</t>
        </is>
      </c>
      <c r="L8" s="14" t="n">
        <v>0.09279999999999999</v>
      </c>
      <c r="M8" s="14" t="n"/>
      <c r="N8" s="12" t="n"/>
      <c r="O8" s="12" t="inlineStr">
        <is>
          <t>DraftKings</t>
        </is>
      </c>
    </row>
    <row r="9">
      <c r="A9" s="17" t="inlineStr">
        <is>
          <t>2026-09-19</t>
        </is>
      </c>
      <c r="B9" s="17" t="inlineStr">
        <is>
          <t>VT @ MD</t>
        </is>
      </c>
      <c r="C9" s="17" t="inlineStr">
        <is>
          <t>ATS</t>
        </is>
      </c>
      <c r="D9" s="17" t="inlineStr">
        <is>
          <t>MD +1.5</t>
        </is>
      </c>
      <c r="E9" s="18" t="n">
        <v>-112</v>
      </c>
      <c r="F9" s="21" t="n">
        <v>6</v>
      </c>
      <c r="G9" s="17" t="inlineStr">
        <is>
          <t>Pending</t>
        </is>
      </c>
      <c r="H9" s="21">
        <f>IF(OR($G9="",$G9="Pending"),"",ROUND(IF($G9="Win",IF($E9&gt;0,$F9*$E9/100,$F9*100/-$E9),IF($G9="Loss",-$F9,0)),2))</f>
        <v/>
      </c>
      <c r="I9" s="21">
        <f>Settings!$B$5+SUM($H$6:$H9)</f>
        <v/>
      </c>
      <c r="J9" s="19">
        <f>IFERROR(SUM($H$6:$H9)/SUMIF($G$6:$G9,"&lt;&gt;Pending",$F$6:$F9),"")</f>
        <v/>
      </c>
      <c r="K9" s="17" t="inlineStr">
        <is>
          <t>GOOD</t>
        </is>
      </c>
      <c r="L9" s="19" t="n">
        <v>0.0887</v>
      </c>
      <c r="M9" s="19" t="n"/>
      <c r="N9" s="17" t="n"/>
      <c r="O9" s="17" t="inlineStr">
        <is>
          <t>DraftKings</t>
        </is>
      </c>
    </row>
    <row r="10">
      <c r="A10" s="12" t="inlineStr">
        <is>
          <t>2026-09-19</t>
        </is>
      </c>
      <c r="B10" s="12" t="inlineStr">
        <is>
          <t>LSU @ MISS</t>
        </is>
      </c>
      <c r="C10" s="12" t="inlineStr">
        <is>
          <t>ML</t>
        </is>
      </c>
      <c r="D10" s="12" t="inlineStr">
        <is>
          <t>MISS ML</t>
        </is>
      </c>
      <c r="E10" s="13" t="n">
        <v>130</v>
      </c>
      <c r="F10" s="16" t="n">
        <v>5</v>
      </c>
      <c r="G10" s="12" t="inlineStr">
        <is>
          <t>Pending</t>
        </is>
      </c>
      <c r="H10" s="16">
        <f>IF(OR($G10="",$G10="Pending"),"",ROUND(IF($G10="Win",IF($E10&gt;0,$F10*$E10/100,$F10*100/-$E10),IF($G10="Loss",-$F10,0)),2))</f>
        <v/>
      </c>
      <c r="I10" s="16">
        <f>Settings!$B$5+SUM($H$6:$H10)</f>
        <v/>
      </c>
      <c r="J10" s="14">
        <f>IFERROR(SUM($H$6:$H10)/SUMIF($G$6:$G10,"&lt;&gt;Pending",$F$6:$F10),"")</f>
        <v/>
      </c>
      <c r="K10" s="12" t="inlineStr">
        <is>
          <t>GOOD</t>
        </is>
      </c>
      <c r="L10" s="14" t="n">
        <v>0.09429999999999999</v>
      </c>
      <c r="M10" s="14" t="n"/>
      <c r="N10" s="12" t="n"/>
      <c r="O10" s="12" t="inlineStr">
        <is>
          <t>DraftKings</t>
        </is>
      </c>
    </row>
    <row r="11">
      <c r="A11" s="17" t="inlineStr">
        <is>
          <t>2026-09-19</t>
        </is>
      </c>
      <c r="B11" s="17" t="inlineStr">
        <is>
          <t>FLA @ AUB</t>
        </is>
      </c>
      <c r="C11" s="17" t="inlineStr">
        <is>
          <t>ATS</t>
        </is>
      </c>
      <c r="D11" s="17" t="inlineStr">
        <is>
          <t>AUB +1.5</t>
        </is>
      </c>
      <c r="E11" s="18" t="n">
        <v>-115</v>
      </c>
      <c r="F11" s="21" t="n">
        <v>6</v>
      </c>
      <c r="G11" s="17" t="inlineStr">
        <is>
          <t>Pending</t>
        </is>
      </c>
      <c r="H11" s="21">
        <f>IF(OR($G11="",$G11="Pending"),"",ROUND(IF($G11="Win",IF($E11&gt;0,$F11*$E11/100,$F11*100/-$E11),IF($G11="Loss",-$F11,0)),2))</f>
        <v/>
      </c>
      <c r="I11" s="21">
        <f>Settings!$B$5+SUM($H$6:$H11)</f>
        <v/>
      </c>
      <c r="J11" s="19">
        <f>IFERROR(SUM($H$6:$H11)/SUMIF($G$6:$G11,"&lt;&gt;Pending",$F$6:$F11),"")</f>
        <v/>
      </c>
      <c r="K11" s="17" t="inlineStr">
        <is>
          <t>GOOD</t>
        </is>
      </c>
      <c r="L11" s="19" t="n">
        <v>0.0876</v>
      </c>
      <c r="M11" s="19" t="n"/>
      <c r="N11" s="17" t="n"/>
      <c r="O11" s="17" t="inlineStr">
        <is>
          <t>DraftKings</t>
        </is>
      </c>
    </row>
    <row r="12">
      <c r="A12" s="12" t="inlineStr">
        <is>
          <t>2026-09-19</t>
        </is>
      </c>
      <c r="B12" s="12" t="inlineStr">
        <is>
          <t>FLA @ AUB</t>
        </is>
      </c>
      <c r="C12" s="12" t="inlineStr">
        <is>
          <t>ML</t>
        </is>
      </c>
      <c r="D12" s="12" t="inlineStr">
        <is>
          <t>AUB ML</t>
        </is>
      </c>
      <c r="E12" s="13" t="n">
        <v>110</v>
      </c>
      <c r="F12" s="16" t="n">
        <v>5.5</v>
      </c>
      <c r="G12" s="12" t="inlineStr">
        <is>
          <t>Pending</t>
        </is>
      </c>
      <c r="H12" s="16">
        <f>IF(OR($G12="",$G12="Pending"),"",ROUND(IF($G12="Win",IF($E12&gt;0,$F12*$E12/100,$F12*100/-$E12),IF($G12="Loss",-$F12,0)),2))</f>
        <v/>
      </c>
      <c r="I12" s="16">
        <f>Settings!$B$5+SUM($H$6:$H12)</f>
        <v/>
      </c>
      <c r="J12" s="14">
        <f>IFERROR(SUM($H$6:$H12)/SUMIF($G$6:$G12,"&lt;&gt;Pending",$F$6:$F12),"")</f>
        <v/>
      </c>
      <c r="K12" s="12" t="inlineStr">
        <is>
          <t>GOOD</t>
        </is>
      </c>
      <c r="L12" s="14" t="n">
        <v>0.0917</v>
      </c>
      <c r="M12" s="14" t="n"/>
      <c r="N12" s="12" t="n"/>
      <c r="O12" s="12" t="inlineStr">
        <is>
          <t>DraftKings</t>
        </is>
      </c>
    </row>
    <row r="13">
      <c r="A13" s="17" t="inlineStr">
        <is>
          <t>2026-09-19</t>
        </is>
      </c>
      <c r="B13" s="17" t="inlineStr">
        <is>
          <t>MSST @ SC</t>
        </is>
      </c>
      <c r="C13" s="17" t="inlineStr">
        <is>
          <t>ML</t>
        </is>
      </c>
      <c r="D13" s="17" t="inlineStr">
        <is>
          <t>MSST ML</t>
        </is>
      </c>
      <c r="E13" s="18" t="n">
        <v>240</v>
      </c>
      <c r="F13" s="21" t="n">
        <v>2</v>
      </c>
      <c r="G13" s="17" t="inlineStr">
        <is>
          <t>Pending</t>
        </is>
      </c>
      <c r="H13" s="21">
        <f>IF(OR($G13="",$G13="Pending"),"",ROUND(IF($G13="Win",IF($E13&gt;0,$F13*$E13/100,$F13*100/-$E13),IF($G13="Loss",-$F13,0)),2))</f>
        <v/>
      </c>
      <c r="I13" s="21">
        <f>Settings!$B$5+SUM($H$6:$H13)</f>
        <v/>
      </c>
      <c r="J13" s="19">
        <f>IFERROR(SUM($H$6:$H13)/SUMIF($G$6:$G13,"&lt;&gt;Pending",$F$6:$F13),"")</f>
        <v/>
      </c>
      <c r="K13" s="17" t="inlineStr">
        <is>
          <t>GOOD</t>
        </is>
      </c>
      <c r="L13" s="19" t="n">
        <v>0.08450000000000001</v>
      </c>
      <c r="M13" s="19" t="n"/>
      <c r="N13" s="17" t="n"/>
      <c r="O13" s="17" t="inlineStr">
        <is>
          <t>DraftKings</t>
        </is>
      </c>
    </row>
    <row r="14">
      <c r="A14" s="12" t="inlineStr">
        <is>
          <t>2026-09-19</t>
        </is>
      </c>
      <c r="B14" s="12" t="inlineStr">
        <is>
          <t>FSU @ ALA</t>
        </is>
      </c>
      <c r="C14" s="12" t="inlineStr">
        <is>
          <t>ML</t>
        </is>
      </c>
      <c r="D14" s="12" t="inlineStr">
        <is>
          <t>FSU ML</t>
        </is>
      </c>
      <c r="E14" s="13" t="n">
        <v>440</v>
      </c>
      <c r="F14" s="16" t="n">
        <v>1.5</v>
      </c>
      <c r="G14" s="12" t="inlineStr">
        <is>
          <t>Pending</t>
        </is>
      </c>
      <c r="H14" s="16">
        <f>IF(OR($G14="",$G14="Pending"),"",ROUND(IF($G14="Win",IF($E14&gt;0,$F14*$E14/100,$F14*100/-$E14),IF($G14="Loss",-$F14,0)),2))</f>
        <v/>
      </c>
      <c r="I14" s="16">
        <f>Settings!$B$5+SUM($H$6:$H14)</f>
        <v/>
      </c>
      <c r="J14" s="14">
        <f>IFERROR(SUM($H$6:$H14)/SUMIF($G$6:$G14,"&lt;&gt;Pending",$F$6:$F14),"")</f>
        <v/>
      </c>
      <c r="K14" s="12" t="inlineStr">
        <is>
          <t>GOOD</t>
        </is>
      </c>
      <c r="L14" s="14" t="n">
        <v>0.0949</v>
      </c>
      <c r="M14" s="14" t="n"/>
      <c r="N14" s="12" t="n"/>
      <c r="O14" s="12" t="inlineStr">
        <is>
          <t>DraftKings</t>
        </is>
      </c>
    </row>
    <row r="15">
      <c r="A15" s="17" t="inlineStr">
        <is>
          <t>2026-09-19</t>
        </is>
      </c>
      <c r="B15" s="17" t="inlineStr">
        <is>
          <t>SMU @ LOU</t>
        </is>
      </c>
      <c r="C15" s="17" t="inlineStr">
        <is>
          <t>TOTAL</t>
        </is>
      </c>
      <c r="D15" s="17" t="inlineStr">
        <is>
          <t>Under 56.5</t>
        </is>
      </c>
      <c r="E15" s="18" t="n">
        <v>-112</v>
      </c>
      <c r="F15" s="21" t="n">
        <v>4.5</v>
      </c>
      <c r="G15" s="17" t="inlineStr">
        <is>
          <t>Pending</t>
        </is>
      </c>
      <c r="H15" s="21">
        <f>IF(OR($G15="",$G15="Pending"),"",ROUND(IF($G15="Win",IF($E15&gt;0,$F15*$E15/100,$F15*100/-$E15),IF($G15="Loss",-$F15,0)),2))</f>
        <v/>
      </c>
      <c r="I15" s="21">
        <f>Settings!$B$5+SUM($H$6:$H15)</f>
        <v/>
      </c>
      <c r="J15" s="19">
        <f>IFERROR(SUM($H$6:$H15)/SUMIF($G$6:$G15,"&lt;&gt;Pending",$F$6:$F15),"")</f>
        <v/>
      </c>
      <c r="K15" s="17" t="inlineStr">
        <is>
          <t>LEAN</t>
        </is>
      </c>
      <c r="L15" s="19" t="n">
        <v>0.0829</v>
      </c>
      <c r="M15" s="19" t="n"/>
      <c r="N15" s="17" t="n"/>
      <c r="O15" s="17" t="inlineStr">
        <is>
          <t>DraftKings</t>
        </is>
      </c>
    </row>
    <row r="16">
      <c r="A16" s="12" t="inlineStr">
        <is>
          <t>2026-09-19</t>
        </is>
      </c>
      <c r="B16" s="12" t="inlineStr">
        <is>
          <t>UNC @ CLEM</t>
        </is>
      </c>
      <c r="C16" s="12" t="inlineStr">
        <is>
          <t>ML</t>
        </is>
      </c>
      <c r="D16" s="12" t="inlineStr">
        <is>
          <t>UNC ML</t>
        </is>
      </c>
      <c r="E16" s="13" t="n">
        <v>320</v>
      </c>
      <c r="F16" s="16" t="n">
        <v>2</v>
      </c>
      <c r="G16" s="12" t="inlineStr">
        <is>
          <t>Pending</t>
        </is>
      </c>
      <c r="H16" s="16">
        <f>IF(OR($G16="",$G16="Pending"),"",ROUND(IF($G16="Win",IF($E16&gt;0,$F16*$E16/100,$F16*100/-$E16),IF($G16="Loss",-$F16,0)),2))</f>
        <v/>
      </c>
      <c r="I16" s="16">
        <f>Settings!$B$5+SUM($H$6:$H16)</f>
        <v/>
      </c>
      <c r="J16" s="14">
        <f>IFERROR(SUM($H$6:$H16)/SUMIF($G$6:$G16,"&lt;&gt;Pending",$F$6:$F16),"")</f>
        <v/>
      </c>
      <c r="K16" s="12" t="inlineStr">
        <is>
          <t>BEST BET</t>
        </is>
      </c>
      <c r="L16" s="14" t="n">
        <v>0.095</v>
      </c>
      <c r="M16" s="14" t="n"/>
      <c r="N16" s="12" t="n"/>
      <c r="O16" s="12" t="inlineStr">
        <is>
          <t>DraftKings</t>
        </is>
      </c>
    </row>
    <row r="17">
      <c r="A17" s="17" t="inlineStr">
        <is>
          <t>2026-09-19</t>
        </is>
      </c>
      <c r="B17" s="17" t="inlineStr">
        <is>
          <t>HOU @ TTU</t>
        </is>
      </c>
      <c r="C17" s="17" t="inlineStr">
        <is>
          <t>ATS</t>
        </is>
      </c>
      <c r="D17" s="17" t="inlineStr">
        <is>
          <t>HOU +13.5</t>
        </is>
      </c>
      <c r="E17" s="18" t="n">
        <v>-115</v>
      </c>
      <c r="F17" s="21" t="n">
        <v>7.5</v>
      </c>
      <c r="G17" s="17" t="inlineStr">
        <is>
          <t>Pending</t>
        </is>
      </c>
      <c r="H17" s="21">
        <f>IF(OR($G17="",$G17="Pending"),"",ROUND(IF($G17="Win",IF($E17&gt;0,$F17*$E17/100,$F17*100/-$E17),IF($G17="Loss",-$F17,0)),2))</f>
        <v/>
      </c>
      <c r="I17" s="21">
        <f>Settings!$B$5+SUM($H$6:$H17)</f>
        <v/>
      </c>
      <c r="J17" s="19">
        <f>IFERROR(SUM($H$6:$H17)/SUMIF($G$6:$G17,"&lt;&gt;Pending",$F$6:$F17),"")</f>
        <v/>
      </c>
      <c r="K17" s="17" t="inlineStr">
        <is>
          <t>GOOD</t>
        </is>
      </c>
      <c r="L17" s="19" t="n">
        <v>0.09379999999999999</v>
      </c>
      <c r="M17" s="19" t="n"/>
      <c r="N17" s="17" t="n"/>
      <c r="O17" s="17" t="inlineStr">
        <is>
          <t>DraftKings</t>
        </is>
      </c>
    </row>
    <row r="18">
      <c r="A18" s="12" t="inlineStr">
        <is>
          <t>2026-09-17</t>
        </is>
      </c>
      <c r="B18" s="12" t="inlineStr">
        <is>
          <t>SYR @ PITT</t>
        </is>
      </c>
      <c r="C18" s="12" t="inlineStr">
        <is>
          <t>ML</t>
        </is>
      </c>
      <c r="D18" s="12" t="inlineStr">
        <is>
          <t>SYR ML</t>
        </is>
      </c>
      <c r="E18" s="13" t="n">
        <v>295</v>
      </c>
      <c r="F18" s="16" t="n">
        <v>2</v>
      </c>
      <c r="G18" s="12" t="inlineStr">
        <is>
          <t>Pending</t>
        </is>
      </c>
      <c r="H18" s="16">
        <f>IF(OR($G18="",$G18="Pending"),"",ROUND(IF($G18="Win",IF($E18&gt;0,$F18*$E18/100,$F18*100/-$E18),IF($G18="Loss",-$F18,0)),2))</f>
        <v/>
      </c>
      <c r="I18" s="16">
        <f>Settings!$B$5+SUM($H$6:$H18)</f>
        <v/>
      </c>
      <c r="J18" s="14">
        <f>IFERROR(SUM($H$6:$H18)/SUMIF($G$6:$G18,"&lt;&gt;Pending",$F$6:$F18),"")</f>
        <v/>
      </c>
      <c r="K18" s="12" t="inlineStr">
        <is>
          <t>GOOD</t>
        </is>
      </c>
      <c r="L18" s="14" t="n">
        <v>0.0936</v>
      </c>
      <c r="M18" s="14" t="n"/>
      <c r="N18" s="12" t="n"/>
      <c r="O18" s="12" t="inlineStr">
        <is>
          <t>DraftKings</t>
        </is>
      </c>
    </row>
    <row r="19">
      <c r="A19" s="17" t="inlineStr">
        <is>
          <t>2026-09-13</t>
        </is>
      </c>
      <c r="B19" s="17" t="inlineStr">
        <is>
          <t>NMSU @ HAW</t>
        </is>
      </c>
      <c r="C19" s="17" t="inlineStr">
        <is>
          <t>ATS</t>
        </is>
      </c>
      <c r="D19" s="17" t="inlineStr">
        <is>
          <t>NMSU +11.5</t>
        </is>
      </c>
      <c r="E19" s="18" t="n">
        <v>-108</v>
      </c>
      <c r="F19" s="21" t="n">
        <v>25</v>
      </c>
      <c r="G19" s="17" t="inlineStr">
        <is>
          <t>Pending</t>
        </is>
      </c>
      <c r="H19" s="21">
        <f>IF(OR($G19="",$G19="Pending"),"",ROUND(IF($G19="Win",IF($E19&gt;0,$F19*$E19/100,$F19*100/-$E19),IF($G19="Loss",-$F19,0)),2))</f>
        <v/>
      </c>
      <c r="I19" s="21">
        <f>Settings!$B$5+SUM($H$6:$H19)</f>
        <v/>
      </c>
      <c r="J19" s="19">
        <f>IFERROR(SUM($H$6:$H19)/SUMIF($G$6:$G19,"&lt;&gt;Pending",$F$6:$F19),"")</f>
        <v/>
      </c>
      <c r="K19" s="17" t="inlineStr">
        <is>
          <t>GOOD</t>
        </is>
      </c>
      <c r="L19" s="19" t="n">
        <v>0.0994</v>
      </c>
      <c r="M19" s="19" t="n"/>
      <c r="N19" s="17" t="n"/>
      <c r="O19" s="17" t="inlineStr">
        <is>
          <t>DraftKings</t>
        </is>
      </c>
    </row>
    <row r="20">
      <c r="A20" s="12" t="inlineStr">
        <is>
          <t>2026-09-13</t>
        </is>
      </c>
      <c r="B20" s="12" t="inlineStr">
        <is>
          <t>NMSU @ HAW</t>
        </is>
      </c>
      <c r="C20" s="12" t="inlineStr">
        <is>
          <t>ML</t>
        </is>
      </c>
      <c r="D20" s="12" t="inlineStr">
        <is>
          <t>NMSU ML</t>
        </is>
      </c>
      <c r="E20" s="13" t="n">
        <v>300</v>
      </c>
      <c r="F20" s="16" t="n">
        <v>2.5</v>
      </c>
      <c r="G20" s="12" t="inlineStr">
        <is>
          <t>Pending</t>
        </is>
      </c>
      <c r="H20" s="16">
        <f>IF(OR($G20="",$G20="Pending"),"",ROUND(IF($G20="Win",IF($E20&gt;0,$F20*$E20/100,$F20*100/-$E20),IF($G20="Loss",-$F20,0)),2))</f>
        <v/>
      </c>
      <c r="I20" s="16">
        <f>Settings!$B$5+SUM($H$6:$H20)</f>
        <v/>
      </c>
      <c r="J20" s="14">
        <f>IFERROR(SUM($H$6:$H20)/SUMIF($G$6:$G20,"&lt;&gt;Pending",$F$6:$F20),"")</f>
        <v/>
      </c>
      <c r="K20" s="12" t="inlineStr">
        <is>
          <t>BEST BET</t>
        </is>
      </c>
      <c r="L20" s="14" t="n">
        <v>0.0949</v>
      </c>
      <c r="M20" s="14" t="n"/>
      <c r="N20" s="12" t="n"/>
      <c r="O20" s="12" t="inlineStr">
        <is>
          <t>DraftKings</t>
        </is>
      </c>
    </row>
    <row r="21">
      <c r="A21" s="17" t="inlineStr">
        <is>
          <t>2026-09-13</t>
        </is>
      </c>
      <c r="B21" s="17" t="inlineStr">
        <is>
          <t>UL @ USC</t>
        </is>
      </c>
      <c r="C21" s="17" t="inlineStr">
        <is>
          <t>TOTAL</t>
        </is>
      </c>
      <c r="D21" s="17" t="inlineStr">
        <is>
          <t>Under 59.5</t>
        </is>
      </c>
      <c r="E21" s="18" t="n">
        <v>-112</v>
      </c>
      <c r="F21" s="21" t="n">
        <v>18.5</v>
      </c>
      <c r="G21" s="17" t="inlineStr">
        <is>
          <t>Pending</t>
        </is>
      </c>
      <c r="H21" s="21">
        <f>IF(OR($G21="",$G21="Pending"),"",ROUND(IF($G21="Win",IF($E21&gt;0,$F21*$E21/100,$F21*100/-$E21),IF($G21="Loss",-$F21,0)),2))</f>
        <v/>
      </c>
      <c r="I21" s="21">
        <f>Settings!$B$5+SUM($H$6:$H21)</f>
        <v/>
      </c>
      <c r="J21" s="19">
        <f>IFERROR(SUM($H$6:$H21)/SUMIF($G$6:$G21,"&lt;&gt;Pending",$F$6:$F21),"")</f>
        <v/>
      </c>
      <c r="K21" s="17" t="inlineStr">
        <is>
          <t>GOOD</t>
        </is>
      </c>
      <c r="L21" s="19" t="n">
        <v>0.1106</v>
      </c>
      <c r="M21" s="19" t="n"/>
      <c r="N21" s="17" t="n"/>
      <c r="O21" s="17" t="inlineStr">
        <is>
          <t>DraftKings</t>
        </is>
      </c>
    </row>
    <row r="22">
      <c r="A22" s="12" t="inlineStr">
        <is>
          <t>2026-09-13</t>
        </is>
      </c>
      <c r="B22" s="12" t="inlineStr">
        <is>
          <t>ARK @ UTAH</t>
        </is>
      </c>
      <c r="C22" s="12" t="inlineStr">
        <is>
          <t>ATS</t>
        </is>
      </c>
      <c r="D22" s="12" t="inlineStr">
        <is>
          <t>ARK +9.5</t>
        </is>
      </c>
      <c r="E22" s="13" t="n">
        <v>-105</v>
      </c>
      <c r="F22" s="16" t="n">
        <v>23.5</v>
      </c>
      <c r="G22" s="12" t="inlineStr">
        <is>
          <t>Pending</t>
        </is>
      </c>
      <c r="H22" s="16">
        <f>IF(OR($G22="",$G22="Pending"),"",ROUND(IF($G22="Win",IF($E22&gt;0,$F22*$E22/100,$F22*100/-$E22),IF($G22="Loss",-$F22,0)),2))</f>
        <v/>
      </c>
      <c r="I22" s="16">
        <f>Settings!$B$5+SUM($H$6:$H22)</f>
        <v/>
      </c>
      <c r="J22" s="14">
        <f>IFERROR(SUM($H$6:$H22)/SUMIF($G$6:$G22,"&lt;&gt;Pending",$F$6:$F22),"")</f>
        <v/>
      </c>
      <c r="K22" s="12" t="inlineStr">
        <is>
          <t>LEAN</t>
        </is>
      </c>
      <c r="L22" s="14" t="n">
        <v>0.09180000000000001</v>
      </c>
      <c r="M22" s="14" t="n"/>
      <c r="N22" s="12" t="n"/>
      <c r="O22" s="12" t="inlineStr">
        <is>
          <t>Draft Kings</t>
        </is>
      </c>
    </row>
    <row r="23">
      <c r="A23" s="17" t="inlineStr">
        <is>
          <t>2026-09-13</t>
        </is>
      </c>
      <c r="B23" s="17" t="inlineStr">
        <is>
          <t>ARK @ UTAH</t>
        </is>
      </c>
      <c r="C23" s="17" t="inlineStr">
        <is>
          <t>ML</t>
        </is>
      </c>
      <c r="D23" s="17" t="inlineStr">
        <is>
          <t>ARK ML</t>
        </is>
      </c>
      <c r="E23" s="18" t="n">
        <v>380</v>
      </c>
      <c r="F23" s="21" t="n">
        <v>2</v>
      </c>
      <c r="G23" s="17" t="inlineStr">
        <is>
          <t>Pending</t>
        </is>
      </c>
      <c r="H23" s="21">
        <f>IF(OR($G23="",$G23="Pending"),"",ROUND(IF($G23="Win",IF($E23&gt;0,$F23*$E23/100,$F23*100/-$E23),IF($G23="Loss",-$F23,0)),2))</f>
        <v/>
      </c>
      <c r="I23" s="21">
        <f>Settings!$B$5+SUM($H$6:$H23)</f>
        <v/>
      </c>
      <c r="J23" s="19">
        <f>IFERROR(SUM($H$6:$H23)/SUMIF($G$6:$G23,"&lt;&gt;Pending",$F$6:$F23),"")</f>
        <v/>
      </c>
      <c r="K23" s="17" t="inlineStr">
        <is>
          <t>GOOD</t>
        </is>
      </c>
      <c r="L23" s="19" t="n">
        <v>0.0948</v>
      </c>
      <c r="M23" s="19" t="n"/>
      <c r="N23" s="17" t="n"/>
      <c r="O23" s="17" t="inlineStr">
        <is>
          <t>DraftKings</t>
        </is>
      </c>
    </row>
    <row r="24">
      <c r="A24" s="12" t="inlineStr">
        <is>
          <t>2026-09-13</t>
        </is>
      </c>
      <c r="B24" s="12" t="inlineStr">
        <is>
          <t>NDSU @ AFA</t>
        </is>
      </c>
      <c r="C24" s="12" t="inlineStr">
        <is>
          <t>ML</t>
        </is>
      </c>
      <c r="D24" s="12" t="inlineStr">
        <is>
          <t>AFA ML</t>
        </is>
      </c>
      <c r="E24" s="13" t="n">
        <v>180</v>
      </c>
      <c r="F24" s="16" t="n">
        <v>4</v>
      </c>
      <c r="G24" s="12" t="inlineStr">
        <is>
          <t>Pending</t>
        </is>
      </c>
      <c r="H24" s="16">
        <f>IF(OR($G24="",$G24="Pending"),"",ROUND(IF($G24="Win",IF($E24&gt;0,$F24*$E24/100,$F24*100/-$E24),IF($G24="Loss",-$F24,0)),2))</f>
        <v/>
      </c>
      <c r="I24" s="16">
        <f>Settings!$B$5+SUM($H$6:$H24)</f>
        <v/>
      </c>
      <c r="J24" s="14">
        <f>IFERROR(SUM($H$6:$H24)/SUMIF($G$6:$G24,"&lt;&gt;Pending",$F$6:$F24),"")</f>
        <v/>
      </c>
      <c r="K24" s="12" t="inlineStr">
        <is>
          <t>GOOD</t>
        </is>
      </c>
      <c r="L24" s="14" t="n">
        <v>0.095</v>
      </c>
      <c r="M24" s="14" t="n"/>
      <c r="N24" s="12" t="n"/>
      <c r="O24" s="12" t="inlineStr">
        <is>
          <t>DraftKings</t>
        </is>
      </c>
    </row>
    <row r="25">
      <c r="A25" s="17" t="inlineStr">
        <is>
          <t>2026-09-12</t>
        </is>
      </c>
      <c r="B25" s="17" t="inlineStr">
        <is>
          <t>CLT @ MISS</t>
        </is>
      </c>
      <c r="C25" s="17" t="inlineStr">
        <is>
          <t>TOTAL</t>
        </is>
      </c>
      <c r="D25" s="17" t="inlineStr">
        <is>
          <t>Under 61.5</t>
        </is>
      </c>
      <c r="E25" s="18" t="n">
        <v>-108</v>
      </c>
      <c r="F25" s="21" t="n">
        <v>18.5</v>
      </c>
      <c r="G25" s="17" t="inlineStr">
        <is>
          <t>Pending</t>
        </is>
      </c>
      <c r="H25" s="21">
        <f>IF(OR($G25="",$G25="Pending"),"",ROUND(IF($G25="Win",IF($E25&gt;0,$F25*$E25/100,$F25*100/-$E25),IF($G25="Loss",-$F25,0)),2))</f>
        <v/>
      </c>
      <c r="I25" s="21">
        <f>Settings!$B$5+SUM($H$6:$H25)</f>
        <v/>
      </c>
      <c r="J25" s="19">
        <f>IFERROR(SUM($H$6:$H25)/SUMIF($G$6:$G25,"&lt;&gt;Pending",$F$6:$F25),"")</f>
        <v/>
      </c>
      <c r="K25" s="17" t="inlineStr">
        <is>
          <t>LEAN</t>
        </is>
      </c>
      <c r="L25" s="19" t="n">
        <v>0.1108</v>
      </c>
      <c r="M25" s="19" t="n"/>
      <c r="N25" s="17" t="n"/>
      <c r="O25" s="17" t="inlineStr">
        <is>
          <t>DraftKings</t>
        </is>
      </c>
    </row>
    <row r="26">
      <c r="A26" s="12" t="inlineStr">
        <is>
          <t>2026-09-12</t>
        </is>
      </c>
      <c r="B26" s="12" t="inlineStr">
        <is>
          <t>OSU @ TEX</t>
        </is>
      </c>
      <c r="C26" s="12" t="inlineStr">
        <is>
          <t>TOTAL</t>
        </is>
      </c>
      <c r="D26" s="12" t="inlineStr">
        <is>
          <t>Over 47.5</t>
        </is>
      </c>
      <c r="E26" s="13" t="n">
        <v>-110</v>
      </c>
      <c r="F26" s="16" t="n">
        <v>25</v>
      </c>
      <c r="G26" s="12" t="inlineStr">
        <is>
          <t>Pending</t>
        </is>
      </c>
      <c r="H26" s="16">
        <f>IF(OR($G26="",$G26="Pending"),"",ROUND(IF($G26="Win",IF($E26&gt;0,$F26*$E26/100,$F26*100/-$E26),IF($G26="Loss",-$F26,0)),2))</f>
        <v/>
      </c>
      <c r="I26" s="16">
        <f>Settings!$B$5+SUM($H$6:$H26)</f>
        <v/>
      </c>
      <c r="J26" s="14">
        <f>IFERROR(SUM($H$6:$H26)/SUMIF($G$6:$G26,"&lt;&gt;Pending",$F$6:$F26),"")</f>
        <v/>
      </c>
      <c r="K26" s="12" t="inlineStr">
        <is>
          <t>LEAN</t>
        </is>
      </c>
      <c r="L26" s="14" t="n">
        <v>0.1189</v>
      </c>
      <c r="M26" s="14" t="n"/>
      <c r="N26" s="12" t="n"/>
      <c r="O26" s="12" t="inlineStr">
        <is>
          <t>DraftKings</t>
        </is>
      </c>
    </row>
    <row r="27">
      <c r="A27" s="17" t="inlineStr">
        <is>
          <t>2026-09-12</t>
        </is>
      </c>
      <c r="B27" s="17" t="inlineStr">
        <is>
          <t>TTU @ ORST</t>
        </is>
      </c>
      <c r="C27" s="17" t="inlineStr">
        <is>
          <t>TOTAL</t>
        </is>
      </c>
      <c r="D27" s="17" t="inlineStr">
        <is>
          <t>Over 49.5</t>
        </is>
      </c>
      <c r="E27" s="18" t="n">
        <v>-108</v>
      </c>
      <c r="F27" s="21" t="n">
        <v>25</v>
      </c>
      <c r="G27" s="17" t="inlineStr">
        <is>
          <t>Pending</t>
        </is>
      </c>
      <c r="H27" s="21">
        <f>IF(OR($G27="",$G27="Pending"),"",ROUND(IF($G27="Win",IF($E27&gt;0,$F27*$E27/100,$F27*100/-$E27),IF($G27="Loss",-$F27,0)),2))</f>
        <v/>
      </c>
      <c r="I27" s="21">
        <f>Settings!$B$5+SUM($H$6:$H27)</f>
        <v/>
      </c>
      <c r="J27" s="19">
        <f>IFERROR(SUM($H$6:$H27)/SUMIF($G$6:$G27,"&lt;&gt;Pending",$F$6:$F27),"")</f>
        <v/>
      </c>
      <c r="K27" s="17" t="inlineStr">
        <is>
          <t>LEAN</t>
        </is>
      </c>
      <c r="L27" s="19" t="n">
        <v>0.1092</v>
      </c>
      <c r="M27" s="19" t="n"/>
      <c r="N27" s="17" t="n"/>
      <c r="O27" s="17" t="inlineStr">
        <is>
          <t>Draft Kings</t>
        </is>
      </c>
    </row>
    <row r="28">
      <c r="A28" s="12" t="inlineStr">
        <is>
          <t>2026-09-12</t>
        </is>
      </c>
      <c r="B28" s="12" t="inlineStr">
        <is>
          <t>ISU @ IOWA</t>
        </is>
      </c>
      <c r="C28" s="12" t="inlineStr">
        <is>
          <t>ATS</t>
        </is>
      </c>
      <c r="D28" s="12" t="inlineStr">
        <is>
          <t>ISU +12.5</t>
        </is>
      </c>
      <c r="E28" s="13" t="n">
        <v>-110</v>
      </c>
      <c r="F28" s="16" t="n">
        <v>25</v>
      </c>
      <c r="G28" s="12" t="inlineStr">
        <is>
          <t>Pending</t>
        </is>
      </c>
      <c r="H28" s="16">
        <f>IF(OR($G28="",$G28="Pending"),"",ROUND(IF($G28="Win",IF($E28&gt;0,$F28*$E28/100,$F28*100/-$E28),IF($G28="Loss",-$F28,0)),2))</f>
        <v/>
      </c>
      <c r="I28" s="16">
        <f>Settings!$B$5+SUM($H$6:$H28)</f>
        <v/>
      </c>
      <c r="J28" s="14">
        <f>IFERROR(SUM($H$6:$H28)/SUMIF($G$6:$G28,"&lt;&gt;Pending",$F$6:$F28),"")</f>
        <v/>
      </c>
      <c r="K28" s="12" t="inlineStr">
        <is>
          <t>LEAN</t>
        </is>
      </c>
      <c r="L28" s="14" t="n">
        <v>0.1201</v>
      </c>
      <c r="M28" s="14" t="n"/>
      <c r="N28" s="12" t="n"/>
      <c r="O28" s="12" t="inlineStr">
        <is>
          <t>DraftKings</t>
        </is>
      </c>
    </row>
    <row r="29">
      <c r="A29" s="17" t="inlineStr">
        <is>
          <t>2026-09-12</t>
        </is>
      </c>
      <c r="B29" s="17" t="inlineStr">
        <is>
          <t>ISU @ IOWA</t>
        </is>
      </c>
      <c r="C29" s="17" t="inlineStr">
        <is>
          <t>ML</t>
        </is>
      </c>
      <c r="D29" s="17" t="inlineStr">
        <is>
          <t>ISU ML</t>
        </is>
      </c>
      <c r="E29" s="18" t="n">
        <v>550</v>
      </c>
      <c r="F29" s="21" t="n">
        <v>19</v>
      </c>
      <c r="G29" s="17" t="inlineStr">
        <is>
          <t>Pending</t>
        </is>
      </c>
      <c r="H29" s="21">
        <f>IF(OR($G29="",$G29="Pending"),"",ROUND(IF($G29="Win",IF($E29&gt;0,$F29*$E29/100,$F29*100/-$E29),IF($G29="Loss",-$F29,0)),2))</f>
        <v/>
      </c>
      <c r="I29" s="21">
        <f>Settings!$B$5+SUM($H$6:$H29)</f>
        <v/>
      </c>
      <c r="J29" s="19">
        <f>IFERROR(SUM($H$6:$H29)/SUMIF($G$6:$G29,"&lt;&gt;Pending",$F$6:$F29),"")</f>
        <v/>
      </c>
      <c r="K29" s="17" t="inlineStr">
        <is>
          <t>LEAN</t>
        </is>
      </c>
      <c r="L29" s="19" t="n">
        <v>0.128</v>
      </c>
      <c r="M29" s="19" t="n"/>
      <c r="N29" s="17" t="n"/>
      <c r="O29" s="17" t="inlineStr">
        <is>
          <t>DraftKings</t>
        </is>
      </c>
    </row>
    <row r="30">
      <c r="A30" s="12" t="inlineStr">
        <is>
          <t>2026-09-12</t>
        </is>
      </c>
      <c r="B30" s="12" t="inlineStr">
        <is>
          <t>GASO @ CLEM</t>
        </is>
      </c>
      <c r="C30" s="12" t="inlineStr">
        <is>
          <t>TOTAL</t>
        </is>
      </c>
      <c r="D30" s="12" t="inlineStr">
        <is>
          <t>Under 57.5</t>
        </is>
      </c>
      <c r="E30" s="13" t="n">
        <v>-108</v>
      </c>
      <c r="F30" s="16" t="n">
        <v>24</v>
      </c>
      <c r="G30" s="12" t="inlineStr">
        <is>
          <t>Pending</t>
        </is>
      </c>
      <c r="H30" s="16">
        <f>IF(OR($G30="",$G30="Pending"),"",ROUND(IF($G30="Win",IF($E30&gt;0,$F30*$E30/100,$F30*100/-$E30),IF($G30="Loss",-$F30,0)),2))</f>
        <v/>
      </c>
      <c r="I30" s="16">
        <f>Settings!$B$5+SUM($H$6:$H30)</f>
        <v/>
      </c>
      <c r="J30" s="14">
        <f>IFERROR(SUM($H$6:$H30)/SUMIF($G$6:$G30,"&lt;&gt;Pending",$F$6:$F30),"")</f>
        <v/>
      </c>
      <c r="K30" s="12" t="inlineStr">
        <is>
          <t>LEAN</t>
        </is>
      </c>
      <c r="L30" s="14" t="n">
        <v>0.0882</v>
      </c>
      <c r="M30" s="14" t="n"/>
      <c r="N30" s="12" t="n"/>
      <c r="O30" s="12" t="inlineStr">
        <is>
          <t>Draft Kings</t>
        </is>
      </c>
    </row>
    <row r="31">
      <c r="A31" s="17" t="inlineStr">
        <is>
          <t>2026-09-12</t>
        </is>
      </c>
      <c r="B31" s="17" t="inlineStr">
        <is>
          <t>NAVY @ FAU</t>
        </is>
      </c>
      <c r="C31" s="17" t="inlineStr">
        <is>
          <t>ML</t>
        </is>
      </c>
      <c r="D31" s="17" t="inlineStr">
        <is>
          <t>FAU ML</t>
        </is>
      </c>
      <c r="E31" s="18" t="n">
        <v>195</v>
      </c>
      <c r="F31" s="21" t="n">
        <v>18.5</v>
      </c>
      <c r="G31" s="17" t="inlineStr">
        <is>
          <t>Pending</t>
        </is>
      </c>
      <c r="H31" s="21">
        <f>IF(OR($G31="",$G31="Pending"),"",ROUND(IF($G31="Win",IF($E31&gt;0,$F31*$E31/100,$F31*100/-$E31),IF($G31="Loss",-$F31,0)),2))</f>
        <v/>
      </c>
      <c r="I31" s="21">
        <f>Settings!$B$5+SUM($H$6:$H31)</f>
        <v/>
      </c>
      <c r="J31" s="19">
        <f>IFERROR(SUM($H$6:$H31)/SUMIF($G$6:$G31,"&lt;&gt;Pending",$F$6:$F31),"")</f>
        <v/>
      </c>
      <c r="K31" s="17" t="inlineStr">
        <is>
          <t>BEST BET</t>
        </is>
      </c>
      <c r="L31" s="19" t="n">
        <v>0.1327</v>
      </c>
      <c r="M31" s="19" t="n"/>
      <c r="N31" s="17" t="n"/>
      <c r="O31" s="17" t="inlineStr">
        <is>
          <t>DraftKings</t>
        </is>
      </c>
    </row>
    <row r="32">
      <c r="A32" s="12" t="inlineStr">
        <is>
          <t>2026-09-12</t>
        </is>
      </c>
      <c r="B32" s="12" t="inlineStr">
        <is>
          <t>SDSU @ UCLA</t>
        </is>
      </c>
      <c r="C32" s="12" t="inlineStr">
        <is>
          <t>ML</t>
        </is>
      </c>
      <c r="D32" s="12" t="inlineStr">
        <is>
          <t>SDSU ML</t>
        </is>
      </c>
      <c r="E32" s="13" t="n">
        <v>380</v>
      </c>
      <c r="F32" s="16" t="n">
        <v>2</v>
      </c>
      <c r="G32" s="12" t="inlineStr">
        <is>
          <t>Pending</t>
        </is>
      </c>
      <c r="H32" s="16">
        <f>IF(OR($G32="",$G32="Pending"),"",ROUND(IF($G32="Win",IF($E32&gt;0,$F32*$E32/100,$F32*100/-$E32),IF($G32="Loss",-$F32,0)),2))</f>
        <v/>
      </c>
      <c r="I32" s="16">
        <f>Settings!$B$5+SUM($H$6:$H32)</f>
        <v/>
      </c>
      <c r="J32" s="14">
        <f>IFERROR(SUM($H$6:$H32)/SUMIF($G$6:$G32,"&lt;&gt;Pending",$F$6:$F32),"")</f>
        <v/>
      </c>
      <c r="K32" s="12" t="inlineStr">
        <is>
          <t>GOOD</t>
        </is>
      </c>
      <c r="L32" s="14" t="n">
        <v>0.09470000000000001</v>
      </c>
      <c r="M32" s="14" t="n"/>
      <c r="N32" s="12" t="n"/>
      <c r="O32" s="12" t="inlineStr">
        <is>
          <t>DraftKings</t>
        </is>
      </c>
    </row>
    <row r="33">
      <c r="A33" s="17" t="inlineStr">
        <is>
          <t>2026-09-12</t>
        </is>
      </c>
      <c r="B33" s="17" t="inlineStr">
        <is>
          <t>SDSU @ UCLA</t>
        </is>
      </c>
      <c r="C33" s="17" t="inlineStr">
        <is>
          <t>TOTAL</t>
        </is>
      </c>
      <c r="D33" s="17" t="inlineStr">
        <is>
          <t>Over 48.5</t>
        </is>
      </c>
      <c r="E33" s="18" t="n">
        <v>-110</v>
      </c>
      <c r="F33" s="21" t="n">
        <v>25</v>
      </c>
      <c r="G33" s="17" t="inlineStr">
        <is>
          <t>Pending</t>
        </is>
      </c>
      <c r="H33" s="21">
        <f>IF(OR($G33="",$G33="Pending"),"",ROUND(IF($G33="Win",IF($E33&gt;0,$F33*$E33/100,$F33*100/-$E33),IF($G33="Loss",-$F33,0)),2))</f>
        <v/>
      </c>
      <c r="I33" s="21">
        <f>Settings!$B$5+SUM($H$6:$H33)</f>
        <v/>
      </c>
      <c r="J33" s="19">
        <f>IFERROR(SUM($H$6:$H33)/SUMIF($G$6:$G33,"&lt;&gt;Pending",$F$6:$F33),"")</f>
        <v/>
      </c>
      <c r="K33" s="17" t="inlineStr">
        <is>
          <t>LEAN</t>
        </is>
      </c>
      <c r="L33" s="19" t="n">
        <v>0.1218</v>
      </c>
      <c r="M33" s="19" t="n"/>
      <c r="N33" s="17" t="n"/>
      <c r="O33" s="17" t="inlineStr">
        <is>
          <t>Draft Kings</t>
        </is>
      </c>
    </row>
    <row r="34">
      <c r="A34" s="12" t="inlineStr">
        <is>
          <t>2026-09-12</t>
        </is>
      </c>
      <c r="B34" s="12" t="inlineStr">
        <is>
          <t>USA @ TULN</t>
        </is>
      </c>
      <c r="C34" s="12" t="inlineStr">
        <is>
          <t>ML</t>
        </is>
      </c>
      <c r="D34" s="12" t="inlineStr">
        <is>
          <t>USA ML</t>
        </is>
      </c>
      <c r="E34" s="13" t="n">
        <v>330</v>
      </c>
      <c r="F34" s="16" t="n">
        <v>2</v>
      </c>
      <c r="G34" s="12" t="inlineStr">
        <is>
          <t>Pending</t>
        </is>
      </c>
      <c r="H34" s="16">
        <f>IF(OR($G34="",$G34="Pending"),"",ROUND(IF($G34="Win",IF($E34&gt;0,$F34*$E34/100,$F34*100/-$E34),IF($G34="Loss",-$F34,0)),2))</f>
        <v/>
      </c>
      <c r="I34" s="16">
        <f>Settings!$B$5+SUM($H$6:$H34)</f>
        <v/>
      </c>
      <c r="J34" s="14">
        <f>IFERROR(SUM($H$6:$H34)/SUMIF($G$6:$G34,"&lt;&gt;Pending",$F$6:$F34),"")</f>
        <v/>
      </c>
      <c r="K34" s="12" t="inlineStr">
        <is>
          <t>GOOD</t>
        </is>
      </c>
      <c r="L34" s="14" t="n">
        <v>0.09470000000000001</v>
      </c>
      <c r="M34" s="14" t="n"/>
      <c r="N34" s="12" t="n"/>
      <c r="O34" s="12" t="inlineStr">
        <is>
          <t>DraftKings</t>
        </is>
      </c>
    </row>
    <row r="35">
      <c r="A35" s="17" t="inlineStr">
        <is>
          <t>2026-09-12</t>
        </is>
      </c>
      <c r="B35" s="17" t="inlineStr">
        <is>
          <t>MTSU @ MRSH</t>
        </is>
      </c>
      <c r="C35" s="17" t="inlineStr">
        <is>
          <t>ML</t>
        </is>
      </c>
      <c r="D35" s="17" t="inlineStr">
        <is>
          <t>MTSU ML</t>
        </is>
      </c>
      <c r="E35" s="18" t="n">
        <v>490</v>
      </c>
      <c r="F35" s="21" t="n">
        <v>1.5</v>
      </c>
      <c r="G35" s="17" t="inlineStr">
        <is>
          <t>Pending</t>
        </is>
      </c>
      <c r="H35" s="21">
        <f>IF(OR($G35="",$G35="Pending"),"",ROUND(IF($G35="Win",IF($E35&gt;0,$F35*$E35/100,$F35*100/-$E35),IF($G35="Loss",-$F35,0)),2))</f>
        <v/>
      </c>
      <c r="I35" s="21">
        <f>Settings!$B$5+SUM($H$6:$H35)</f>
        <v/>
      </c>
      <c r="J35" s="19">
        <f>IFERROR(SUM($H$6:$H35)/SUMIF($G$6:$G35,"&lt;&gt;Pending",$F$6:$F35),"")</f>
        <v/>
      </c>
      <c r="K35" s="17" t="inlineStr">
        <is>
          <t>BEST BET</t>
        </is>
      </c>
      <c r="L35" s="19" t="n">
        <v>0.095</v>
      </c>
      <c r="M35" s="19" t="n"/>
      <c r="N35" s="17" t="n"/>
      <c r="O35" s="17" t="inlineStr">
        <is>
          <t>DraftKings</t>
        </is>
      </c>
    </row>
    <row r="36">
      <c r="A36" s="12" t="inlineStr">
        <is>
          <t>2026-09-12</t>
        </is>
      </c>
      <c r="B36" s="12" t="inlineStr">
        <is>
          <t>MTSU @ MRSH</t>
        </is>
      </c>
      <c r="C36" s="12" t="inlineStr">
        <is>
          <t>TOTAL</t>
        </is>
      </c>
      <c r="D36" s="12" t="inlineStr">
        <is>
          <t>Under 57.5</t>
        </is>
      </c>
      <c r="E36" s="13" t="n">
        <v>-105</v>
      </c>
      <c r="F36" s="16" t="n">
        <v>14.5</v>
      </c>
      <c r="G36" s="12" t="inlineStr">
        <is>
          <t>Pending</t>
        </is>
      </c>
      <c r="H36" s="16">
        <f>IF(OR($G36="",$G36="Pending"),"",ROUND(IF($G36="Win",IF($E36&gt;0,$F36*$E36/100,$F36*100/-$E36),IF($G36="Loss",-$F36,0)),2))</f>
        <v/>
      </c>
      <c r="I36" s="16">
        <f>Settings!$B$5+SUM($H$6:$H36)</f>
        <v/>
      </c>
      <c r="J36" s="14">
        <f>IFERROR(SUM($H$6:$H36)/SUMIF($G$6:$G36,"&lt;&gt;Pending",$F$6:$F36),"")</f>
        <v/>
      </c>
      <c r="K36" s="12" t="inlineStr">
        <is>
          <t>LEAN</t>
        </is>
      </c>
      <c r="L36" s="14" t="n">
        <v>0.07820000000000001</v>
      </c>
      <c r="M36" s="14" t="n"/>
      <c r="N36" s="12" t="n"/>
      <c r="O36" s="12" t="inlineStr">
        <is>
          <t>DraftKings</t>
        </is>
      </c>
    </row>
    <row r="37">
      <c r="A37" s="17" t="inlineStr">
        <is>
          <t>2026-09-12</t>
        </is>
      </c>
      <c r="B37" s="17" t="inlineStr">
        <is>
          <t>BUFF @ FIU</t>
        </is>
      </c>
      <c r="C37" s="17" t="inlineStr">
        <is>
          <t>ML</t>
        </is>
      </c>
      <c r="D37" s="17" t="inlineStr">
        <is>
          <t>BUFF ML</t>
        </is>
      </c>
      <c r="E37" s="18" t="n">
        <v>340</v>
      </c>
      <c r="F37" s="21" t="n">
        <v>2</v>
      </c>
      <c r="G37" s="17" t="inlineStr">
        <is>
          <t>Pending</t>
        </is>
      </c>
      <c r="H37" s="21">
        <f>IF(OR($G37="",$G37="Pending"),"",ROUND(IF($G37="Win",IF($E37&gt;0,$F37*$E37/100,$F37*100/-$E37),IF($G37="Loss",-$F37,0)),2))</f>
        <v/>
      </c>
      <c r="I37" s="21">
        <f>Settings!$B$5+SUM($H$6:$H37)</f>
        <v/>
      </c>
      <c r="J37" s="19">
        <f>IFERROR(SUM($H$6:$H37)/SUMIF($G$6:$G37,"&lt;&gt;Pending",$F$6:$F37),"")</f>
        <v/>
      </c>
      <c r="K37" s="17" t="inlineStr">
        <is>
          <t>GOOD</t>
        </is>
      </c>
      <c r="L37" s="19" t="n">
        <v>0.0946</v>
      </c>
      <c r="M37" s="19" t="n"/>
      <c r="N37" s="17" t="n"/>
      <c r="O37" s="17" t="inlineStr">
        <is>
          <t>DraftKings</t>
        </is>
      </c>
    </row>
    <row r="38">
      <c r="A38" s="12" t="inlineStr">
        <is>
          <t>2026-09-12</t>
        </is>
      </c>
      <c r="B38" s="12" t="inlineStr">
        <is>
          <t>JVST @ OHIO</t>
        </is>
      </c>
      <c r="C38" s="12" t="inlineStr">
        <is>
          <t>TOTAL</t>
        </is>
      </c>
      <c r="D38" s="12" t="inlineStr">
        <is>
          <t>Over 48.5</t>
        </is>
      </c>
      <c r="E38" s="13" t="n">
        <v>-110</v>
      </c>
      <c r="F38" s="16" t="n">
        <v>25</v>
      </c>
      <c r="G38" s="12" t="inlineStr">
        <is>
          <t>Pending</t>
        </is>
      </c>
      <c r="H38" s="16">
        <f>IF(OR($G38="",$G38="Pending"),"",ROUND(IF($G38="Win",IF($E38&gt;0,$F38*$E38/100,$F38*100/-$E38),IF($G38="Loss",-$F38,0)),2))</f>
        <v/>
      </c>
      <c r="I38" s="16">
        <f>Settings!$B$5+SUM($H$6:$H38)</f>
        <v/>
      </c>
      <c r="J38" s="14">
        <f>IFERROR(SUM($H$6:$H38)/SUMIF($G$6:$G38,"&lt;&gt;Pending",$F$6:$F38),"")</f>
        <v/>
      </c>
      <c r="K38" s="12" t="inlineStr">
        <is>
          <t>LEAN</t>
        </is>
      </c>
      <c r="L38" s="14" t="n">
        <v>0.1159</v>
      </c>
      <c r="M38" s="14" t="n"/>
      <c r="N38" s="12" t="n"/>
      <c r="O38" s="12" t="inlineStr">
        <is>
          <t>Draft Kings</t>
        </is>
      </c>
    </row>
    <row r="39">
      <c r="A39" s="17" t="inlineStr">
        <is>
          <t>2026-09-12</t>
        </is>
      </c>
      <c r="B39" s="17" t="inlineStr">
        <is>
          <t>UNLV @ UNT</t>
        </is>
      </c>
      <c r="C39" s="17" t="inlineStr">
        <is>
          <t>ATS</t>
        </is>
      </c>
      <c r="D39" s="17" t="inlineStr">
        <is>
          <t>UNT +5.5</t>
        </is>
      </c>
      <c r="E39" s="18" t="n">
        <v>-105</v>
      </c>
      <c r="F39" s="21" t="n">
        <v>18.5</v>
      </c>
      <c r="G39" s="17" t="inlineStr">
        <is>
          <t>Pending</t>
        </is>
      </c>
      <c r="H39" s="21">
        <f>IF(OR($G39="",$G39="Pending"),"",ROUND(IF($G39="Win",IF($E39&gt;0,$F39*$E39/100,$F39*100/-$E39),IF($G39="Loss",-$F39,0)),2))</f>
        <v/>
      </c>
      <c r="I39" s="21">
        <f>Settings!$B$5+SUM($H$6:$H39)</f>
        <v/>
      </c>
      <c r="J39" s="19">
        <f>IFERROR(SUM($H$6:$H39)/SUMIF($G$6:$G39,"&lt;&gt;Pending",$F$6:$F39),"")</f>
        <v/>
      </c>
      <c r="K39" s="17" t="inlineStr">
        <is>
          <t>BEST BET</t>
        </is>
      </c>
      <c r="L39" s="19" t="n">
        <v>0.1238</v>
      </c>
      <c r="M39" s="19" t="n"/>
      <c r="N39" s="17" t="n"/>
      <c r="O39" s="17" t="inlineStr">
        <is>
          <t>DraftKings</t>
        </is>
      </c>
    </row>
    <row r="40">
      <c r="A40" s="12" t="inlineStr">
        <is>
          <t>2026-09-12</t>
        </is>
      </c>
      <c r="B40" s="12" t="inlineStr">
        <is>
          <t>UNLV @ UNT</t>
        </is>
      </c>
      <c r="C40" s="12" t="inlineStr">
        <is>
          <t>ML</t>
        </is>
      </c>
      <c r="D40" s="12" t="inlineStr">
        <is>
          <t>UNT ML</t>
        </is>
      </c>
      <c r="E40" s="13" t="n">
        <v>185</v>
      </c>
      <c r="F40" s="16" t="n">
        <v>24</v>
      </c>
      <c r="G40" s="12" t="inlineStr">
        <is>
          <t>Pending</t>
        </is>
      </c>
      <c r="H40" s="16">
        <f>IF(OR($G40="",$G40="Pending"),"",ROUND(IF($G40="Win",IF($E40&gt;0,$F40*$E40/100,$F40*100/-$E40),IF($G40="Loss",-$F40,0)),2))</f>
        <v/>
      </c>
      <c r="I40" s="16">
        <f>Settings!$B$5+SUM($H$6:$H40)</f>
        <v/>
      </c>
      <c r="J40" s="14">
        <f>IFERROR(SUM($H$6:$H40)/SUMIF($G$6:$G40,"&lt;&gt;Pending",$F$6:$F40),"")</f>
        <v/>
      </c>
      <c r="K40" s="12" t="inlineStr">
        <is>
          <t>GOOD</t>
        </is>
      </c>
      <c r="L40" s="14" t="n">
        <v>0.1187</v>
      </c>
      <c r="M40" s="14" t="n"/>
      <c r="N40" s="12" t="n"/>
      <c r="O40" s="12" t="inlineStr">
        <is>
          <t>Draft Kings</t>
        </is>
      </c>
    </row>
    <row r="41">
      <c r="A41" s="17" t="inlineStr">
        <is>
          <t>2026-09-12</t>
        </is>
      </c>
      <c r="B41" s="17" t="inlineStr">
        <is>
          <t>UCF @ PITT</t>
        </is>
      </c>
      <c r="C41" s="17" t="inlineStr">
        <is>
          <t>ATS</t>
        </is>
      </c>
      <c r="D41" s="17" t="inlineStr">
        <is>
          <t>UCF +8.5</t>
        </is>
      </c>
      <c r="E41" s="18" t="n">
        <v>-110</v>
      </c>
      <c r="F41" s="21" t="n">
        <v>15.5</v>
      </c>
      <c r="G41" s="17" t="inlineStr">
        <is>
          <t>Pending</t>
        </is>
      </c>
      <c r="H41" s="21">
        <f>IF(OR($G41="",$G41="Pending"),"",ROUND(IF($G41="Win",IF($E41&gt;0,$F41*$E41/100,$F41*100/-$E41),IF($G41="Loss",-$F41,0)),2))</f>
        <v/>
      </c>
      <c r="I41" s="21">
        <f>Settings!$B$5+SUM($H$6:$H41)</f>
        <v/>
      </c>
      <c r="J41" s="19">
        <f>IFERROR(SUM($H$6:$H41)/SUMIF($G$6:$G41,"&lt;&gt;Pending",$F$6:$F41),"")</f>
        <v/>
      </c>
      <c r="K41" s="17" t="inlineStr">
        <is>
          <t>LEAN</t>
        </is>
      </c>
      <c r="L41" s="19" t="n">
        <v>0.0569</v>
      </c>
      <c r="M41" s="19" t="n"/>
      <c r="N41" s="17" t="n"/>
      <c r="O41" s="17" t="inlineStr">
        <is>
          <t>Draft Kings</t>
        </is>
      </c>
    </row>
    <row r="42">
      <c r="A42" s="12" t="inlineStr">
        <is>
          <t>2026-09-12</t>
        </is>
      </c>
      <c r="B42" s="12" t="inlineStr">
        <is>
          <t>UCF @ PITT</t>
        </is>
      </c>
      <c r="C42" s="12" t="inlineStr">
        <is>
          <t>TOTAL</t>
        </is>
      </c>
      <c r="D42" s="12" t="inlineStr">
        <is>
          <t>Over 51.5</t>
        </is>
      </c>
      <c r="E42" s="13" t="n">
        <v>-108</v>
      </c>
      <c r="F42" s="16" t="n">
        <v>25</v>
      </c>
      <c r="G42" s="12" t="inlineStr">
        <is>
          <t>Pending</t>
        </is>
      </c>
      <c r="H42" s="16">
        <f>IF(OR($G42="",$G42="Pending"),"",ROUND(IF($G42="Win",IF($E42&gt;0,$F42*$E42/100,$F42*100/-$E42),IF($G42="Loss",-$F42,0)),2))</f>
        <v/>
      </c>
      <c r="I42" s="16">
        <f>Settings!$B$5+SUM($H$6:$H42)</f>
        <v/>
      </c>
      <c r="J42" s="14">
        <f>IFERROR(SUM($H$6:$H42)/SUMIF($G$6:$G42,"&lt;&gt;Pending",$F$6:$F42),"")</f>
        <v/>
      </c>
      <c r="K42" s="12" t="inlineStr">
        <is>
          <t>LEAN</t>
        </is>
      </c>
      <c r="L42" s="14" t="n">
        <v>0.1061</v>
      </c>
      <c r="M42" s="14" t="n"/>
      <c r="N42" s="12" t="n"/>
      <c r="O42" s="12" t="inlineStr">
        <is>
          <t>Draft Kings</t>
        </is>
      </c>
    </row>
    <row r="43">
      <c r="A43" s="17" t="inlineStr">
        <is>
          <t>2026-09-12</t>
        </is>
      </c>
      <c r="B43" s="17" t="inlineStr">
        <is>
          <t>CAL @ SYR</t>
        </is>
      </c>
      <c r="C43" s="17" t="inlineStr">
        <is>
          <t>ATS</t>
        </is>
      </c>
      <c r="D43" s="17" t="inlineStr">
        <is>
          <t>SYR +1.5</t>
        </is>
      </c>
      <c r="E43" s="18" t="n">
        <v>-108</v>
      </c>
      <c r="F43" s="21" t="n">
        <v>23</v>
      </c>
      <c r="G43" s="17" t="inlineStr">
        <is>
          <t>Pending</t>
        </is>
      </c>
      <c r="H43" s="21">
        <f>IF(OR($G43="",$G43="Pending"),"",ROUND(IF($G43="Win",IF($E43&gt;0,$F43*$E43/100,$F43*100/-$E43),IF($G43="Loss",-$F43,0)),2))</f>
        <v/>
      </c>
      <c r="I43" s="21">
        <f>Settings!$B$5+SUM($H$6:$H43)</f>
        <v/>
      </c>
      <c r="J43" s="19">
        <f>IFERROR(SUM($H$6:$H43)/SUMIF($G$6:$G43,"&lt;&gt;Pending",$F$6:$F43),"")</f>
        <v/>
      </c>
      <c r="K43" s="17" t="inlineStr">
        <is>
          <t>GOOD</t>
        </is>
      </c>
      <c r="L43" s="19" t="n">
        <v>0.0987</v>
      </c>
      <c r="M43" s="19" t="n"/>
      <c r="N43" s="17" t="n"/>
      <c r="O43" s="17" t="inlineStr">
        <is>
          <t>DraftKings</t>
        </is>
      </c>
    </row>
    <row r="44">
      <c r="A44" s="12" t="inlineStr">
        <is>
          <t>2026-09-12</t>
        </is>
      </c>
      <c r="B44" s="12" t="inlineStr">
        <is>
          <t>EMU @ MSU</t>
        </is>
      </c>
      <c r="C44" s="12" t="inlineStr">
        <is>
          <t>ML</t>
        </is>
      </c>
      <c r="D44" s="12" t="inlineStr">
        <is>
          <t>EMU ML</t>
        </is>
      </c>
      <c r="E44" s="13" t="n">
        <v>550</v>
      </c>
      <c r="F44" s="16" t="n">
        <v>16.5</v>
      </c>
      <c r="G44" s="12" t="inlineStr">
        <is>
          <t>Pending</t>
        </is>
      </c>
      <c r="H44" s="16">
        <f>IF(OR($G44="",$G44="Pending"),"",ROUND(IF($G44="Win",IF($E44&gt;0,$F44*$E44/100,$F44*100/-$E44),IF($G44="Loss",-$F44,0)),2))</f>
        <v/>
      </c>
      <c r="I44" s="16">
        <f>Settings!$B$5+SUM($H$6:$H44)</f>
        <v/>
      </c>
      <c r="J44" s="14">
        <f>IFERROR(SUM($H$6:$H44)/SUMIF($G$6:$G44,"&lt;&gt;Pending",$F$6:$F44),"")</f>
        <v/>
      </c>
      <c r="K44" s="12" t="inlineStr">
        <is>
          <t>LEAN</t>
        </is>
      </c>
      <c r="L44" s="14" t="n">
        <v>0.1106</v>
      </c>
      <c r="M44" s="14" t="n"/>
      <c r="N44" s="12" t="n"/>
      <c r="O44" s="12" t="inlineStr">
        <is>
          <t>Draft Kings</t>
        </is>
      </c>
    </row>
    <row r="45">
      <c r="A45" s="17" t="inlineStr">
        <is>
          <t>2026-09-12</t>
        </is>
      </c>
      <c r="B45" s="17" t="inlineStr">
        <is>
          <t>OU @ MICH</t>
        </is>
      </c>
      <c r="C45" s="17" t="inlineStr">
        <is>
          <t>ML</t>
        </is>
      </c>
      <c r="D45" s="17" t="inlineStr">
        <is>
          <t>MICH ML</t>
        </is>
      </c>
      <c r="E45" s="18" t="n">
        <v>170</v>
      </c>
      <c r="F45" s="21" t="n">
        <v>20</v>
      </c>
      <c r="G45" s="17" t="inlineStr">
        <is>
          <t>Pending</t>
        </is>
      </c>
      <c r="H45" s="21">
        <f>IF(OR($G45="",$G45="Pending"),"",ROUND(IF($G45="Win",IF($E45&gt;0,$F45*$E45/100,$F45*100/-$E45),IF($G45="Loss",-$F45,0)),2))</f>
        <v/>
      </c>
      <c r="I45" s="21">
        <f>Settings!$B$5+SUM($H$6:$H45)</f>
        <v/>
      </c>
      <c r="J45" s="19">
        <f>IFERROR(SUM($H$6:$H45)/SUMIF($G$6:$G45,"&lt;&gt;Pending",$F$6:$F45),"")</f>
        <v/>
      </c>
      <c r="K45" s="17" t="inlineStr">
        <is>
          <t>GOOD</t>
        </is>
      </c>
      <c r="L45" s="19" t="n">
        <v>0.1101</v>
      </c>
      <c r="M45" s="19" t="n"/>
      <c r="N45" s="17" t="n"/>
      <c r="O45" s="17" t="inlineStr">
        <is>
          <t>DraftKings</t>
        </is>
      </c>
    </row>
    <row r="46">
      <c r="A46" s="12" t="inlineStr">
        <is>
          <t>2026-09-12</t>
        </is>
      </c>
      <c r="B46" s="12" t="inlineStr">
        <is>
          <t>OU @ MICH</t>
        </is>
      </c>
      <c r="C46" s="12" t="inlineStr">
        <is>
          <t>TOTAL</t>
        </is>
      </c>
      <c r="D46" s="12" t="inlineStr">
        <is>
          <t>Over 46.5</t>
        </is>
      </c>
      <c r="E46" s="13" t="n">
        <v>-105</v>
      </c>
      <c r="F46" s="16" t="n">
        <v>23</v>
      </c>
      <c r="G46" s="12" t="inlineStr">
        <is>
          <t>Pending</t>
        </is>
      </c>
      <c r="H46" s="16">
        <f>IF(OR($G46="",$G46="Pending"),"",ROUND(IF($G46="Win",IF($E46&gt;0,$F46*$E46/100,$F46*100/-$E46),IF($G46="Loss",-$F46,0)),2))</f>
        <v/>
      </c>
      <c r="I46" s="16">
        <f>Settings!$B$5+SUM($H$6:$H46)</f>
        <v/>
      </c>
      <c r="J46" s="14">
        <f>IFERROR(SUM($H$6:$H46)/SUMIF($G$6:$G46,"&lt;&gt;Pending",$F$6:$F46),"")</f>
        <v/>
      </c>
      <c r="K46" s="12" t="inlineStr">
        <is>
          <t>LEAN</t>
        </is>
      </c>
      <c r="L46" s="14" t="n">
        <v>0.0851</v>
      </c>
      <c r="M46" s="14" t="n"/>
      <c r="N46" s="12" t="n"/>
      <c r="O46" s="12" t="inlineStr">
        <is>
          <t>Draft Kings</t>
        </is>
      </c>
    </row>
    <row r="47">
      <c r="A47" s="17" t="inlineStr">
        <is>
          <t>2026-09-12</t>
        </is>
      </c>
      <c r="B47" s="17" t="inlineStr">
        <is>
          <t>ASU @ TA&amp;M</t>
        </is>
      </c>
      <c r="C47" s="17" t="inlineStr">
        <is>
          <t>ATS</t>
        </is>
      </c>
      <c r="D47" s="17" t="inlineStr">
        <is>
          <t>ASU +14.5</t>
        </is>
      </c>
      <c r="E47" s="18" t="n">
        <v>-110</v>
      </c>
      <c r="F47" s="21" t="n">
        <v>26</v>
      </c>
      <c r="G47" s="17" t="inlineStr">
        <is>
          <t>Pending</t>
        </is>
      </c>
      <c r="H47" s="21">
        <f>IF(OR($G47="",$G47="Pending"),"",ROUND(IF($G47="Win",IF($E47&gt;0,$F47*$E47/100,$F47*100/-$E47),IF($G47="Loss",-$F47,0)),2))</f>
        <v/>
      </c>
      <c r="I47" s="21">
        <f>Settings!$B$5+SUM($H$6:$H47)</f>
        <v/>
      </c>
      <c r="J47" s="19">
        <f>IFERROR(SUM($H$6:$H47)/SUMIF($G$6:$G47,"&lt;&gt;Pending",$F$6:$F47),"")</f>
        <v/>
      </c>
      <c r="K47" s="17" t="inlineStr">
        <is>
          <t>LEAN</t>
        </is>
      </c>
      <c r="L47" s="19" t="n">
        <v>0.1221</v>
      </c>
      <c r="M47" s="19" t="n"/>
      <c r="N47" s="17" t="n"/>
      <c r="O47" s="17" t="inlineStr">
        <is>
          <t>Draft Kings</t>
        </is>
      </c>
    </row>
    <row r="48">
      <c r="A48" s="12" t="inlineStr">
        <is>
          <t>2026-09-12</t>
        </is>
      </c>
      <c r="B48" s="12" t="inlineStr">
        <is>
          <t>ASU @ TA&amp;M</t>
        </is>
      </c>
      <c r="C48" s="12" t="inlineStr">
        <is>
          <t>ML</t>
        </is>
      </c>
      <c r="D48" s="12" t="inlineStr">
        <is>
          <t>ASU ML</t>
        </is>
      </c>
      <c r="E48" s="13" t="n">
        <v>410</v>
      </c>
      <c r="F48" s="16" t="n">
        <v>16.5</v>
      </c>
      <c r="G48" s="12" t="inlineStr">
        <is>
          <t>Pending</t>
        </is>
      </c>
      <c r="H48" s="16">
        <f>IF(OR($G48="",$G48="Pending"),"",ROUND(IF($G48="Win",IF($E48&gt;0,$F48*$E48/100,$F48*100/-$E48),IF($G48="Loss",-$F48,0)),2))</f>
        <v/>
      </c>
      <c r="I48" s="16">
        <f>Settings!$B$5+SUM($H$6:$H48)</f>
        <v/>
      </c>
      <c r="J48" s="14">
        <f>IFERROR(SUM($H$6:$H48)/SUMIF($G$6:$G48,"&lt;&gt;Pending",$F$6:$F48),"")</f>
        <v/>
      </c>
      <c r="K48" s="12" t="inlineStr">
        <is>
          <t>LEAN</t>
        </is>
      </c>
      <c r="L48" s="14" t="n">
        <v>0.1061</v>
      </c>
      <c r="M48" s="14" t="n"/>
      <c r="N48" s="12" t="n"/>
      <c r="O48" s="12" t="inlineStr">
        <is>
          <t>DraftKings</t>
        </is>
      </c>
    </row>
    <row r="49">
      <c r="A49" s="17" t="inlineStr">
        <is>
          <t>2026-09-12</t>
        </is>
      </c>
      <c r="B49" s="17" t="inlineStr">
        <is>
          <t>ASU @ TA&amp;M</t>
        </is>
      </c>
      <c r="C49" s="17" t="inlineStr">
        <is>
          <t>TOTAL</t>
        </is>
      </c>
      <c r="D49" s="17" t="inlineStr">
        <is>
          <t>Over 50.5</t>
        </is>
      </c>
      <c r="E49" s="18" t="n">
        <v>-112</v>
      </c>
      <c r="F49" s="21" t="n">
        <v>25</v>
      </c>
      <c r="G49" s="17" t="inlineStr">
        <is>
          <t>Pending</t>
        </is>
      </c>
      <c r="H49" s="21">
        <f>IF(OR($G49="",$G49="Pending"),"",ROUND(IF($G49="Win",IF($E49&gt;0,$F49*$E49/100,$F49*100/-$E49),IF($G49="Loss",-$F49,0)),2))</f>
        <v/>
      </c>
      <c r="I49" s="21">
        <f>Settings!$B$5+SUM($H$6:$H49)</f>
        <v/>
      </c>
      <c r="J49" s="19">
        <f>IFERROR(SUM($H$6:$H49)/SUMIF($G$6:$G49,"&lt;&gt;Pending",$F$6:$F49),"")</f>
        <v/>
      </c>
      <c r="K49" s="17" t="inlineStr">
        <is>
          <t>LEAN</t>
        </is>
      </c>
      <c r="L49" s="19" t="n">
        <v>0.09660000000000001</v>
      </c>
      <c r="M49" s="19" t="n"/>
      <c r="N49" s="17" t="n"/>
      <c r="O49" s="17" t="inlineStr">
        <is>
          <t>Draft Kings</t>
        </is>
      </c>
    </row>
    <row r="50">
      <c r="A50" s="12" t="inlineStr">
        <is>
          <t>2026-09-12</t>
        </is>
      </c>
      <c r="B50" s="12" t="inlineStr">
        <is>
          <t>WSU @ KSU</t>
        </is>
      </c>
      <c r="C50" s="12" t="inlineStr">
        <is>
          <t>ML</t>
        </is>
      </c>
      <c r="D50" s="12" t="inlineStr">
        <is>
          <t>WSU ML</t>
        </is>
      </c>
      <c r="E50" s="13" t="n">
        <v>575</v>
      </c>
      <c r="F50" s="16" t="n">
        <v>1</v>
      </c>
      <c r="G50" s="12" t="inlineStr">
        <is>
          <t>Pending</t>
        </is>
      </c>
      <c r="H50" s="16">
        <f>IF(OR($G50="",$G50="Pending"),"",ROUND(IF($G50="Win",IF($E50&gt;0,$F50*$E50/100,$F50*100/-$E50),IF($G50="Loss",-$F50,0)),2))</f>
        <v/>
      </c>
      <c r="I50" s="16">
        <f>Settings!$B$5+SUM($H$6:$H50)</f>
        <v/>
      </c>
      <c r="J50" s="14">
        <f>IFERROR(SUM($H$6:$H50)/SUMIF($G$6:$G50,"&lt;&gt;Pending",$F$6:$F50),"")</f>
        <v/>
      </c>
      <c r="K50" s="12" t="inlineStr">
        <is>
          <t>BEST BET</t>
        </is>
      </c>
      <c r="L50" s="14" t="n">
        <v>0.095</v>
      </c>
      <c r="M50" s="14" t="n"/>
      <c r="N50" s="12" t="n"/>
      <c r="O50" s="12" t="inlineStr">
        <is>
          <t>DraftKings</t>
        </is>
      </c>
    </row>
    <row r="51">
      <c r="A51" s="17" t="inlineStr">
        <is>
          <t>2026-09-12</t>
        </is>
      </c>
      <c r="B51" s="17" t="inlineStr">
        <is>
          <t>ORE @ OKST</t>
        </is>
      </c>
      <c r="C51" s="17" t="inlineStr">
        <is>
          <t>TOTAL</t>
        </is>
      </c>
      <c r="D51" s="17" t="inlineStr">
        <is>
          <t>Under 60.5</t>
        </is>
      </c>
      <c r="E51" s="18" t="n">
        <v>-112</v>
      </c>
      <c r="F51" s="21" t="n">
        <v>26</v>
      </c>
      <c r="G51" s="17" t="inlineStr">
        <is>
          <t>Pending</t>
        </is>
      </c>
      <c r="H51" s="21">
        <f>IF(OR($G51="",$G51="Pending"),"",ROUND(IF($G51="Win",IF($E51&gt;0,$F51*$E51/100,$F51*100/-$E51),IF($G51="Loss",-$F51,0)),2))</f>
        <v/>
      </c>
      <c r="I51" s="21">
        <f>Settings!$B$5+SUM($H$6:$H51)</f>
        <v/>
      </c>
      <c r="J51" s="19">
        <f>IFERROR(SUM($H$6:$H51)/SUMIF($G$6:$G51,"&lt;&gt;Pending",$F$6:$F51),"")</f>
        <v/>
      </c>
      <c r="K51" s="17" t="inlineStr">
        <is>
          <t>LEAN</t>
        </is>
      </c>
      <c r="L51" s="19" t="n">
        <v>0.1106</v>
      </c>
      <c r="M51" s="19" t="n"/>
      <c r="N51" s="17" t="n"/>
      <c r="O51" s="17" t="inlineStr">
        <is>
          <t>Draft Kings</t>
        </is>
      </c>
    </row>
    <row r="52">
      <c r="A52" s="12" t="inlineStr">
        <is>
          <t>2026-09-12</t>
        </is>
      </c>
      <c r="B52" s="12" t="inlineStr">
        <is>
          <t>ODU @ VT</t>
        </is>
      </c>
      <c r="C52" s="12" t="inlineStr">
        <is>
          <t>ML</t>
        </is>
      </c>
      <c r="D52" s="12" t="inlineStr">
        <is>
          <t>ODU ML</t>
        </is>
      </c>
      <c r="E52" s="13" t="n">
        <v>455</v>
      </c>
      <c r="F52" s="16" t="n">
        <v>15.5</v>
      </c>
      <c r="G52" s="12" t="inlineStr">
        <is>
          <t>Pending</t>
        </is>
      </c>
      <c r="H52" s="16">
        <f>IF(OR($G52="",$G52="Pending"),"",ROUND(IF($G52="Win",IF($E52&gt;0,$F52*$E52/100,$F52*100/-$E52),IF($G52="Loss",-$F52,0)),2))</f>
        <v/>
      </c>
      <c r="I52" s="16">
        <f>Settings!$B$5+SUM($H$6:$H52)</f>
        <v/>
      </c>
      <c r="J52" s="14">
        <f>IFERROR(SUM($H$6:$H52)/SUMIF($G$6:$G52,"&lt;&gt;Pending",$F$6:$F52),"")</f>
        <v/>
      </c>
      <c r="K52" s="12" t="inlineStr">
        <is>
          <t>LEAN</t>
        </is>
      </c>
      <c r="L52" s="14" t="n">
        <v>0.1006</v>
      </c>
      <c r="M52" s="14" t="n"/>
      <c r="N52" s="12" t="n"/>
      <c r="O52" s="12" t="inlineStr">
        <is>
          <t>Draft Kings</t>
        </is>
      </c>
    </row>
    <row r="53">
      <c r="A53" s="17" t="inlineStr">
        <is>
          <t>2026-09-12</t>
        </is>
      </c>
      <c r="B53" s="17" t="inlineStr">
        <is>
          <t>WAKE @ PUR</t>
        </is>
      </c>
      <c r="C53" s="17" t="inlineStr">
        <is>
          <t>ATS</t>
        </is>
      </c>
      <c r="D53" s="17" t="inlineStr">
        <is>
          <t>PUR +3.5</t>
        </is>
      </c>
      <c r="E53" s="18" t="n">
        <v>-115</v>
      </c>
      <c r="F53" s="21" t="n">
        <v>26</v>
      </c>
      <c r="G53" s="17" t="inlineStr">
        <is>
          <t>Pending</t>
        </is>
      </c>
      <c r="H53" s="21">
        <f>IF(OR($G53="",$G53="Pending"),"",ROUND(IF($G53="Win",IF($E53&gt;0,$F53*$E53/100,$F53*100/-$E53),IF($G53="Loss",-$F53,0)),2))</f>
        <v/>
      </c>
      <c r="I53" s="21">
        <f>Settings!$B$5+SUM($H$6:$H53)</f>
        <v/>
      </c>
      <c r="J53" s="19">
        <f>IFERROR(SUM($H$6:$H53)/SUMIF($G$6:$G53,"&lt;&gt;Pending",$F$6:$F53),"")</f>
        <v/>
      </c>
      <c r="K53" s="17" t="inlineStr">
        <is>
          <t>GOOD</t>
        </is>
      </c>
      <c r="L53" s="19" t="n">
        <v>0.0922</v>
      </c>
      <c r="M53" s="19" t="n"/>
      <c r="N53" s="17" t="n"/>
      <c r="O53" s="17" t="inlineStr">
        <is>
          <t>Draft Kings</t>
        </is>
      </c>
    </row>
    <row r="54">
      <c r="A54" s="12" t="inlineStr">
        <is>
          <t>2026-09-12</t>
        </is>
      </c>
      <c r="B54" s="12" t="inlineStr">
        <is>
          <t>WAKE @ PUR</t>
        </is>
      </c>
      <c r="C54" s="12" t="inlineStr">
        <is>
          <t>ML</t>
        </is>
      </c>
      <c r="D54" s="12" t="inlineStr">
        <is>
          <t>PUR ML</t>
        </is>
      </c>
      <c r="E54" s="13" t="n">
        <v>164</v>
      </c>
      <c r="F54" s="16" t="n">
        <v>4.5</v>
      </c>
      <c r="G54" s="12" t="inlineStr">
        <is>
          <t>Pending</t>
        </is>
      </c>
      <c r="H54" s="16">
        <f>IF(OR($G54="",$G54="Pending"),"",ROUND(IF($G54="Win",IF($E54&gt;0,$F54*$E54/100,$F54*100/-$E54),IF($G54="Loss",-$F54,0)),2))</f>
        <v/>
      </c>
      <c r="I54" s="16">
        <f>Settings!$B$5+SUM($H$6:$H54)</f>
        <v/>
      </c>
      <c r="J54" s="14">
        <f>IFERROR(SUM($H$6:$H54)/SUMIF($G$6:$G54,"&lt;&gt;Pending",$F$6:$F54),"")</f>
        <v/>
      </c>
      <c r="K54" s="12" t="inlineStr">
        <is>
          <t>GOOD</t>
        </is>
      </c>
      <c r="L54" s="14" t="n">
        <v>0.0949</v>
      </c>
      <c r="M54" s="14" t="n"/>
      <c r="N54" s="12" t="n"/>
      <c r="O54" s="12" t="inlineStr">
        <is>
          <t>DraftKings</t>
        </is>
      </c>
    </row>
    <row r="55">
      <c r="A55" s="17" t="inlineStr">
        <is>
          <t>2026-09-12</t>
        </is>
      </c>
      <c r="B55" s="17" t="inlineStr">
        <is>
          <t>WAKE @ PUR</t>
        </is>
      </c>
      <c r="C55" s="17" t="inlineStr">
        <is>
          <t>TOTAL</t>
        </is>
      </c>
      <c r="D55" s="17" t="inlineStr">
        <is>
          <t>Over 49.5</t>
        </is>
      </c>
      <c r="E55" s="18" t="n">
        <v>-110</v>
      </c>
      <c r="F55" s="21" t="n">
        <v>25</v>
      </c>
      <c r="G55" s="17" t="inlineStr">
        <is>
          <t>Pending</t>
        </is>
      </c>
      <c r="H55" s="21">
        <f>IF(OR($G55="",$G55="Pending"),"",ROUND(IF($G55="Win",IF($E55&gt;0,$F55*$E55/100,$F55*100/-$E55),IF($G55="Loss",-$F55,0)),2))</f>
        <v/>
      </c>
      <c r="I55" s="21">
        <f>Settings!$B$5+SUM($H$6:$H55)</f>
        <v/>
      </c>
      <c r="J55" s="19">
        <f>IFERROR(SUM($H$6:$H55)/SUMIF($G$6:$G55,"&lt;&gt;Pending",$F$6:$F55),"")</f>
        <v/>
      </c>
      <c r="K55" s="17" t="inlineStr">
        <is>
          <t>LEAN</t>
        </is>
      </c>
      <c r="L55" s="19" t="n">
        <v>0.1129</v>
      </c>
      <c r="M55" s="19" t="n"/>
      <c r="N55" s="17" t="n"/>
      <c r="O55" s="17" t="inlineStr">
        <is>
          <t>Draft Kings</t>
        </is>
      </c>
    </row>
    <row r="56">
      <c r="A56" s="12" t="inlineStr">
        <is>
          <t>2026-09-12</t>
        </is>
      </c>
      <c r="B56" s="12" t="inlineStr">
        <is>
          <t>PSU @ TEM</t>
        </is>
      </c>
      <c r="C56" s="12" t="inlineStr">
        <is>
          <t>TOTAL</t>
        </is>
      </c>
      <c r="D56" s="12" t="inlineStr">
        <is>
          <t>Over 51.5</t>
        </is>
      </c>
      <c r="E56" s="13" t="n">
        <v>-105</v>
      </c>
      <c r="F56" s="16" t="n">
        <v>25</v>
      </c>
      <c r="G56" s="12" t="inlineStr">
        <is>
          <t>Pending</t>
        </is>
      </c>
      <c r="H56" s="16">
        <f>IF(OR($G56="",$G56="Pending"),"",ROUND(IF($G56="Win",IF($E56&gt;0,$F56*$E56/100,$F56*100/-$E56),IF($G56="Loss",-$F56,0)),2))</f>
        <v/>
      </c>
      <c r="I56" s="16">
        <f>Settings!$B$5+SUM($H$6:$H56)</f>
        <v/>
      </c>
      <c r="J56" s="14">
        <f>IFERROR(SUM($H$6:$H56)/SUMIF($G$6:$G56,"&lt;&gt;Pending",$F$6:$F56),"")</f>
        <v/>
      </c>
      <c r="K56" s="12" t="inlineStr">
        <is>
          <t>LEAN</t>
        </is>
      </c>
      <c r="L56" s="14" t="n">
        <v>0.09859999999999999</v>
      </c>
      <c r="M56" s="14" t="n"/>
      <c r="N56" s="12" t="n"/>
      <c r="O56" s="12" t="inlineStr">
        <is>
          <t>DraftKings</t>
        </is>
      </c>
    </row>
    <row r="57">
      <c r="A57" s="17" t="inlineStr">
        <is>
          <t>2026-09-12</t>
        </is>
      </c>
      <c r="B57" s="17" t="inlineStr">
        <is>
          <t>APP @ ECU</t>
        </is>
      </c>
      <c r="C57" s="17" t="inlineStr">
        <is>
          <t>ATS</t>
        </is>
      </c>
      <c r="D57" s="17" t="inlineStr">
        <is>
          <t>APP +10</t>
        </is>
      </c>
      <c r="E57" s="18" t="n">
        <v>-110</v>
      </c>
      <c r="F57" s="21" t="n">
        <v>22.5</v>
      </c>
      <c r="G57" s="17" t="inlineStr">
        <is>
          <t>Pending</t>
        </is>
      </c>
      <c r="H57" s="21">
        <f>IF(OR($G57="",$G57="Pending"),"",ROUND(IF($G57="Win",IF($E57&gt;0,$F57*$E57/100,$F57*100/-$E57),IF($G57="Loss",-$F57,0)),2))</f>
        <v/>
      </c>
      <c r="I57" s="21">
        <f>Settings!$B$5+SUM($H$6:$H57)</f>
        <v/>
      </c>
      <c r="J57" s="19">
        <f>IFERROR(SUM($H$6:$H57)/SUMIF($G$6:$G57,"&lt;&gt;Pending",$F$6:$F57),"")</f>
        <v/>
      </c>
      <c r="K57" s="17" t="inlineStr">
        <is>
          <t>GOOD</t>
        </is>
      </c>
      <c r="L57" s="19" t="n">
        <v>0.0818</v>
      </c>
      <c r="M57" s="19" t="n"/>
      <c r="N57" s="17" t="n"/>
      <c r="O57" s="17" t="inlineStr">
        <is>
          <t>Draft Kings</t>
        </is>
      </c>
    </row>
    <row r="58">
      <c r="A58" s="12" t="inlineStr">
        <is>
          <t>2026-09-12</t>
        </is>
      </c>
      <c r="B58" s="12" t="inlineStr">
        <is>
          <t>MIZ @ KU</t>
        </is>
      </c>
      <c r="C58" s="12" t="inlineStr">
        <is>
          <t>ATS</t>
        </is>
      </c>
      <c r="D58" s="12" t="inlineStr">
        <is>
          <t>KU +6.5</t>
        </is>
      </c>
      <c r="E58" s="13" t="n">
        <v>-105</v>
      </c>
      <c r="F58" s="16" t="n">
        <v>25</v>
      </c>
      <c r="G58" s="12" t="inlineStr">
        <is>
          <t>Pending</t>
        </is>
      </c>
      <c r="H58" s="16">
        <f>IF(OR($G58="",$G58="Pending"),"",ROUND(IF($G58="Win",IF($E58&gt;0,$F58*$E58/100,$F58*100/-$E58),IF($G58="Loss",-$F58,0)),2))</f>
        <v/>
      </c>
      <c r="I58" s="16">
        <f>Settings!$B$5+SUM($H$6:$H58)</f>
        <v/>
      </c>
      <c r="J58" s="14">
        <f>IFERROR(SUM($H$6:$H58)/SUMIF($G$6:$G58,"&lt;&gt;Pending",$F$6:$F58),"")</f>
        <v/>
      </c>
      <c r="K58" s="12" t="inlineStr">
        <is>
          <t>LEAN</t>
        </is>
      </c>
      <c r="L58" s="14" t="n">
        <v>0.1173</v>
      </c>
      <c r="M58" s="14" t="n"/>
      <c r="N58" s="12" t="n"/>
      <c r="O58" s="12" t="inlineStr">
        <is>
          <t>Draft Kings</t>
        </is>
      </c>
    </row>
    <row r="59">
      <c r="A59" s="17" t="inlineStr">
        <is>
          <t>2026-09-12</t>
        </is>
      </c>
      <c r="B59" s="17" t="inlineStr">
        <is>
          <t>MIZ @ KU</t>
        </is>
      </c>
      <c r="C59" s="17" t="inlineStr">
        <is>
          <t>ML</t>
        </is>
      </c>
      <c r="D59" s="17" t="inlineStr">
        <is>
          <t>KU ML</t>
        </is>
      </c>
      <c r="E59" s="18" t="n">
        <v>205</v>
      </c>
      <c r="F59" s="21" t="n">
        <v>22.5</v>
      </c>
      <c r="G59" s="17" t="inlineStr">
        <is>
          <t>Pending</t>
        </is>
      </c>
      <c r="H59" s="21">
        <f>IF(OR($G59="",$G59="Pending"),"",ROUND(IF($G59="Win",IF($E59&gt;0,$F59*$E59/100,$F59*100/-$E59),IF($G59="Loss",-$F59,0)),2))</f>
        <v/>
      </c>
      <c r="I59" s="21">
        <f>Settings!$B$5+SUM($H$6:$H59)</f>
        <v/>
      </c>
      <c r="J59" s="19">
        <f>IFERROR(SUM($H$6:$H59)/SUMIF($G$6:$G59,"&lt;&gt;Pending",$F$6:$F59),"")</f>
        <v/>
      </c>
      <c r="K59" s="17" t="inlineStr">
        <is>
          <t>LEAN</t>
        </is>
      </c>
      <c r="L59" s="19" t="n">
        <v>0.1213</v>
      </c>
      <c r="M59" s="19" t="n"/>
      <c r="N59" s="17" t="n"/>
      <c r="O59" s="17" t="inlineStr">
        <is>
          <t>DraftKings</t>
        </is>
      </c>
    </row>
    <row r="60">
      <c r="A60" s="12" t="inlineStr">
        <is>
          <t>2026-09-07</t>
        </is>
      </c>
      <c r="B60" s="12" t="inlineStr">
        <is>
          <t>SMU @ FSU</t>
        </is>
      </c>
      <c r="C60" s="12" t="inlineStr">
        <is>
          <t>ML</t>
        </is>
      </c>
      <c r="D60" s="12" t="inlineStr">
        <is>
          <t>FSU ML</t>
        </is>
      </c>
      <c r="E60" s="13" t="n">
        <v>130</v>
      </c>
      <c r="F60" s="16" t="n">
        <v>21.5</v>
      </c>
      <c r="G60" s="12" t="inlineStr">
        <is>
          <t>Loss</t>
        </is>
      </c>
      <c r="H60" s="16">
        <f>IF(OR($G60="",$G60="Pending"),"",ROUND(IF($G60="Win",IF($E60&gt;0,$F60*$E60/100,$F60*100/-$E60),IF($G60="Loss",-$F60,0)),2))</f>
        <v/>
      </c>
      <c r="I60" s="16">
        <f>Settings!$B$5+SUM($H$6:$H60)</f>
        <v/>
      </c>
      <c r="J60" s="14">
        <f>IFERROR(SUM($H$6:$H60)/SUMIF($G$6:$G60,"&lt;&gt;Pending",$F$6:$F60),"")</f>
        <v/>
      </c>
      <c r="K60" s="12" t="inlineStr">
        <is>
          <t>LEAN</t>
        </is>
      </c>
      <c r="L60" s="14" t="n">
        <v>0.0935</v>
      </c>
      <c r="M60" s="14" t="n">
        <v>0.0116</v>
      </c>
      <c r="N60" s="12" t="inlineStr">
        <is>
          <t>SMU 27 - FSU 24</t>
        </is>
      </c>
      <c r="O60" s="12" t="inlineStr">
        <is>
          <t>Draft Kings</t>
        </is>
      </c>
    </row>
    <row r="61">
      <c r="A61" s="17" t="inlineStr">
        <is>
          <t>2026-09-06</t>
        </is>
      </c>
      <c r="B61" s="17" t="inlineStr">
        <is>
          <t>UNLV @ HAW</t>
        </is>
      </c>
      <c r="C61" s="17" t="inlineStr">
        <is>
          <t>ATS</t>
        </is>
      </c>
      <c r="D61" s="17" t="inlineStr">
        <is>
          <t>HAW +3</t>
        </is>
      </c>
      <c r="E61" s="18" t="n">
        <v>-108</v>
      </c>
      <c r="F61" s="21" t="n">
        <v>23</v>
      </c>
      <c r="G61" s="17" t="inlineStr">
        <is>
          <t>Loss</t>
        </is>
      </c>
      <c r="H61" s="21">
        <f>IF(OR($G61="",$G61="Pending"),"",ROUND(IF($G61="Win",IF($E61&gt;0,$F61*$E61/100,$F61*100/-$E61),IF($G61="Loss",-$F61,0)),2))</f>
        <v/>
      </c>
      <c r="I61" s="21">
        <f>Settings!$B$5+SUM($H$6:$H61)</f>
        <v/>
      </c>
      <c r="J61" s="19">
        <f>IFERROR(SUM($H$6:$H61)/SUMIF($G$6:$G61,"&lt;&gt;Pending",$F$6:$F61),"")</f>
        <v/>
      </c>
      <c r="K61" s="17" t="inlineStr">
        <is>
          <t>GOOD</t>
        </is>
      </c>
      <c r="L61" s="19" t="n">
        <v>0.08989999999999999</v>
      </c>
      <c r="M61" s="19" t="n">
        <v>0</v>
      </c>
      <c r="N61" s="17" t="inlineStr">
        <is>
          <t>UNLV 21 - HAW 6</t>
        </is>
      </c>
      <c r="O61" s="17" t="inlineStr">
        <is>
          <t>Draft Kings</t>
        </is>
      </c>
    </row>
    <row r="62">
      <c r="A62" s="12" t="inlineStr">
        <is>
          <t>2026-09-06</t>
        </is>
      </c>
      <c r="B62" s="12" t="inlineStr">
        <is>
          <t>UNLV @ HAW</t>
        </is>
      </c>
      <c r="C62" s="12" t="inlineStr">
        <is>
          <t>ML</t>
        </is>
      </c>
      <c r="D62" s="12" t="inlineStr">
        <is>
          <t>HAW ML</t>
        </is>
      </c>
      <c r="E62" s="13" t="n">
        <v>136</v>
      </c>
      <c r="F62" s="16" t="n">
        <v>24.5</v>
      </c>
      <c r="G62" s="12" t="inlineStr">
        <is>
          <t>Loss</t>
        </is>
      </c>
      <c r="H62" s="16">
        <f>IF(OR($G62="",$G62="Pending"),"",ROUND(IF($G62="Win",IF($E62&gt;0,$F62*$E62/100,$F62*100/-$E62),IF($G62="Loss",-$F62,0)),2))</f>
        <v/>
      </c>
      <c r="I62" s="16">
        <f>Settings!$B$5+SUM($H$6:$H62)</f>
        <v/>
      </c>
      <c r="J62" s="14">
        <f>IFERROR(SUM($H$6:$H62)/SUMIF($G$6:$G62,"&lt;&gt;Pending",$F$6:$F62),"")</f>
        <v/>
      </c>
      <c r="K62" s="12" t="inlineStr">
        <is>
          <t>GOOD</t>
        </is>
      </c>
      <c r="L62" s="14" t="n">
        <v>0.1085</v>
      </c>
      <c r="M62" s="14" t="n">
        <v>0.0111</v>
      </c>
      <c r="N62" s="12" t="inlineStr">
        <is>
          <t>UNLV 21 - HAW 6</t>
        </is>
      </c>
      <c r="O62" s="12" t="inlineStr">
        <is>
          <t>DraftKings</t>
        </is>
      </c>
    </row>
    <row r="63">
      <c r="A63" s="17" t="inlineStr">
        <is>
          <t>2026-09-06</t>
        </is>
      </c>
      <c r="B63" s="17" t="inlineStr">
        <is>
          <t>CMU @ UNM</t>
        </is>
      </c>
      <c r="C63" s="17" t="inlineStr">
        <is>
          <t>ATS</t>
        </is>
      </c>
      <c r="D63" s="17" t="inlineStr">
        <is>
          <t>CMU +10.5</t>
        </is>
      </c>
      <c r="E63" s="18" t="n">
        <v>-112</v>
      </c>
      <c r="F63" s="21" t="n">
        <v>25</v>
      </c>
      <c r="G63" s="17" t="inlineStr">
        <is>
          <t>Loss</t>
        </is>
      </c>
      <c r="H63" s="21">
        <f>IF(OR($G63="",$G63="Pending"),"",ROUND(IF($G63="Win",IF($E63&gt;0,$F63*$E63/100,$F63*100/-$E63),IF($G63="Loss",-$F63,0)),2))</f>
        <v/>
      </c>
      <c r="I63" s="21">
        <f>Settings!$B$5+SUM($H$6:$H63)</f>
        <v/>
      </c>
      <c r="J63" s="19">
        <f>IFERROR(SUM($H$6:$H63)/SUMIF($G$6:$G63,"&lt;&gt;Pending",$F$6:$F63),"")</f>
        <v/>
      </c>
      <c r="K63" s="17" t="inlineStr">
        <is>
          <t>LEAN</t>
        </is>
      </c>
      <c r="L63" s="19" t="n">
        <v>0.0988</v>
      </c>
      <c r="M63" s="19" t="n">
        <v>-0.0045</v>
      </c>
      <c r="N63" s="17" t="inlineStr">
        <is>
          <t>CMU 7 - UNM 38</t>
        </is>
      </c>
      <c r="O63" s="17" t="inlineStr">
        <is>
          <t>Draft Kings</t>
        </is>
      </c>
    </row>
    <row r="64">
      <c r="A64" s="12" t="inlineStr">
        <is>
          <t>2026-09-05</t>
        </is>
      </c>
      <c r="B64" s="12" t="inlineStr">
        <is>
          <t>CLEM @ LSU</t>
        </is>
      </c>
      <c r="C64" s="12" t="inlineStr">
        <is>
          <t>ATS</t>
        </is>
      </c>
      <c r="D64" s="12" t="inlineStr">
        <is>
          <t>CLEM +10.5</t>
        </is>
      </c>
      <c r="E64" s="13" t="n">
        <v>-110</v>
      </c>
      <c r="F64" s="16" t="n">
        <v>25</v>
      </c>
      <c r="G64" s="12" t="inlineStr">
        <is>
          <t>Loss</t>
        </is>
      </c>
      <c r="H64" s="16">
        <f>IF(OR($G64="",$G64="Pending"),"",ROUND(IF($G64="Win",IF($E64&gt;0,$F64*$E64/100,$F64*100/-$E64),IF($G64="Loss",-$F64,0)),2))</f>
        <v/>
      </c>
      <c r="I64" s="16">
        <f>Settings!$B$5+SUM($H$6:$H64)</f>
        <v/>
      </c>
      <c r="J64" s="14">
        <f>IFERROR(SUM($H$6:$H64)/SUMIF($G$6:$G64,"&lt;&gt;Pending",$F$6:$F64),"")</f>
        <v/>
      </c>
      <c r="K64" s="12" t="inlineStr">
        <is>
          <t>LEAN</t>
        </is>
      </c>
      <c r="L64" s="14" t="n">
        <v>0.109</v>
      </c>
      <c r="M64" s="14" t="n">
        <v>0.0236</v>
      </c>
      <c r="N64" s="12" t="inlineStr">
        <is>
          <t>CLEM 10 - LSU 51</t>
        </is>
      </c>
      <c r="O64" s="12" t="inlineStr">
        <is>
          <t>Draft Kings</t>
        </is>
      </c>
    </row>
    <row r="65">
      <c r="A65" s="17" t="inlineStr">
        <is>
          <t>2026-09-05</t>
        </is>
      </c>
      <c r="B65" s="17" t="inlineStr">
        <is>
          <t>CLEM @ LSU</t>
        </is>
      </c>
      <c r="C65" s="17" t="inlineStr">
        <is>
          <t>ML</t>
        </is>
      </c>
      <c r="D65" s="17" t="inlineStr">
        <is>
          <t>CLEM ML</t>
        </is>
      </c>
      <c r="E65" s="18" t="n">
        <v>275</v>
      </c>
      <c r="F65" s="21" t="n">
        <v>15.5</v>
      </c>
      <c r="G65" s="17" t="inlineStr">
        <is>
          <t>Loss</t>
        </is>
      </c>
      <c r="H65" s="21">
        <f>IF(OR($G65="",$G65="Pending"),"",ROUND(IF($G65="Win",IF($E65&gt;0,$F65*$E65/100,$F65*100/-$E65),IF($G65="Loss",-$F65,0)),2))</f>
        <v/>
      </c>
      <c r="I65" s="21">
        <f>Settings!$B$5+SUM($H$6:$H65)</f>
        <v/>
      </c>
      <c r="J65" s="19">
        <f>IFERROR(SUM($H$6:$H65)/SUMIF($G$6:$G65,"&lt;&gt;Pending",$F$6:$F65),"")</f>
        <v/>
      </c>
      <c r="K65" s="17" t="inlineStr">
        <is>
          <t>LEAN</t>
        </is>
      </c>
      <c r="L65" s="19" t="n">
        <v>0.0896</v>
      </c>
      <c r="M65" s="19" t="n">
        <v>-0.0069</v>
      </c>
      <c r="N65" s="17" t="inlineStr">
        <is>
          <t>CLEM 10 - LSU 51</t>
        </is>
      </c>
      <c r="O65" s="17" t="inlineStr">
        <is>
          <t>DraftKings</t>
        </is>
      </c>
    </row>
    <row r="66">
      <c r="A66" s="12" t="inlineStr">
        <is>
          <t>2026-09-05</t>
        </is>
      </c>
      <c r="B66" s="12" t="inlineStr">
        <is>
          <t>CLEM @ LSU</t>
        </is>
      </c>
      <c r="C66" s="12" t="inlineStr">
        <is>
          <t>TOTAL</t>
        </is>
      </c>
      <c r="D66" s="12" t="inlineStr">
        <is>
          <t>Over 50.5</t>
        </is>
      </c>
      <c r="E66" s="13" t="n">
        <v>-112</v>
      </c>
      <c r="F66" s="16" t="n">
        <v>25</v>
      </c>
      <c r="G66" s="12" t="inlineStr">
        <is>
          <t>Win</t>
        </is>
      </c>
      <c r="H66" s="16">
        <f>IF(OR($G66="",$G66="Pending"),"",ROUND(IF($G66="Win",IF($E66&gt;0,$F66*$E66/100,$F66*100/-$E66),IF($G66="Loss",-$F66,0)),2))</f>
        <v/>
      </c>
      <c r="I66" s="16">
        <f>Settings!$B$5+SUM($H$6:$H66)</f>
        <v/>
      </c>
      <c r="J66" s="14">
        <f>IFERROR(SUM($H$6:$H66)/SUMIF($G$6:$G66,"&lt;&gt;Pending",$F$6:$F66),"")</f>
        <v/>
      </c>
      <c r="K66" s="12" t="inlineStr">
        <is>
          <t>LEAN</t>
        </is>
      </c>
      <c r="L66" s="14" t="n">
        <v>0.0901</v>
      </c>
      <c r="M66" s="14" t="n">
        <v>-0.0345</v>
      </c>
      <c r="N66" s="12" t="inlineStr">
        <is>
          <t>CLEM 10 - LSU 51</t>
        </is>
      </c>
      <c r="O66" s="12" t="inlineStr">
        <is>
          <t>DraftKings</t>
        </is>
      </c>
    </row>
    <row r="67">
      <c r="A67" s="17" t="inlineStr">
        <is>
          <t>2026-09-05</t>
        </is>
      </c>
      <c r="B67" s="17" t="inlineStr">
        <is>
          <t>WMU @ MICH</t>
        </is>
      </c>
      <c r="C67" s="17" t="inlineStr">
        <is>
          <t>TOTAL</t>
        </is>
      </c>
      <c r="D67" s="17" t="inlineStr">
        <is>
          <t>Over 47.5</t>
        </is>
      </c>
      <c r="E67" s="18" t="n">
        <v>-115</v>
      </c>
      <c r="F67" s="21" t="n">
        <v>25</v>
      </c>
      <c r="G67" s="17" t="inlineStr">
        <is>
          <t>Loss</t>
        </is>
      </c>
      <c r="H67" s="21">
        <f>IF(OR($G67="",$G67="Pending"),"",ROUND(IF($G67="Win",IF($E67&gt;0,$F67*$E67/100,$F67*100/-$E67),IF($G67="Loss",-$F67,0)),2))</f>
        <v/>
      </c>
      <c r="I67" s="21">
        <f>Settings!$B$5+SUM($H$6:$H67)</f>
        <v/>
      </c>
      <c r="J67" s="19">
        <f>IFERROR(SUM($H$6:$H67)/SUMIF($G$6:$G67,"&lt;&gt;Pending",$F$6:$F67),"")</f>
        <v/>
      </c>
      <c r="K67" s="17" t="inlineStr">
        <is>
          <t>LEAN</t>
        </is>
      </c>
      <c r="L67" s="19" t="n">
        <v>0.1073</v>
      </c>
      <c r="M67" s="19" t="n">
        <v>0.0443</v>
      </c>
      <c r="N67" s="17" t="inlineStr">
        <is>
          <t>WMU 12 - MICH 13</t>
        </is>
      </c>
      <c r="O67" s="17" t="inlineStr">
        <is>
          <t>Draft Kings</t>
        </is>
      </c>
    </row>
    <row r="68">
      <c r="A68" s="12" t="inlineStr">
        <is>
          <t>2026-09-05</t>
        </is>
      </c>
      <c r="B68" s="12" t="inlineStr">
        <is>
          <t>ARST @ MEM</t>
        </is>
      </c>
      <c r="C68" s="12" t="inlineStr">
        <is>
          <t>ATS</t>
        </is>
      </c>
      <c r="D68" s="12" t="inlineStr">
        <is>
          <t>ARST +11.5</t>
        </is>
      </c>
      <c r="E68" s="13" t="n">
        <v>-112</v>
      </c>
      <c r="F68" s="16" t="n">
        <v>25</v>
      </c>
      <c r="G68" s="12" t="inlineStr">
        <is>
          <t>Loss</t>
        </is>
      </c>
      <c r="H68" s="16">
        <f>IF(OR($G68="",$G68="Pending"),"",ROUND(IF($G68="Win",IF($E68&gt;0,$F68*$E68/100,$F68*100/-$E68),IF($G68="Loss",-$F68,0)),2))</f>
        <v/>
      </c>
      <c r="I68" s="16">
        <f>Settings!$B$5+SUM($H$6:$H68)</f>
        <v/>
      </c>
      <c r="J68" s="14">
        <f>IFERROR(SUM($H$6:$H68)/SUMIF($G$6:$G68,"&lt;&gt;Pending",$F$6:$F68),"")</f>
        <v/>
      </c>
      <c r="K68" s="12" t="inlineStr">
        <is>
          <t>LEAN</t>
        </is>
      </c>
      <c r="L68" s="14" t="n">
        <v>0.1011</v>
      </c>
      <c r="M68" s="14" t="n">
        <v>0.0159</v>
      </c>
      <c r="N68" s="12" t="inlineStr">
        <is>
          <t>ARST 24 - MEM 42</t>
        </is>
      </c>
      <c r="O68" s="12" t="inlineStr">
        <is>
          <t>DraftKings</t>
        </is>
      </c>
    </row>
    <row r="69">
      <c r="A69" s="17" t="inlineStr">
        <is>
          <t>2026-09-05</t>
        </is>
      </c>
      <c r="B69" s="17" t="inlineStr">
        <is>
          <t>FIU @ USF</t>
        </is>
      </c>
      <c r="C69" s="17" t="inlineStr">
        <is>
          <t>ATS</t>
        </is>
      </c>
      <c r="D69" s="17" t="inlineStr">
        <is>
          <t>FIU +14.5</t>
        </is>
      </c>
      <c r="E69" s="18" t="n">
        <v>-115</v>
      </c>
      <c r="F69" s="21" t="n">
        <v>26</v>
      </c>
      <c r="G69" s="17" t="inlineStr">
        <is>
          <t>Win</t>
        </is>
      </c>
      <c r="H69" s="21">
        <f>IF(OR($G69="",$G69="Pending"),"",ROUND(IF($G69="Win",IF($E69&gt;0,$F69*$E69/100,$F69*100/-$E69),IF($G69="Loss",-$F69,0)),2))</f>
        <v/>
      </c>
      <c r="I69" s="21">
        <f>Settings!$B$5+SUM($H$6:$H69)</f>
        <v/>
      </c>
      <c r="J69" s="19">
        <f>IFERROR(SUM($H$6:$H69)/SUMIF($G$6:$G69,"&lt;&gt;Pending",$F$6:$F69),"")</f>
        <v/>
      </c>
      <c r="K69" s="17" t="inlineStr">
        <is>
          <t>LEAN</t>
        </is>
      </c>
      <c r="L69" s="19" t="n">
        <v>0.1214</v>
      </c>
      <c r="M69" s="19" t="n">
        <v>0</v>
      </c>
      <c r="N69" s="17" t="inlineStr">
        <is>
          <t>FIU 9 - USF 19</t>
        </is>
      </c>
      <c r="O69" s="17" t="inlineStr">
        <is>
          <t>Draft Kings</t>
        </is>
      </c>
    </row>
    <row r="70">
      <c r="A70" s="12" t="inlineStr">
        <is>
          <t>2026-09-05</t>
        </is>
      </c>
      <c r="B70" s="12" t="inlineStr">
        <is>
          <t>FIU @ USF</t>
        </is>
      </c>
      <c r="C70" s="12" t="inlineStr">
        <is>
          <t>ML</t>
        </is>
      </c>
      <c r="D70" s="12" t="inlineStr">
        <is>
          <t>FIU ML</t>
        </is>
      </c>
      <c r="E70" s="13" t="n">
        <v>425</v>
      </c>
      <c r="F70" s="16" t="n">
        <v>18</v>
      </c>
      <c r="G70" s="12" t="inlineStr">
        <is>
          <t>Loss</t>
        </is>
      </c>
      <c r="H70" s="16">
        <f>IF(OR($G70="",$G70="Pending"),"",ROUND(IF($G70="Win",IF($E70&gt;0,$F70*$E70/100,$F70*100/-$E70),IF($G70="Loss",-$F70,0)),2))</f>
        <v/>
      </c>
      <c r="I70" s="16">
        <f>Settings!$B$5+SUM($H$6:$H70)</f>
        <v/>
      </c>
      <c r="J70" s="14">
        <f>IFERROR(SUM($H$6:$H70)/SUMIF($G$6:$G70,"&lt;&gt;Pending",$F$6:$F70),"")</f>
        <v/>
      </c>
      <c r="K70" s="12" t="inlineStr">
        <is>
          <t>LEAN</t>
        </is>
      </c>
      <c r="L70" s="14" t="n">
        <v>0.1165</v>
      </c>
      <c r="M70" s="14" t="n">
        <v>-0.015</v>
      </c>
      <c r="N70" s="12" t="inlineStr">
        <is>
          <t>FIU 9 - USF 19</t>
        </is>
      </c>
      <c r="O70" s="12" t="inlineStr">
        <is>
          <t>Draft Kings</t>
        </is>
      </c>
    </row>
    <row r="71">
      <c r="A71" s="17" t="inlineStr">
        <is>
          <t>2026-09-05</t>
        </is>
      </c>
      <c r="B71" s="17" t="inlineStr">
        <is>
          <t>FIU @ USF</t>
        </is>
      </c>
      <c r="C71" s="17" t="inlineStr">
        <is>
          <t>TOTAL</t>
        </is>
      </c>
      <c r="D71" s="17" t="inlineStr">
        <is>
          <t>Over 53.5</t>
        </is>
      </c>
      <c r="E71" s="18" t="n">
        <v>-115</v>
      </c>
      <c r="F71" s="21" t="n">
        <v>25</v>
      </c>
      <c r="G71" s="17" t="inlineStr">
        <is>
          <t>Loss</t>
        </is>
      </c>
      <c r="H71" s="21">
        <f>IF(OR($G71="",$G71="Pending"),"",ROUND(IF($G71="Win",IF($E71&gt;0,$F71*$E71/100,$F71*100/-$E71),IF($G71="Loss",-$F71,0)),2))</f>
        <v/>
      </c>
      <c r="I71" s="21">
        <f>Settings!$B$5+SUM($H$6:$H71)</f>
        <v/>
      </c>
      <c r="J71" s="19">
        <f>IFERROR(SUM($H$6:$H71)/SUMIF($G$6:$G71,"&lt;&gt;Pending",$F$6:$F71),"")</f>
        <v/>
      </c>
      <c r="K71" s="17" t="inlineStr">
        <is>
          <t>LEAN</t>
        </is>
      </c>
      <c r="L71" s="19" t="n">
        <v>0.09329999999999999</v>
      </c>
      <c r="M71" s="19" t="n">
        <v>-0.0227</v>
      </c>
      <c r="N71" s="17" t="inlineStr">
        <is>
          <t>FIU 9 - USF 19</t>
        </is>
      </c>
      <c r="O71" s="17" t="inlineStr">
        <is>
          <t>DraftKings</t>
        </is>
      </c>
    </row>
    <row r="72">
      <c r="A72" s="12" t="inlineStr">
        <is>
          <t>2026-09-05</t>
        </is>
      </c>
      <c r="B72" s="12" t="inlineStr">
        <is>
          <t>SHSU @ TROY</t>
        </is>
      </c>
      <c r="C72" s="12" t="inlineStr">
        <is>
          <t>ML</t>
        </is>
      </c>
      <c r="D72" s="12" t="inlineStr">
        <is>
          <t>SHSU ML</t>
        </is>
      </c>
      <c r="E72" s="13" t="n">
        <v>600</v>
      </c>
      <c r="F72" s="16" t="n">
        <v>19.5</v>
      </c>
      <c r="G72" s="12" t="inlineStr">
        <is>
          <t>Loss</t>
        </is>
      </c>
      <c r="H72" s="16">
        <f>IF(OR($G72="",$G72="Pending"),"",ROUND(IF($G72="Win",IF($E72&gt;0,$F72*$E72/100,$F72*100/-$E72),IF($G72="Loss",-$F72,0)),2))</f>
        <v/>
      </c>
      <c r="I72" s="16">
        <f>Settings!$B$5+SUM($H$6:$H72)</f>
        <v/>
      </c>
      <c r="J72" s="14">
        <f>IFERROR(SUM($H$6:$H72)/SUMIF($G$6:$G72,"&lt;&gt;Pending",$F$6:$F72),"")</f>
        <v/>
      </c>
      <c r="K72" s="12" t="inlineStr">
        <is>
          <t>LEAN</t>
        </is>
      </c>
      <c r="L72" s="14" t="n">
        <v>0.1337</v>
      </c>
      <c r="M72" s="14" t="n">
        <v>0.0053</v>
      </c>
      <c r="N72" s="12" t="inlineStr">
        <is>
          <t>SHSU 21 - TROY 24</t>
        </is>
      </c>
      <c r="O72" s="12" t="inlineStr">
        <is>
          <t>DraftKings</t>
        </is>
      </c>
    </row>
    <row r="73">
      <c r="A73" s="17" t="inlineStr">
        <is>
          <t>2026-09-05</t>
        </is>
      </c>
      <c r="B73" s="17" t="inlineStr">
        <is>
          <t>WYO @ CSU</t>
        </is>
      </c>
      <c r="C73" s="17" t="inlineStr">
        <is>
          <t>TOTAL</t>
        </is>
      </c>
      <c r="D73" s="17" t="inlineStr">
        <is>
          <t>Over 47.5</t>
        </is>
      </c>
      <c r="E73" s="18" t="n">
        <v>-112</v>
      </c>
      <c r="F73" s="21" t="n">
        <v>25</v>
      </c>
      <c r="G73" s="17" t="inlineStr">
        <is>
          <t>Win</t>
        </is>
      </c>
      <c r="H73" s="21">
        <f>IF(OR($G73="",$G73="Pending"),"",ROUND(IF($G73="Win",IF($E73&gt;0,$F73*$E73/100,$F73*100/-$E73),IF($G73="Loss",-$F73,0)),2))</f>
        <v/>
      </c>
      <c r="I73" s="21">
        <f>Settings!$B$5+SUM($H$6:$H73)</f>
        <v/>
      </c>
      <c r="J73" s="19">
        <f>IFERROR(SUM($H$6:$H73)/SUMIF($G$6:$G73,"&lt;&gt;Pending",$F$6:$F73),"")</f>
        <v/>
      </c>
      <c r="K73" s="17" t="inlineStr">
        <is>
          <t>LEAN</t>
        </is>
      </c>
      <c r="L73" s="19" t="n">
        <v>0.1091</v>
      </c>
      <c r="M73" s="19" t="n">
        <v>-0.0345</v>
      </c>
      <c r="N73" s="17" t="inlineStr">
        <is>
          <t>WYO 13 - CSU 35</t>
        </is>
      </c>
      <c r="O73" s="17" t="inlineStr">
        <is>
          <t>Draft Kings</t>
        </is>
      </c>
    </row>
    <row r="74">
      <c r="A74" s="12" t="inlineStr">
        <is>
          <t>2026-09-05</t>
        </is>
      </c>
      <c r="B74" s="12" t="inlineStr">
        <is>
          <t>OKST @ TLSA</t>
        </is>
      </c>
      <c r="C74" s="12" t="inlineStr">
        <is>
          <t>TOTAL</t>
        </is>
      </c>
      <c r="D74" s="12" t="inlineStr">
        <is>
          <t>Under 60.5</t>
        </is>
      </c>
      <c r="E74" s="13" t="n">
        <v>-102</v>
      </c>
      <c r="F74" s="16" t="n">
        <v>25</v>
      </c>
      <c r="G74" s="12" t="inlineStr">
        <is>
          <t>Win</t>
        </is>
      </c>
      <c r="H74" s="16">
        <f>IF(OR($G74="",$G74="Pending"),"",ROUND(IF($G74="Win",IF($E74&gt;0,$F74*$E74/100,$F74*100/-$E74),IF($G74="Loss",-$F74,0)),2))</f>
        <v/>
      </c>
      <c r="I74" s="16">
        <f>Settings!$B$5+SUM($H$6:$H74)</f>
        <v/>
      </c>
      <c r="J74" s="14">
        <f>IFERROR(SUM($H$6:$H74)/SUMIF($G$6:$G74,"&lt;&gt;Pending",$F$6:$F74),"")</f>
        <v/>
      </c>
      <c r="K74" s="12" t="inlineStr">
        <is>
          <t>LEAN</t>
        </is>
      </c>
      <c r="L74" s="14" t="n">
        <v>0.1091</v>
      </c>
      <c r="M74" s="14" t="n">
        <v>0.1089</v>
      </c>
      <c r="N74" s="12" t="inlineStr">
        <is>
          <t>OKST 10 - TLSA 24</t>
        </is>
      </c>
      <c r="O74" s="12" t="inlineStr">
        <is>
          <t>DraftKings</t>
        </is>
      </c>
    </row>
    <row r="75">
      <c r="A75" s="17" t="inlineStr">
        <is>
          <t>2026-09-05</t>
        </is>
      </c>
      <c r="B75" s="17" t="inlineStr">
        <is>
          <t>BAY @ AUB</t>
        </is>
      </c>
      <c r="C75" s="17" t="inlineStr">
        <is>
          <t>ATS</t>
        </is>
      </c>
      <c r="D75" s="17" t="inlineStr">
        <is>
          <t>BAY +7</t>
        </is>
      </c>
      <c r="E75" s="18" t="n">
        <v>-105</v>
      </c>
      <c r="F75" s="21" t="n">
        <v>26</v>
      </c>
      <c r="G75" s="17" t="inlineStr">
        <is>
          <t>Win</t>
        </is>
      </c>
      <c r="H75" s="21">
        <f>IF(OR($G75="",$G75="Pending"),"",ROUND(IF($G75="Win",IF($E75&gt;0,$F75*$E75/100,$F75*100/-$E75),IF($G75="Loss",-$F75,0)),2))</f>
        <v/>
      </c>
      <c r="I75" s="21">
        <f>Settings!$B$5+SUM($H$6:$H75)</f>
        <v/>
      </c>
      <c r="J75" s="19">
        <f>IFERROR(SUM($H$6:$H75)/SUMIF($G$6:$G75,"&lt;&gt;Pending",$F$6:$F75),"")</f>
        <v/>
      </c>
      <c r="K75" s="17" t="inlineStr">
        <is>
          <t>LEAN</t>
        </is>
      </c>
      <c r="L75" s="19" t="n">
        <v>0.099</v>
      </c>
      <c r="M75" s="19" t="n">
        <v>0</v>
      </c>
      <c r="N75" s="17" t="inlineStr">
        <is>
          <t>BAY 16 - AUB 17</t>
        </is>
      </c>
      <c r="O75" s="17" t="inlineStr">
        <is>
          <t>DraftKings</t>
        </is>
      </c>
    </row>
    <row r="76">
      <c r="A76" s="12" t="inlineStr">
        <is>
          <t>2026-09-05</t>
        </is>
      </c>
      <c r="B76" s="12" t="inlineStr">
        <is>
          <t>BAY @ AUB</t>
        </is>
      </c>
      <c r="C76" s="12" t="inlineStr">
        <is>
          <t>ML</t>
        </is>
      </c>
      <c r="D76" s="12" t="inlineStr">
        <is>
          <t>BAY ML</t>
        </is>
      </c>
      <c r="E76" s="13" t="n">
        <v>240</v>
      </c>
      <c r="F76" s="16" t="n">
        <v>18</v>
      </c>
      <c r="G76" s="12" t="inlineStr">
        <is>
          <t>Loss</t>
        </is>
      </c>
      <c r="H76" s="16">
        <f>IF(OR($G76="",$G76="Pending"),"",ROUND(IF($G76="Win",IF($E76&gt;0,$F76*$E76/100,$F76*100/-$E76),IF($G76="Loss",-$F76,0)),2))</f>
        <v/>
      </c>
      <c r="I76" s="16">
        <f>Settings!$B$5+SUM($H$6:$H76)</f>
        <v/>
      </c>
      <c r="J76" s="14">
        <f>IFERROR(SUM($H$6:$H76)/SUMIF($G$6:$G76,"&lt;&gt;Pending",$F$6:$F76),"")</f>
        <v/>
      </c>
      <c r="K76" s="12" t="inlineStr">
        <is>
          <t>LEAN</t>
        </is>
      </c>
      <c r="L76" s="14" t="n">
        <v>0.0969</v>
      </c>
      <c r="M76" s="14" t="n">
        <v>0.0184</v>
      </c>
      <c r="N76" s="12" t="inlineStr">
        <is>
          <t>BAY 16 - AUB 17</t>
        </is>
      </c>
      <c r="O76" s="12" t="inlineStr">
        <is>
          <t>DraftKings</t>
        </is>
      </c>
    </row>
    <row r="77">
      <c r="A77" s="17" t="inlineStr">
        <is>
          <t>2026-09-05</t>
        </is>
      </c>
      <c r="B77" s="17" t="inlineStr">
        <is>
          <t>BAY @ AUB</t>
        </is>
      </c>
      <c r="C77" s="17" t="inlineStr">
        <is>
          <t>TOTAL</t>
        </is>
      </c>
      <c r="D77" s="17" t="inlineStr">
        <is>
          <t>Under 59.5</t>
        </is>
      </c>
      <c r="E77" s="18" t="n">
        <v>-115</v>
      </c>
      <c r="F77" s="21" t="n">
        <v>25</v>
      </c>
      <c r="G77" s="17" t="inlineStr">
        <is>
          <t>Win</t>
        </is>
      </c>
      <c r="H77" s="21">
        <f>IF(OR($G77="",$G77="Pending"),"",ROUND(IF($G77="Win",IF($E77&gt;0,$F77*$E77/100,$F77*100/-$E77),IF($G77="Loss",-$F77,0)),2))</f>
        <v/>
      </c>
      <c r="I77" s="21">
        <f>Settings!$B$5+SUM($H$6:$H77)</f>
        <v/>
      </c>
      <c r="J77" s="19">
        <f>IFERROR(SUM($H$6:$H77)/SUMIF($G$6:$G77,"&lt;&gt;Pending",$F$6:$F77),"")</f>
        <v/>
      </c>
      <c r="K77" s="17" t="inlineStr">
        <is>
          <t>LEAN</t>
        </is>
      </c>
      <c r="L77" s="19" t="n">
        <v>0.098</v>
      </c>
      <c r="M77" s="19" t="n">
        <v>0.0373</v>
      </c>
      <c r="N77" s="17" t="inlineStr">
        <is>
          <t>BAY 16 - AUB 17</t>
        </is>
      </c>
      <c r="O77" s="17" t="inlineStr">
        <is>
          <t>DraftKings</t>
        </is>
      </c>
    </row>
    <row r="78">
      <c r="A78" s="12" t="inlineStr">
        <is>
          <t>2026-09-05</t>
        </is>
      </c>
      <c r="B78" s="12" t="inlineStr">
        <is>
          <t>BC @ CIN</t>
        </is>
      </c>
      <c r="C78" s="12" t="inlineStr">
        <is>
          <t>TOTAL</t>
        </is>
      </c>
      <c r="D78" s="12" t="inlineStr">
        <is>
          <t>Over 49.5</t>
        </is>
      </c>
      <c r="E78" s="13" t="n">
        <v>-115</v>
      </c>
      <c r="F78" s="16" t="n">
        <v>25</v>
      </c>
      <c r="G78" s="12" t="inlineStr">
        <is>
          <t>Loss</t>
        </is>
      </c>
      <c r="H78" s="16">
        <f>IF(OR($G78="",$G78="Pending"),"",ROUND(IF($G78="Win",IF($E78&gt;0,$F78*$E78/100,$F78*100/-$E78),IF($G78="Loss",-$F78,0)),2))</f>
        <v/>
      </c>
      <c r="I78" s="16">
        <f>Settings!$B$5+SUM($H$6:$H78)</f>
        <v/>
      </c>
      <c r="J78" s="14">
        <f>IFERROR(SUM($H$6:$H78)/SUMIF($G$6:$G78,"&lt;&gt;Pending",$F$6:$F78),"")</f>
        <v/>
      </c>
      <c r="K78" s="12" t="inlineStr">
        <is>
          <t>LEAN</t>
        </is>
      </c>
      <c r="L78" s="14" t="n">
        <v>0.1042</v>
      </c>
      <c r="M78" s="14" t="n">
        <v>0.0301</v>
      </c>
      <c r="N78" s="12" t="inlineStr">
        <is>
          <t>BC 15 - CIN 34</t>
        </is>
      </c>
      <c r="O78" s="12" t="inlineStr">
        <is>
          <t>DraftKings</t>
        </is>
      </c>
    </row>
    <row r="79">
      <c r="A79" s="17" t="inlineStr">
        <is>
          <t>2026-09-05</t>
        </is>
      </c>
      <c r="B79" s="17" t="inlineStr">
        <is>
          <t>TULN @ DUKE</t>
        </is>
      </c>
      <c r="C79" s="17" t="inlineStr">
        <is>
          <t>TOTAL</t>
        </is>
      </c>
      <c r="D79" s="17" t="inlineStr">
        <is>
          <t>Over 51.5</t>
        </is>
      </c>
      <c r="E79" s="18" t="n">
        <v>-108</v>
      </c>
      <c r="F79" s="21" t="n">
        <v>25</v>
      </c>
      <c r="G79" s="17" t="inlineStr">
        <is>
          <t>Loss</t>
        </is>
      </c>
      <c r="H79" s="21">
        <f>IF(OR($G79="",$G79="Pending"),"",ROUND(IF($G79="Win",IF($E79&gt;0,$F79*$E79/100,$F79*100/-$E79),IF($G79="Loss",-$F79,0)),2))</f>
        <v/>
      </c>
      <c r="I79" s="21">
        <f>Settings!$B$5+SUM($H$6:$H79)</f>
        <v/>
      </c>
      <c r="J79" s="19">
        <f>IFERROR(SUM($H$6:$H79)/SUMIF($G$6:$G79,"&lt;&gt;Pending",$F$6:$F79),"")</f>
        <v/>
      </c>
      <c r="K79" s="17" t="inlineStr">
        <is>
          <t>LEAN</t>
        </is>
      </c>
      <c r="L79" s="19" t="n">
        <v>0.1029</v>
      </c>
      <c r="M79" s="19" t="n">
        <v>-0.0143</v>
      </c>
      <c r="N79" s="17" t="inlineStr">
        <is>
          <t>TULN 3 - DUKE 17</t>
        </is>
      </c>
      <c r="O79" s="17" t="inlineStr">
        <is>
          <t>DraftKings</t>
        </is>
      </c>
    </row>
    <row r="80">
      <c r="A80" s="12" t="inlineStr">
        <is>
          <t>2026-09-05</t>
        </is>
      </c>
      <c r="B80" s="12" t="inlineStr">
        <is>
          <t>BOIS @ ORE</t>
        </is>
      </c>
      <c r="C80" s="12" t="inlineStr">
        <is>
          <t>TOTAL</t>
        </is>
      </c>
      <c r="D80" s="12" t="inlineStr">
        <is>
          <t>Over 51.5</t>
        </is>
      </c>
      <c r="E80" s="13" t="n">
        <v>-108</v>
      </c>
      <c r="F80" s="16" t="n">
        <v>23.5</v>
      </c>
      <c r="G80" s="12" t="inlineStr">
        <is>
          <t>Win</t>
        </is>
      </c>
      <c r="H80" s="16">
        <f>IF(OR($G80="",$G80="Pending"),"",ROUND(IF($G80="Win",IF($E80&gt;0,$F80*$E80/100,$F80*100/-$E80),IF($G80="Loss",-$F80,0)),2))</f>
        <v/>
      </c>
      <c r="I80" s="16">
        <f>Settings!$B$5+SUM($H$6:$H80)</f>
        <v/>
      </c>
      <c r="J80" s="14">
        <f>IFERROR(SUM($H$6:$H80)/SUMIF($G$6:$G80,"&lt;&gt;Pending",$F$6:$F80),"")</f>
        <v/>
      </c>
      <c r="K80" s="12" t="inlineStr">
        <is>
          <t>LEAN</t>
        </is>
      </c>
      <c r="L80" s="14" t="n">
        <v>0.0898</v>
      </c>
      <c r="M80" s="14" t="n">
        <v>0.0091</v>
      </c>
      <c r="N80" s="12" t="inlineStr">
        <is>
          <t>BOIS 27 - ORE 34</t>
        </is>
      </c>
      <c r="O80" s="12" t="inlineStr">
        <is>
          <t>Draft Kings</t>
        </is>
      </c>
    </row>
    <row r="81">
      <c r="A81" s="17" t="inlineStr">
        <is>
          <t>2026-09-05</t>
        </is>
      </c>
      <c r="B81" s="17" t="inlineStr">
        <is>
          <t>MRSH @ PSU</t>
        </is>
      </c>
      <c r="C81" s="17" t="inlineStr">
        <is>
          <t>TOTAL</t>
        </is>
      </c>
      <c r="D81" s="17" t="inlineStr">
        <is>
          <t>Over 52.5</t>
        </is>
      </c>
      <c r="E81" s="18" t="n">
        <v>-102</v>
      </c>
      <c r="F81" s="21" t="n">
        <v>24.5</v>
      </c>
      <c r="G81" s="17" t="inlineStr">
        <is>
          <t>Loss</t>
        </is>
      </c>
      <c r="H81" s="21">
        <f>IF(OR($G81="",$G81="Pending"),"",ROUND(IF($G81="Win",IF($E81&gt;0,$F81*$E81/100,$F81*100/-$E81),IF($G81="Loss",-$F81,0)),2))</f>
        <v/>
      </c>
      <c r="I81" s="21">
        <f>Settings!$B$5+SUM($H$6:$H81)</f>
        <v/>
      </c>
      <c r="J81" s="19">
        <f>IFERROR(SUM($H$6:$H81)/SUMIF($G$6:$G81,"&lt;&gt;Pending",$F$6:$F81),"")</f>
        <v/>
      </c>
      <c r="K81" s="17" t="inlineStr">
        <is>
          <t>LEAN</t>
        </is>
      </c>
      <c r="L81" s="19" t="n">
        <v>0.0925</v>
      </c>
      <c r="M81" s="19" t="n">
        <v>0</v>
      </c>
      <c r="N81" s="17" t="inlineStr">
        <is>
          <t>MRSH 0 - PSU 45</t>
        </is>
      </c>
      <c r="O81" s="17" t="inlineStr">
        <is>
          <t>DraftKings</t>
        </is>
      </c>
    </row>
    <row r="82">
      <c r="A82" s="12" t="inlineStr">
        <is>
          <t>2026-09-05</t>
        </is>
      </c>
      <c r="B82" s="12" t="inlineStr">
        <is>
          <t>M-OH @ PITT</t>
        </is>
      </c>
      <c r="C82" s="12" t="inlineStr">
        <is>
          <t>ML</t>
        </is>
      </c>
      <c r="D82" s="12" t="inlineStr">
        <is>
          <t>M-OH ML</t>
        </is>
      </c>
      <c r="E82" s="13" t="n">
        <v>550</v>
      </c>
      <c r="F82" s="16" t="n">
        <v>19</v>
      </c>
      <c r="G82" s="12" t="inlineStr">
        <is>
          <t>Loss</t>
        </is>
      </c>
      <c r="H82" s="16">
        <f>IF(OR($G82="",$G82="Pending"),"",ROUND(IF($G82="Win",IF($E82&gt;0,$F82*$E82/100,$F82*100/-$E82),IF($G82="Loss",-$F82,0)),2))</f>
        <v/>
      </c>
      <c r="I82" s="16">
        <f>Settings!$B$5+SUM($H$6:$H82)</f>
        <v/>
      </c>
      <c r="J82" s="14">
        <f>IFERROR(SUM($H$6:$H82)/SUMIF($G$6:$G82,"&lt;&gt;Pending",$F$6:$F82),"")</f>
        <v/>
      </c>
      <c r="K82" s="12" t="inlineStr">
        <is>
          <t>GOOD</t>
        </is>
      </c>
      <c r="L82" s="14" t="n">
        <v>0.1283</v>
      </c>
      <c r="M82" s="14" t="n">
        <v>0</v>
      </c>
      <c r="N82" s="12" t="inlineStr">
        <is>
          <t>M-OH 14 - PITT 59</t>
        </is>
      </c>
      <c r="O82" s="12" t="inlineStr">
        <is>
          <t>DraftKings</t>
        </is>
      </c>
    </row>
    <row r="83">
      <c r="A83" s="17" t="inlineStr">
        <is>
          <t>2026-09-05</t>
        </is>
      </c>
      <c r="B83" s="17" t="inlineStr">
        <is>
          <t>BALL @ OSU</t>
        </is>
      </c>
      <c r="C83" s="17" t="inlineStr">
        <is>
          <t>TOTAL</t>
        </is>
      </c>
      <c r="D83" s="17" t="inlineStr">
        <is>
          <t>Under 56.5</t>
        </is>
      </c>
      <c r="E83" s="18" t="n">
        <v>-105</v>
      </c>
      <c r="F83" s="21" t="n">
        <v>22.5</v>
      </c>
      <c r="G83" s="17" t="inlineStr">
        <is>
          <t>Loss</t>
        </is>
      </c>
      <c r="H83" s="21">
        <f>IF(OR($G83="",$G83="Pending"),"",ROUND(IF($G83="Win",IF($E83&gt;0,$F83*$E83/100,$F83*100/-$E83),IF($G83="Loss",-$F83,0)),2))</f>
        <v/>
      </c>
      <c r="I83" s="21">
        <f>Settings!$B$5+SUM($H$6:$H83)</f>
        <v/>
      </c>
      <c r="J83" s="19">
        <f>IFERROR(SUM($H$6:$H83)/SUMIF($G$6:$G83,"&lt;&gt;Pending",$F$6:$F83),"")</f>
        <v/>
      </c>
      <c r="K83" s="17" t="inlineStr">
        <is>
          <t>LEAN</t>
        </is>
      </c>
      <c r="L83" s="19" t="n">
        <v>0.0886</v>
      </c>
      <c r="M83" s="19" t="n">
        <v>0.0161</v>
      </c>
      <c r="N83" s="17" t="inlineStr">
        <is>
          <t>BALL 3 - OSU 56</t>
        </is>
      </c>
      <c r="O83" s="17" t="inlineStr">
        <is>
          <t>DraftKings</t>
        </is>
      </c>
    </row>
    <row r="84">
      <c r="A84" s="12" t="inlineStr">
        <is>
          <t>2026-09-05</t>
        </is>
      </c>
      <c r="B84" s="12" t="inlineStr">
        <is>
          <t>ORST @ HOU</t>
        </is>
      </c>
      <c r="C84" s="12" t="inlineStr">
        <is>
          <t>TOTAL</t>
        </is>
      </c>
      <c r="D84" s="12" t="inlineStr">
        <is>
          <t>Over 49.5</t>
        </is>
      </c>
      <c r="E84" s="13" t="n">
        <v>-110</v>
      </c>
      <c r="F84" s="16" t="n">
        <v>25</v>
      </c>
      <c r="G84" s="12" t="inlineStr">
        <is>
          <t>Win</t>
        </is>
      </c>
      <c r="H84" s="16">
        <f>IF(OR($G84="",$G84="Pending"),"",ROUND(IF($G84="Win",IF($E84&gt;0,$F84*$E84/100,$F84*100/-$E84),IF($G84="Loss",-$F84,0)),2))</f>
        <v/>
      </c>
      <c r="I84" s="16">
        <f>Settings!$B$5+SUM($H$6:$H84)</f>
        <v/>
      </c>
      <c r="J84" s="14">
        <f>IFERROR(SUM($H$6:$H84)/SUMIF($G$6:$G84,"&lt;&gt;Pending",$F$6:$F84),"")</f>
        <v/>
      </c>
      <c r="K84" s="12" t="inlineStr">
        <is>
          <t>LEAN</t>
        </is>
      </c>
      <c r="L84" s="14" t="n">
        <v>0.0973</v>
      </c>
      <c r="M84" s="14" t="n">
        <v>0.0475</v>
      </c>
      <c r="N84" s="12" t="inlineStr">
        <is>
          <t>ORST 20 - HOU 33</t>
        </is>
      </c>
      <c r="O84" s="12" t="inlineStr">
        <is>
          <t>DraftKings</t>
        </is>
      </c>
    </row>
    <row r="85">
      <c r="A85" s="17" t="inlineStr">
        <is>
          <t>2026-09-05</t>
        </is>
      </c>
      <c r="B85" s="17" t="inlineStr">
        <is>
          <t>UNT @ IU</t>
        </is>
      </c>
      <c r="C85" s="17" t="inlineStr">
        <is>
          <t>TOTAL</t>
        </is>
      </c>
      <c r="D85" s="17" t="inlineStr">
        <is>
          <t>Over 55.5</t>
        </is>
      </c>
      <c r="E85" s="18" t="n">
        <v>-108</v>
      </c>
      <c r="F85" s="21" t="n">
        <v>23.5</v>
      </c>
      <c r="G85" s="17" t="inlineStr">
        <is>
          <t>Win</t>
        </is>
      </c>
      <c r="H85" s="21">
        <f>IF(OR($G85="",$G85="Pending"),"",ROUND(IF($G85="Win",IF($E85&gt;0,$F85*$E85/100,$F85*100/-$E85),IF($G85="Loss",-$F85,0)),2))</f>
        <v/>
      </c>
      <c r="I85" s="21">
        <f>Settings!$B$5+SUM($H$6:$H85)</f>
        <v/>
      </c>
      <c r="J85" s="19">
        <f>IFERROR(SUM($H$6:$H85)/SUMIF($G$6:$G85,"&lt;&gt;Pending",$F$6:$F85),"")</f>
        <v/>
      </c>
      <c r="K85" s="17" t="inlineStr">
        <is>
          <t>LEAN</t>
        </is>
      </c>
      <c r="L85" s="19" t="n">
        <v>0.0898</v>
      </c>
      <c r="M85" s="19" t="n">
        <v>0.03</v>
      </c>
      <c r="N85" s="17" t="inlineStr">
        <is>
          <t>UNT 16 - IU 52</t>
        </is>
      </c>
      <c r="O85" s="17" t="inlineStr">
        <is>
          <t>DraftKings</t>
        </is>
      </c>
    </row>
    <row r="86">
      <c r="A86" s="12" t="inlineStr">
        <is>
          <t>2026-09-05</t>
        </is>
      </c>
      <c r="B86" s="12" t="inlineStr">
        <is>
          <t>OHIO @ NEB</t>
        </is>
      </c>
      <c r="C86" s="12" t="inlineStr">
        <is>
          <t>TOTAL</t>
        </is>
      </c>
      <c r="D86" s="12" t="inlineStr">
        <is>
          <t>Over 47.5</t>
        </is>
      </c>
      <c r="E86" s="13" t="n">
        <v>-108</v>
      </c>
      <c r="F86" s="16" t="n">
        <v>25</v>
      </c>
      <c r="G86" s="12" t="inlineStr">
        <is>
          <t>Win</t>
        </is>
      </c>
      <c r="H86" s="16">
        <f>IF(OR($G86="",$G86="Pending"),"",ROUND(IF($G86="Win",IF($E86&gt;0,$F86*$E86/100,$F86*100/-$E86),IF($G86="Loss",-$F86,0)),2))</f>
        <v/>
      </c>
      <c r="I86" s="16">
        <f>Settings!$B$5+SUM($H$6:$H86)</f>
        <v/>
      </c>
      <c r="J86" s="14">
        <f>IFERROR(SUM($H$6:$H86)/SUMIF($G$6:$G86,"&lt;&gt;Pending",$F$6:$F86),"")</f>
        <v/>
      </c>
      <c r="K86" s="12" t="inlineStr">
        <is>
          <t>LEAN</t>
        </is>
      </c>
      <c r="L86" s="14" t="n">
        <v>0.1092</v>
      </c>
      <c r="M86" s="14" t="n">
        <v>-0.0254</v>
      </c>
      <c r="N86" s="12" t="inlineStr">
        <is>
          <t>OHIO 21 - NEB 49</t>
        </is>
      </c>
      <c r="O86" s="12" t="inlineStr">
        <is>
          <t>DraftKings</t>
        </is>
      </c>
    </row>
    <row r="87">
      <c r="A87" s="17" t="inlineStr">
        <is>
          <t>2026-09-05</t>
        </is>
      </c>
      <c r="B87" s="17" t="inlineStr">
        <is>
          <t>LIB @ JMU</t>
        </is>
      </c>
      <c r="C87" s="17" t="inlineStr">
        <is>
          <t>TOTAL</t>
        </is>
      </c>
      <c r="D87" s="17" t="inlineStr">
        <is>
          <t>Over 50.5</t>
        </is>
      </c>
      <c r="E87" s="18" t="n">
        <v>-112</v>
      </c>
      <c r="F87" s="21" t="n">
        <v>25</v>
      </c>
      <c r="G87" s="17" t="inlineStr">
        <is>
          <t>Loss</t>
        </is>
      </c>
      <c r="H87" s="21">
        <f>IF(OR($G87="",$G87="Pending"),"",ROUND(IF($G87="Win",IF($E87&gt;0,$F87*$E87/100,$F87*100/-$E87),IF($G87="Loss",-$F87,0)),2))</f>
        <v/>
      </c>
      <c r="I87" s="21">
        <f>Settings!$B$5+SUM($H$6:$H87)</f>
        <v/>
      </c>
      <c r="J87" s="19">
        <f>IFERROR(SUM($H$6:$H87)/SUMIF($G$6:$G87,"&lt;&gt;Pending",$F$6:$F87),"")</f>
        <v/>
      </c>
      <c r="K87" s="17" t="inlineStr">
        <is>
          <t>LEAN</t>
        </is>
      </c>
      <c r="L87" s="19" t="n">
        <v>0.0982</v>
      </c>
      <c r="M87" s="19" t="n">
        <v>0</v>
      </c>
      <c r="N87" s="17" t="inlineStr">
        <is>
          <t>LIB 13 - JMU 20</t>
        </is>
      </c>
      <c r="O87" s="17" t="inlineStr">
        <is>
          <t>DraftKings</t>
        </is>
      </c>
    </row>
    <row r="88">
      <c r="A88" s="12" t="inlineStr">
        <is>
          <t>2026-09-05</t>
        </is>
      </c>
      <c r="B88" s="12" t="inlineStr">
        <is>
          <t>MIA @ STAN</t>
        </is>
      </c>
      <c r="C88" s="12" t="inlineStr">
        <is>
          <t>TOTAL</t>
        </is>
      </c>
      <c r="D88" s="12" t="inlineStr">
        <is>
          <t>Over 48.5</t>
        </is>
      </c>
      <c r="E88" s="13" t="n">
        <v>100</v>
      </c>
      <c r="F88" s="16" t="n">
        <v>25</v>
      </c>
      <c r="G88" s="12" t="inlineStr">
        <is>
          <t>Win</t>
        </is>
      </c>
      <c r="H88" s="16">
        <f>IF(OR($G88="",$G88="Pending"),"",ROUND(IF($G88="Win",IF($E88&gt;0,$F88*$E88/100,$F88*100/-$E88),IF($G88="Loss",-$F88,0)),2))</f>
        <v/>
      </c>
      <c r="I88" s="16">
        <f>Settings!$B$5+SUM($H$6:$H88)</f>
        <v/>
      </c>
      <c r="J88" s="14">
        <f>IFERROR(SUM($H$6:$H88)/SUMIF($G$6:$G88,"&lt;&gt;Pending",$F$6:$F88),"")</f>
        <v/>
      </c>
      <c r="K88" s="12" t="inlineStr">
        <is>
          <t>LEAN</t>
        </is>
      </c>
      <c r="L88" s="14" t="n">
        <v>0.1103</v>
      </c>
      <c r="M88" s="14" t="n">
        <v>-0.0362</v>
      </c>
      <c r="N88" s="12" t="inlineStr">
        <is>
          <t>MIA 45 - STAN 6</t>
        </is>
      </c>
      <c r="O88" s="12" t="inlineStr">
        <is>
          <t>Draft Kings</t>
        </is>
      </c>
    </row>
    <row r="89">
      <c r="A89" s="17" t="inlineStr">
        <is>
          <t>2026-09-05</t>
        </is>
      </c>
      <c r="B89" s="17" t="inlineStr">
        <is>
          <t>TOL @ MSU</t>
        </is>
      </c>
      <c r="C89" s="17" t="inlineStr">
        <is>
          <t>ATS</t>
        </is>
      </c>
      <c r="D89" s="17" t="inlineStr">
        <is>
          <t>TOL +10</t>
        </is>
      </c>
      <c r="E89" s="18" t="n">
        <v>-105</v>
      </c>
      <c r="F89" s="21" t="n">
        <v>25</v>
      </c>
      <c r="G89" s="17" t="inlineStr">
        <is>
          <t>Push</t>
        </is>
      </c>
      <c r="H89" s="21">
        <f>IF(OR($G89="",$G89="Pending"),"",ROUND(IF($G89="Win",IF($E89&gt;0,$F89*$E89/100,$F89*100/-$E89),IF($G89="Loss",-$F89,0)),2))</f>
        <v/>
      </c>
      <c r="I89" s="21">
        <f>Settings!$B$5+SUM($H$6:$H89)</f>
        <v/>
      </c>
      <c r="J89" s="19">
        <f>IFERROR(SUM($H$6:$H89)/SUMIF($G$6:$G89,"&lt;&gt;Pending",$F$6:$F89),"")</f>
        <v/>
      </c>
      <c r="K89" s="17" t="inlineStr">
        <is>
          <t>LEAN</t>
        </is>
      </c>
      <c r="L89" s="19" t="n">
        <v>0.111</v>
      </c>
      <c r="M89" s="19" t="n">
        <v>0.0241</v>
      </c>
      <c r="N89" s="17" t="inlineStr">
        <is>
          <t>TOL 20 - MSU 30</t>
        </is>
      </c>
      <c r="O89" s="17" t="inlineStr">
        <is>
          <t>Draft Kings</t>
        </is>
      </c>
    </row>
    <row r="90">
      <c r="A90" s="12" t="inlineStr">
        <is>
          <t>2026-09-04</t>
        </is>
      </c>
      <c r="B90" s="12" t="inlineStr">
        <is>
          <t>COLO @ GT</t>
        </is>
      </c>
      <c r="C90" s="12" t="inlineStr">
        <is>
          <t>TOTAL</t>
        </is>
      </c>
      <c r="D90" s="12" t="inlineStr">
        <is>
          <t>Over 50.5</t>
        </is>
      </c>
      <c r="E90" s="13" t="n">
        <v>-115</v>
      </c>
      <c r="F90" s="16" t="n">
        <v>21</v>
      </c>
      <c r="G90" s="12" t="inlineStr">
        <is>
          <t>Loss</t>
        </is>
      </c>
      <c r="H90" s="16">
        <f>IF(OR($G90="",$G90="Pending"),"",ROUND(IF($G90="Win",IF($E90&gt;0,$F90*$E90/100,$F90*100/-$E90),IF($G90="Loss",-$F90,0)),2))</f>
        <v/>
      </c>
      <c r="I90" s="16">
        <f>Settings!$B$5+SUM($H$6:$H90)</f>
        <v/>
      </c>
      <c r="J90" s="14">
        <f>IFERROR(SUM($H$6:$H90)/SUMIF($G$6:$G90,"&lt;&gt;Pending",$F$6:$F90),"")</f>
        <v/>
      </c>
      <c r="K90" s="12" t="inlineStr">
        <is>
          <t>LEAN</t>
        </is>
      </c>
      <c r="L90" s="14" t="n">
        <v>0.0784</v>
      </c>
      <c r="M90" s="14" t="n">
        <v>0.0189</v>
      </c>
      <c r="N90" s="12" t="inlineStr">
        <is>
          <t>COLO 14 - GT 13</t>
        </is>
      </c>
      <c r="O90" s="12" t="inlineStr">
        <is>
          <t>DraftKings</t>
        </is>
      </c>
    </row>
    <row r="91">
      <c r="A91" s="17" t="inlineStr">
        <is>
          <t>2026-09-03</t>
        </is>
      </c>
      <c r="B91" s="17" t="inlineStr">
        <is>
          <t>AKR @ WAKE</t>
        </is>
      </c>
      <c r="C91" s="17" t="inlineStr">
        <is>
          <t>TOTAL</t>
        </is>
      </c>
      <c r="D91" s="17" t="inlineStr">
        <is>
          <t>Over 48.5</t>
        </is>
      </c>
      <c r="E91" s="18" t="n">
        <v>-112</v>
      </c>
      <c r="F91" s="21" t="n">
        <v>24.5</v>
      </c>
      <c r="G91" s="17" t="inlineStr">
        <is>
          <t>Win</t>
        </is>
      </c>
      <c r="H91" s="21">
        <f>IF(OR($G91="",$G91="Pending"),"",ROUND(IF($G91="Win",IF($E91&gt;0,$F91*$E91/100,$F91*100/-$E91),IF($G91="Loss",-$F91,0)),2))</f>
        <v/>
      </c>
      <c r="I91" s="21">
        <f>Settings!$B$5+SUM($H$6:$H91)</f>
        <v/>
      </c>
      <c r="J91" s="19">
        <f>IFERROR(SUM($H$6:$H91)/SUMIF($G$6:$G91,"&lt;&gt;Pending",$F$6:$F91),"")</f>
        <v/>
      </c>
      <c r="K91" s="17" t="inlineStr">
        <is>
          <t>LEAN</t>
        </is>
      </c>
      <c r="L91" s="19" t="n">
        <v>0.0917</v>
      </c>
      <c r="M91" s="19" t="n">
        <v>0.0509</v>
      </c>
      <c r="N91" s="17" t="inlineStr">
        <is>
          <t>AKR 16 - WAKE 38</t>
        </is>
      </c>
      <c r="O91" s="17" t="inlineStr">
        <is>
          <t>DraftKings</t>
        </is>
      </c>
    </row>
    <row r="92">
      <c r="A92" s="12" t="inlineStr">
        <is>
          <t>2026-08-29</t>
        </is>
      </c>
      <c r="B92" s="12" t="inlineStr">
        <is>
          <t>HAW @ STAN</t>
        </is>
      </c>
      <c r="C92" s="12" t="inlineStr">
        <is>
          <t>TOTAL</t>
        </is>
      </c>
      <c r="D92" s="12" t="inlineStr">
        <is>
          <t>Over 49.5</t>
        </is>
      </c>
      <c r="E92" s="13" t="n">
        <v>-105</v>
      </c>
      <c r="F92" s="16" t="n">
        <v>21.5</v>
      </c>
      <c r="G92" s="12" t="inlineStr">
        <is>
          <t>Win</t>
        </is>
      </c>
      <c r="H92" s="16">
        <f>IF(OR($G92="",$G92="Pending"),"",ROUND(IF($G92="Win",IF($E92&gt;0,$F92*$E92/100,$F92*100/-$E92),IF($G92="Loss",-$F92,0)),2))</f>
        <v/>
      </c>
      <c r="I92" s="16">
        <f>Settings!$B$5+SUM($H$6:$H92)</f>
        <v/>
      </c>
      <c r="J92" s="14">
        <f>IFERROR(SUM($H$6:$H92)/SUMIF($G$6:$G92,"&lt;&gt;Pending",$F$6:$F92),"")</f>
        <v/>
      </c>
      <c r="K92" s="12" t="inlineStr">
        <is>
          <t>LEAN</t>
        </is>
      </c>
      <c r="L92" s="14" t="n">
        <v>0.0834</v>
      </c>
      <c r="M92" s="14" t="n">
        <v>-0.0139</v>
      </c>
      <c r="N92" s="12" t="inlineStr">
        <is>
          <t>HAW 27 - STAN 37</t>
        </is>
      </c>
      <c r="O92" s="12" t="inlineStr">
        <is>
          <t>Draft Kings</t>
        </is>
      </c>
    </row>
    <row r="93">
      <c r="A93" s="17" t="inlineStr">
        <is>
          <t>2026-08-29</t>
        </is>
      </c>
      <c r="B93" s="17" t="inlineStr">
        <is>
          <t>SAC @ EMU</t>
        </is>
      </c>
      <c r="C93" s="17" t="inlineStr">
        <is>
          <t>ATS</t>
        </is>
      </c>
      <c r="D93" s="17" t="inlineStr">
        <is>
          <t>SAC +8.5</t>
        </is>
      </c>
      <c r="E93" s="18" t="n">
        <v>-108</v>
      </c>
      <c r="F93" s="21" t="n">
        <v>25</v>
      </c>
      <c r="G93" s="17" t="inlineStr">
        <is>
          <t>Loss</t>
        </is>
      </c>
      <c r="H93" s="21">
        <f>IF(OR($G93="",$G93="Pending"),"",ROUND(IF($G93="Win",IF($E93&gt;0,$F93*$E93/100,$F93*100/-$E93),IF($G93="Loss",-$F93,0)),2))</f>
        <v/>
      </c>
      <c r="I93" s="21">
        <f>Settings!$B$5+SUM($H$6:$H93)</f>
        <v/>
      </c>
      <c r="J93" s="19">
        <f>IFERROR(SUM($H$6:$H93)/SUMIF($G$6:$G93,"&lt;&gt;Pending",$F$6:$F93),"")</f>
        <v/>
      </c>
      <c r="K93" s="17" t="inlineStr">
        <is>
          <t>LEAN</t>
        </is>
      </c>
      <c r="L93" s="19" t="n">
        <v>0.1065</v>
      </c>
      <c r="M93" s="19" t="n">
        <v>0.0046</v>
      </c>
      <c r="N93" s="17" t="inlineStr">
        <is>
          <t>SAC 17 - EMU 28</t>
        </is>
      </c>
      <c r="O93" s="17" t="inlineStr">
        <is>
          <t>DraftKings</t>
        </is>
      </c>
    </row>
    <row r="94">
      <c r="A94" s="12" t="inlineStr">
        <is>
          <t>2026-08-29</t>
        </is>
      </c>
      <c r="B94" s="12" t="inlineStr">
        <is>
          <t>SAC @ EMU</t>
        </is>
      </c>
      <c r="C94" s="12" t="inlineStr">
        <is>
          <t>ML</t>
        </is>
      </c>
      <c r="D94" s="12" t="inlineStr">
        <is>
          <t>SAC ML</t>
        </is>
      </c>
      <c r="E94" s="13" t="n">
        <v>280</v>
      </c>
      <c r="F94" s="16" t="n">
        <v>18</v>
      </c>
      <c r="G94" s="12" t="inlineStr">
        <is>
          <t>Loss</t>
        </is>
      </c>
      <c r="H94" s="16">
        <f>IF(OR($G94="",$G94="Pending"),"",ROUND(IF($G94="Win",IF($E94&gt;0,$F94*$E94/100,$F94*100/-$E94),IF($G94="Loss",-$F94,0)),2))</f>
        <v/>
      </c>
      <c r="I94" s="16">
        <f>Settings!$B$5+SUM($H$6:$H94)</f>
        <v/>
      </c>
      <c r="J94" s="14">
        <f>IFERROR(SUM($H$6:$H94)/SUMIF($G$6:$G94,"&lt;&gt;Pending",$F$6:$F94),"")</f>
        <v/>
      </c>
      <c r="K94" s="12" t="inlineStr">
        <is>
          <t>LEAN</t>
        </is>
      </c>
      <c r="L94" s="14" t="n">
        <v>0.1055</v>
      </c>
      <c r="M94" s="14" t="n">
        <v>0</v>
      </c>
      <c r="N94" s="12" t="inlineStr">
        <is>
          <t>SAC 17 - EMU 28</t>
        </is>
      </c>
      <c r="O94" s="12" t="inlineStr">
        <is>
          <t>Draft Kings</t>
        </is>
      </c>
    </row>
    <row r="95">
      <c r="A95" s="17" t="inlineStr">
        <is>
          <t>2026-08-29</t>
        </is>
      </c>
      <c r="B95" s="17" t="inlineStr">
        <is>
          <t>UNC @ TCU</t>
        </is>
      </c>
      <c r="C95" s="17" t="inlineStr">
        <is>
          <t>ATS</t>
        </is>
      </c>
      <c r="D95" s="17" t="inlineStr">
        <is>
          <t>UNC +7.5</t>
        </is>
      </c>
      <c r="E95" s="18" t="n">
        <v>-108</v>
      </c>
      <c r="F95" s="21" t="n">
        <v>21</v>
      </c>
      <c r="G95" s="17" t="inlineStr">
        <is>
          <t>Win</t>
        </is>
      </c>
      <c r="H95" s="21">
        <f>IF(OR($G95="",$G95="Pending"),"",ROUND(IF($G95="Win",IF($E95&gt;0,$F95*$E95/100,$F95*100/-$E95),IF($G95="Loss",-$F95,0)),2))</f>
        <v/>
      </c>
      <c r="I95" s="21">
        <f>Settings!$B$5+SUM($H$6:$H95)</f>
        <v/>
      </c>
      <c r="J95" s="19">
        <f>IFERROR(SUM($H$6:$H95)/SUMIF($G$6:$G95,"&lt;&gt;Pending",$F$6:$F95),"")</f>
        <v/>
      </c>
      <c r="K95" s="17" t="inlineStr">
        <is>
          <t>LEAN</t>
        </is>
      </c>
      <c r="L95" s="19" t="n">
        <v>0.0801</v>
      </c>
      <c r="M95" s="19" t="n">
        <v>-0.009299999999999999</v>
      </c>
      <c r="N95" s="17" t="inlineStr">
        <is>
          <t>UNC 15 - TCU 10</t>
        </is>
      </c>
      <c r="O95" s="17" t="inlineStr">
        <is>
          <t>Draft Kings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9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0" customWidth="1" min="2" max="2"/>
    <col width="10" customWidth="1" min="3" max="3"/>
    <col width="10" customWidth="1" min="4" max="4"/>
    <col width="10" customWidth="1" min="5" max="5"/>
    <col width="6" customWidth="1" min="6" max="6"/>
    <col width="10" customWidth="1" min="7" max="7"/>
  </cols>
  <sheetData>
    <row r="1" ht="22" customHeight="1">
      <c r="A1" s="1" t="inlineStr">
        <is>
          <t>Power Ratings</t>
        </is>
      </c>
    </row>
    <row r="2" ht="26" customHeight="1">
      <c r="A2" s="2" t="inlineStr">
        <is>
          <t>Solved from results, not entered. A rating is points better than an average FBS team on a neutral field, so the gap between two ratings is a projected margin. Offence and defence are points above league average, opponent-adjusted, with defence signed so positive is good. ATS record is context only — the model does not bet on it.</t>
        </is>
      </c>
    </row>
    <row r="4">
      <c r="A4" s="11" t="inlineStr">
        <is>
          <t>#</t>
        </is>
      </c>
      <c r="B4" s="11" t="inlineStr">
        <is>
          <t>Team</t>
        </is>
      </c>
      <c r="C4" s="11" t="inlineStr">
        <is>
          <t>Rating</t>
        </is>
      </c>
      <c r="D4" s="11" t="inlineStr">
        <is>
          <t>Offence</t>
        </is>
      </c>
      <c r="E4" s="11" t="inlineStr">
        <is>
          <t>Defence</t>
        </is>
      </c>
      <c r="F4" s="11" t="inlineStr">
        <is>
          <t>GP</t>
        </is>
      </c>
      <c r="G4" s="11" t="inlineStr">
        <is>
          <t>ATS L5</t>
        </is>
      </c>
    </row>
    <row r="5">
      <c r="A5" s="22" t="n">
        <v>1</v>
      </c>
      <c r="B5" s="12" t="inlineStr">
        <is>
          <t>MIA</t>
        </is>
      </c>
      <c r="C5" s="23" t="n">
        <v>2.35</v>
      </c>
      <c r="D5" s="23" t="n">
        <v>0.87</v>
      </c>
      <c r="E5" s="23" t="n">
        <v>2.91</v>
      </c>
      <c r="F5" s="22" t="n">
        <v>1</v>
      </c>
      <c r="G5" s="12" t="inlineStr">
        <is>
          <t>—</t>
        </is>
      </c>
    </row>
    <row r="6">
      <c r="A6" s="25" t="n">
        <v>2</v>
      </c>
      <c r="B6" s="17" t="inlineStr">
        <is>
          <t>UCLA</t>
        </is>
      </c>
      <c r="C6" s="26" t="n">
        <v>1.85</v>
      </c>
      <c r="D6" s="26" t="n">
        <v>0.16</v>
      </c>
      <c r="E6" s="26" t="n">
        <v>0.4</v>
      </c>
      <c r="F6" s="25" t="n">
        <v>1</v>
      </c>
      <c r="G6" s="17" t="inlineStr">
        <is>
          <t>—</t>
        </is>
      </c>
    </row>
    <row r="7">
      <c r="A7" s="22" t="n">
        <v>3</v>
      </c>
      <c r="B7" s="12" t="inlineStr">
        <is>
          <t>MASS</t>
        </is>
      </c>
      <c r="C7" s="23" t="n">
        <v>1.49</v>
      </c>
      <c r="D7" s="23" t="n">
        <v>-0.7</v>
      </c>
      <c r="E7" s="23" t="n">
        <v>0.15</v>
      </c>
      <c r="F7" s="22" t="n">
        <v>1</v>
      </c>
      <c r="G7" s="12" t="inlineStr">
        <is>
          <t>1-0</t>
        </is>
      </c>
    </row>
    <row r="8">
      <c r="A8" s="25" t="n">
        <v>4</v>
      </c>
      <c r="B8" s="17" t="inlineStr">
        <is>
          <t>IDST</t>
        </is>
      </c>
      <c r="C8" s="26" t="n">
        <v>1.48</v>
      </c>
      <c r="D8" s="26" t="n">
        <v>0.14</v>
      </c>
      <c r="E8" s="26" t="n">
        <v>0.93</v>
      </c>
      <c r="F8" s="25" t="n">
        <v>1</v>
      </c>
      <c r="G8" s="17" t="inlineStr">
        <is>
          <t>1-0</t>
        </is>
      </c>
    </row>
    <row r="9">
      <c r="A9" s="22" t="n">
        <v>5</v>
      </c>
      <c r="B9" s="12" t="inlineStr">
        <is>
          <t>ND</t>
        </is>
      </c>
      <c r="C9" s="23" t="n">
        <v>1.46</v>
      </c>
      <c r="D9" s="23" t="n">
        <v>0.99</v>
      </c>
      <c r="E9" s="23" t="n">
        <v>1.43</v>
      </c>
      <c r="F9" s="22" t="n">
        <v>1</v>
      </c>
      <c r="G9" s="12" t="inlineStr">
        <is>
          <t>—</t>
        </is>
      </c>
    </row>
    <row r="10">
      <c r="A10" s="25" t="n">
        <v>6</v>
      </c>
      <c r="B10" s="17" t="inlineStr">
        <is>
          <t>TAR</t>
        </is>
      </c>
      <c r="C10" s="26" t="n">
        <v>1.25</v>
      </c>
      <c r="D10" s="26" t="n">
        <v>-0.28</v>
      </c>
      <c r="E10" s="26" t="n">
        <v>1.13</v>
      </c>
      <c r="F10" s="25" t="n">
        <v>1</v>
      </c>
      <c r="G10" s="17" t="inlineStr">
        <is>
          <t>—</t>
        </is>
      </c>
    </row>
    <row r="11">
      <c r="A11" s="22" t="n">
        <v>7</v>
      </c>
      <c r="B11" s="12" t="inlineStr">
        <is>
          <t>SJSU</t>
        </is>
      </c>
      <c r="C11" s="23" t="n">
        <v>1.22</v>
      </c>
      <c r="D11" s="23" t="n">
        <v>-0.47</v>
      </c>
      <c r="E11" s="23" t="n">
        <v>0.22</v>
      </c>
      <c r="F11" s="22" t="n">
        <v>2</v>
      </c>
      <c r="G11" s="12" t="inlineStr">
        <is>
          <t>1-0</t>
        </is>
      </c>
    </row>
    <row r="12">
      <c r="A12" s="25" t="n">
        <v>8</v>
      </c>
      <c r="B12" s="17" t="inlineStr">
        <is>
          <t>MEM</t>
        </is>
      </c>
      <c r="C12" s="26" t="n">
        <v>1.15</v>
      </c>
      <c r="D12" s="26" t="n">
        <v>0.38</v>
      </c>
      <c r="E12" s="26" t="n">
        <v>1.14</v>
      </c>
      <c r="F12" s="25" t="n">
        <v>2</v>
      </c>
      <c r="G12" s="17" t="inlineStr">
        <is>
          <t>1-0</t>
        </is>
      </c>
    </row>
    <row r="13">
      <c r="A13" s="22" t="n">
        <v>9</v>
      </c>
      <c r="B13" s="12" t="inlineStr">
        <is>
          <t>SMU</t>
        </is>
      </c>
      <c r="C13" s="23" t="n">
        <v>1.15</v>
      </c>
      <c r="D13" s="23" t="n">
        <v>0.11</v>
      </c>
      <c r="E13" s="23" t="n">
        <v>1.24</v>
      </c>
      <c r="F13" s="22" t="n">
        <v>1</v>
      </c>
      <c r="G13" s="12" t="inlineStr">
        <is>
          <t>—</t>
        </is>
      </c>
    </row>
    <row r="14">
      <c r="A14" s="25" t="n">
        <v>10</v>
      </c>
      <c r="B14" s="17" t="inlineStr">
        <is>
          <t>CIT</t>
        </is>
      </c>
      <c r="C14" s="26" t="n">
        <v>0.97</v>
      </c>
      <c r="D14" s="26" t="n">
        <v>0.51</v>
      </c>
      <c r="E14" s="26" t="n">
        <v>-0.42</v>
      </c>
      <c r="F14" s="25" t="n">
        <v>1</v>
      </c>
      <c r="G14" s="17" t="inlineStr">
        <is>
          <t>—</t>
        </is>
      </c>
    </row>
    <row r="15">
      <c r="A15" s="22" t="n">
        <v>11</v>
      </c>
      <c r="B15" s="12" t="inlineStr">
        <is>
          <t>WMU</t>
        </is>
      </c>
      <c r="C15" s="23" t="n">
        <v>0.93</v>
      </c>
      <c r="D15" s="23" t="n">
        <v>-1.04</v>
      </c>
      <c r="E15" s="23" t="n">
        <v>1.99</v>
      </c>
      <c r="F15" s="22" t="n">
        <v>1</v>
      </c>
      <c r="G15" s="12" t="inlineStr">
        <is>
          <t>1-0</t>
        </is>
      </c>
    </row>
    <row r="16">
      <c r="A16" s="25" t="n">
        <v>12</v>
      </c>
      <c r="B16" s="17" t="inlineStr">
        <is>
          <t>COLO</t>
        </is>
      </c>
      <c r="C16" s="26" t="n">
        <v>0.9</v>
      </c>
      <c r="D16" s="26" t="n">
        <v>-1.18</v>
      </c>
      <c r="E16" s="26" t="n">
        <v>1.02</v>
      </c>
      <c r="F16" s="25" t="n">
        <v>1</v>
      </c>
      <c r="G16" s="17" t="inlineStr">
        <is>
          <t>—</t>
        </is>
      </c>
    </row>
    <row r="17">
      <c r="A17" s="22" t="n">
        <v>13</v>
      </c>
      <c r="B17" s="12" t="inlineStr">
        <is>
          <t>NDSU</t>
        </is>
      </c>
      <c r="C17" s="23" t="n">
        <v>0.82</v>
      </c>
      <c r="D17" s="23" t="n">
        <v>0.55</v>
      </c>
      <c r="E17" s="23" t="n">
        <v>3.03</v>
      </c>
      <c r="F17" s="22" t="n">
        <v>2</v>
      </c>
      <c r="G17" s="12" t="inlineStr">
        <is>
          <t>1-0</t>
        </is>
      </c>
    </row>
    <row r="18">
      <c r="A18" s="25" t="n">
        <v>14</v>
      </c>
      <c r="B18" s="17" t="inlineStr">
        <is>
          <t>SAC</t>
        </is>
      </c>
      <c r="C18" s="26" t="n">
        <v>0.74</v>
      </c>
      <c r="D18" s="26" t="n">
        <v>0.49</v>
      </c>
      <c r="E18" s="26" t="n">
        <v>1.73</v>
      </c>
      <c r="F18" s="25" t="n">
        <v>2</v>
      </c>
      <c r="G18" s="17" t="inlineStr">
        <is>
          <t>0-1</t>
        </is>
      </c>
    </row>
    <row r="19">
      <c r="A19" s="22" t="n">
        <v>15</v>
      </c>
      <c r="B19" s="12" t="inlineStr">
        <is>
          <t>ALB</t>
        </is>
      </c>
      <c r="C19" s="23" t="n">
        <v>0.7</v>
      </c>
      <c r="D19" s="23" t="n">
        <v>-0.51</v>
      </c>
      <c r="E19" s="23" t="n">
        <v>0.71</v>
      </c>
      <c r="F19" s="22" t="n">
        <v>1</v>
      </c>
      <c r="G19" s="12" t="inlineStr">
        <is>
          <t>—</t>
        </is>
      </c>
    </row>
    <row r="20">
      <c r="A20" s="25" t="n">
        <v>16</v>
      </c>
      <c r="B20" s="17" t="inlineStr">
        <is>
          <t>SHSU</t>
        </is>
      </c>
      <c r="C20" s="26" t="n">
        <v>0.67</v>
      </c>
      <c r="D20" s="26" t="n">
        <v>-0.95</v>
      </c>
      <c r="E20" s="26" t="n">
        <v>0.17</v>
      </c>
      <c r="F20" s="25" t="n">
        <v>1</v>
      </c>
      <c r="G20" s="17" t="inlineStr">
        <is>
          <t>1-0</t>
        </is>
      </c>
    </row>
    <row r="21">
      <c r="A21" s="22" t="n">
        <v>17</v>
      </c>
      <c r="B21" s="12" t="inlineStr">
        <is>
          <t>BOIS</t>
        </is>
      </c>
      <c r="C21" s="23" t="n">
        <v>0.62</v>
      </c>
      <c r="D21" s="23" t="n">
        <v>-0.01</v>
      </c>
      <c r="E21" s="23" t="n">
        <v>0.61</v>
      </c>
      <c r="F21" s="22" t="n">
        <v>1</v>
      </c>
      <c r="G21" s="12" t="inlineStr">
        <is>
          <t>—</t>
        </is>
      </c>
    </row>
    <row r="22">
      <c r="A22" s="25" t="n">
        <v>18</v>
      </c>
      <c r="B22" s="17" t="inlineStr">
        <is>
          <t>IU</t>
        </is>
      </c>
      <c r="C22" s="26" t="n">
        <v>0.6</v>
      </c>
      <c r="D22" s="26" t="n">
        <v>1.59</v>
      </c>
      <c r="E22" s="26" t="n">
        <v>2.14</v>
      </c>
      <c r="F22" s="25" t="n">
        <v>1</v>
      </c>
      <c r="G22" s="17" t="inlineStr">
        <is>
          <t>—</t>
        </is>
      </c>
    </row>
    <row r="23">
      <c r="A23" s="22" t="n">
        <v>19</v>
      </c>
      <c r="B23" s="12" t="inlineStr">
        <is>
          <t>LIB</t>
        </is>
      </c>
      <c r="C23" s="23" t="n">
        <v>0.58</v>
      </c>
      <c r="D23" s="23" t="n">
        <v>-0.8</v>
      </c>
      <c r="E23" s="23" t="n">
        <v>0.9399999999999999</v>
      </c>
      <c r="F23" s="22" t="n">
        <v>1</v>
      </c>
      <c r="G23" s="12" t="inlineStr">
        <is>
          <t>—</t>
        </is>
      </c>
    </row>
    <row r="24">
      <c r="A24" s="25" t="n">
        <v>20</v>
      </c>
      <c r="B24" s="17" t="inlineStr">
        <is>
          <t>OSU</t>
        </is>
      </c>
      <c r="C24" s="26" t="n">
        <v>0.55</v>
      </c>
      <c r="D24" s="26" t="n">
        <v>0.95</v>
      </c>
      <c r="E24" s="26" t="n">
        <v>2.49</v>
      </c>
      <c r="F24" s="25" t="n">
        <v>1</v>
      </c>
      <c r="G24" s="17" t="inlineStr">
        <is>
          <t>—</t>
        </is>
      </c>
    </row>
    <row r="25">
      <c r="A25" s="22" t="n">
        <v>21</v>
      </c>
      <c r="B25" s="12" t="inlineStr">
        <is>
          <t>CCU</t>
        </is>
      </c>
      <c r="C25" s="23" t="n">
        <v>0.54</v>
      </c>
      <c r="D25" s="23" t="n">
        <v>-0.61</v>
      </c>
      <c r="E25" s="23" t="n">
        <v>0.03</v>
      </c>
      <c r="F25" s="22" t="n">
        <v>1</v>
      </c>
      <c r="G25" s="12" t="inlineStr">
        <is>
          <t>—</t>
        </is>
      </c>
    </row>
    <row r="26">
      <c r="A26" s="25" t="n">
        <v>22</v>
      </c>
      <c r="B26" s="17" t="inlineStr">
        <is>
          <t>TOL</t>
        </is>
      </c>
      <c r="C26" s="26" t="n">
        <v>0.53</v>
      </c>
      <c r="D26" s="26" t="n">
        <v>-0.33</v>
      </c>
      <c r="E26" s="26" t="n">
        <v>1.43</v>
      </c>
      <c r="F26" s="25" t="n">
        <v>1</v>
      </c>
      <c r="G26" s="17" t="inlineStr">
        <is>
          <t>—</t>
        </is>
      </c>
    </row>
    <row r="27">
      <c r="A27" s="22" t="n">
        <v>23</v>
      </c>
      <c r="B27" s="12" t="inlineStr">
        <is>
          <t>UTAH</t>
        </is>
      </c>
      <c r="C27" s="23" t="n">
        <v>0.53</v>
      </c>
      <c r="D27" s="23" t="n">
        <v>2.12</v>
      </c>
      <c r="E27" s="23" t="n">
        <v>1.28</v>
      </c>
      <c r="F27" s="22" t="n">
        <v>1</v>
      </c>
      <c r="G27" s="12" t="inlineStr">
        <is>
          <t>—</t>
        </is>
      </c>
    </row>
    <row r="28">
      <c r="A28" s="25" t="n">
        <v>24</v>
      </c>
      <c r="B28" s="17" t="inlineStr">
        <is>
          <t>UNLV</t>
        </is>
      </c>
      <c r="C28" s="26" t="n">
        <v>0.52</v>
      </c>
      <c r="D28" s="26" t="n">
        <v>-0.62</v>
      </c>
      <c r="E28" s="26" t="n">
        <v>1.62</v>
      </c>
      <c r="F28" s="25" t="n">
        <v>2</v>
      </c>
      <c r="G28" s="17" t="inlineStr">
        <is>
          <t>—</t>
        </is>
      </c>
    </row>
    <row r="29">
      <c r="A29" s="22" t="n">
        <v>25</v>
      </c>
      <c r="B29" s="12" t="inlineStr">
        <is>
          <t>UGA</t>
        </is>
      </c>
      <c r="C29" s="23" t="n">
        <v>0.5</v>
      </c>
      <c r="D29" s="23" t="n">
        <v>1.27</v>
      </c>
      <c r="E29" s="23" t="n">
        <v>2.04</v>
      </c>
      <c r="F29" s="22" t="n">
        <v>1</v>
      </c>
      <c r="G29" s="12" t="inlineStr">
        <is>
          <t>—</t>
        </is>
      </c>
    </row>
    <row r="30">
      <c r="A30" s="25" t="n">
        <v>26</v>
      </c>
      <c r="B30" s="17" t="inlineStr">
        <is>
          <t>ARIZ</t>
        </is>
      </c>
      <c r="C30" s="26" t="n">
        <v>0.48</v>
      </c>
      <c r="D30" s="26" t="n">
        <v>0.01</v>
      </c>
      <c r="E30" s="26" t="n">
        <v>1.7</v>
      </c>
      <c r="F30" s="25" t="n">
        <v>1</v>
      </c>
      <c r="G30" s="17" t="inlineStr">
        <is>
          <t>—</t>
        </is>
      </c>
    </row>
    <row r="31">
      <c r="A31" s="22" t="n">
        <v>27</v>
      </c>
      <c r="B31" s="12" t="inlineStr">
        <is>
          <t>BYU</t>
        </is>
      </c>
      <c r="C31" s="23" t="n">
        <v>0.48</v>
      </c>
      <c r="D31" s="23" t="n">
        <v>1.22</v>
      </c>
      <c r="E31" s="23" t="n">
        <v>1.7</v>
      </c>
      <c r="F31" s="22" t="n">
        <v>1</v>
      </c>
      <c r="G31" s="12" t="inlineStr">
        <is>
          <t>—</t>
        </is>
      </c>
    </row>
    <row r="32">
      <c r="A32" s="25" t="n">
        <v>28</v>
      </c>
      <c r="B32" s="17" t="inlineStr">
        <is>
          <t>IOWA</t>
        </is>
      </c>
      <c r="C32" s="26" t="n">
        <v>0.48</v>
      </c>
      <c r="D32" s="26" t="n">
        <v>0.14</v>
      </c>
      <c r="E32" s="26" t="n">
        <v>2.15</v>
      </c>
      <c r="F32" s="25" t="n">
        <v>1</v>
      </c>
      <c r="G32" s="17" t="inlineStr">
        <is>
          <t>—</t>
        </is>
      </c>
    </row>
    <row r="33">
      <c r="A33" s="22" t="n">
        <v>29</v>
      </c>
      <c r="B33" s="12" t="inlineStr">
        <is>
          <t>TA&amp;M</t>
        </is>
      </c>
      <c r="C33" s="23" t="n">
        <v>0.48</v>
      </c>
      <c r="D33" s="23" t="n">
        <v>0.73</v>
      </c>
      <c r="E33" s="23" t="n">
        <v>1.91</v>
      </c>
      <c r="F33" s="22" t="n">
        <v>1</v>
      </c>
      <c r="G33" s="12" t="inlineStr">
        <is>
          <t>1-0</t>
        </is>
      </c>
    </row>
    <row r="34">
      <c r="A34" s="25" t="n">
        <v>30</v>
      </c>
      <c r="B34" s="17" t="inlineStr">
        <is>
          <t>PSU</t>
        </is>
      </c>
      <c r="C34" s="26" t="n">
        <v>0.47</v>
      </c>
      <c r="D34" s="26" t="n">
        <v>0.42</v>
      </c>
      <c r="E34" s="26" t="n">
        <v>1.94</v>
      </c>
      <c r="F34" s="25" t="n">
        <v>1</v>
      </c>
      <c r="G34" s="17" t="inlineStr">
        <is>
          <t>—</t>
        </is>
      </c>
    </row>
    <row r="35">
      <c r="A35" s="22" t="n">
        <v>31</v>
      </c>
      <c r="B35" s="12" t="inlineStr">
        <is>
          <t>SDSU</t>
        </is>
      </c>
      <c r="C35" s="23" t="n">
        <v>0.47</v>
      </c>
      <c r="D35" s="23" t="n">
        <v>0.45</v>
      </c>
      <c r="E35" s="23" t="n">
        <v>1.18</v>
      </c>
      <c r="F35" s="22" t="n">
        <v>1</v>
      </c>
      <c r="G35" s="12" t="inlineStr">
        <is>
          <t>—</t>
        </is>
      </c>
    </row>
    <row r="36">
      <c r="A36" s="25" t="n">
        <v>32</v>
      </c>
      <c r="B36" s="17" t="inlineStr">
        <is>
          <t>ALA</t>
        </is>
      </c>
      <c r="C36" s="26" t="n">
        <v>0.46</v>
      </c>
      <c r="D36" s="26" t="n">
        <v>0.39</v>
      </c>
      <c r="E36" s="26" t="n">
        <v>1.67</v>
      </c>
      <c r="F36" s="25" t="n">
        <v>1</v>
      </c>
      <c r="G36" s="17" t="inlineStr">
        <is>
          <t>—</t>
        </is>
      </c>
    </row>
    <row r="37">
      <c r="A37" s="22" t="n">
        <v>33</v>
      </c>
      <c r="B37" s="12" t="inlineStr">
        <is>
          <t>TEX</t>
        </is>
      </c>
      <c r="C37" s="23" t="n">
        <v>0.46</v>
      </c>
      <c r="D37" s="23" t="n">
        <v>1.07</v>
      </c>
      <c r="E37" s="23" t="n">
        <v>1.45</v>
      </c>
      <c r="F37" s="22" t="n">
        <v>1</v>
      </c>
      <c r="G37" s="12" t="inlineStr">
        <is>
          <t>—</t>
        </is>
      </c>
    </row>
    <row r="38">
      <c r="A38" s="25" t="n">
        <v>34</v>
      </c>
      <c r="B38" s="17" t="inlineStr">
        <is>
          <t>UTSA</t>
        </is>
      </c>
      <c r="C38" s="26" t="n">
        <v>0.46</v>
      </c>
      <c r="D38" s="26" t="n">
        <v>0.79</v>
      </c>
      <c r="E38" s="26" t="n">
        <v>0.63</v>
      </c>
      <c r="F38" s="25" t="n">
        <v>1</v>
      </c>
      <c r="G38" s="17" t="inlineStr">
        <is>
          <t>—</t>
        </is>
      </c>
    </row>
    <row r="39">
      <c r="A39" s="22" t="n">
        <v>35</v>
      </c>
      <c r="B39" s="12" t="inlineStr">
        <is>
          <t>TENN</t>
        </is>
      </c>
      <c r="C39" s="23" t="n">
        <v>0.45</v>
      </c>
      <c r="D39" s="23" t="n">
        <v>1.37</v>
      </c>
      <c r="E39" s="23" t="n">
        <v>0.9399999999999999</v>
      </c>
      <c r="F39" s="22" t="n">
        <v>1</v>
      </c>
      <c r="G39" s="12" t="inlineStr">
        <is>
          <t>—</t>
        </is>
      </c>
    </row>
    <row r="40">
      <c r="A40" s="25" t="n">
        <v>36</v>
      </c>
      <c r="B40" s="17" t="inlineStr">
        <is>
          <t>ARMY</t>
        </is>
      </c>
      <c r="C40" s="26" t="n">
        <v>0.44</v>
      </c>
      <c r="D40" s="26" t="n">
        <v>0.65</v>
      </c>
      <c r="E40" s="26" t="n">
        <v>1.82</v>
      </c>
      <c r="F40" s="25" t="n">
        <v>1</v>
      </c>
      <c r="G40" s="17" t="inlineStr">
        <is>
          <t>—</t>
        </is>
      </c>
    </row>
    <row r="41">
      <c r="A41" s="22" t="n">
        <v>37</v>
      </c>
      <c r="B41" s="12" t="inlineStr">
        <is>
          <t>FIU</t>
        </is>
      </c>
      <c r="C41" s="23" t="n">
        <v>0.44</v>
      </c>
      <c r="D41" s="23" t="n">
        <v>-0.82</v>
      </c>
      <c r="E41" s="23" t="n">
        <v>0.86</v>
      </c>
      <c r="F41" s="22" t="n">
        <v>1</v>
      </c>
      <c r="G41" s="12" t="inlineStr">
        <is>
          <t>1-0</t>
        </is>
      </c>
    </row>
    <row r="42">
      <c r="A42" s="25" t="n">
        <v>38</v>
      </c>
      <c r="B42" s="17" t="inlineStr">
        <is>
          <t>ISU</t>
        </is>
      </c>
      <c r="C42" s="26" t="n">
        <v>0.44</v>
      </c>
      <c r="D42" s="26" t="n">
        <v>-0.09</v>
      </c>
      <c r="E42" s="26" t="n">
        <v>1.39</v>
      </c>
      <c r="F42" s="25" t="n">
        <v>1</v>
      </c>
      <c r="G42" s="17" t="inlineStr">
        <is>
          <t>0-1</t>
        </is>
      </c>
    </row>
    <row r="43">
      <c r="A43" s="22" t="n">
        <v>39</v>
      </c>
      <c r="B43" s="12" t="inlineStr">
        <is>
          <t>LT</t>
        </is>
      </c>
      <c r="C43" s="23" t="n">
        <v>0.44</v>
      </c>
      <c r="D43" s="23" t="n">
        <v>1.78</v>
      </c>
      <c r="E43" s="23" t="n">
        <v>1.53</v>
      </c>
      <c r="F43" s="22" t="n">
        <v>1</v>
      </c>
      <c r="G43" s="12" t="inlineStr">
        <is>
          <t>1-0</t>
        </is>
      </c>
    </row>
    <row r="44">
      <c r="A44" s="25" t="n">
        <v>40</v>
      </c>
      <c r="B44" s="17" t="inlineStr">
        <is>
          <t>MIZ</t>
        </is>
      </c>
      <c r="C44" s="26" t="n">
        <v>0.44</v>
      </c>
      <c r="D44" s="26" t="n">
        <v>0.55</v>
      </c>
      <c r="E44" s="26" t="n">
        <v>1.29</v>
      </c>
      <c r="F44" s="25" t="n">
        <v>1</v>
      </c>
      <c r="G44" s="17" t="inlineStr">
        <is>
          <t>—</t>
        </is>
      </c>
    </row>
    <row r="45">
      <c r="A45" s="22" t="n">
        <v>41</v>
      </c>
      <c r="B45" s="12" t="inlineStr">
        <is>
          <t>OU</t>
        </is>
      </c>
      <c r="C45" s="23" t="n">
        <v>0.44</v>
      </c>
      <c r="D45" s="23" t="n">
        <v>0.29</v>
      </c>
      <c r="E45" s="23" t="n">
        <v>2.1</v>
      </c>
      <c r="F45" s="22" t="n">
        <v>1</v>
      </c>
      <c r="G45" s="12" t="inlineStr">
        <is>
          <t>—</t>
        </is>
      </c>
    </row>
    <row r="46">
      <c r="A46" s="25" t="n">
        <v>42</v>
      </c>
      <c r="B46" s="17" t="inlineStr">
        <is>
          <t>PITT</t>
        </is>
      </c>
      <c r="C46" s="26" t="n">
        <v>0.44</v>
      </c>
      <c r="D46" s="26" t="n">
        <v>1.17</v>
      </c>
      <c r="E46" s="26" t="n">
        <v>0.9</v>
      </c>
      <c r="F46" s="25" t="n">
        <v>1</v>
      </c>
      <c r="G46" s="17" t="inlineStr">
        <is>
          <t>—</t>
        </is>
      </c>
    </row>
    <row r="47">
      <c r="A47" s="22" t="n">
        <v>43</v>
      </c>
      <c r="B47" s="12" t="inlineStr">
        <is>
          <t>UNM</t>
        </is>
      </c>
      <c r="C47" s="23" t="n">
        <v>0.44</v>
      </c>
      <c r="D47" s="23" t="n">
        <v>-0.12</v>
      </c>
      <c r="E47" s="23" t="n">
        <v>1.55</v>
      </c>
      <c r="F47" s="22" t="n">
        <v>1</v>
      </c>
      <c r="G47" s="12" t="inlineStr">
        <is>
          <t>—</t>
        </is>
      </c>
    </row>
    <row r="48">
      <c r="A48" s="25" t="n">
        <v>44</v>
      </c>
      <c r="B48" s="17" t="inlineStr">
        <is>
          <t>CONN</t>
        </is>
      </c>
      <c r="C48" s="26" t="n">
        <v>0.43</v>
      </c>
      <c r="D48" s="26" t="n">
        <v>1.2</v>
      </c>
      <c r="E48" s="26" t="n">
        <v>1.1</v>
      </c>
      <c r="F48" s="25" t="n">
        <v>1</v>
      </c>
      <c r="G48" s="17" t="inlineStr">
        <is>
          <t>—</t>
        </is>
      </c>
    </row>
    <row r="49">
      <c r="A49" s="22" t="n">
        <v>45</v>
      </c>
      <c r="B49" s="12" t="inlineStr">
        <is>
          <t>KSU</t>
        </is>
      </c>
      <c r="C49" s="23" t="n">
        <v>0.43</v>
      </c>
      <c r="D49" s="23" t="n">
        <v>1.58</v>
      </c>
      <c r="E49" s="23" t="n">
        <v>1.33</v>
      </c>
      <c r="F49" s="22" t="n">
        <v>1</v>
      </c>
      <c r="G49" s="12" t="inlineStr">
        <is>
          <t>1-0</t>
        </is>
      </c>
    </row>
    <row r="50">
      <c r="A50" s="25" t="n">
        <v>46</v>
      </c>
      <c r="B50" s="17" t="inlineStr">
        <is>
          <t>KENN</t>
        </is>
      </c>
      <c r="C50" s="26" t="n">
        <v>0.42</v>
      </c>
      <c r="D50" s="26" t="n">
        <v>0.34</v>
      </c>
      <c r="E50" s="26" t="n">
        <v>1.58</v>
      </c>
      <c r="F50" s="25" t="n">
        <v>1</v>
      </c>
      <c r="G50" s="17" t="inlineStr">
        <is>
          <t>—</t>
        </is>
      </c>
    </row>
    <row r="51">
      <c r="A51" s="22" t="n">
        <v>47</v>
      </c>
      <c r="B51" s="12" t="inlineStr">
        <is>
          <t>ASU</t>
        </is>
      </c>
      <c r="C51" s="23" t="n">
        <v>0.41</v>
      </c>
      <c r="D51" s="23" t="n">
        <v>1.28</v>
      </c>
      <c r="E51" s="23" t="n">
        <v>1.27</v>
      </c>
      <c r="F51" s="22" t="n">
        <v>1</v>
      </c>
      <c r="G51" s="12" t="inlineStr">
        <is>
          <t>—</t>
        </is>
      </c>
    </row>
    <row r="52">
      <c r="A52" s="25" t="n">
        <v>48</v>
      </c>
      <c r="B52" s="17" t="inlineStr">
        <is>
          <t>LSU</t>
        </is>
      </c>
      <c r="C52" s="26" t="n">
        <v>0.41</v>
      </c>
      <c r="D52" s="26" t="n">
        <v>0.21</v>
      </c>
      <c r="E52" s="26" t="n">
        <v>1.43</v>
      </c>
      <c r="F52" s="25" t="n">
        <v>1</v>
      </c>
      <c r="G52" s="17" t="inlineStr">
        <is>
          <t>—</t>
        </is>
      </c>
    </row>
    <row r="53">
      <c r="A53" s="22" t="n">
        <v>49</v>
      </c>
      <c r="B53" s="12" t="inlineStr">
        <is>
          <t>NMSU</t>
        </is>
      </c>
      <c r="C53" s="23" t="n">
        <v>0.41</v>
      </c>
      <c r="D53" s="23" t="n">
        <v>-0.23</v>
      </c>
      <c r="E53" s="23" t="n">
        <v>0.76</v>
      </c>
      <c r="F53" s="22" t="n">
        <v>2</v>
      </c>
      <c r="G53" s="12" t="inlineStr">
        <is>
          <t>1-0</t>
        </is>
      </c>
    </row>
    <row r="54">
      <c r="A54" s="25" t="n">
        <v>50</v>
      </c>
      <c r="B54" s="17" t="inlineStr">
        <is>
          <t>AFA</t>
        </is>
      </c>
      <c r="C54" s="26" t="n">
        <v>0.4</v>
      </c>
      <c r="D54" s="26" t="n">
        <v>-0.2</v>
      </c>
      <c r="E54" s="26" t="n">
        <v>1.35</v>
      </c>
      <c r="F54" s="25" t="n">
        <v>1</v>
      </c>
      <c r="G54" s="17" t="inlineStr">
        <is>
          <t>1-0</t>
        </is>
      </c>
    </row>
    <row r="55">
      <c r="A55" s="22" t="n">
        <v>51</v>
      </c>
      <c r="B55" s="12" t="inlineStr">
        <is>
          <t>NAVY</t>
        </is>
      </c>
      <c r="C55" s="23" t="n">
        <v>0.4</v>
      </c>
      <c r="D55" s="23" t="n">
        <v>0.25</v>
      </c>
      <c r="E55" s="23" t="n">
        <v>0.96</v>
      </c>
      <c r="F55" s="22" t="n">
        <v>1</v>
      </c>
      <c r="G55" s="12" t="inlineStr">
        <is>
          <t>—</t>
        </is>
      </c>
    </row>
    <row r="56">
      <c r="A56" s="25" t="n">
        <v>52</v>
      </c>
      <c r="B56" s="17" t="inlineStr">
        <is>
          <t>USM</t>
        </is>
      </c>
      <c r="C56" s="26" t="n">
        <v>0.4</v>
      </c>
      <c r="D56" s="26" t="n">
        <v>0.32</v>
      </c>
      <c r="E56" s="26" t="n">
        <v>1.21</v>
      </c>
      <c r="F56" s="25" t="n">
        <v>1</v>
      </c>
      <c r="G56" s="17" t="inlineStr">
        <is>
          <t>—</t>
        </is>
      </c>
    </row>
    <row r="57">
      <c r="A57" s="22" t="n">
        <v>53</v>
      </c>
      <c r="B57" s="12" t="inlineStr">
        <is>
          <t>DEL</t>
        </is>
      </c>
      <c r="C57" s="23" t="n">
        <v>0.39</v>
      </c>
      <c r="D57" s="23" t="n">
        <v>0.15</v>
      </c>
      <c r="E57" s="23" t="n">
        <v>0.84</v>
      </c>
      <c r="F57" s="22" t="n">
        <v>1</v>
      </c>
      <c r="G57" s="12" t="inlineStr">
        <is>
          <t>1-0</t>
        </is>
      </c>
    </row>
    <row r="58">
      <c r="A58" s="25" t="n">
        <v>54</v>
      </c>
      <c r="B58" s="17" t="inlineStr">
        <is>
          <t>GASO</t>
        </is>
      </c>
      <c r="C58" s="26" t="n">
        <v>0.39</v>
      </c>
      <c r="D58" s="26" t="n">
        <v>-0.36</v>
      </c>
      <c r="E58" s="26" t="n">
        <v>1.27</v>
      </c>
      <c r="F58" s="25" t="n">
        <v>1</v>
      </c>
      <c r="G58" s="17" t="inlineStr">
        <is>
          <t>1-0</t>
        </is>
      </c>
    </row>
    <row r="59">
      <c r="A59" s="22" t="n">
        <v>55</v>
      </c>
      <c r="B59" s="12" t="inlineStr">
        <is>
          <t>KU</t>
        </is>
      </c>
      <c r="C59" s="23" t="n">
        <v>0.39</v>
      </c>
      <c r="D59" s="23" t="n">
        <v>0.47</v>
      </c>
      <c r="E59" s="23" t="n">
        <v>1.11</v>
      </c>
      <c r="F59" s="22" t="n">
        <v>1</v>
      </c>
      <c r="G59" s="12" t="inlineStr">
        <is>
          <t>—</t>
        </is>
      </c>
    </row>
    <row r="60">
      <c r="A60" s="25" t="n">
        <v>56</v>
      </c>
      <c r="B60" s="17" t="inlineStr">
        <is>
          <t>MINN</t>
        </is>
      </c>
      <c r="C60" s="26" t="n">
        <v>0.39</v>
      </c>
      <c r="D60" s="26" t="n">
        <v>0.41</v>
      </c>
      <c r="E60" s="26" t="n">
        <v>1.31</v>
      </c>
      <c r="F60" s="25" t="n">
        <v>1</v>
      </c>
      <c r="G60" s="17" t="inlineStr">
        <is>
          <t>—</t>
        </is>
      </c>
    </row>
    <row r="61">
      <c r="A61" s="22" t="n">
        <v>57</v>
      </c>
      <c r="B61" s="12" t="inlineStr">
        <is>
          <t>SC</t>
        </is>
      </c>
      <c r="C61" s="23" t="n">
        <v>0.39</v>
      </c>
      <c r="D61" s="23" t="n">
        <v>0.46</v>
      </c>
      <c r="E61" s="23" t="n">
        <v>1.65</v>
      </c>
      <c r="F61" s="22" t="n">
        <v>1</v>
      </c>
      <c r="G61" s="12" t="inlineStr">
        <is>
          <t>—</t>
        </is>
      </c>
    </row>
    <row r="62">
      <c r="A62" s="25" t="n">
        <v>58</v>
      </c>
      <c r="B62" s="17" t="inlineStr">
        <is>
          <t>UL</t>
        </is>
      </c>
      <c r="C62" s="26" t="n">
        <v>0.39</v>
      </c>
      <c r="D62" s="26" t="n">
        <v>-0.18</v>
      </c>
      <c r="E62" s="26" t="n">
        <v>1.06</v>
      </c>
      <c r="F62" s="25" t="n">
        <v>1</v>
      </c>
      <c r="G62" s="17" t="inlineStr">
        <is>
          <t>—</t>
        </is>
      </c>
    </row>
    <row r="63">
      <c r="A63" s="22" t="n">
        <v>59</v>
      </c>
      <c r="B63" s="12" t="inlineStr">
        <is>
          <t>UK</t>
        </is>
      </c>
      <c r="C63" s="23" t="n">
        <v>0.38</v>
      </c>
      <c r="D63" s="23" t="n">
        <v>-0.09</v>
      </c>
      <c r="E63" s="23" t="n">
        <v>0.89</v>
      </c>
      <c r="F63" s="22" t="n">
        <v>1</v>
      </c>
      <c r="G63" s="12" t="inlineStr">
        <is>
          <t>—</t>
        </is>
      </c>
    </row>
    <row r="64">
      <c r="A64" s="25" t="n">
        <v>60</v>
      </c>
      <c r="B64" s="17" t="inlineStr">
        <is>
          <t>FLA</t>
        </is>
      </c>
      <c r="C64" s="26" t="n">
        <v>0.37</v>
      </c>
      <c r="D64" s="26" t="n">
        <v>0.8100000000000001</v>
      </c>
      <c r="E64" s="26" t="n">
        <v>0.59</v>
      </c>
      <c r="F64" s="25" t="n">
        <v>1</v>
      </c>
      <c r="G64" s="17" t="inlineStr">
        <is>
          <t>—</t>
        </is>
      </c>
    </row>
    <row r="65">
      <c r="A65" s="22" t="n">
        <v>61</v>
      </c>
      <c r="B65" s="12" t="inlineStr">
        <is>
          <t>NEB</t>
        </is>
      </c>
      <c r="C65" s="23" t="n">
        <v>0.37</v>
      </c>
      <c r="D65" s="23" t="n">
        <v>0.39</v>
      </c>
      <c r="E65" s="23" t="n">
        <v>0.54</v>
      </c>
      <c r="F65" s="22" t="n">
        <v>1</v>
      </c>
      <c r="G65" s="12" t="inlineStr">
        <is>
          <t>—</t>
        </is>
      </c>
    </row>
    <row r="66">
      <c r="A66" s="25" t="n">
        <v>62</v>
      </c>
      <c r="B66" s="17" t="inlineStr">
        <is>
          <t>UCF</t>
        </is>
      </c>
      <c r="C66" s="26" t="n">
        <v>0.37</v>
      </c>
      <c r="D66" s="26" t="n">
        <v>1.22</v>
      </c>
      <c r="E66" s="26" t="n">
        <v>1.26</v>
      </c>
      <c r="F66" s="25" t="n">
        <v>1</v>
      </c>
      <c r="G66" s="17" t="inlineStr">
        <is>
          <t>1-0</t>
        </is>
      </c>
    </row>
    <row r="67">
      <c r="A67" s="22" t="n">
        <v>63</v>
      </c>
      <c r="B67" s="12" t="inlineStr">
        <is>
          <t>APP</t>
        </is>
      </c>
      <c r="C67" s="23" t="n">
        <v>0.36</v>
      </c>
      <c r="D67" s="23" t="n">
        <v>0.33</v>
      </c>
      <c r="E67" s="23" t="n">
        <v>1.04</v>
      </c>
      <c r="F67" s="22" t="n">
        <v>1</v>
      </c>
      <c r="G67" s="12" t="inlineStr">
        <is>
          <t>—</t>
        </is>
      </c>
    </row>
    <row r="68">
      <c r="A68" s="25" t="n">
        <v>64</v>
      </c>
      <c r="B68" s="17" t="inlineStr">
        <is>
          <t>MD</t>
        </is>
      </c>
      <c r="C68" s="26" t="n">
        <v>0.36</v>
      </c>
      <c r="D68" s="26" t="n">
        <v>0.6899999999999999</v>
      </c>
      <c r="E68" s="26" t="n">
        <v>1.33</v>
      </c>
      <c r="F68" s="25" t="n">
        <v>1</v>
      </c>
      <c r="G68" s="17" t="inlineStr">
        <is>
          <t>—</t>
        </is>
      </c>
    </row>
    <row r="69">
      <c r="A69" s="22" t="n">
        <v>65</v>
      </c>
      <c r="B69" s="12" t="inlineStr">
        <is>
          <t>MSST</t>
        </is>
      </c>
      <c r="C69" s="23" t="n">
        <v>0.36</v>
      </c>
      <c r="D69" s="23" t="n">
        <v>1.07</v>
      </c>
      <c r="E69" s="23" t="n">
        <v>0.42</v>
      </c>
      <c r="F69" s="22" t="n">
        <v>1</v>
      </c>
      <c r="G69" s="12" t="inlineStr">
        <is>
          <t>1-0</t>
        </is>
      </c>
    </row>
    <row r="70">
      <c r="A70" s="25" t="n">
        <v>66</v>
      </c>
      <c r="B70" s="17" t="inlineStr">
        <is>
          <t>UVA</t>
        </is>
      </c>
      <c r="C70" s="26" t="n">
        <v>0.36</v>
      </c>
      <c r="D70" s="26" t="n">
        <v>-0.26</v>
      </c>
      <c r="E70" s="26" t="n">
        <v>1.67</v>
      </c>
      <c r="F70" s="25" t="n">
        <v>1</v>
      </c>
      <c r="G70" s="17" t="inlineStr">
        <is>
          <t>—</t>
        </is>
      </c>
    </row>
    <row r="71">
      <c r="A71" s="22" t="n">
        <v>67</v>
      </c>
      <c r="B71" s="12" t="inlineStr">
        <is>
          <t>NEV</t>
        </is>
      </c>
      <c r="C71" s="23" t="n">
        <v>0.35</v>
      </c>
      <c r="D71" s="23" t="n">
        <v>-0.08</v>
      </c>
      <c r="E71" s="23" t="n">
        <v>0.78</v>
      </c>
      <c r="F71" s="22" t="n">
        <v>1</v>
      </c>
      <c r="G71" s="12" t="inlineStr">
        <is>
          <t>—</t>
        </is>
      </c>
    </row>
    <row r="72">
      <c r="A72" s="25" t="n">
        <v>68</v>
      </c>
      <c r="B72" s="17" t="inlineStr">
        <is>
          <t>USC</t>
        </is>
      </c>
      <c r="C72" s="26" t="n">
        <v>0.35</v>
      </c>
      <c r="D72" s="26" t="n">
        <v>0.66</v>
      </c>
      <c r="E72" s="26" t="n">
        <v>1.63</v>
      </c>
      <c r="F72" s="25" t="n">
        <v>2</v>
      </c>
      <c r="G72" s="17" t="inlineStr">
        <is>
          <t>—</t>
        </is>
      </c>
    </row>
    <row r="73">
      <c r="A73" s="22" t="n">
        <v>69</v>
      </c>
      <c r="B73" s="12" t="inlineStr">
        <is>
          <t>VT</t>
        </is>
      </c>
      <c r="C73" s="23" t="n">
        <v>0.34</v>
      </c>
      <c r="D73" s="23" t="n">
        <v>1.12</v>
      </c>
      <c r="E73" s="23" t="n">
        <v>1.1</v>
      </c>
      <c r="F73" s="22" t="n">
        <v>1</v>
      </c>
      <c r="G73" s="12" t="inlineStr">
        <is>
          <t>1-0</t>
        </is>
      </c>
    </row>
    <row r="74">
      <c r="A74" s="25" t="n">
        <v>70</v>
      </c>
      <c r="B74" s="17" t="inlineStr">
        <is>
          <t>TTU</t>
        </is>
      </c>
      <c r="C74" s="26" t="n">
        <v>0.32</v>
      </c>
      <c r="D74" s="26" t="n">
        <v>0.23</v>
      </c>
      <c r="E74" s="26" t="n">
        <v>2.09</v>
      </c>
      <c r="F74" s="25" t="n">
        <v>1</v>
      </c>
      <c r="G74" s="17" t="inlineStr">
        <is>
          <t>0-1</t>
        </is>
      </c>
    </row>
    <row r="75">
      <c r="A75" s="22" t="n">
        <v>71</v>
      </c>
      <c r="B75" s="12" t="inlineStr">
        <is>
          <t>GAST</t>
        </is>
      </c>
      <c r="C75" s="23" t="n">
        <v>0.31</v>
      </c>
      <c r="D75" s="23" t="n">
        <v>0.43</v>
      </c>
      <c r="E75" s="23" t="n">
        <v>0.43</v>
      </c>
      <c r="F75" s="22" t="n">
        <v>1</v>
      </c>
      <c r="G75" s="12" t="inlineStr">
        <is>
          <t>1-0</t>
        </is>
      </c>
    </row>
    <row r="76">
      <c r="A76" s="25" t="n">
        <v>72</v>
      </c>
      <c r="B76" s="17" t="inlineStr">
        <is>
          <t>RICE</t>
        </is>
      </c>
      <c r="C76" s="26" t="n">
        <v>0.31</v>
      </c>
      <c r="D76" s="26" t="n">
        <v>-1.1</v>
      </c>
      <c r="E76" s="26" t="n">
        <v>0.8</v>
      </c>
      <c r="F76" s="25" t="n">
        <v>1</v>
      </c>
      <c r="G76" s="17" t="inlineStr">
        <is>
          <t>1-0</t>
        </is>
      </c>
    </row>
    <row r="77">
      <c r="A77" s="22" t="n">
        <v>73</v>
      </c>
      <c r="B77" s="12" t="inlineStr">
        <is>
          <t>SYR</t>
        </is>
      </c>
      <c r="C77" s="23" t="n">
        <v>0.31</v>
      </c>
      <c r="D77" s="23" t="n">
        <v>0.7</v>
      </c>
      <c r="E77" s="23" t="n">
        <v>0.8</v>
      </c>
      <c r="F77" s="22" t="n">
        <v>1</v>
      </c>
      <c r="G77" s="12" t="inlineStr">
        <is>
          <t>—</t>
        </is>
      </c>
    </row>
    <row r="78">
      <c r="A78" s="25" t="n">
        <v>74</v>
      </c>
      <c r="B78" s="17" t="inlineStr">
        <is>
          <t>WSU</t>
        </is>
      </c>
      <c r="C78" s="26" t="n">
        <v>0.31</v>
      </c>
      <c r="D78" s="26" t="n">
        <v>-1.17</v>
      </c>
      <c r="E78" s="26" t="n">
        <v>1.4</v>
      </c>
      <c r="F78" s="25" t="n">
        <v>1</v>
      </c>
      <c r="G78" s="17" t="inlineStr">
        <is>
          <t>—</t>
        </is>
      </c>
    </row>
    <row r="79">
      <c r="A79" s="22" t="n">
        <v>75</v>
      </c>
      <c r="B79" s="12" t="inlineStr">
        <is>
          <t>TULN</t>
        </is>
      </c>
      <c r="C79" s="23" t="n">
        <v>0.29</v>
      </c>
      <c r="D79" s="23" t="n">
        <v>-1.31</v>
      </c>
      <c r="E79" s="23" t="n">
        <v>1.41</v>
      </c>
      <c r="F79" s="22" t="n">
        <v>1</v>
      </c>
      <c r="G79" s="12" t="inlineStr">
        <is>
          <t>—</t>
        </is>
      </c>
    </row>
    <row r="80">
      <c r="A80" s="25" t="n">
        <v>76</v>
      </c>
      <c r="B80" s="17" t="inlineStr">
        <is>
          <t>MISS</t>
        </is>
      </c>
      <c r="C80" s="26" t="n">
        <v>0.24</v>
      </c>
      <c r="D80" s="26" t="n">
        <v>0.68</v>
      </c>
      <c r="E80" s="26" t="n">
        <v>0.16</v>
      </c>
      <c r="F80" s="25" t="n">
        <v>1</v>
      </c>
      <c r="G80" s="17" t="inlineStr">
        <is>
          <t>—</t>
        </is>
      </c>
    </row>
    <row r="81">
      <c r="A81" s="22" t="n">
        <v>77</v>
      </c>
      <c r="B81" s="12" t="inlineStr">
        <is>
          <t>ORST</t>
        </is>
      </c>
      <c r="C81" s="23" t="n">
        <v>0.23</v>
      </c>
      <c r="D81" s="23" t="n">
        <v>-1.06</v>
      </c>
      <c r="E81" s="23" t="n">
        <v>0.22</v>
      </c>
      <c r="F81" s="22" t="n">
        <v>1</v>
      </c>
      <c r="G81" s="12" t="inlineStr">
        <is>
          <t>—</t>
        </is>
      </c>
    </row>
    <row r="82">
      <c r="A82" s="25" t="n">
        <v>78</v>
      </c>
      <c r="B82" s="17" t="inlineStr">
        <is>
          <t>USA</t>
        </is>
      </c>
      <c r="C82" s="26" t="n">
        <v>0.23</v>
      </c>
      <c r="D82" s="26" t="n">
        <v>-0.09</v>
      </c>
      <c r="E82" s="26" t="n">
        <v>0.58</v>
      </c>
      <c r="F82" s="25" t="n">
        <v>1</v>
      </c>
      <c r="G82" s="17" t="inlineStr">
        <is>
          <t>1-0</t>
        </is>
      </c>
    </row>
    <row r="83">
      <c r="A83" s="22" t="n">
        <v>79</v>
      </c>
      <c r="B83" s="12" t="inlineStr">
        <is>
          <t>PUR</t>
        </is>
      </c>
      <c r="C83" s="23" t="n">
        <v>0.18</v>
      </c>
      <c r="D83" s="23" t="n">
        <v>-0.43</v>
      </c>
      <c r="E83" s="23" t="n">
        <v>0.17</v>
      </c>
      <c r="F83" s="22" t="n">
        <v>1</v>
      </c>
      <c r="G83" s="12" t="inlineStr">
        <is>
          <t>0-1</t>
        </is>
      </c>
    </row>
    <row r="84">
      <c r="A84" s="25" t="n">
        <v>80</v>
      </c>
      <c r="B84" s="17" t="inlineStr">
        <is>
          <t>TEM</t>
        </is>
      </c>
      <c r="C84" s="26" t="n">
        <v>0.18</v>
      </c>
      <c r="D84" s="26" t="n">
        <v>-0.13</v>
      </c>
      <c r="E84" s="26" t="n">
        <v>0.58</v>
      </c>
      <c r="F84" s="25" t="n">
        <v>1</v>
      </c>
      <c r="G84" s="17" t="inlineStr">
        <is>
          <t>—</t>
        </is>
      </c>
    </row>
    <row r="85">
      <c r="A85" s="22" t="n">
        <v>81</v>
      </c>
      <c r="B85" s="12" t="inlineStr">
        <is>
          <t>UNC</t>
        </is>
      </c>
      <c r="C85" s="23" t="n">
        <v>0.18</v>
      </c>
      <c r="D85" s="23" t="n">
        <v>-1.19</v>
      </c>
      <c r="E85" s="23" t="n">
        <v>1.5</v>
      </c>
      <c r="F85" s="22" t="n">
        <v>1</v>
      </c>
      <c r="G85" s="12" t="inlineStr">
        <is>
          <t>—</t>
        </is>
      </c>
    </row>
    <row r="86">
      <c r="A86" s="25" t="n">
        <v>82</v>
      </c>
      <c r="B86" s="17" t="inlineStr">
        <is>
          <t>MTSU</t>
        </is>
      </c>
      <c r="C86" s="26" t="n">
        <v>0.16</v>
      </c>
      <c r="D86" s="26" t="n">
        <v>-0.32</v>
      </c>
      <c r="E86" s="26" t="n">
        <v>0.5600000000000001</v>
      </c>
      <c r="F86" s="25" t="n">
        <v>1</v>
      </c>
      <c r="G86" s="17" t="inlineStr">
        <is>
          <t>—</t>
        </is>
      </c>
    </row>
    <row r="87">
      <c r="A87" s="22" t="n">
        <v>83</v>
      </c>
      <c r="B87" s="12" t="inlineStr">
        <is>
          <t>ODU</t>
        </is>
      </c>
      <c r="C87" s="23" t="n">
        <v>0.16</v>
      </c>
      <c r="D87" s="23" t="n">
        <v>-0.13</v>
      </c>
      <c r="E87" s="23" t="n">
        <v>1.69</v>
      </c>
      <c r="F87" s="22" t="n">
        <v>1</v>
      </c>
      <c r="G87" s="12" t="inlineStr">
        <is>
          <t>0-1</t>
        </is>
      </c>
    </row>
    <row r="88">
      <c r="A88" s="25" t="n">
        <v>84</v>
      </c>
      <c r="B88" s="17" t="inlineStr">
        <is>
          <t>WAKE</t>
        </is>
      </c>
      <c r="C88" s="26" t="n">
        <v>0.16</v>
      </c>
      <c r="D88" s="26" t="n">
        <v>0.05</v>
      </c>
      <c r="E88" s="26" t="n">
        <v>1.02</v>
      </c>
      <c r="F88" s="25" t="n">
        <v>1</v>
      </c>
      <c r="G88" s="17" t="inlineStr">
        <is>
          <t>0-1</t>
        </is>
      </c>
    </row>
    <row r="89">
      <c r="A89" s="22" t="n">
        <v>85</v>
      </c>
      <c r="B89" s="12" t="inlineStr">
        <is>
          <t>OKST</t>
        </is>
      </c>
      <c r="C89" s="23" t="n">
        <v>0.15</v>
      </c>
      <c r="D89" s="23" t="n">
        <v>-1.79</v>
      </c>
      <c r="E89" s="23" t="n">
        <v>0.44</v>
      </c>
      <c r="F89" s="22" t="n">
        <v>1</v>
      </c>
      <c r="G89" s="12" t="inlineStr">
        <is>
          <t>—</t>
        </is>
      </c>
    </row>
    <row r="90">
      <c r="A90" s="25" t="n">
        <v>86</v>
      </c>
      <c r="B90" s="17" t="inlineStr">
        <is>
          <t>JVST</t>
        </is>
      </c>
      <c r="C90" s="26" t="n">
        <v>0.14</v>
      </c>
      <c r="D90" s="26" t="n">
        <v>-0.39</v>
      </c>
      <c r="E90" s="26" t="n">
        <v>1.39</v>
      </c>
      <c r="F90" s="25" t="n">
        <v>2</v>
      </c>
      <c r="G90" s="17" t="inlineStr">
        <is>
          <t>1-1</t>
        </is>
      </c>
    </row>
    <row r="91">
      <c r="A91" s="22" t="n">
        <v>87</v>
      </c>
      <c r="B91" s="12" t="inlineStr">
        <is>
          <t>SDST</t>
        </is>
      </c>
      <c r="C91" s="23" t="n">
        <v>0.14</v>
      </c>
      <c r="D91" s="23" t="n">
        <v>-0.58</v>
      </c>
      <c r="E91" s="23" t="n">
        <v>0.09</v>
      </c>
      <c r="F91" s="22" t="n">
        <v>1</v>
      </c>
      <c r="G91" s="12" t="inlineStr">
        <is>
          <t>—</t>
        </is>
      </c>
    </row>
    <row r="92">
      <c r="A92" s="25" t="n">
        <v>88</v>
      </c>
      <c r="B92" s="17" t="inlineStr">
        <is>
          <t>ARST</t>
        </is>
      </c>
      <c r="C92" s="26" t="n">
        <v>0.12</v>
      </c>
      <c r="D92" s="26" t="n">
        <v>-0.42</v>
      </c>
      <c r="E92" s="26" t="n">
        <v>-0.07000000000000001</v>
      </c>
      <c r="F92" s="25" t="n">
        <v>1</v>
      </c>
      <c r="G92" s="17" t="inlineStr">
        <is>
          <t>0-1</t>
        </is>
      </c>
    </row>
    <row r="93">
      <c r="A93" s="22" t="n">
        <v>89</v>
      </c>
      <c r="B93" s="12" t="inlineStr">
        <is>
          <t>UNA</t>
        </is>
      </c>
      <c r="C93" s="23" t="n">
        <v>0.1</v>
      </c>
      <c r="D93" s="23" t="n">
        <v>-0.71</v>
      </c>
      <c r="E93" s="23" t="n">
        <v>0.17</v>
      </c>
      <c r="F93" s="22" t="n">
        <v>1</v>
      </c>
      <c r="G93" s="12" t="inlineStr">
        <is>
          <t>—</t>
        </is>
      </c>
    </row>
    <row r="94">
      <c r="A94" s="25" t="n">
        <v>90</v>
      </c>
      <c r="B94" s="17" t="inlineStr">
        <is>
          <t>AUB</t>
        </is>
      </c>
      <c r="C94" s="26" t="n">
        <v>0.06</v>
      </c>
      <c r="D94" s="26" t="n">
        <v>-1.13</v>
      </c>
      <c r="E94" s="26" t="n">
        <v>1.01</v>
      </c>
      <c r="F94" s="25" t="n">
        <v>1</v>
      </c>
      <c r="G94" s="17" t="inlineStr">
        <is>
          <t>—</t>
        </is>
      </c>
    </row>
    <row r="95">
      <c r="A95" s="22" t="n">
        <v>91</v>
      </c>
      <c r="B95" s="12" t="inlineStr">
        <is>
          <t>VAN</t>
        </is>
      </c>
      <c r="C95" s="23" t="n">
        <v>0.06</v>
      </c>
      <c r="D95" s="23" t="n">
        <v>0.06</v>
      </c>
      <c r="E95" s="23" t="n">
        <v>1.21</v>
      </c>
      <c r="F95" s="22" t="n">
        <v>1</v>
      </c>
      <c r="G95" s="12" t="inlineStr">
        <is>
          <t>0-1</t>
        </is>
      </c>
    </row>
    <row r="96">
      <c r="A96" s="25" t="n">
        <v>92</v>
      </c>
      <c r="B96" s="17" t="inlineStr">
        <is>
          <t>CSU</t>
        </is>
      </c>
      <c r="C96" s="26" t="n">
        <v>0.03</v>
      </c>
      <c r="D96" s="26" t="n">
        <v>-0.77</v>
      </c>
      <c r="E96" s="26" t="n">
        <v>0.47</v>
      </c>
      <c r="F96" s="25" t="n">
        <v>1</v>
      </c>
      <c r="G96" s="17" t="inlineStr">
        <is>
          <t>1-0</t>
        </is>
      </c>
    </row>
    <row r="97">
      <c r="A97" s="22" t="n">
        <v>93</v>
      </c>
      <c r="B97" s="12" t="inlineStr">
        <is>
          <t>APSU</t>
        </is>
      </c>
      <c r="C97" s="23" t="n">
        <v>0.02</v>
      </c>
      <c r="D97" s="23" t="n">
        <v>-0.88</v>
      </c>
      <c r="E97" s="23" t="n">
        <v>0.52</v>
      </c>
      <c r="F97" s="22" t="n">
        <v>1</v>
      </c>
      <c r="G97" s="12" t="inlineStr">
        <is>
          <t>1-0</t>
        </is>
      </c>
    </row>
    <row r="98">
      <c r="A98" s="25" t="n">
        <v>94</v>
      </c>
      <c r="B98" s="17" t="inlineStr">
        <is>
          <t>ILL</t>
        </is>
      </c>
      <c r="C98" s="26" t="n">
        <v>0.01</v>
      </c>
      <c r="D98" s="26" t="n">
        <v>0.02</v>
      </c>
      <c r="E98" s="26" t="n">
        <v>0.57</v>
      </c>
      <c r="F98" s="25" t="n">
        <v>1</v>
      </c>
      <c r="G98" s="17" t="inlineStr">
        <is>
          <t>—</t>
        </is>
      </c>
    </row>
    <row r="99">
      <c r="A99" s="22" t="n">
        <v>95</v>
      </c>
      <c r="B99" s="12" t="inlineStr">
        <is>
          <t>CIN</t>
        </is>
      </c>
      <c r="C99" s="23" t="n">
        <v>-0.04</v>
      </c>
      <c r="D99" s="23" t="n">
        <v>-0.35</v>
      </c>
      <c r="E99" s="23" t="n">
        <v>0.65</v>
      </c>
      <c r="F99" s="22" t="n">
        <v>1</v>
      </c>
      <c r="G99" s="12" t="inlineStr">
        <is>
          <t>—</t>
        </is>
      </c>
    </row>
    <row r="100">
      <c r="A100" s="25" t="n">
        <v>96</v>
      </c>
      <c r="B100" s="17" t="inlineStr">
        <is>
          <t>BC</t>
        </is>
      </c>
      <c r="C100" s="26" t="n">
        <v>-0.05</v>
      </c>
      <c r="D100" s="26" t="n">
        <v>-0.95</v>
      </c>
      <c r="E100" s="26" t="n">
        <v>-0.07000000000000001</v>
      </c>
      <c r="F100" s="25" t="n">
        <v>1</v>
      </c>
      <c r="G100" s="17" t="inlineStr">
        <is>
          <t>—</t>
        </is>
      </c>
    </row>
    <row r="101">
      <c r="A101" s="22" t="n">
        <v>97</v>
      </c>
      <c r="B101" s="12" t="inlineStr">
        <is>
          <t>UAB</t>
        </is>
      </c>
      <c r="C101" s="23" t="n">
        <v>-0.06</v>
      </c>
      <c r="D101" s="23" t="n">
        <v>-0.44</v>
      </c>
      <c r="E101" s="23" t="n">
        <v>-0.7</v>
      </c>
      <c r="F101" s="22" t="n">
        <v>1</v>
      </c>
      <c r="G101" s="12" t="inlineStr">
        <is>
          <t>—</t>
        </is>
      </c>
    </row>
    <row r="102">
      <c r="A102" s="25" t="n">
        <v>98</v>
      </c>
      <c r="B102" s="17" t="inlineStr">
        <is>
          <t>BAY</t>
        </is>
      </c>
      <c r="C102" s="26" t="n">
        <v>-0.08</v>
      </c>
      <c r="D102" s="26" t="n">
        <v>-0.52</v>
      </c>
      <c r="E102" s="26" t="n">
        <v>0.71</v>
      </c>
      <c r="F102" s="25" t="n">
        <v>1</v>
      </c>
      <c r="G102" s="17" t="inlineStr">
        <is>
          <t>—</t>
        </is>
      </c>
    </row>
    <row r="103">
      <c r="A103" s="22" t="n">
        <v>99</v>
      </c>
      <c r="B103" s="12" t="inlineStr">
        <is>
          <t>NORF</t>
        </is>
      </c>
      <c r="C103" s="23" t="n">
        <v>-0.09</v>
      </c>
      <c r="D103" s="23" t="n">
        <v>-0.84</v>
      </c>
      <c r="E103" s="23" t="n">
        <v>0.14</v>
      </c>
      <c r="F103" s="22" t="n">
        <v>1</v>
      </c>
      <c r="G103" s="12" t="inlineStr">
        <is>
          <t>1-0</t>
        </is>
      </c>
    </row>
    <row r="104">
      <c r="A104" s="25" t="n">
        <v>100</v>
      </c>
      <c r="B104" s="17" t="inlineStr">
        <is>
          <t>LOU</t>
        </is>
      </c>
      <c r="C104" s="26" t="n">
        <v>-0.1</v>
      </c>
      <c r="D104" s="26" t="n">
        <v>0.34</v>
      </c>
      <c r="E104" s="26" t="n">
        <v>0.33</v>
      </c>
      <c r="F104" s="25" t="n">
        <v>1</v>
      </c>
      <c r="G104" s="17" t="inlineStr">
        <is>
          <t>—</t>
        </is>
      </c>
    </row>
    <row r="105">
      <c r="A105" s="22" t="n">
        <v>101</v>
      </c>
      <c r="B105" s="12" t="inlineStr">
        <is>
          <t>AKR</t>
        </is>
      </c>
      <c r="C105" s="23" t="n">
        <v>-0.14</v>
      </c>
      <c r="D105" s="23" t="n">
        <v>-0.9</v>
      </c>
      <c r="E105" s="23" t="n">
        <v>0.08</v>
      </c>
      <c r="F105" s="22" t="n">
        <v>1</v>
      </c>
      <c r="G105" s="12" t="inlineStr">
        <is>
          <t>1-0</t>
        </is>
      </c>
    </row>
    <row r="106">
      <c r="A106" s="25" t="n">
        <v>102</v>
      </c>
      <c r="B106" s="17" t="inlineStr">
        <is>
          <t>ARK</t>
        </is>
      </c>
      <c r="C106" s="26" t="n">
        <v>-0.14</v>
      </c>
      <c r="D106" s="26" t="n">
        <v>-0.19</v>
      </c>
      <c r="E106" s="26" t="n">
        <v>0.35</v>
      </c>
      <c r="F106" s="25" t="n">
        <v>1</v>
      </c>
      <c r="G106" s="17" t="inlineStr">
        <is>
          <t>—</t>
        </is>
      </c>
    </row>
    <row r="107">
      <c r="A107" s="22" t="n">
        <v>103</v>
      </c>
      <c r="B107" s="12" t="inlineStr">
        <is>
          <t>NU</t>
        </is>
      </c>
      <c r="C107" s="23" t="n">
        <v>-0.15</v>
      </c>
      <c r="D107" s="23" t="n">
        <v>-0.6</v>
      </c>
      <c r="E107" s="23" t="n">
        <v>1.05</v>
      </c>
      <c r="F107" s="22" t="n">
        <v>1</v>
      </c>
      <c r="G107" s="12" t="inlineStr">
        <is>
          <t>—</t>
        </is>
      </c>
    </row>
    <row r="108">
      <c r="A108" s="25" t="n">
        <v>104</v>
      </c>
      <c r="B108" s="17" t="inlineStr">
        <is>
          <t>WASH</t>
        </is>
      </c>
      <c r="C108" s="26" t="n">
        <v>-0.17</v>
      </c>
      <c r="D108" s="26" t="n">
        <v>-0.4</v>
      </c>
      <c r="E108" s="26" t="n">
        <v>1.52</v>
      </c>
      <c r="F108" s="25" t="n">
        <v>1</v>
      </c>
      <c r="G108" s="17" t="inlineStr">
        <is>
          <t>—</t>
        </is>
      </c>
    </row>
    <row r="109">
      <c r="A109" s="22" t="n">
        <v>105</v>
      </c>
      <c r="B109" s="12" t="inlineStr">
        <is>
          <t>WYO</t>
        </is>
      </c>
      <c r="C109" s="23" t="n">
        <v>-0.17</v>
      </c>
      <c r="D109" s="23" t="n">
        <v>-1.54</v>
      </c>
      <c r="E109" s="23" t="n">
        <v>0.61</v>
      </c>
      <c r="F109" s="22" t="n">
        <v>1</v>
      </c>
      <c r="G109" s="12" t="inlineStr">
        <is>
          <t>0-1</t>
        </is>
      </c>
    </row>
    <row r="110">
      <c r="A110" s="25" t="n">
        <v>106</v>
      </c>
      <c r="B110" s="17" t="inlineStr">
        <is>
          <t>ACU</t>
        </is>
      </c>
      <c r="C110" s="26" t="n">
        <v>-0.19</v>
      </c>
      <c r="D110" s="26" t="n">
        <v>-0.83</v>
      </c>
      <c r="E110" s="26" t="n">
        <v>0.13</v>
      </c>
      <c r="F110" s="25" t="n">
        <v>1</v>
      </c>
      <c r="G110" s="17" t="inlineStr">
        <is>
          <t>1-0</t>
        </is>
      </c>
    </row>
    <row r="111">
      <c r="A111" s="22" t="n">
        <v>107</v>
      </c>
      <c r="B111" s="12" t="inlineStr">
        <is>
          <t>TCU</t>
        </is>
      </c>
      <c r="C111" s="23" t="n">
        <v>-0.2</v>
      </c>
      <c r="D111" s="23" t="n">
        <v>-1.19</v>
      </c>
      <c r="E111" s="23" t="n">
        <v>0.83</v>
      </c>
      <c r="F111" s="22" t="n">
        <v>1</v>
      </c>
      <c r="G111" s="12" t="inlineStr">
        <is>
          <t>—</t>
        </is>
      </c>
    </row>
    <row r="112">
      <c r="A112" s="25" t="n">
        <v>108</v>
      </c>
      <c r="B112" s="17" t="inlineStr">
        <is>
          <t>DUKE</t>
        </is>
      </c>
      <c r="C112" s="26" t="n">
        <v>-0.21</v>
      </c>
      <c r="D112" s="26" t="n">
        <v>-0.51</v>
      </c>
      <c r="E112" s="26" t="n">
        <v>1.14</v>
      </c>
      <c r="F112" s="25" t="n">
        <v>1</v>
      </c>
      <c r="G112" s="17" t="inlineStr">
        <is>
          <t>—</t>
        </is>
      </c>
    </row>
    <row r="113">
      <c r="A113" s="22" t="n">
        <v>109</v>
      </c>
      <c r="B113" s="12" t="inlineStr">
        <is>
          <t>URI</t>
        </is>
      </c>
      <c r="C113" s="23" t="n">
        <v>-0.24</v>
      </c>
      <c r="D113" s="23" t="n">
        <v>-0.67</v>
      </c>
      <c r="E113" s="23" t="n">
        <v>-0.17</v>
      </c>
      <c r="F113" s="22" t="n">
        <v>1</v>
      </c>
      <c r="G113" s="12" t="inlineStr">
        <is>
          <t>—</t>
        </is>
      </c>
    </row>
    <row r="114">
      <c r="A114" s="25" t="n">
        <v>110</v>
      </c>
      <c r="B114" s="17" t="inlineStr">
        <is>
          <t>MUR</t>
        </is>
      </c>
      <c r="C114" s="26" t="n">
        <v>-0.25</v>
      </c>
      <c r="D114" s="26" t="n">
        <v>-0.7</v>
      </c>
      <c r="E114" s="26" t="n">
        <v>-0.17</v>
      </c>
      <c r="F114" s="25" t="n">
        <v>1</v>
      </c>
      <c r="G114" s="17" t="inlineStr">
        <is>
          <t>—</t>
        </is>
      </c>
    </row>
    <row r="115">
      <c r="A115" s="22" t="n">
        <v>111</v>
      </c>
      <c r="B115" s="12" t="inlineStr">
        <is>
          <t>HOU</t>
        </is>
      </c>
      <c r="C115" s="23" t="n">
        <v>-0.27</v>
      </c>
      <c r="D115" s="23" t="n">
        <v>-0.23</v>
      </c>
      <c r="E115" s="23" t="n">
        <v>0.68</v>
      </c>
      <c r="F115" s="22" t="n">
        <v>1</v>
      </c>
      <c r="G115" s="12" t="inlineStr">
        <is>
          <t>—</t>
        </is>
      </c>
    </row>
    <row r="116">
      <c r="A116" s="25" t="n">
        <v>112</v>
      </c>
      <c r="B116" s="17" t="inlineStr">
        <is>
          <t>NCSU</t>
        </is>
      </c>
      <c r="C116" s="26" t="n">
        <v>-0.27</v>
      </c>
      <c r="D116" s="26" t="n">
        <v>-0.86</v>
      </c>
      <c r="E116" s="26" t="n">
        <v>0.32</v>
      </c>
      <c r="F116" s="25" t="n">
        <v>1</v>
      </c>
      <c r="G116" s="17" t="inlineStr">
        <is>
          <t>—</t>
        </is>
      </c>
    </row>
    <row r="117">
      <c r="A117" s="22" t="n">
        <v>113</v>
      </c>
      <c r="B117" s="12" t="inlineStr">
        <is>
          <t>SELA</t>
        </is>
      </c>
      <c r="C117" s="23" t="n">
        <v>-0.29</v>
      </c>
      <c r="D117" s="23" t="n">
        <v>-0.77</v>
      </c>
      <c r="E117" s="23" t="n">
        <v>-0.2</v>
      </c>
      <c r="F117" s="22" t="n">
        <v>1</v>
      </c>
      <c r="G117" s="12" t="inlineStr">
        <is>
          <t>0-1</t>
        </is>
      </c>
    </row>
    <row r="118">
      <c r="A118" s="25" t="n">
        <v>114</v>
      </c>
      <c r="B118" s="17" t="inlineStr">
        <is>
          <t>UNT</t>
        </is>
      </c>
      <c r="C118" s="26" t="n">
        <v>-0.29</v>
      </c>
      <c r="D118" s="26" t="n">
        <v>0.7</v>
      </c>
      <c r="E118" s="26" t="n">
        <v>-0.45</v>
      </c>
      <c r="F118" s="25" t="n">
        <v>1</v>
      </c>
      <c r="G118" s="17" t="inlineStr">
        <is>
          <t>—</t>
        </is>
      </c>
    </row>
    <row r="119">
      <c r="A119" s="22" t="n">
        <v>115</v>
      </c>
      <c r="B119" s="12" t="inlineStr">
        <is>
          <t>INST</t>
        </is>
      </c>
      <c r="C119" s="23" t="n">
        <v>-0.3</v>
      </c>
      <c r="D119" s="23" t="n">
        <v>-0.61</v>
      </c>
      <c r="E119" s="23" t="n">
        <v>-0.64</v>
      </c>
      <c r="F119" s="22" t="n">
        <v>1</v>
      </c>
      <c r="G119" s="12" t="inlineStr">
        <is>
          <t>1-0</t>
        </is>
      </c>
    </row>
    <row r="120">
      <c r="A120" s="25" t="n">
        <v>116</v>
      </c>
      <c r="B120" s="17" t="inlineStr">
        <is>
          <t>TLSA</t>
        </is>
      </c>
      <c r="C120" s="26" t="n">
        <v>-0.3</v>
      </c>
      <c r="D120" s="26" t="n">
        <v>-0.99</v>
      </c>
      <c r="E120" s="26" t="n">
        <v>0.8</v>
      </c>
      <c r="F120" s="25" t="n">
        <v>1</v>
      </c>
      <c r="G120" s="17" t="inlineStr">
        <is>
          <t>—</t>
        </is>
      </c>
    </row>
    <row r="121">
      <c r="A121" s="22" t="n">
        <v>117</v>
      </c>
      <c r="B121" s="12" t="inlineStr">
        <is>
          <t>ECU</t>
        </is>
      </c>
      <c r="C121" s="23" t="n">
        <v>-0.34</v>
      </c>
      <c r="D121" s="23" t="n">
        <v>-0.62</v>
      </c>
      <c r="E121" s="23" t="n">
        <v>0.1</v>
      </c>
      <c r="F121" s="22" t="n">
        <v>1</v>
      </c>
      <c r="G121" s="12" t="inlineStr">
        <is>
          <t>—</t>
        </is>
      </c>
    </row>
    <row r="122">
      <c r="A122" s="25" t="n">
        <v>118</v>
      </c>
      <c r="B122" s="17" t="inlineStr">
        <is>
          <t>TXST</t>
        </is>
      </c>
      <c r="C122" s="26" t="n">
        <v>-0.35</v>
      </c>
      <c r="D122" s="26" t="n">
        <v>-0.51</v>
      </c>
      <c r="E122" s="26" t="n">
        <v>-0.92</v>
      </c>
      <c r="F122" s="25" t="n">
        <v>1</v>
      </c>
      <c r="G122" s="17" t="inlineStr">
        <is>
          <t>—</t>
        </is>
      </c>
    </row>
    <row r="123">
      <c r="A123" s="22" t="n">
        <v>119</v>
      </c>
      <c r="B123" s="12" t="inlineStr">
        <is>
          <t>USF</t>
        </is>
      </c>
      <c r="C123" s="23" t="n">
        <v>-0.35</v>
      </c>
      <c r="D123" s="23" t="n">
        <v>-0.17</v>
      </c>
      <c r="E123" s="23" t="n">
        <v>1.31</v>
      </c>
      <c r="F123" s="22" t="n">
        <v>1</v>
      </c>
      <c r="G123" s="12" t="inlineStr">
        <is>
          <t>0-1</t>
        </is>
      </c>
    </row>
    <row r="124">
      <c r="A124" s="25" t="n">
        <v>120</v>
      </c>
      <c r="B124" s="17" t="inlineStr">
        <is>
          <t>CLEM</t>
        </is>
      </c>
      <c r="C124" s="26" t="n">
        <v>-0.37</v>
      </c>
      <c r="D124" s="26" t="n">
        <v>-1.02</v>
      </c>
      <c r="E124" s="26" t="n">
        <v>-0.08</v>
      </c>
      <c r="F124" s="25" t="n">
        <v>1</v>
      </c>
      <c r="G124" s="17" t="inlineStr">
        <is>
          <t>—</t>
        </is>
      </c>
    </row>
    <row r="125">
      <c r="A125" s="22" t="n">
        <v>121</v>
      </c>
      <c r="B125" s="12" t="inlineStr">
        <is>
          <t>FRES</t>
        </is>
      </c>
      <c r="C125" s="23" t="n">
        <v>-0.37</v>
      </c>
      <c r="D125" s="23" t="n">
        <v>-1.63</v>
      </c>
      <c r="E125" s="23" t="n">
        <v>0.7</v>
      </c>
      <c r="F125" s="22" t="n">
        <v>1</v>
      </c>
      <c r="G125" s="12" t="inlineStr">
        <is>
          <t>—</t>
        </is>
      </c>
    </row>
    <row r="126">
      <c r="A126" s="25" t="n">
        <v>122</v>
      </c>
      <c r="B126" s="17" t="inlineStr">
        <is>
          <t>OHIO</t>
        </is>
      </c>
      <c r="C126" s="26" t="n">
        <v>-0.37</v>
      </c>
      <c r="D126" s="26" t="n">
        <v>-0.48</v>
      </c>
      <c r="E126" s="26" t="n">
        <v>-0.03</v>
      </c>
      <c r="F126" s="25" t="n">
        <v>1</v>
      </c>
      <c r="G126" s="17" t="inlineStr">
        <is>
          <t>—</t>
        </is>
      </c>
    </row>
    <row r="127">
      <c r="A127" s="22" t="n">
        <v>123</v>
      </c>
      <c r="B127" s="12" t="inlineStr">
        <is>
          <t>TOW</t>
        </is>
      </c>
      <c r="C127" s="23" t="n">
        <v>-0.38</v>
      </c>
      <c r="D127" s="23" t="n">
        <v>-0.58</v>
      </c>
      <c r="E127" s="23" t="n">
        <v>-0.34</v>
      </c>
      <c r="F127" s="22" t="n">
        <v>1</v>
      </c>
      <c r="G127" s="12" t="inlineStr">
        <is>
          <t>—</t>
        </is>
      </c>
    </row>
    <row r="128">
      <c r="A128" s="25" t="n">
        <v>124</v>
      </c>
      <c r="B128" s="17" t="inlineStr">
        <is>
          <t>WKU</t>
        </is>
      </c>
      <c r="C128" s="26" t="n">
        <v>-0.38</v>
      </c>
      <c r="D128" s="26" t="n">
        <v>-0.62</v>
      </c>
      <c r="E128" s="26" t="n">
        <v>-0.04</v>
      </c>
      <c r="F128" s="25" t="n">
        <v>1</v>
      </c>
      <c r="G128" s="17" t="inlineStr">
        <is>
          <t>—</t>
        </is>
      </c>
    </row>
    <row r="129">
      <c r="A129" s="22" t="n">
        <v>125</v>
      </c>
      <c r="B129" s="12" t="inlineStr">
        <is>
          <t>FOR</t>
        </is>
      </c>
      <c r="C129" s="23" t="n">
        <v>-0.4</v>
      </c>
      <c r="D129" s="23" t="n">
        <v>-1.28</v>
      </c>
      <c r="E129" s="23" t="n">
        <v>-0.2</v>
      </c>
      <c r="F129" s="22" t="n">
        <v>1</v>
      </c>
      <c r="G129" s="12" t="inlineStr">
        <is>
          <t>—</t>
        </is>
      </c>
    </row>
    <row r="130">
      <c r="A130" s="25" t="n">
        <v>126</v>
      </c>
      <c r="B130" s="17" t="inlineStr">
        <is>
          <t>IDHO</t>
        </is>
      </c>
      <c r="C130" s="26" t="n">
        <v>-0.4</v>
      </c>
      <c r="D130" s="26" t="n">
        <v>-0.65</v>
      </c>
      <c r="E130" s="26" t="n">
        <v>-1.24</v>
      </c>
      <c r="F130" s="25" t="n">
        <v>1</v>
      </c>
      <c r="G130" s="17" t="inlineStr">
        <is>
          <t>—</t>
        </is>
      </c>
    </row>
    <row r="131">
      <c r="A131" s="22" t="n">
        <v>127</v>
      </c>
      <c r="B131" s="12" t="inlineStr">
        <is>
          <t>M-OH</t>
        </is>
      </c>
      <c r="C131" s="23" t="n">
        <v>-0.4</v>
      </c>
      <c r="D131" s="23" t="n">
        <v>-1.06</v>
      </c>
      <c r="E131" s="23" t="n">
        <v>-0.36</v>
      </c>
      <c r="F131" s="22" t="n">
        <v>1</v>
      </c>
      <c r="G131" s="12" t="inlineStr">
        <is>
          <t>—</t>
        </is>
      </c>
    </row>
    <row r="132">
      <c r="A132" s="25" t="n">
        <v>128</v>
      </c>
      <c r="B132" s="17" t="inlineStr">
        <is>
          <t>MRSH</t>
        </is>
      </c>
      <c r="C132" s="26" t="n">
        <v>-0.4</v>
      </c>
      <c r="D132" s="26" t="n">
        <v>-1.21</v>
      </c>
      <c r="E132" s="26" t="n">
        <v>-0.37</v>
      </c>
      <c r="F132" s="25" t="n">
        <v>1</v>
      </c>
      <c r="G132" s="17" t="inlineStr">
        <is>
          <t>—</t>
        </is>
      </c>
    </row>
    <row r="133">
      <c r="A133" s="22" t="n">
        <v>129</v>
      </c>
      <c r="B133" s="12" t="inlineStr">
        <is>
          <t>CMU</t>
        </is>
      </c>
      <c r="C133" s="23" t="n">
        <v>-0.41</v>
      </c>
      <c r="D133" s="23" t="n">
        <v>-1.39</v>
      </c>
      <c r="E133" s="23" t="n">
        <v>0.44</v>
      </c>
      <c r="F133" s="22" t="n">
        <v>1</v>
      </c>
      <c r="G133" s="12" t="inlineStr">
        <is>
          <t>—</t>
        </is>
      </c>
    </row>
    <row r="134">
      <c r="A134" s="25" t="n">
        <v>130</v>
      </c>
      <c r="B134" s="17" t="inlineStr">
        <is>
          <t>MOST</t>
        </is>
      </c>
      <c r="C134" s="26" t="n">
        <v>-0.41</v>
      </c>
      <c r="D134" s="26" t="n">
        <v>-1.43</v>
      </c>
      <c r="E134" s="26" t="n">
        <v>-0.48</v>
      </c>
      <c r="F134" s="25" t="n">
        <v>1</v>
      </c>
      <c r="G134" s="17" t="inlineStr">
        <is>
          <t>0-1</t>
        </is>
      </c>
    </row>
    <row r="135">
      <c r="A135" s="22" t="n">
        <v>131</v>
      </c>
      <c r="B135" s="12" t="inlineStr">
        <is>
          <t>MRMK</t>
        </is>
      </c>
      <c r="C135" s="23" t="n">
        <v>-0.41</v>
      </c>
      <c r="D135" s="23" t="n">
        <v>-1.04</v>
      </c>
      <c r="E135" s="23" t="n">
        <v>-0.22</v>
      </c>
      <c r="F135" s="22" t="n">
        <v>1</v>
      </c>
      <c r="G135" s="12" t="inlineStr">
        <is>
          <t>0-1</t>
        </is>
      </c>
    </row>
    <row r="136">
      <c r="A136" s="25" t="n">
        <v>132</v>
      </c>
      <c r="B136" s="17" t="inlineStr">
        <is>
          <t>BRY</t>
        </is>
      </c>
      <c r="C136" s="26" t="n">
        <v>-0.42</v>
      </c>
      <c r="D136" s="26" t="n">
        <v>-1.2</v>
      </c>
      <c r="E136" s="26" t="n">
        <v>-1.06</v>
      </c>
      <c r="F136" s="25" t="n">
        <v>1</v>
      </c>
      <c r="G136" s="17" t="inlineStr">
        <is>
          <t>—</t>
        </is>
      </c>
    </row>
    <row r="137">
      <c r="A137" s="22" t="n">
        <v>133</v>
      </c>
      <c r="B137" s="12" t="inlineStr">
        <is>
          <t>LIU</t>
        </is>
      </c>
      <c r="C137" s="23" t="n">
        <v>-0.42</v>
      </c>
      <c r="D137" s="23" t="n">
        <v>-1.09</v>
      </c>
      <c r="E137" s="23" t="n">
        <v>-0.78</v>
      </c>
      <c r="F137" s="22" t="n">
        <v>1</v>
      </c>
      <c r="G137" s="12" t="inlineStr">
        <is>
          <t>—</t>
        </is>
      </c>
    </row>
    <row r="138">
      <c r="A138" s="25" t="n">
        <v>134</v>
      </c>
      <c r="B138" s="17" t="inlineStr">
        <is>
          <t>MERC</t>
        </is>
      </c>
      <c r="C138" s="26" t="n">
        <v>-0.42</v>
      </c>
      <c r="D138" s="26" t="n">
        <v>-0.6</v>
      </c>
      <c r="E138" s="26" t="n">
        <v>-0.85</v>
      </c>
      <c r="F138" s="25" t="n">
        <v>1</v>
      </c>
      <c r="G138" s="17" t="inlineStr">
        <is>
          <t>—</t>
        </is>
      </c>
    </row>
    <row r="139">
      <c r="A139" s="22" t="n">
        <v>135</v>
      </c>
      <c r="B139" s="12" t="inlineStr">
        <is>
          <t>MVSU</t>
        </is>
      </c>
      <c r="C139" s="23" t="n">
        <v>-0.42</v>
      </c>
      <c r="D139" s="23" t="n">
        <v>-1.3</v>
      </c>
      <c r="E139" s="23" t="n">
        <v>-0.82</v>
      </c>
      <c r="F139" s="22" t="n">
        <v>1</v>
      </c>
      <c r="G139" s="12" t="inlineStr">
        <is>
          <t>—</t>
        </is>
      </c>
    </row>
    <row r="140">
      <c r="A140" s="25" t="n">
        <v>136</v>
      </c>
      <c r="B140" s="17" t="inlineStr">
        <is>
          <t>NAU</t>
        </is>
      </c>
      <c r="C140" s="26" t="n">
        <v>-0.42</v>
      </c>
      <c r="D140" s="26" t="n">
        <v>-0.95</v>
      </c>
      <c r="E140" s="26" t="n">
        <v>0.04</v>
      </c>
      <c r="F140" s="25" t="n">
        <v>1</v>
      </c>
      <c r="G140" s="17" t="inlineStr">
        <is>
          <t>—</t>
        </is>
      </c>
    </row>
    <row r="141">
      <c r="A141" s="22" t="n">
        <v>137</v>
      </c>
      <c r="B141" s="12" t="inlineStr">
        <is>
          <t>TNST</t>
        </is>
      </c>
      <c r="C141" s="23" t="n">
        <v>-0.42</v>
      </c>
      <c r="D141" s="23" t="n">
        <v>-1.23</v>
      </c>
      <c r="E141" s="23" t="n">
        <v>-1.46</v>
      </c>
      <c r="F141" s="22" t="n">
        <v>1</v>
      </c>
      <c r="G141" s="12" t="inlineStr">
        <is>
          <t>—</t>
        </is>
      </c>
    </row>
    <row r="142">
      <c r="A142" s="25" t="n">
        <v>138</v>
      </c>
      <c r="B142" s="17" t="inlineStr">
        <is>
          <t>UAPB</t>
        </is>
      </c>
      <c r="C142" s="26" t="n">
        <v>-0.42</v>
      </c>
      <c r="D142" s="26" t="n">
        <v>-0.64</v>
      </c>
      <c r="E142" s="26" t="n">
        <v>-1.02</v>
      </c>
      <c r="F142" s="25" t="n">
        <v>1</v>
      </c>
      <c r="G142" s="17" t="inlineStr">
        <is>
          <t>—</t>
        </is>
      </c>
    </row>
    <row r="143">
      <c r="A143" s="22" t="n">
        <v>139</v>
      </c>
      <c r="B143" s="12" t="inlineStr">
        <is>
          <t>UNH</t>
        </is>
      </c>
      <c r="C143" s="23" t="n">
        <v>-0.42</v>
      </c>
      <c r="D143" s="23" t="n">
        <v>-1.17</v>
      </c>
      <c r="E143" s="23" t="n">
        <v>-1.52</v>
      </c>
      <c r="F143" s="22" t="n">
        <v>1</v>
      </c>
      <c r="G143" s="12" t="inlineStr">
        <is>
          <t>—</t>
        </is>
      </c>
    </row>
    <row r="144">
      <c r="A144" s="25" t="n">
        <v>140</v>
      </c>
      <c r="B144" s="17" t="inlineStr">
        <is>
          <t>WES</t>
        </is>
      </c>
      <c r="C144" s="26" t="n">
        <v>-0.42</v>
      </c>
      <c r="D144" s="26" t="n">
        <v>-1.28</v>
      </c>
      <c r="E144" s="26" t="n">
        <v>-0.55</v>
      </c>
      <c r="F144" s="25" t="n">
        <v>1</v>
      </c>
      <c r="G144" s="17" t="inlineStr">
        <is>
          <t>—</t>
        </is>
      </c>
    </row>
    <row r="145">
      <c r="A145" s="22" t="n">
        <v>141</v>
      </c>
      <c r="B145" s="12" t="inlineStr">
        <is>
          <t>YSU</t>
        </is>
      </c>
      <c r="C145" s="23" t="n">
        <v>-0.42</v>
      </c>
      <c r="D145" s="23" t="n">
        <v>-0.62</v>
      </c>
      <c r="E145" s="23" t="n">
        <v>-0.51</v>
      </c>
      <c r="F145" s="22" t="n">
        <v>1</v>
      </c>
      <c r="G145" s="12" t="inlineStr">
        <is>
          <t>—</t>
        </is>
      </c>
    </row>
    <row r="146">
      <c r="A146" s="25" t="n">
        <v>142</v>
      </c>
      <c r="B146" s="17" t="inlineStr">
        <is>
          <t>ALCN</t>
        </is>
      </c>
      <c r="C146" s="26" t="n">
        <v>-0.43</v>
      </c>
      <c r="D146" s="26" t="n">
        <v>-1.26</v>
      </c>
      <c r="E146" s="26" t="n">
        <v>-0.77</v>
      </c>
      <c r="F146" s="25" t="n">
        <v>1</v>
      </c>
      <c r="G146" s="17" t="inlineStr">
        <is>
          <t>—</t>
        </is>
      </c>
    </row>
    <row r="147">
      <c r="A147" s="22" t="n">
        <v>143</v>
      </c>
      <c r="B147" s="12" t="inlineStr">
        <is>
          <t>BCU</t>
        </is>
      </c>
      <c r="C147" s="23" t="n">
        <v>-0.43</v>
      </c>
      <c r="D147" s="23" t="n">
        <v>-1.12</v>
      </c>
      <c r="E147" s="23" t="n">
        <v>-1.88</v>
      </c>
      <c r="F147" s="22" t="n">
        <v>1</v>
      </c>
      <c r="G147" s="12" t="inlineStr">
        <is>
          <t>0-1</t>
        </is>
      </c>
    </row>
    <row r="148">
      <c r="A148" s="25" t="n">
        <v>144</v>
      </c>
      <c r="B148" s="17" t="inlineStr">
        <is>
          <t>CHSO</t>
        </is>
      </c>
      <c r="C148" s="26" t="n">
        <v>-0.43</v>
      </c>
      <c r="D148" s="26" t="n">
        <v>-1.49</v>
      </c>
      <c r="E148" s="26" t="n">
        <v>0.28</v>
      </c>
      <c r="F148" s="25" t="n">
        <v>1</v>
      </c>
      <c r="G148" s="17" t="inlineStr">
        <is>
          <t>0-1</t>
        </is>
      </c>
    </row>
    <row r="149">
      <c r="A149" s="22" t="n">
        <v>145</v>
      </c>
      <c r="B149" s="12" t="inlineStr">
        <is>
          <t>EIU</t>
        </is>
      </c>
      <c r="C149" s="23" t="n">
        <v>-0.43</v>
      </c>
      <c r="D149" s="23" t="n">
        <v>-1.1</v>
      </c>
      <c r="E149" s="23" t="n">
        <v>-1.3</v>
      </c>
      <c r="F149" s="22" t="n">
        <v>1</v>
      </c>
      <c r="G149" s="12" t="inlineStr">
        <is>
          <t>—</t>
        </is>
      </c>
    </row>
    <row r="150">
      <c r="A150" s="25" t="n">
        <v>146</v>
      </c>
      <c r="B150" s="17" t="inlineStr">
        <is>
          <t>FUR</t>
        </is>
      </c>
      <c r="C150" s="26" t="n">
        <v>-0.43</v>
      </c>
      <c r="D150" s="26" t="n">
        <v>-0.97</v>
      </c>
      <c r="E150" s="26" t="n">
        <v>-1.04</v>
      </c>
      <c r="F150" s="25" t="n">
        <v>1</v>
      </c>
      <c r="G150" s="17" t="inlineStr">
        <is>
          <t>—</t>
        </is>
      </c>
    </row>
    <row r="151">
      <c r="A151" s="22" t="n">
        <v>147</v>
      </c>
      <c r="B151" s="12" t="inlineStr">
        <is>
          <t>HCU</t>
        </is>
      </c>
      <c r="C151" s="23" t="n">
        <v>-0.43</v>
      </c>
      <c r="D151" s="23" t="n">
        <v>-1.25</v>
      </c>
      <c r="E151" s="23" t="n">
        <v>0.1</v>
      </c>
      <c r="F151" s="22" t="n">
        <v>1</v>
      </c>
      <c r="G151" s="12" t="inlineStr">
        <is>
          <t>0-1</t>
        </is>
      </c>
    </row>
    <row r="152">
      <c r="A152" s="25" t="n">
        <v>148</v>
      </c>
      <c r="B152" s="17" t="inlineStr">
        <is>
          <t>LAM</t>
        </is>
      </c>
      <c r="C152" s="26" t="n">
        <v>-0.43</v>
      </c>
      <c r="D152" s="26" t="n">
        <v>-1.06</v>
      </c>
      <c r="E152" s="26" t="n">
        <v>-0.18</v>
      </c>
      <c r="F152" s="25" t="n">
        <v>1</v>
      </c>
      <c r="G152" s="17" t="inlineStr">
        <is>
          <t>—</t>
        </is>
      </c>
    </row>
    <row r="153">
      <c r="A153" s="22" t="n">
        <v>149</v>
      </c>
      <c r="B153" s="12" t="inlineStr">
        <is>
          <t>MORG</t>
        </is>
      </c>
      <c r="C153" s="23" t="n">
        <v>-0.43</v>
      </c>
      <c r="D153" s="23" t="n">
        <v>-1.07</v>
      </c>
      <c r="E153" s="23" t="n">
        <v>-1.81</v>
      </c>
      <c r="F153" s="22" t="n">
        <v>1</v>
      </c>
      <c r="G153" s="12" t="inlineStr">
        <is>
          <t>—</t>
        </is>
      </c>
    </row>
    <row r="154">
      <c r="A154" s="25" t="n">
        <v>150</v>
      </c>
      <c r="B154" s="17" t="inlineStr">
        <is>
          <t>NCAT</t>
        </is>
      </c>
      <c r="C154" s="26" t="n">
        <v>-0.43</v>
      </c>
      <c r="D154" s="26" t="n">
        <v>-0.9</v>
      </c>
      <c r="E154" s="26" t="n">
        <v>-1.29</v>
      </c>
      <c r="F154" s="25" t="n">
        <v>1</v>
      </c>
      <c r="G154" s="17" t="inlineStr">
        <is>
          <t>0-1</t>
        </is>
      </c>
    </row>
    <row r="155">
      <c r="A155" s="22" t="n">
        <v>151</v>
      </c>
      <c r="B155" s="12" t="inlineStr">
        <is>
          <t>NICH</t>
        </is>
      </c>
      <c r="C155" s="23" t="n">
        <v>-0.43</v>
      </c>
      <c r="D155" s="23" t="n">
        <v>-1.27</v>
      </c>
      <c r="E155" s="23" t="n">
        <v>-1.74</v>
      </c>
      <c r="F155" s="22" t="n">
        <v>1</v>
      </c>
      <c r="G155" s="12" t="inlineStr">
        <is>
          <t>0-1</t>
        </is>
      </c>
    </row>
    <row r="156">
      <c r="A156" s="25" t="n">
        <v>152</v>
      </c>
      <c r="B156" s="17" t="inlineStr">
        <is>
          <t>RGV</t>
        </is>
      </c>
      <c r="C156" s="26" t="n">
        <v>-0.43</v>
      </c>
      <c r="D156" s="26" t="n">
        <v>-0.51</v>
      </c>
      <c r="E156" s="26" t="n">
        <v>-0.43</v>
      </c>
      <c r="F156" s="25" t="n">
        <v>1</v>
      </c>
      <c r="G156" s="17" t="inlineStr">
        <is>
          <t>—</t>
        </is>
      </c>
    </row>
    <row r="157">
      <c r="A157" s="22" t="n">
        <v>153</v>
      </c>
      <c r="B157" s="12" t="inlineStr">
        <is>
          <t>SEMO</t>
        </is>
      </c>
      <c r="C157" s="23" t="n">
        <v>-0.43</v>
      </c>
      <c r="D157" s="23" t="n">
        <v>-0.83</v>
      </c>
      <c r="E157" s="23" t="n">
        <v>-0.16</v>
      </c>
      <c r="F157" s="22" t="n">
        <v>1</v>
      </c>
      <c r="G157" s="12" t="inlineStr">
        <is>
          <t>1-0</t>
        </is>
      </c>
    </row>
    <row r="158">
      <c r="A158" s="25" t="n">
        <v>154</v>
      </c>
      <c r="B158" s="17" t="inlineStr">
        <is>
          <t>UTU</t>
        </is>
      </c>
      <c r="C158" s="26" t="n">
        <v>-0.43</v>
      </c>
      <c r="D158" s="26" t="n">
        <v>-0.93</v>
      </c>
      <c r="E158" s="26" t="n">
        <v>-1.36</v>
      </c>
      <c r="F158" s="25" t="n">
        <v>1</v>
      </c>
      <c r="G158" s="17" t="inlineStr">
        <is>
          <t>—</t>
        </is>
      </c>
    </row>
    <row r="159">
      <c r="A159" s="22" t="n">
        <v>155</v>
      </c>
      <c r="B159" s="12" t="inlineStr">
        <is>
          <t>VMI</t>
        </is>
      </c>
      <c r="C159" s="23" t="n">
        <v>-0.43</v>
      </c>
      <c r="D159" s="23" t="n">
        <v>-1.23</v>
      </c>
      <c r="E159" s="23" t="n">
        <v>-1.92</v>
      </c>
      <c r="F159" s="22" t="n">
        <v>1</v>
      </c>
      <c r="G159" s="12" t="inlineStr">
        <is>
          <t>0-1</t>
        </is>
      </c>
    </row>
    <row r="160">
      <c r="A160" s="25" t="n">
        <v>156</v>
      </c>
      <c r="B160" s="17" t="inlineStr">
        <is>
          <t>DUQ</t>
        </is>
      </c>
      <c r="C160" s="26" t="n">
        <v>-0.44</v>
      </c>
      <c r="D160" s="26" t="n">
        <v>-1.44</v>
      </c>
      <c r="E160" s="26" t="n">
        <v>-0.07000000000000001</v>
      </c>
      <c r="F160" s="25" t="n">
        <v>1</v>
      </c>
      <c r="G160" s="17" t="inlineStr">
        <is>
          <t>0-1</t>
        </is>
      </c>
    </row>
    <row r="161">
      <c r="A161" s="22" t="n">
        <v>157</v>
      </c>
      <c r="B161" s="12" t="inlineStr">
        <is>
          <t>HAMP</t>
        </is>
      </c>
      <c r="C161" s="23" t="n">
        <v>-0.44</v>
      </c>
      <c r="D161" s="23" t="n">
        <v>-1.32</v>
      </c>
      <c r="E161" s="23" t="n">
        <v>-1.33</v>
      </c>
      <c r="F161" s="22" t="n">
        <v>1</v>
      </c>
      <c r="G161" s="12" t="inlineStr">
        <is>
          <t>—</t>
        </is>
      </c>
    </row>
    <row r="162">
      <c r="A162" s="25" t="n">
        <v>158</v>
      </c>
      <c r="B162" s="17" t="inlineStr">
        <is>
          <t>LAF</t>
        </is>
      </c>
      <c r="C162" s="26" t="n">
        <v>-0.44</v>
      </c>
      <c r="D162" s="26" t="n">
        <v>-1.09</v>
      </c>
      <c r="E162" s="26" t="n">
        <v>-1</v>
      </c>
      <c r="F162" s="25" t="n">
        <v>1</v>
      </c>
      <c r="G162" s="17" t="inlineStr">
        <is>
          <t>—</t>
        </is>
      </c>
    </row>
    <row r="163">
      <c r="A163" s="22" t="n">
        <v>159</v>
      </c>
      <c r="B163" s="12" t="inlineStr">
        <is>
          <t>ME</t>
        </is>
      </c>
      <c r="C163" s="23" t="n">
        <v>-0.44</v>
      </c>
      <c r="D163" s="23" t="n">
        <v>-1.26</v>
      </c>
      <c r="E163" s="23" t="n">
        <v>-0.98</v>
      </c>
      <c r="F163" s="22" t="n">
        <v>1</v>
      </c>
      <c r="G163" s="12" t="inlineStr">
        <is>
          <t>—</t>
        </is>
      </c>
    </row>
    <row r="164">
      <c r="A164" s="25" t="n">
        <v>160</v>
      </c>
      <c r="B164" s="17" t="inlineStr">
        <is>
          <t>NWST</t>
        </is>
      </c>
      <c r="C164" s="26" t="n">
        <v>-0.44</v>
      </c>
      <c r="D164" s="26" t="n">
        <v>-1.18</v>
      </c>
      <c r="E164" s="26" t="n">
        <v>-2.44</v>
      </c>
      <c r="F164" s="25" t="n">
        <v>1</v>
      </c>
      <c r="G164" s="17" t="inlineStr">
        <is>
          <t>0-1</t>
        </is>
      </c>
    </row>
    <row r="165">
      <c r="A165" s="22" t="n">
        <v>161</v>
      </c>
      <c r="B165" s="12" t="inlineStr">
        <is>
          <t>EKU</t>
        </is>
      </c>
      <c r="C165" s="23" t="n">
        <v>-0.45</v>
      </c>
      <c r="D165" s="23" t="n">
        <v>-1.05</v>
      </c>
      <c r="E165" s="23" t="n">
        <v>-0.77</v>
      </c>
      <c r="F165" s="22" t="n">
        <v>1</v>
      </c>
      <c r="G165" s="12" t="inlineStr">
        <is>
          <t>0-1</t>
        </is>
      </c>
    </row>
    <row r="166">
      <c r="A166" s="25" t="n">
        <v>162</v>
      </c>
      <c r="B166" s="17" t="inlineStr">
        <is>
          <t>KENT</t>
        </is>
      </c>
      <c r="C166" s="26" t="n">
        <v>-0.45</v>
      </c>
      <c r="D166" s="26" t="n">
        <v>-1.67</v>
      </c>
      <c r="E166" s="26" t="n">
        <v>-1.09</v>
      </c>
      <c r="F166" s="25" t="n">
        <v>1</v>
      </c>
      <c r="G166" s="17" t="inlineStr">
        <is>
          <t>—</t>
        </is>
      </c>
    </row>
    <row r="167">
      <c r="A167" s="22" t="n">
        <v>163</v>
      </c>
      <c r="B167" s="12" t="inlineStr">
        <is>
          <t>FAU</t>
        </is>
      </c>
      <c r="C167" s="23" t="n">
        <v>-0.46</v>
      </c>
      <c r="D167" s="23" t="n">
        <v>-0.33</v>
      </c>
      <c r="E167" s="23" t="n">
        <v>-1.81</v>
      </c>
      <c r="F167" s="22" t="n">
        <v>1</v>
      </c>
      <c r="G167" s="12" t="inlineStr">
        <is>
          <t>—</t>
        </is>
      </c>
    </row>
    <row r="168">
      <c r="A168" s="25" t="n">
        <v>164</v>
      </c>
      <c r="B168" s="17" t="inlineStr">
        <is>
          <t>NIU</t>
        </is>
      </c>
      <c r="C168" s="26" t="n">
        <v>-0.46</v>
      </c>
      <c r="D168" s="26" t="n">
        <v>-1.95</v>
      </c>
      <c r="E168" s="26" t="n">
        <v>0.13</v>
      </c>
      <c r="F168" s="25" t="n">
        <v>1</v>
      </c>
      <c r="G168" s="17" t="inlineStr">
        <is>
          <t>—</t>
        </is>
      </c>
    </row>
    <row r="169">
      <c r="A169" s="22" t="n">
        <v>165</v>
      </c>
      <c r="B169" s="12" t="inlineStr">
        <is>
          <t>PRST</t>
        </is>
      </c>
      <c r="C169" s="23" t="n">
        <v>-0.46</v>
      </c>
      <c r="D169" s="23" t="n">
        <v>-0.53</v>
      </c>
      <c r="E169" s="23" t="n">
        <v>-1.09</v>
      </c>
      <c r="F169" s="22" t="n">
        <v>1</v>
      </c>
      <c r="G169" s="12" t="inlineStr">
        <is>
          <t>—</t>
        </is>
      </c>
    </row>
    <row r="170">
      <c r="A170" s="25" t="n">
        <v>166</v>
      </c>
      <c r="B170" s="17" t="inlineStr">
        <is>
          <t>JMU</t>
        </is>
      </c>
      <c r="C170" s="26" t="n">
        <v>-0.47</v>
      </c>
      <c r="D170" s="26" t="n">
        <v>-0.17</v>
      </c>
      <c r="E170" s="26" t="n">
        <v>1.46</v>
      </c>
      <c r="F170" s="25" t="n">
        <v>1</v>
      </c>
      <c r="G170" s="17" t="inlineStr">
        <is>
          <t>—</t>
        </is>
      </c>
    </row>
    <row r="171">
      <c r="A171" s="22" t="n">
        <v>167</v>
      </c>
      <c r="B171" s="12" t="inlineStr">
        <is>
          <t>ORE</t>
        </is>
      </c>
      <c r="C171" s="23" t="n">
        <v>-0.47</v>
      </c>
      <c r="D171" s="23" t="n">
        <v>0.38</v>
      </c>
      <c r="E171" s="23" t="n">
        <v>0.93</v>
      </c>
      <c r="F171" s="22" t="n">
        <v>1</v>
      </c>
      <c r="G171" s="12" t="inlineStr">
        <is>
          <t>—</t>
        </is>
      </c>
    </row>
    <row r="172">
      <c r="A172" s="25" t="n">
        <v>168</v>
      </c>
      <c r="B172" s="17" t="inlineStr">
        <is>
          <t>UTEP</t>
        </is>
      </c>
      <c r="C172" s="26" t="n">
        <v>-0.47</v>
      </c>
      <c r="D172" s="26" t="n">
        <v>-1.58</v>
      </c>
      <c r="E172" s="26" t="n">
        <v>-0.78</v>
      </c>
      <c r="F172" s="25" t="n">
        <v>1</v>
      </c>
      <c r="G172" s="17" t="inlineStr">
        <is>
          <t>—</t>
        </is>
      </c>
    </row>
    <row r="173">
      <c r="A173" s="22" t="n">
        <v>169</v>
      </c>
      <c r="B173" s="12" t="inlineStr">
        <is>
          <t>BALL</t>
        </is>
      </c>
      <c r="C173" s="23" t="n">
        <v>-0.48</v>
      </c>
      <c r="D173" s="23" t="n">
        <v>-1.88</v>
      </c>
      <c r="E173" s="23" t="n">
        <v>-0.87</v>
      </c>
      <c r="F173" s="22" t="n">
        <v>1</v>
      </c>
      <c r="G173" s="12" t="inlineStr">
        <is>
          <t>—</t>
        </is>
      </c>
    </row>
    <row r="174">
      <c r="A174" s="25" t="n">
        <v>170</v>
      </c>
      <c r="B174" s="17" t="inlineStr">
        <is>
          <t>MSU</t>
        </is>
      </c>
      <c r="C174" s="26" t="n">
        <v>-0.48</v>
      </c>
      <c r="D174" s="26" t="n">
        <v>-0.62</v>
      </c>
      <c r="E174" s="26" t="n">
        <v>0.36</v>
      </c>
      <c r="F174" s="25" t="n">
        <v>1</v>
      </c>
      <c r="G174" s="17" t="inlineStr">
        <is>
          <t>—</t>
        </is>
      </c>
    </row>
    <row r="175">
      <c r="A175" s="22" t="n">
        <v>171</v>
      </c>
      <c r="B175" s="12" t="inlineStr">
        <is>
          <t>ULM</t>
        </is>
      </c>
      <c r="C175" s="23" t="n">
        <v>-0.49</v>
      </c>
      <c r="D175" s="23" t="n">
        <v>-1.44</v>
      </c>
      <c r="E175" s="23" t="n">
        <v>-1.24</v>
      </c>
      <c r="F175" s="22" t="n">
        <v>1</v>
      </c>
      <c r="G175" s="12" t="inlineStr">
        <is>
          <t>0-1</t>
        </is>
      </c>
    </row>
    <row r="176">
      <c r="A176" s="25" t="n">
        <v>172</v>
      </c>
      <c r="B176" s="17" t="inlineStr">
        <is>
          <t>WVU</t>
        </is>
      </c>
      <c r="C176" s="26" t="n">
        <v>-0.64</v>
      </c>
      <c r="D176" s="26" t="n">
        <v>-0.76</v>
      </c>
      <c r="E176" s="26" t="n">
        <v>0.07000000000000001</v>
      </c>
      <c r="F176" s="25" t="n">
        <v>1</v>
      </c>
      <c r="G176" s="17" t="inlineStr">
        <is>
          <t>—</t>
        </is>
      </c>
    </row>
    <row r="177">
      <c r="A177" s="22" t="n">
        <v>173</v>
      </c>
      <c r="B177" s="12" t="inlineStr">
        <is>
          <t>BUFF</t>
        </is>
      </c>
      <c r="C177" s="23" t="n">
        <v>-0.74</v>
      </c>
      <c r="D177" s="23" t="n">
        <v>-1.15</v>
      </c>
      <c r="E177" s="23" t="n">
        <v>0.74</v>
      </c>
      <c r="F177" s="22" t="n">
        <v>1</v>
      </c>
      <c r="G177" s="12" t="inlineStr">
        <is>
          <t>—</t>
        </is>
      </c>
    </row>
    <row r="178">
      <c r="A178" s="25" t="n">
        <v>174</v>
      </c>
      <c r="B178" s="17" t="inlineStr">
        <is>
          <t>TROY</t>
        </is>
      </c>
      <c r="C178" s="26" t="n">
        <v>-0.78</v>
      </c>
      <c r="D178" s="26" t="n">
        <v>-1.07</v>
      </c>
      <c r="E178" s="26" t="n">
        <v>0.8100000000000001</v>
      </c>
      <c r="F178" s="25" t="n">
        <v>1</v>
      </c>
      <c r="G178" s="17" t="inlineStr">
        <is>
          <t>0-1</t>
        </is>
      </c>
    </row>
    <row r="179">
      <c r="A179" s="22" t="n">
        <v>175</v>
      </c>
      <c r="B179" s="12" t="inlineStr">
        <is>
          <t>MICH</t>
        </is>
      </c>
      <c r="C179" s="23" t="n">
        <v>-0.84</v>
      </c>
      <c r="D179" s="23" t="n">
        <v>-1.17</v>
      </c>
      <c r="E179" s="23" t="n">
        <v>1.33</v>
      </c>
      <c r="F179" s="22" t="n">
        <v>1</v>
      </c>
      <c r="G179" s="12" t="inlineStr">
        <is>
          <t>0-1</t>
        </is>
      </c>
    </row>
    <row r="180">
      <c r="A180" s="25" t="n">
        <v>176</v>
      </c>
      <c r="B180" s="17" t="inlineStr">
        <is>
          <t>GT</t>
        </is>
      </c>
      <c r="C180" s="26" t="n">
        <v>-0.9399999999999999</v>
      </c>
      <c r="D180" s="26" t="n">
        <v>-1.04</v>
      </c>
      <c r="E180" s="26" t="n">
        <v>0.91</v>
      </c>
      <c r="F180" s="25" t="n">
        <v>1</v>
      </c>
      <c r="G180" s="17" t="inlineStr">
        <is>
          <t>—</t>
        </is>
      </c>
    </row>
    <row r="181">
      <c r="A181" s="22" t="n">
        <v>177</v>
      </c>
      <c r="B181" s="12" t="inlineStr">
        <is>
          <t>FSU</t>
        </is>
      </c>
      <c r="C181" s="23" t="n">
        <v>-1.09</v>
      </c>
      <c r="D181" s="23" t="n">
        <v>-0.57</v>
      </c>
      <c r="E181" s="23" t="n">
        <v>0.87</v>
      </c>
      <c r="F181" s="22" t="n">
        <v>2</v>
      </c>
      <c r="G181" s="12" t="inlineStr">
        <is>
          <t>0-1</t>
        </is>
      </c>
    </row>
    <row r="182">
      <c r="A182" s="25" t="n">
        <v>178</v>
      </c>
      <c r="B182" s="17" t="inlineStr">
        <is>
          <t>CLT</t>
        </is>
      </c>
      <c r="C182" s="26" t="n">
        <v>-1.16</v>
      </c>
      <c r="D182" s="26" t="n">
        <v>-0.8</v>
      </c>
      <c r="E182" s="26" t="n">
        <v>-1.12</v>
      </c>
      <c r="F182" s="25" t="n">
        <v>1</v>
      </c>
      <c r="G182" s="17" t="inlineStr">
        <is>
          <t>—</t>
        </is>
      </c>
    </row>
    <row r="183">
      <c r="A183" s="22" t="n">
        <v>179</v>
      </c>
      <c r="B183" s="12" t="inlineStr">
        <is>
          <t>BGSU</t>
        </is>
      </c>
      <c r="C183" s="23" t="n">
        <v>-1.28</v>
      </c>
      <c r="D183" s="23" t="n">
        <v>-1.66</v>
      </c>
      <c r="E183" s="23" t="n">
        <v>0.68</v>
      </c>
      <c r="F183" s="22" t="n">
        <v>1</v>
      </c>
      <c r="G183" s="12" t="inlineStr">
        <is>
          <t>—</t>
        </is>
      </c>
    </row>
    <row r="184">
      <c r="A184" s="25" t="n">
        <v>180</v>
      </c>
      <c r="B184" s="17" t="inlineStr">
        <is>
          <t>HAW</t>
        </is>
      </c>
      <c r="C184" s="26" t="n">
        <v>-1.29</v>
      </c>
      <c r="D184" s="26" t="n">
        <v>-1.48</v>
      </c>
      <c r="E184" s="26" t="n">
        <v>0.41</v>
      </c>
      <c r="F184" s="25" t="n">
        <v>2</v>
      </c>
      <c r="G184" s="17" t="inlineStr">
        <is>
          <t>0-1</t>
        </is>
      </c>
    </row>
    <row r="185">
      <c r="A185" s="22" t="n">
        <v>181</v>
      </c>
      <c r="B185" s="12" t="inlineStr">
        <is>
          <t>WIS</t>
        </is>
      </c>
      <c r="C185" s="23" t="n">
        <v>-1.38</v>
      </c>
      <c r="D185" s="23" t="n">
        <v>-1.68</v>
      </c>
      <c r="E185" s="23" t="n">
        <v>0.36</v>
      </c>
      <c r="F185" s="22" t="n">
        <v>1</v>
      </c>
      <c r="G185" s="12" t="inlineStr">
        <is>
          <t>—</t>
        </is>
      </c>
    </row>
    <row r="186">
      <c r="A186" s="25" t="n">
        <v>182</v>
      </c>
      <c r="B186" s="17" t="inlineStr">
        <is>
          <t>USU</t>
        </is>
      </c>
      <c r="C186" s="26" t="n">
        <v>-1.48</v>
      </c>
      <c r="D186" s="26" t="n">
        <v>-0.91</v>
      </c>
      <c r="E186" s="26" t="n">
        <v>0.01</v>
      </c>
      <c r="F186" s="25" t="n">
        <v>1</v>
      </c>
      <c r="G186" s="17" t="inlineStr">
        <is>
          <t>0-1</t>
        </is>
      </c>
    </row>
    <row r="187">
      <c r="A187" s="22" t="n">
        <v>183</v>
      </c>
      <c r="B187" s="12" t="inlineStr">
        <is>
          <t>EMU</t>
        </is>
      </c>
      <c r="C187" s="23" t="n">
        <v>-1.52</v>
      </c>
      <c r="D187" s="23" t="n">
        <v>-1.35</v>
      </c>
      <c r="E187" s="23" t="n">
        <v>0.48</v>
      </c>
      <c r="F187" s="22" t="n">
        <v>2</v>
      </c>
      <c r="G187" s="12" t="inlineStr">
        <is>
          <t>1-1</t>
        </is>
      </c>
    </row>
    <row r="188">
      <c r="A188" s="25" t="n">
        <v>184</v>
      </c>
      <c r="B188" s="17" t="inlineStr">
        <is>
          <t>RUTG</t>
        </is>
      </c>
      <c r="C188" s="26" t="n">
        <v>-1.69</v>
      </c>
      <c r="D188" s="26" t="n">
        <v>-0.9</v>
      </c>
      <c r="E188" s="26" t="n">
        <v>-0.66</v>
      </c>
      <c r="F188" s="25" t="n">
        <v>1</v>
      </c>
      <c r="G188" s="17" t="inlineStr">
        <is>
          <t>0-1</t>
        </is>
      </c>
    </row>
    <row r="189">
      <c r="A189" s="22" t="n">
        <v>185</v>
      </c>
      <c r="B189" s="12" t="inlineStr">
        <is>
          <t>CAL</t>
        </is>
      </c>
      <c r="C189" s="23" t="n">
        <v>-1.95</v>
      </c>
      <c r="D189" s="23" t="n">
        <v>-0.85</v>
      </c>
      <c r="E189" s="23" t="n">
        <v>-0.72</v>
      </c>
      <c r="F189" s="22" t="n">
        <v>1</v>
      </c>
      <c r="G189" s="12" t="inlineStr">
        <is>
          <t>—</t>
        </is>
      </c>
    </row>
    <row r="190">
      <c r="A190" s="25" t="n">
        <v>186</v>
      </c>
      <c r="B190" s="17" t="inlineStr">
        <is>
          <t>STAN</t>
        </is>
      </c>
      <c r="C190" s="26" t="n">
        <v>-2.68</v>
      </c>
      <c r="D190" s="26" t="n">
        <v>-1.84</v>
      </c>
      <c r="E190" s="26" t="n">
        <v>-0.83</v>
      </c>
      <c r="F190" s="25" t="n">
        <v>2</v>
      </c>
      <c r="G190" s="17" t="inlineStr">
        <is>
          <t>1-0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9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1" customWidth="1" min="1" max="1"/>
    <col width="5" customWidth="1" min="2" max="2"/>
    <col width="9" customWidth="1" min="3" max="3"/>
    <col width="9" customWidth="1" min="4" max="4"/>
    <col width="9" customWidth="1" min="5" max="5"/>
    <col width="9" customWidth="1" min="6" max="6"/>
    <col width="12" customWidth="1" min="7" max="7"/>
    <col width="8" customWidth="1" min="8" max="8"/>
    <col width="13" customWidth="1" min="9" max="9"/>
    <col width="8" customWidth="1" min="10" max="10"/>
    <col width="9" customWidth="1" min="11" max="11"/>
    <col width="9" customWidth="1" min="12" max="12"/>
    <col width="14" customWidth="1" min="13" max="13"/>
  </cols>
  <sheetData>
    <row r="1" ht="22" customHeight="1">
      <c r="A1" s="1" t="inlineStr">
        <is>
          <t>Games &amp; Results</t>
        </is>
      </c>
    </row>
    <row r="2" ht="26" customHeight="1">
      <c r="A2" s="2" t="inlineStr">
        <is>
          <t>Every FBS game pulled this season, in order, with the line as last seen — future weeks included. A blank odds cell means no book has posted that line yet; it is left blank on purpose rather than estimated, so nothing here is ever a guess.</t>
        </is>
      </c>
    </row>
    <row r="4">
      <c r="A4" s="11" t="inlineStr">
        <is>
          <t>Date</t>
        </is>
      </c>
      <c r="B4" s="11" t="inlineStr">
        <is>
          <t>Wk</t>
        </is>
      </c>
      <c r="C4" s="11" t="inlineStr">
        <is>
          <t>Away</t>
        </is>
      </c>
      <c r="D4" s="11" t="inlineStr">
        <is>
          <t>Home</t>
        </is>
      </c>
      <c r="E4" s="11" t="inlineStr">
        <is>
          <t>Away Pts</t>
        </is>
      </c>
      <c r="F4" s="11" t="inlineStr">
        <is>
          <t>Home Pts</t>
        </is>
      </c>
      <c r="G4" s="11" t="inlineStr">
        <is>
          <t>Status</t>
        </is>
      </c>
      <c r="H4" s="11" t="inlineStr">
        <is>
          <t>Neutral</t>
        </is>
      </c>
      <c r="I4" s="11" t="inlineStr">
        <is>
          <t>Spread (home)</t>
        </is>
      </c>
      <c r="J4" s="11" t="inlineStr">
        <is>
          <t>Total</t>
        </is>
      </c>
      <c r="K4" s="11" t="inlineStr">
        <is>
          <t>Away ML</t>
        </is>
      </c>
      <c r="L4" s="11" t="inlineStr">
        <is>
          <t>Home ML</t>
        </is>
      </c>
      <c r="M4" s="11" t="inlineStr">
        <is>
          <t>Book</t>
        </is>
      </c>
    </row>
    <row r="5">
      <c r="A5" s="12" t="inlineStr">
        <is>
          <t>2026-08-29</t>
        </is>
      </c>
      <c r="B5" s="22" t="n">
        <v>1</v>
      </c>
      <c r="C5" s="12" t="inlineStr">
        <is>
          <t>UNC</t>
        </is>
      </c>
      <c r="D5" s="12" t="inlineStr">
        <is>
          <t>TCU</t>
        </is>
      </c>
      <c r="E5" s="22" t="n">
        <v>15</v>
      </c>
      <c r="F5" s="22" t="n">
        <v>10</v>
      </c>
      <c r="G5" s="12" t="inlineStr">
        <is>
          <t>Final</t>
        </is>
      </c>
      <c r="H5" s="12" t="inlineStr">
        <is>
          <t>Y</t>
        </is>
      </c>
      <c r="I5" s="23" t="n"/>
      <c r="J5" s="29" t="n"/>
      <c r="K5" s="13" t="n"/>
      <c r="L5" s="13" t="n"/>
      <c r="M5" s="12" t="n"/>
    </row>
    <row r="6">
      <c r="A6" s="17" t="inlineStr">
        <is>
          <t>2026-08-29</t>
        </is>
      </c>
      <c r="B6" s="25" t="n">
        <v>1</v>
      </c>
      <c r="C6" s="17" t="inlineStr">
        <is>
          <t>SJSU</t>
        </is>
      </c>
      <c r="D6" s="17" t="inlineStr">
        <is>
          <t>USC</t>
        </is>
      </c>
      <c r="E6" s="25" t="n">
        <v>26</v>
      </c>
      <c r="F6" s="25" t="n">
        <v>42</v>
      </c>
      <c r="G6" s="17" t="inlineStr">
        <is>
          <t>Final</t>
        </is>
      </c>
      <c r="H6" s="17" t="inlineStr"/>
      <c r="I6" s="26" t="n"/>
      <c r="J6" s="30" t="n"/>
      <c r="K6" s="18" t="n"/>
      <c r="L6" s="18" t="n"/>
      <c r="M6" s="17" t="n"/>
    </row>
    <row r="7">
      <c r="A7" s="12" t="inlineStr">
        <is>
          <t>2026-08-29</t>
        </is>
      </c>
      <c r="B7" s="22" t="n">
        <v>1</v>
      </c>
      <c r="C7" s="12" t="inlineStr">
        <is>
          <t>NCSU</t>
        </is>
      </c>
      <c r="D7" s="12" t="inlineStr">
        <is>
          <t>UVA</t>
        </is>
      </c>
      <c r="E7" s="22" t="n">
        <v>8</v>
      </c>
      <c r="F7" s="22" t="n">
        <v>34</v>
      </c>
      <c r="G7" s="12" t="inlineStr">
        <is>
          <t>Final</t>
        </is>
      </c>
      <c r="H7" s="12" t="inlineStr"/>
      <c r="I7" s="23" t="n"/>
      <c r="J7" s="29" t="n"/>
      <c r="K7" s="13" t="n"/>
      <c r="L7" s="13" t="n"/>
      <c r="M7" s="12" t="n"/>
    </row>
    <row r="8">
      <c r="A8" s="17" t="inlineStr">
        <is>
          <t>2026-08-29</t>
        </is>
      </c>
      <c r="B8" s="25" t="n">
        <v>1</v>
      </c>
      <c r="C8" s="17" t="inlineStr">
        <is>
          <t>JVST</t>
        </is>
      </c>
      <c r="D8" s="17" t="inlineStr">
        <is>
          <t>NDSU</t>
        </is>
      </c>
      <c r="E8" s="25" t="n">
        <v>7</v>
      </c>
      <c r="F8" s="25" t="n">
        <v>33</v>
      </c>
      <c r="G8" s="17" t="inlineStr">
        <is>
          <t>Final</t>
        </is>
      </c>
      <c r="H8" s="17" t="inlineStr"/>
      <c r="I8" s="26" t="n">
        <v>-6.5</v>
      </c>
      <c r="J8" s="30" t="n">
        <v>46.5</v>
      </c>
      <c r="K8" s="18" t="n">
        <v>215</v>
      </c>
      <c r="L8" s="18" t="n">
        <v>-265</v>
      </c>
      <c r="M8" s="17" t="inlineStr">
        <is>
          <t>Draft Kings</t>
        </is>
      </c>
    </row>
    <row r="9">
      <c r="A9" s="12" t="inlineStr">
        <is>
          <t>2026-08-29</t>
        </is>
      </c>
      <c r="B9" s="22" t="n">
        <v>1</v>
      </c>
      <c r="C9" s="12" t="inlineStr">
        <is>
          <t>SAC</t>
        </is>
      </c>
      <c r="D9" s="12" t="inlineStr">
        <is>
          <t>EMU</t>
        </is>
      </c>
      <c r="E9" s="22" t="n">
        <v>17</v>
      </c>
      <c r="F9" s="22" t="n">
        <v>28</v>
      </c>
      <c r="G9" s="12" t="inlineStr">
        <is>
          <t>Final</t>
        </is>
      </c>
      <c r="H9" s="12" t="inlineStr"/>
      <c r="I9" s="23" t="n">
        <v>-8.5</v>
      </c>
      <c r="J9" s="29" t="n">
        <v>52.5</v>
      </c>
      <c r="K9" s="13" t="n">
        <v>280</v>
      </c>
      <c r="L9" s="13" t="n">
        <v>-355</v>
      </c>
      <c r="M9" s="12" t="inlineStr">
        <is>
          <t>Draft Kings</t>
        </is>
      </c>
    </row>
    <row r="10">
      <c r="A10" s="17" t="inlineStr">
        <is>
          <t>2026-08-29</t>
        </is>
      </c>
      <c r="B10" s="25" t="n">
        <v>1</v>
      </c>
      <c r="C10" s="17" t="inlineStr">
        <is>
          <t>HAW</t>
        </is>
      </c>
      <c r="D10" s="17" t="inlineStr">
        <is>
          <t>STAN</t>
        </is>
      </c>
      <c r="E10" s="25" t="n">
        <v>27</v>
      </c>
      <c r="F10" s="25" t="n">
        <v>37</v>
      </c>
      <c r="G10" s="17" t="inlineStr">
        <is>
          <t>Final</t>
        </is>
      </c>
      <c r="H10" s="17" t="inlineStr"/>
      <c r="I10" s="26" t="n">
        <v>-4.5</v>
      </c>
      <c r="J10" s="30" t="n">
        <v>48.5</v>
      </c>
      <c r="K10" s="18" t="n">
        <v>164</v>
      </c>
      <c r="L10" s="18" t="n">
        <v>-198</v>
      </c>
      <c r="M10" s="17" t="inlineStr">
        <is>
          <t>Draft Kings</t>
        </is>
      </c>
    </row>
    <row r="11">
      <c r="A11" s="12" t="inlineStr">
        <is>
          <t>2026-08-29</t>
        </is>
      </c>
      <c r="B11" s="22" t="n">
        <v>1</v>
      </c>
      <c r="C11" s="12" t="inlineStr">
        <is>
          <t>NMSU</t>
        </is>
      </c>
      <c r="D11" s="12" t="inlineStr">
        <is>
          <t>FSU</t>
        </is>
      </c>
      <c r="E11" s="22" t="n">
        <v>17</v>
      </c>
      <c r="F11" s="22" t="n">
        <v>34</v>
      </c>
      <c r="G11" s="12" t="inlineStr">
        <is>
          <t>Final</t>
        </is>
      </c>
      <c r="H11" s="12" t="inlineStr"/>
      <c r="I11" s="23" t="n">
        <v>-30.5</v>
      </c>
      <c r="J11" s="29" t="n">
        <v>53.5</v>
      </c>
      <c r="K11" s="13" t="n">
        <v>2000</v>
      </c>
      <c r="L11" s="13" t="n">
        <v>-6500</v>
      </c>
      <c r="M11" s="12" t="inlineStr">
        <is>
          <t>Draft Kings</t>
        </is>
      </c>
    </row>
    <row r="12">
      <c r="A12" s="17" t="inlineStr">
        <is>
          <t>2026-08-30</t>
        </is>
      </c>
      <c r="B12" s="25" t="n">
        <v>1</v>
      </c>
      <c r="C12" s="17" t="inlineStr">
        <is>
          <t>MEM</t>
        </is>
      </c>
      <c r="D12" s="17" t="inlineStr">
        <is>
          <t>UNLV</t>
        </is>
      </c>
      <c r="E12" s="25" t="n">
        <v>27</v>
      </c>
      <c r="F12" s="25" t="n">
        <v>21</v>
      </c>
      <c r="G12" s="17" t="inlineStr">
        <is>
          <t>Final</t>
        </is>
      </c>
      <c r="H12" s="17" t="inlineStr"/>
      <c r="I12" s="26" t="n"/>
      <c r="J12" s="30" t="n"/>
      <c r="K12" s="18" t="n"/>
      <c r="L12" s="18" t="n"/>
      <c r="M12" s="17" t="n"/>
    </row>
    <row r="13">
      <c r="A13" s="12" t="inlineStr">
        <is>
          <t>2026-09-03</t>
        </is>
      </c>
      <c r="B13" s="22" t="n">
        <v>1</v>
      </c>
      <c r="C13" s="12" t="inlineStr">
        <is>
          <t>MASS</t>
        </is>
      </c>
      <c r="D13" s="12" t="inlineStr">
        <is>
          <t>RUTG</t>
        </is>
      </c>
      <c r="E13" s="22" t="n">
        <v>37</v>
      </c>
      <c r="F13" s="22" t="n">
        <v>21</v>
      </c>
      <c r="G13" s="12" t="inlineStr">
        <is>
          <t>Final</t>
        </is>
      </c>
      <c r="H13" s="12" t="inlineStr"/>
      <c r="I13" s="23" t="n">
        <v>-29.5</v>
      </c>
      <c r="J13" s="29" t="n">
        <v>53.5</v>
      </c>
      <c r="K13" s="13" t="n">
        <v>2200</v>
      </c>
      <c r="L13" s="13" t="n">
        <v>-8000</v>
      </c>
      <c r="M13" s="12" t="inlineStr">
        <is>
          <t>DraftKings</t>
        </is>
      </c>
    </row>
    <row r="14">
      <c r="A14" s="17" t="inlineStr">
        <is>
          <t>2026-09-03</t>
        </is>
      </c>
      <c r="B14" s="25" t="n">
        <v>1</v>
      </c>
      <c r="C14" s="17" t="inlineStr">
        <is>
          <t>BCU</t>
        </is>
      </c>
      <c r="D14" s="17" t="inlineStr">
        <is>
          <t>UCF</t>
        </is>
      </c>
      <c r="E14" s="25" t="n">
        <v>6</v>
      </c>
      <c r="F14" s="25" t="n">
        <v>73</v>
      </c>
      <c r="G14" s="17" t="inlineStr">
        <is>
          <t>Final</t>
        </is>
      </c>
      <c r="H14" s="17" t="inlineStr"/>
      <c r="I14" s="26" t="n">
        <v>-42.5</v>
      </c>
      <c r="J14" s="30" t="n">
        <v>58.5</v>
      </c>
      <c r="K14" s="18" t="n"/>
      <c r="L14" s="18" t="n"/>
      <c r="M14" s="17" t="inlineStr">
        <is>
          <t>DraftKings</t>
        </is>
      </c>
    </row>
    <row r="15">
      <c r="A15" s="12" t="inlineStr">
        <is>
          <t>2026-09-03</t>
        </is>
      </c>
      <c r="B15" s="22" t="n">
        <v>1</v>
      </c>
      <c r="C15" s="12" t="inlineStr">
        <is>
          <t>AKR</t>
        </is>
      </c>
      <c r="D15" s="12" t="inlineStr">
        <is>
          <t>WAKE</t>
        </is>
      </c>
      <c r="E15" s="22" t="n">
        <v>16</v>
      </c>
      <c r="F15" s="22" t="n">
        <v>38</v>
      </c>
      <c r="G15" s="12" t="inlineStr">
        <is>
          <t>Final</t>
        </is>
      </c>
      <c r="H15" s="12" t="inlineStr"/>
      <c r="I15" s="23" t="n">
        <v>-27.5</v>
      </c>
      <c r="J15" s="29" t="n">
        <v>50.5</v>
      </c>
      <c r="K15" s="13" t="n">
        <v>1400</v>
      </c>
      <c r="L15" s="13" t="n">
        <v>-3200</v>
      </c>
      <c r="M15" s="12" t="inlineStr">
        <is>
          <t>DraftKings</t>
        </is>
      </c>
    </row>
    <row r="16">
      <c r="A16" s="17" t="inlineStr">
        <is>
          <t>2026-09-03</t>
        </is>
      </c>
      <c r="B16" s="25" t="n">
        <v>1</v>
      </c>
      <c r="C16" s="17" t="inlineStr">
        <is>
          <t>MRMK</t>
        </is>
      </c>
      <c r="D16" s="17" t="inlineStr">
        <is>
          <t>DEL</t>
        </is>
      </c>
      <c r="E16" s="25" t="n">
        <v>7</v>
      </c>
      <c r="F16" s="25" t="n">
        <v>42</v>
      </c>
      <c r="G16" s="17" t="inlineStr">
        <is>
          <t>Final</t>
        </is>
      </c>
      <c r="H16" s="17" t="inlineStr"/>
      <c r="I16" s="26" t="n">
        <v>-31.5</v>
      </c>
      <c r="J16" s="30" t="n">
        <v>56.5</v>
      </c>
      <c r="K16" s="18" t="n">
        <v>2200</v>
      </c>
      <c r="L16" s="18" t="n">
        <v>-8000</v>
      </c>
      <c r="M16" s="17" t="inlineStr">
        <is>
          <t>DraftKings</t>
        </is>
      </c>
    </row>
    <row r="17">
      <c r="A17" s="12" t="inlineStr">
        <is>
          <t>2026-09-03</t>
        </is>
      </c>
      <c r="B17" s="22" t="n">
        <v>1</v>
      </c>
      <c r="C17" s="12" t="inlineStr">
        <is>
          <t>WES</t>
        </is>
      </c>
      <c r="D17" s="12" t="inlineStr">
        <is>
          <t>KENN</t>
        </is>
      </c>
      <c r="E17" s="22" t="n">
        <v>0</v>
      </c>
      <c r="F17" s="22" t="n">
        <v>47</v>
      </c>
      <c r="G17" s="12" t="inlineStr">
        <is>
          <t>Final</t>
        </is>
      </c>
      <c r="H17" s="12" t="inlineStr"/>
      <c r="I17" s="23" t="n"/>
      <c r="J17" s="29" t="n"/>
      <c r="K17" s="13" t="n"/>
      <c r="L17" s="13" t="n"/>
      <c r="M17" s="12" t="n"/>
    </row>
    <row r="18">
      <c r="A18" s="17" t="inlineStr">
        <is>
          <t>2026-09-03</t>
        </is>
      </c>
      <c r="B18" s="25" t="n">
        <v>1</v>
      </c>
      <c r="C18" s="17" t="inlineStr">
        <is>
          <t>ALB</t>
        </is>
      </c>
      <c r="D18" s="17" t="inlineStr">
        <is>
          <t>BUFF</t>
        </is>
      </c>
      <c r="E18" s="25" t="n">
        <v>17</v>
      </c>
      <c r="F18" s="25" t="n">
        <v>21</v>
      </c>
      <c r="G18" s="17" t="inlineStr">
        <is>
          <t>Final</t>
        </is>
      </c>
      <c r="H18" s="17" t="inlineStr"/>
      <c r="I18" s="26" t="n"/>
      <c r="J18" s="30" t="n"/>
      <c r="K18" s="18" t="n"/>
      <c r="L18" s="18" t="n"/>
      <c r="M18" s="17" t="n"/>
    </row>
    <row r="19">
      <c r="A19" s="12" t="inlineStr">
        <is>
          <t>2026-09-04</t>
        </is>
      </c>
      <c r="B19" s="22" t="n">
        <v>1</v>
      </c>
      <c r="C19" s="12" t="inlineStr">
        <is>
          <t>UAPB</t>
        </is>
      </c>
      <c r="D19" s="12" t="inlineStr">
        <is>
          <t>MIZ</t>
        </is>
      </c>
      <c r="E19" s="22" t="n">
        <v>14</v>
      </c>
      <c r="F19" s="22" t="n">
        <v>54</v>
      </c>
      <c r="G19" s="12" t="inlineStr">
        <is>
          <t>Final</t>
        </is>
      </c>
      <c r="H19" s="12" t="inlineStr"/>
      <c r="I19" s="23" t="n"/>
      <c r="J19" s="29" t="n"/>
      <c r="K19" s="13" t="n"/>
      <c r="L19" s="13" t="n"/>
      <c r="M19" s="12" t="n"/>
    </row>
    <row r="20">
      <c r="A20" s="17" t="inlineStr">
        <is>
          <t>2026-09-04</t>
        </is>
      </c>
      <c r="B20" s="25" t="n">
        <v>1</v>
      </c>
      <c r="C20" s="17" t="inlineStr">
        <is>
          <t>COLO</t>
        </is>
      </c>
      <c r="D20" s="17" t="inlineStr">
        <is>
          <t>GT</t>
        </is>
      </c>
      <c r="E20" s="25" t="n">
        <v>14</v>
      </c>
      <c r="F20" s="25" t="n">
        <v>13</v>
      </c>
      <c r="G20" s="17" t="inlineStr">
        <is>
          <t>Final</t>
        </is>
      </c>
      <c r="H20" s="17" t="inlineStr"/>
      <c r="I20" s="26" t="n"/>
      <c r="J20" s="30" t="n"/>
      <c r="K20" s="18" t="n"/>
      <c r="L20" s="18" t="n"/>
      <c r="M20" s="17" t="n"/>
    </row>
    <row r="21">
      <c r="A21" s="12" t="inlineStr">
        <is>
          <t>2026-09-04</t>
        </is>
      </c>
      <c r="B21" s="22" t="n">
        <v>1</v>
      </c>
      <c r="C21" s="12" t="inlineStr">
        <is>
          <t>EIU</t>
        </is>
      </c>
      <c r="D21" s="12" t="inlineStr">
        <is>
          <t>MINN</t>
        </is>
      </c>
      <c r="E21" s="22" t="n">
        <v>7</v>
      </c>
      <c r="F21" s="22" t="n">
        <v>59</v>
      </c>
      <c r="G21" s="12" t="inlineStr">
        <is>
          <t>Final</t>
        </is>
      </c>
      <c r="H21" s="12" t="inlineStr"/>
      <c r="I21" s="23" t="n"/>
      <c r="J21" s="29" t="n"/>
      <c r="K21" s="13" t="n"/>
      <c r="L21" s="13" t="n"/>
      <c r="M21" s="12" t="n"/>
    </row>
    <row r="22">
      <c r="A22" s="17" t="inlineStr">
        <is>
          <t>2026-09-04</t>
        </is>
      </c>
      <c r="B22" s="25" t="n">
        <v>1</v>
      </c>
      <c r="C22" s="17" t="inlineStr">
        <is>
          <t>IDHO</t>
        </is>
      </c>
      <c r="D22" s="17" t="inlineStr">
        <is>
          <t>UTAH</t>
        </is>
      </c>
      <c r="E22" s="25" t="n">
        <v>14</v>
      </c>
      <c r="F22" s="25" t="n">
        <v>66</v>
      </c>
      <c r="G22" s="17" t="inlineStr">
        <is>
          <t>Final</t>
        </is>
      </c>
      <c r="H22" s="17" t="inlineStr"/>
      <c r="I22" s="26" t="n"/>
      <c r="J22" s="30" t="n"/>
      <c r="K22" s="18" t="n"/>
      <c r="L22" s="18" t="n"/>
      <c r="M22" s="17" t="n"/>
    </row>
    <row r="23">
      <c r="A23" s="12" t="inlineStr">
        <is>
          <t>2026-09-04</t>
        </is>
      </c>
      <c r="B23" s="22" t="n">
        <v>1</v>
      </c>
      <c r="C23" s="12" t="inlineStr">
        <is>
          <t>UAB</t>
        </is>
      </c>
      <c r="D23" s="12" t="inlineStr">
        <is>
          <t>ILL</t>
        </is>
      </c>
      <c r="E23" s="22" t="n">
        <v>23</v>
      </c>
      <c r="F23" s="22" t="n">
        <v>42</v>
      </c>
      <c r="G23" s="12" t="inlineStr">
        <is>
          <t>Final</t>
        </is>
      </c>
      <c r="H23" s="12" t="inlineStr"/>
      <c r="I23" s="23" t="n"/>
      <c r="J23" s="29" t="n"/>
      <c r="K23" s="13" t="n"/>
      <c r="L23" s="13" t="n"/>
      <c r="M23" s="12" t="n"/>
    </row>
    <row r="24">
      <c r="A24" s="17" t="inlineStr">
        <is>
          <t>2026-09-04</t>
        </is>
      </c>
      <c r="B24" s="25" t="n">
        <v>1</v>
      </c>
      <c r="C24" s="17" t="inlineStr">
        <is>
          <t>SJSU</t>
        </is>
      </c>
      <c r="D24" s="17" t="inlineStr">
        <is>
          <t>EMU</t>
        </is>
      </c>
      <c r="E24" s="25" t="n">
        <v>27</v>
      </c>
      <c r="F24" s="25" t="n">
        <v>21</v>
      </c>
      <c r="G24" s="17" t="inlineStr">
        <is>
          <t>Final</t>
        </is>
      </c>
      <c r="H24" s="17" t="inlineStr"/>
      <c r="I24" s="26" t="n">
        <v>-2.5</v>
      </c>
      <c r="J24" s="30" t="n">
        <v>54.5</v>
      </c>
      <c r="K24" s="18" t="n">
        <v>114</v>
      </c>
      <c r="L24" s="18" t="n">
        <v>-135</v>
      </c>
      <c r="M24" s="17" t="inlineStr">
        <is>
          <t>Draft Kings</t>
        </is>
      </c>
    </row>
    <row r="25">
      <c r="A25" s="12" t="inlineStr">
        <is>
          <t>2026-09-04</t>
        </is>
      </c>
      <c r="B25" s="22" t="n">
        <v>1</v>
      </c>
      <c r="C25" s="12" t="inlineStr">
        <is>
          <t>INST</t>
        </is>
      </c>
      <c r="D25" s="12" t="inlineStr">
        <is>
          <t>PUR</t>
        </is>
      </c>
      <c r="E25" s="22" t="n">
        <v>19</v>
      </c>
      <c r="F25" s="22" t="n">
        <v>44</v>
      </c>
      <c r="G25" s="12" t="inlineStr">
        <is>
          <t>Final</t>
        </is>
      </c>
      <c r="H25" s="12" t="inlineStr"/>
      <c r="I25" s="23" t="n">
        <v>-34.5</v>
      </c>
      <c r="J25" s="29" t="n">
        <v>55.5</v>
      </c>
      <c r="K25" s="13" t="n"/>
      <c r="L25" s="13" t="n"/>
      <c r="M25" s="12" t="inlineStr">
        <is>
          <t>Draft Kings</t>
        </is>
      </c>
    </row>
    <row r="26">
      <c r="A26" s="17" t="inlineStr">
        <is>
          <t>2026-09-04</t>
        </is>
      </c>
      <c r="B26" s="25" t="n">
        <v>1</v>
      </c>
      <c r="C26" s="17" t="inlineStr">
        <is>
          <t>NCAT</t>
        </is>
      </c>
      <c r="D26" s="17" t="inlineStr">
        <is>
          <t>GAST</t>
        </is>
      </c>
      <c r="E26" s="25" t="n">
        <v>10</v>
      </c>
      <c r="F26" s="25" t="n">
        <v>59</v>
      </c>
      <c r="G26" s="17" t="inlineStr">
        <is>
          <t>Final</t>
        </is>
      </c>
      <c r="H26" s="17" t="inlineStr"/>
      <c r="I26" s="26" t="n">
        <v>-28.5</v>
      </c>
      <c r="J26" s="30" t="n">
        <v>58.5</v>
      </c>
      <c r="K26" s="18" t="n">
        <v>1600</v>
      </c>
      <c r="L26" s="18" t="n">
        <v>-4000</v>
      </c>
      <c r="M26" s="17" t="inlineStr">
        <is>
          <t>Draft Kings</t>
        </is>
      </c>
    </row>
    <row r="27">
      <c r="A27" s="12" t="inlineStr">
        <is>
          <t>2026-09-05</t>
        </is>
      </c>
      <c r="B27" s="22" t="n">
        <v>1</v>
      </c>
      <c r="C27" s="12" t="inlineStr">
        <is>
          <t>UTEP</t>
        </is>
      </c>
      <c r="D27" s="12" t="inlineStr">
        <is>
          <t>OU</t>
        </is>
      </c>
      <c r="E27" s="22" t="n">
        <v>0</v>
      </c>
      <c r="F27" s="22" t="n">
        <v>51</v>
      </c>
      <c r="G27" s="12" t="inlineStr">
        <is>
          <t>Final</t>
        </is>
      </c>
      <c r="H27" s="12" t="inlineStr"/>
      <c r="I27" s="23" t="n"/>
      <c r="J27" s="29" t="n"/>
      <c r="K27" s="13" t="n"/>
      <c r="L27" s="13" t="n"/>
      <c r="M27" s="12" t="n"/>
    </row>
    <row r="28">
      <c r="A28" s="17" t="inlineStr">
        <is>
          <t>2026-09-05</t>
        </is>
      </c>
      <c r="B28" s="25" t="n">
        <v>1</v>
      </c>
      <c r="C28" s="17" t="inlineStr">
        <is>
          <t>LIU</t>
        </is>
      </c>
      <c r="D28" s="17" t="inlineStr">
        <is>
          <t>KU</t>
        </is>
      </c>
      <c r="E28" s="25" t="n">
        <v>6</v>
      </c>
      <c r="F28" s="25" t="n">
        <v>51</v>
      </c>
      <c r="G28" s="17" t="inlineStr">
        <is>
          <t>Final</t>
        </is>
      </c>
      <c r="H28" s="17" t="inlineStr"/>
      <c r="I28" s="26" t="n"/>
      <c r="J28" s="30" t="n"/>
      <c r="K28" s="18" t="n"/>
      <c r="L28" s="18" t="n"/>
      <c r="M28" s="17" t="n"/>
    </row>
    <row r="29">
      <c r="A29" s="12" t="inlineStr">
        <is>
          <t>2026-09-05</t>
        </is>
      </c>
      <c r="B29" s="22" t="n">
        <v>1</v>
      </c>
      <c r="C29" s="12" t="inlineStr">
        <is>
          <t>TOL</t>
        </is>
      </c>
      <c r="D29" s="12" t="inlineStr">
        <is>
          <t>MSU</t>
        </is>
      </c>
      <c r="E29" s="22" t="n">
        <v>20</v>
      </c>
      <c r="F29" s="22" t="n">
        <v>30</v>
      </c>
      <c r="G29" s="12" t="inlineStr">
        <is>
          <t>Final</t>
        </is>
      </c>
      <c r="H29" s="12" t="inlineStr"/>
      <c r="I29" s="23" t="n"/>
      <c r="J29" s="29" t="n"/>
      <c r="K29" s="13" t="n"/>
      <c r="L29" s="13" t="n"/>
      <c r="M29" s="12" t="n"/>
    </row>
    <row r="30">
      <c r="A30" s="17" t="inlineStr">
        <is>
          <t>2026-09-05</t>
        </is>
      </c>
      <c r="B30" s="25" t="n">
        <v>1</v>
      </c>
      <c r="C30" s="17" t="inlineStr">
        <is>
          <t>MIA</t>
        </is>
      </c>
      <c r="D30" s="17" t="inlineStr">
        <is>
          <t>STAN</t>
        </is>
      </c>
      <c r="E30" s="25" t="n">
        <v>45</v>
      </c>
      <c r="F30" s="25" t="n">
        <v>6</v>
      </c>
      <c r="G30" s="17" t="inlineStr">
        <is>
          <t>Final</t>
        </is>
      </c>
      <c r="H30" s="17" t="inlineStr"/>
      <c r="I30" s="26" t="n"/>
      <c r="J30" s="30" t="n"/>
      <c r="K30" s="18" t="n"/>
      <c r="L30" s="18" t="n"/>
      <c r="M30" s="17" t="n"/>
    </row>
    <row r="31">
      <c r="A31" s="12" t="inlineStr">
        <is>
          <t>2026-09-05</t>
        </is>
      </c>
      <c r="B31" s="22" t="n">
        <v>1</v>
      </c>
      <c r="C31" s="12" t="inlineStr">
        <is>
          <t>FRES</t>
        </is>
      </c>
      <c r="D31" s="12" t="inlineStr">
        <is>
          <t>USC</t>
        </is>
      </c>
      <c r="E31" s="22" t="n">
        <v>0</v>
      </c>
      <c r="F31" s="22" t="n">
        <v>39</v>
      </c>
      <c r="G31" s="12" t="inlineStr">
        <is>
          <t>Final</t>
        </is>
      </c>
      <c r="H31" s="12" t="inlineStr"/>
      <c r="I31" s="23" t="n"/>
      <c r="J31" s="29" t="n"/>
      <c r="K31" s="13" t="n"/>
      <c r="L31" s="13" t="n"/>
      <c r="M31" s="12" t="n"/>
    </row>
    <row r="32">
      <c r="A32" s="17" t="inlineStr">
        <is>
          <t>2026-09-05</t>
        </is>
      </c>
      <c r="B32" s="25" t="n">
        <v>1</v>
      </c>
      <c r="C32" s="17" t="inlineStr">
        <is>
          <t>ECU</t>
        </is>
      </c>
      <c r="D32" s="17" t="inlineStr">
        <is>
          <t>ALA</t>
        </is>
      </c>
      <c r="E32" s="25" t="n">
        <v>10</v>
      </c>
      <c r="F32" s="25" t="n">
        <v>48</v>
      </c>
      <c r="G32" s="17" t="inlineStr">
        <is>
          <t>Final</t>
        </is>
      </c>
      <c r="H32" s="17" t="inlineStr"/>
      <c r="I32" s="26" t="n"/>
      <c r="J32" s="30" t="n"/>
      <c r="K32" s="18" t="n"/>
      <c r="L32" s="18" t="n"/>
      <c r="M32" s="17" t="n"/>
    </row>
    <row r="33">
      <c r="A33" s="12" t="inlineStr">
        <is>
          <t>2026-09-05</t>
        </is>
      </c>
      <c r="B33" s="22" t="n">
        <v>1</v>
      </c>
      <c r="C33" s="12" t="inlineStr">
        <is>
          <t>ORST</t>
        </is>
      </c>
      <c r="D33" s="12" t="inlineStr">
        <is>
          <t>HOU</t>
        </is>
      </c>
      <c r="E33" s="22" t="n">
        <v>20</v>
      </c>
      <c r="F33" s="22" t="n">
        <v>33</v>
      </c>
      <c r="G33" s="12" t="inlineStr">
        <is>
          <t>Final</t>
        </is>
      </c>
      <c r="H33" s="12" t="inlineStr"/>
      <c r="I33" s="23" t="n"/>
      <c r="J33" s="29" t="n"/>
      <c r="K33" s="13" t="n"/>
      <c r="L33" s="13" t="n"/>
      <c r="M33" s="12" t="n"/>
    </row>
    <row r="34">
      <c r="A34" s="17" t="inlineStr">
        <is>
          <t>2026-09-05</t>
        </is>
      </c>
      <c r="B34" s="25" t="n">
        <v>1</v>
      </c>
      <c r="C34" s="17" t="inlineStr">
        <is>
          <t>CCU</t>
        </is>
      </c>
      <c r="D34" s="17" t="inlineStr">
        <is>
          <t>WVU</t>
        </is>
      </c>
      <c r="E34" s="25" t="n">
        <v>24</v>
      </c>
      <c r="F34" s="25" t="n">
        <v>31</v>
      </c>
      <c r="G34" s="17" t="inlineStr">
        <is>
          <t>Final</t>
        </is>
      </c>
      <c r="H34" s="17" t="inlineStr"/>
      <c r="I34" s="26" t="n"/>
      <c r="J34" s="30" t="n"/>
      <c r="K34" s="18" t="n"/>
      <c r="L34" s="18" t="n"/>
      <c r="M34" s="17" t="n"/>
    </row>
    <row r="35">
      <c r="A35" s="12" t="inlineStr">
        <is>
          <t>2026-09-05</t>
        </is>
      </c>
      <c r="B35" s="22" t="n">
        <v>1</v>
      </c>
      <c r="C35" s="12" t="inlineStr">
        <is>
          <t>UNH</t>
        </is>
      </c>
      <c r="D35" s="12" t="inlineStr">
        <is>
          <t>SYR</t>
        </is>
      </c>
      <c r="E35" s="22" t="n">
        <v>3</v>
      </c>
      <c r="F35" s="22" t="n">
        <v>66</v>
      </c>
      <c r="G35" s="12" t="inlineStr">
        <is>
          <t>Final</t>
        </is>
      </c>
      <c r="H35" s="12" t="inlineStr"/>
      <c r="I35" s="23" t="n"/>
      <c r="J35" s="29" t="n"/>
      <c r="K35" s="13" t="n"/>
      <c r="L35" s="13" t="n"/>
      <c r="M35" s="12" t="n"/>
    </row>
    <row r="36">
      <c r="A36" s="17" t="inlineStr">
        <is>
          <t>2026-09-05</t>
        </is>
      </c>
      <c r="B36" s="25" t="n">
        <v>1</v>
      </c>
      <c r="C36" s="17" t="inlineStr">
        <is>
          <t>UNT</t>
        </is>
      </c>
      <c r="D36" s="17" t="inlineStr">
        <is>
          <t>IU</t>
        </is>
      </c>
      <c r="E36" s="25" t="n">
        <v>16</v>
      </c>
      <c r="F36" s="25" t="n">
        <v>52</v>
      </c>
      <c r="G36" s="17" t="inlineStr">
        <is>
          <t>Final</t>
        </is>
      </c>
      <c r="H36" s="17" t="inlineStr"/>
      <c r="I36" s="26" t="n"/>
      <c r="J36" s="30" t="n"/>
      <c r="K36" s="18" t="n"/>
      <c r="L36" s="18" t="n"/>
      <c r="M36" s="17" t="n"/>
    </row>
    <row r="37">
      <c r="A37" s="12" t="inlineStr">
        <is>
          <t>2026-09-05</t>
        </is>
      </c>
      <c r="B37" s="22" t="n">
        <v>1</v>
      </c>
      <c r="C37" s="12" t="inlineStr">
        <is>
          <t>OHIO</t>
        </is>
      </c>
      <c r="D37" s="12" t="inlineStr">
        <is>
          <t>NEB</t>
        </is>
      </c>
      <c r="E37" s="22" t="n">
        <v>21</v>
      </c>
      <c r="F37" s="22" t="n">
        <v>49</v>
      </c>
      <c r="G37" s="12" t="inlineStr">
        <is>
          <t>Final</t>
        </is>
      </c>
      <c r="H37" s="12" t="inlineStr"/>
      <c r="I37" s="23" t="n"/>
      <c r="J37" s="29" t="n"/>
      <c r="K37" s="13" t="n"/>
      <c r="L37" s="13" t="n"/>
      <c r="M37" s="12" t="n"/>
    </row>
    <row r="38">
      <c r="A38" s="17" t="inlineStr">
        <is>
          <t>2026-09-05</t>
        </is>
      </c>
      <c r="B38" s="25" t="n">
        <v>1</v>
      </c>
      <c r="C38" s="17" t="inlineStr">
        <is>
          <t>LAF</t>
        </is>
      </c>
      <c r="D38" s="17" t="inlineStr">
        <is>
          <t>CONN</t>
        </is>
      </c>
      <c r="E38" s="25" t="n">
        <v>7</v>
      </c>
      <c r="F38" s="25" t="n">
        <v>56</v>
      </c>
      <c r="G38" s="17" t="inlineStr">
        <is>
          <t>Final</t>
        </is>
      </c>
      <c r="H38" s="17" t="inlineStr"/>
      <c r="I38" s="26" t="n"/>
      <c r="J38" s="30" t="n"/>
      <c r="K38" s="18" t="n"/>
      <c r="L38" s="18" t="n"/>
      <c r="M38" s="17" t="n"/>
    </row>
    <row r="39">
      <c r="A39" s="12" t="inlineStr">
        <is>
          <t>2026-09-05</t>
        </is>
      </c>
      <c r="B39" s="22" t="n">
        <v>1</v>
      </c>
      <c r="C39" s="12" t="inlineStr">
        <is>
          <t>BRY</t>
        </is>
      </c>
      <c r="D39" s="12" t="inlineStr">
        <is>
          <t>ARMY</t>
        </is>
      </c>
      <c r="E39" s="22" t="n">
        <v>3</v>
      </c>
      <c r="F39" s="22" t="n">
        <v>59</v>
      </c>
      <c r="G39" s="12" t="inlineStr">
        <is>
          <t>Final</t>
        </is>
      </c>
      <c r="H39" s="12" t="inlineStr"/>
      <c r="I39" s="23" t="n"/>
      <c r="J39" s="29" t="n"/>
      <c r="K39" s="13" t="n"/>
      <c r="L39" s="13" t="n"/>
      <c r="M39" s="12" t="n"/>
    </row>
    <row r="40">
      <c r="A40" s="17" t="inlineStr">
        <is>
          <t>2026-09-05</t>
        </is>
      </c>
      <c r="B40" s="25" t="n">
        <v>1</v>
      </c>
      <c r="C40" s="17" t="inlineStr">
        <is>
          <t>TAR</t>
        </is>
      </c>
      <c r="D40" s="17" t="inlineStr">
        <is>
          <t>BGSU</t>
        </is>
      </c>
      <c r="E40" s="25" t="n">
        <v>20</v>
      </c>
      <c r="F40" s="25" t="n">
        <v>13</v>
      </c>
      <c r="G40" s="17" t="inlineStr">
        <is>
          <t>Final</t>
        </is>
      </c>
      <c r="H40" s="17" t="inlineStr"/>
      <c r="I40" s="26" t="n"/>
      <c r="J40" s="30" t="n"/>
      <c r="K40" s="18" t="n"/>
      <c r="L40" s="18" t="n"/>
      <c r="M40" s="17" t="n"/>
    </row>
    <row r="41">
      <c r="A41" s="12" t="inlineStr">
        <is>
          <t>2026-09-05</t>
        </is>
      </c>
      <c r="B41" s="22" t="n">
        <v>1</v>
      </c>
      <c r="C41" s="12" t="inlineStr">
        <is>
          <t>LIB</t>
        </is>
      </c>
      <c r="D41" s="12" t="inlineStr">
        <is>
          <t>JMU</t>
        </is>
      </c>
      <c r="E41" s="22" t="n">
        <v>13</v>
      </c>
      <c r="F41" s="22" t="n">
        <v>20</v>
      </c>
      <c r="G41" s="12" t="inlineStr">
        <is>
          <t>Final</t>
        </is>
      </c>
      <c r="H41" s="12" t="inlineStr"/>
      <c r="I41" s="23" t="n"/>
      <c r="J41" s="29" t="n"/>
      <c r="K41" s="13" t="n"/>
      <c r="L41" s="13" t="n"/>
      <c r="M41" s="12" t="n"/>
    </row>
    <row r="42">
      <c r="A42" s="17" t="inlineStr">
        <is>
          <t>2026-09-05</t>
        </is>
      </c>
      <c r="B42" s="25" t="n">
        <v>1</v>
      </c>
      <c r="C42" s="17" t="inlineStr">
        <is>
          <t>M-OH</t>
        </is>
      </c>
      <c r="D42" s="17" t="inlineStr">
        <is>
          <t>PITT</t>
        </is>
      </c>
      <c r="E42" s="25" t="n">
        <v>14</v>
      </c>
      <c r="F42" s="25" t="n">
        <v>59</v>
      </c>
      <c r="G42" s="17" t="inlineStr">
        <is>
          <t>Final</t>
        </is>
      </c>
      <c r="H42" s="17" t="inlineStr"/>
      <c r="I42" s="26" t="n"/>
      <c r="J42" s="30" t="n"/>
      <c r="K42" s="18" t="n"/>
      <c r="L42" s="18" t="n"/>
      <c r="M42" s="17" t="n"/>
    </row>
    <row r="43">
      <c r="A43" s="12" t="inlineStr">
        <is>
          <t>2026-09-05</t>
        </is>
      </c>
      <c r="B43" s="22" t="n">
        <v>1</v>
      </c>
      <c r="C43" s="12" t="inlineStr">
        <is>
          <t>BALL</t>
        </is>
      </c>
      <c r="D43" s="12" t="inlineStr">
        <is>
          <t>OSU</t>
        </is>
      </c>
      <c r="E43" s="22" t="n">
        <v>3</v>
      </c>
      <c r="F43" s="22" t="n">
        <v>56</v>
      </c>
      <c r="G43" s="12" t="inlineStr">
        <is>
          <t>Final</t>
        </is>
      </c>
      <c r="H43" s="12" t="inlineStr"/>
      <c r="I43" s="23" t="n"/>
      <c r="J43" s="29" t="n"/>
      <c r="K43" s="13" t="n"/>
      <c r="L43" s="13" t="n"/>
      <c r="M43" s="12" t="n"/>
    </row>
    <row r="44">
      <c r="A44" s="17" t="inlineStr">
        <is>
          <t>2026-09-05</t>
        </is>
      </c>
      <c r="B44" s="25" t="n">
        <v>1</v>
      </c>
      <c r="C44" s="17" t="inlineStr">
        <is>
          <t>KENT</t>
        </is>
      </c>
      <c r="D44" s="17" t="inlineStr">
        <is>
          <t>SC</t>
        </is>
      </c>
      <c r="E44" s="25" t="n">
        <v>0</v>
      </c>
      <c r="F44" s="25" t="n">
        <v>57</v>
      </c>
      <c r="G44" s="17" t="inlineStr">
        <is>
          <t>Final</t>
        </is>
      </c>
      <c r="H44" s="17" t="inlineStr"/>
      <c r="I44" s="26" t="n"/>
      <c r="J44" s="30" t="n"/>
      <c r="K44" s="18" t="n"/>
      <c r="L44" s="18" t="n"/>
      <c r="M44" s="17" t="n"/>
    </row>
    <row r="45">
      <c r="A45" s="12" t="inlineStr">
        <is>
          <t>2026-09-05</t>
        </is>
      </c>
      <c r="B45" s="22" t="n">
        <v>1</v>
      </c>
      <c r="C45" s="12" t="inlineStr">
        <is>
          <t>YSU</t>
        </is>
      </c>
      <c r="D45" s="12" t="inlineStr">
        <is>
          <t>UK</t>
        </is>
      </c>
      <c r="E45" s="22" t="n">
        <v>13</v>
      </c>
      <c r="F45" s="22" t="n">
        <v>45</v>
      </c>
      <c r="G45" s="12" t="inlineStr">
        <is>
          <t>Final</t>
        </is>
      </c>
      <c r="H45" s="12" t="inlineStr"/>
      <c r="I45" s="23" t="n"/>
      <c r="J45" s="29" t="n"/>
      <c r="K45" s="13" t="n"/>
      <c r="L45" s="13" t="n"/>
      <c r="M45" s="12" t="n"/>
    </row>
    <row r="46">
      <c r="A46" s="17" t="inlineStr">
        <is>
          <t>2026-09-05</t>
        </is>
      </c>
      <c r="B46" s="25" t="n">
        <v>1</v>
      </c>
      <c r="C46" s="17" t="inlineStr">
        <is>
          <t>SEMO</t>
        </is>
      </c>
      <c r="D46" s="17" t="inlineStr">
        <is>
          <t>ISU</t>
        </is>
      </c>
      <c r="E46" s="25" t="n">
        <v>10</v>
      </c>
      <c r="F46" s="25" t="n">
        <v>38</v>
      </c>
      <c r="G46" s="17" t="inlineStr">
        <is>
          <t>Final</t>
        </is>
      </c>
      <c r="H46" s="17" t="inlineStr"/>
      <c r="I46" s="26" t="n">
        <v>-29.5</v>
      </c>
      <c r="J46" s="30" t="n">
        <v>52.5</v>
      </c>
      <c r="K46" s="18" t="n">
        <v>2500</v>
      </c>
      <c r="L46" s="18" t="n">
        <v>-9000</v>
      </c>
      <c r="M46" s="17" t="inlineStr">
        <is>
          <t>DraftKings</t>
        </is>
      </c>
    </row>
    <row r="47">
      <c r="A47" s="12" t="inlineStr">
        <is>
          <t>2026-09-05</t>
        </is>
      </c>
      <c r="B47" s="22" t="n">
        <v>1</v>
      </c>
      <c r="C47" s="12" t="inlineStr">
        <is>
          <t>DUQ</t>
        </is>
      </c>
      <c r="D47" s="12" t="inlineStr">
        <is>
          <t>AFA</t>
        </is>
      </c>
      <c r="E47" s="22" t="n">
        <v>0</v>
      </c>
      <c r="F47" s="22" t="n">
        <v>34</v>
      </c>
      <c r="G47" s="12" t="inlineStr">
        <is>
          <t>Final</t>
        </is>
      </c>
      <c r="H47" s="12" t="inlineStr"/>
      <c r="I47" s="23" t="n">
        <v>-31.5</v>
      </c>
      <c r="J47" s="29" t="n">
        <v>55.5</v>
      </c>
      <c r="K47" s="13" t="n">
        <v>2000</v>
      </c>
      <c r="L47" s="13" t="n">
        <v>-6500</v>
      </c>
      <c r="M47" s="12" t="inlineStr">
        <is>
          <t>DraftKings</t>
        </is>
      </c>
    </row>
    <row r="48">
      <c r="A48" s="17" t="inlineStr">
        <is>
          <t>2026-09-05</t>
        </is>
      </c>
      <c r="B48" s="25" t="n">
        <v>1</v>
      </c>
      <c r="C48" s="17" t="inlineStr">
        <is>
          <t>URI</t>
        </is>
      </c>
      <c r="D48" s="17" t="inlineStr">
        <is>
          <t>TEM</t>
        </is>
      </c>
      <c r="E48" s="25" t="n">
        <v>14</v>
      </c>
      <c r="F48" s="25" t="n">
        <v>38</v>
      </c>
      <c r="G48" s="17" t="inlineStr">
        <is>
          <t>Final</t>
        </is>
      </c>
      <c r="H48" s="17" t="inlineStr"/>
      <c r="I48" s="26" t="n"/>
      <c r="J48" s="30" t="n"/>
      <c r="K48" s="18" t="n"/>
      <c r="L48" s="18" t="n"/>
      <c r="M48" s="17" t="n"/>
    </row>
    <row r="49">
      <c r="A49" s="12" t="inlineStr">
        <is>
          <t>2026-09-05</t>
        </is>
      </c>
      <c r="B49" s="22" t="n">
        <v>1</v>
      </c>
      <c r="C49" s="12" t="inlineStr">
        <is>
          <t>TNST</t>
        </is>
      </c>
      <c r="D49" s="12" t="inlineStr">
        <is>
          <t>UGA</t>
        </is>
      </c>
      <c r="E49" s="22" t="n">
        <v>3</v>
      </c>
      <c r="F49" s="22" t="n">
        <v>63</v>
      </c>
      <c r="G49" s="12" t="inlineStr">
        <is>
          <t>Final</t>
        </is>
      </c>
      <c r="H49" s="12" t="inlineStr"/>
      <c r="I49" s="23" t="n"/>
      <c r="J49" s="29" t="n"/>
      <c r="K49" s="13" t="n"/>
      <c r="L49" s="13" t="n"/>
      <c r="M49" s="12" t="n"/>
    </row>
    <row r="50">
      <c r="A50" s="17" t="inlineStr">
        <is>
          <t>2026-09-05</t>
        </is>
      </c>
      <c r="B50" s="25" t="n">
        <v>1</v>
      </c>
      <c r="C50" s="17" t="inlineStr">
        <is>
          <t>BAY</t>
        </is>
      </c>
      <c r="D50" s="17" t="inlineStr">
        <is>
          <t>AUB</t>
        </is>
      </c>
      <c r="E50" s="25" t="n">
        <v>16</v>
      </c>
      <c r="F50" s="25" t="n">
        <v>17</v>
      </c>
      <c r="G50" s="17" t="inlineStr">
        <is>
          <t>Final</t>
        </is>
      </c>
      <c r="H50" s="17" t="inlineStr">
        <is>
          <t>Y</t>
        </is>
      </c>
      <c r="I50" s="26" t="n"/>
      <c r="J50" s="30" t="n"/>
      <c r="K50" s="18" t="n"/>
      <c r="L50" s="18" t="n"/>
      <c r="M50" s="17" t="n"/>
    </row>
    <row r="51">
      <c r="A51" s="12" t="inlineStr">
        <is>
          <t>2026-09-05</t>
        </is>
      </c>
      <c r="B51" s="22" t="n">
        <v>1</v>
      </c>
      <c r="C51" s="12" t="inlineStr">
        <is>
          <t>FUR</t>
        </is>
      </c>
      <c r="D51" s="12" t="inlineStr">
        <is>
          <t>TENN</t>
        </is>
      </c>
      <c r="E51" s="22" t="n">
        <v>9</v>
      </c>
      <c r="F51" s="22" t="n">
        <v>56</v>
      </c>
      <c r="G51" s="12" t="inlineStr">
        <is>
          <t>Final</t>
        </is>
      </c>
      <c r="H51" s="12" t="inlineStr"/>
      <c r="I51" s="23" t="n"/>
      <c r="J51" s="29" t="n"/>
      <c r="K51" s="13" t="n"/>
      <c r="L51" s="13" t="n"/>
      <c r="M51" s="12" t="n"/>
    </row>
    <row r="52">
      <c r="A52" s="17" t="inlineStr">
        <is>
          <t>2026-09-05</t>
        </is>
      </c>
      <c r="B52" s="25" t="n">
        <v>1</v>
      </c>
      <c r="C52" s="17" t="inlineStr">
        <is>
          <t>TXST</t>
        </is>
      </c>
      <c r="D52" s="17" t="inlineStr">
        <is>
          <t>TEX</t>
        </is>
      </c>
      <c r="E52" s="25" t="n">
        <v>7</v>
      </c>
      <c r="F52" s="25" t="n">
        <v>59</v>
      </c>
      <c r="G52" s="17" t="inlineStr">
        <is>
          <t>Final</t>
        </is>
      </c>
      <c r="H52" s="17" t="inlineStr"/>
      <c r="I52" s="26" t="n"/>
      <c r="J52" s="30" t="n"/>
      <c r="K52" s="18" t="n"/>
      <c r="L52" s="18" t="n"/>
      <c r="M52" s="17" t="n"/>
    </row>
    <row r="53">
      <c r="A53" s="12" t="inlineStr">
        <is>
          <t>2026-09-05</t>
        </is>
      </c>
      <c r="B53" s="22" t="n">
        <v>1</v>
      </c>
      <c r="C53" s="12" t="inlineStr">
        <is>
          <t>BC</t>
        </is>
      </c>
      <c r="D53" s="12" t="inlineStr">
        <is>
          <t>CIN</t>
        </is>
      </c>
      <c r="E53" s="22" t="n">
        <v>15</v>
      </c>
      <c r="F53" s="22" t="n">
        <v>34</v>
      </c>
      <c r="G53" s="12" t="inlineStr">
        <is>
          <t>Final</t>
        </is>
      </c>
      <c r="H53" s="12" t="inlineStr"/>
      <c r="I53" s="23" t="n"/>
      <c r="J53" s="29" t="n"/>
      <c r="K53" s="13" t="n"/>
      <c r="L53" s="13" t="n"/>
      <c r="M53" s="12" t="n"/>
    </row>
    <row r="54">
      <c r="A54" s="17" t="inlineStr">
        <is>
          <t>2026-09-05</t>
        </is>
      </c>
      <c r="B54" s="25" t="n">
        <v>1</v>
      </c>
      <c r="C54" s="17" t="inlineStr">
        <is>
          <t>TULN</t>
        </is>
      </c>
      <c r="D54" s="17" t="inlineStr">
        <is>
          <t>DUKE</t>
        </is>
      </c>
      <c r="E54" s="25" t="n">
        <v>3</v>
      </c>
      <c r="F54" s="25" t="n">
        <v>17</v>
      </c>
      <c r="G54" s="17" t="inlineStr">
        <is>
          <t>Final</t>
        </is>
      </c>
      <c r="H54" s="17" t="inlineStr"/>
      <c r="I54" s="26" t="n"/>
      <c r="J54" s="30" t="n"/>
      <c r="K54" s="18" t="n"/>
      <c r="L54" s="18" t="n"/>
      <c r="M54" s="17" t="n"/>
    </row>
    <row r="55">
      <c r="A55" s="12" t="inlineStr">
        <is>
          <t>2026-09-05</t>
        </is>
      </c>
      <c r="B55" s="22" t="n">
        <v>1</v>
      </c>
      <c r="C55" s="12" t="inlineStr">
        <is>
          <t>BOIS</t>
        </is>
      </c>
      <c r="D55" s="12" t="inlineStr">
        <is>
          <t>ORE</t>
        </is>
      </c>
      <c r="E55" s="22" t="n">
        <v>27</v>
      </c>
      <c r="F55" s="22" t="n">
        <v>34</v>
      </c>
      <c r="G55" s="12" t="inlineStr">
        <is>
          <t>Final</t>
        </is>
      </c>
      <c r="H55" s="12" t="inlineStr"/>
      <c r="I55" s="23" t="n"/>
      <c r="J55" s="29" t="n"/>
      <c r="K55" s="13" t="n"/>
      <c r="L55" s="13" t="n"/>
      <c r="M55" s="12" t="n"/>
    </row>
    <row r="56">
      <c r="A56" s="17" t="inlineStr">
        <is>
          <t>2026-09-05</t>
        </is>
      </c>
      <c r="B56" s="25" t="n">
        <v>1</v>
      </c>
      <c r="C56" s="17" t="inlineStr">
        <is>
          <t>MRSH</t>
        </is>
      </c>
      <c r="D56" s="17" t="inlineStr">
        <is>
          <t>PSU</t>
        </is>
      </c>
      <c r="E56" s="25" t="n">
        <v>0</v>
      </c>
      <c r="F56" s="25" t="n">
        <v>45</v>
      </c>
      <c r="G56" s="17" t="inlineStr">
        <is>
          <t>Final</t>
        </is>
      </c>
      <c r="H56" s="17" t="inlineStr"/>
      <c r="I56" s="26" t="n"/>
      <c r="J56" s="30" t="n"/>
      <c r="K56" s="18" t="n"/>
      <c r="L56" s="18" t="n"/>
      <c r="M56" s="17" t="n"/>
    </row>
    <row r="57">
      <c r="A57" s="12" t="inlineStr">
        <is>
          <t>2026-09-05</t>
        </is>
      </c>
      <c r="B57" s="22" t="n">
        <v>1</v>
      </c>
      <c r="C57" s="12" t="inlineStr">
        <is>
          <t>CIT</t>
        </is>
      </c>
      <c r="D57" s="12" t="inlineStr">
        <is>
          <t>CLT</t>
        </is>
      </c>
      <c r="E57" s="22" t="n">
        <v>43</v>
      </c>
      <c r="F57" s="22" t="n">
        <v>41</v>
      </c>
      <c r="G57" s="12" t="inlineStr">
        <is>
          <t>Final</t>
        </is>
      </c>
      <c r="H57" s="12" t="inlineStr"/>
      <c r="I57" s="23" t="n"/>
      <c r="J57" s="29" t="n"/>
      <c r="K57" s="13" t="n"/>
      <c r="L57" s="13" t="n"/>
      <c r="M57" s="12" t="n"/>
    </row>
    <row r="58">
      <c r="A58" s="17" t="inlineStr">
        <is>
          <t>2026-09-05</t>
        </is>
      </c>
      <c r="B58" s="25" t="n">
        <v>1</v>
      </c>
      <c r="C58" s="17" t="inlineStr">
        <is>
          <t>TOW</t>
        </is>
      </c>
      <c r="D58" s="17" t="inlineStr">
        <is>
          <t>NAVY</t>
        </is>
      </c>
      <c r="E58" s="25" t="n">
        <v>15</v>
      </c>
      <c r="F58" s="25" t="n">
        <v>42</v>
      </c>
      <c r="G58" s="17" t="inlineStr">
        <is>
          <t>Final</t>
        </is>
      </c>
      <c r="H58" s="17" t="inlineStr"/>
      <c r="I58" s="26" t="n"/>
      <c r="J58" s="30" t="n"/>
      <c r="K58" s="18" t="n"/>
      <c r="L58" s="18" t="n"/>
      <c r="M58" s="17" t="n"/>
    </row>
    <row r="59">
      <c r="A59" s="12" t="inlineStr">
        <is>
          <t>2026-09-05</t>
        </is>
      </c>
      <c r="B59" s="22" t="n">
        <v>1</v>
      </c>
      <c r="C59" s="12" t="inlineStr">
        <is>
          <t>RGV</t>
        </is>
      </c>
      <c r="D59" s="12" t="inlineStr">
        <is>
          <t>UTSA</t>
        </is>
      </c>
      <c r="E59" s="22" t="n">
        <v>16</v>
      </c>
      <c r="F59" s="22" t="n">
        <v>45</v>
      </c>
      <c r="G59" s="12" t="inlineStr">
        <is>
          <t>Final</t>
        </is>
      </c>
      <c r="H59" s="12" t="inlineStr"/>
      <c r="I59" s="23" t="n"/>
      <c r="J59" s="29" t="n"/>
      <c r="K59" s="13" t="n"/>
      <c r="L59" s="13" t="n"/>
      <c r="M59" s="12" t="n"/>
    </row>
    <row r="60">
      <c r="A60" s="17" t="inlineStr">
        <is>
          <t>2026-09-05</t>
        </is>
      </c>
      <c r="B60" s="25" t="n">
        <v>1</v>
      </c>
      <c r="C60" s="17" t="inlineStr">
        <is>
          <t>FOR</t>
        </is>
      </c>
      <c r="D60" s="17" t="inlineStr">
        <is>
          <t>NDSU</t>
        </is>
      </c>
      <c r="E60" s="25" t="n">
        <v>0</v>
      </c>
      <c r="F60" s="25" t="n">
        <v>38</v>
      </c>
      <c r="G60" s="17" t="inlineStr">
        <is>
          <t>Final</t>
        </is>
      </c>
      <c r="H60" s="17" t="inlineStr"/>
      <c r="I60" s="26" t="n"/>
      <c r="J60" s="30" t="n"/>
      <c r="K60" s="18" t="n"/>
      <c r="L60" s="18" t="n"/>
      <c r="M60" s="17" t="n"/>
    </row>
    <row r="61">
      <c r="A61" s="12" t="inlineStr">
        <is>
          <t>2026-09-05</t>
        </is>
      </c>
      <c r="B61" s="22" t="n">
        <v>1</v>
      </c>
      <c r="C61" s="12" t="inlineStr">
        <is>
          <t>ME</t>
        </is>
      </c>
      <c r="D61" s="12" t="inlineStr">
        <is>
          <t>APP</t>
        </is>
      </c>
      <c r="E61" s="22" t="n">
        <v>3</v>
      </c>
      <c r="F61" s="22" t="n">
        <v>55</v>
      </c>
      <c r="G61" s="12" t="inlineStr">
        <is>
          <t>Final</t>
        </is>
      </c>
      <c r="H61" s="12" t="inlineStr"/>
      <c r="I61" s="23" t="n"/>
      <c r="J61" s="29" t="n"/>
      <c r="K61" s="13" t="n"/>
      <c r="L61" s="13" t="n"/>
      <c r="M61" s="12" t="n"/>
    </row>
    <row r="62">
      <c r="A62" s="17" t="inlineStr">
        <is>
          <t>2026-09-05</t>
        </is>
      </c>
      <c r="B62" s="25" t="n">
        <v>1</v>
      </c>
      <c r="C62" s="17" t="inlineStr">
        <is>
          <t>OKST</t>
        </is>
      </c>
      <c r="D62" s="17" t="inlineStr">
        <is>
          <t>TLSA</t>
        </is>
      </c>
      <c r="E62" s="25" t="n">
        <v>10</v>
      </c>
      <c r="F62" s="25" t="n">
        <v>24</v>
      </c>
      <c r="G62" s="17" t="inlineStr">
        <is>
          <t>Final</t>
        </is>
      </c>
      <c r="H62" s="17" t="inlineStr"/>
      <c r="I62" s="26" t="n"/>
      <c r="J62" s="30" t="n"/>
      <c r="K62" s="18" t="n"/>
      <c r="L62" s="18" t="n"/>
      <c r="M62" s="17" t="n"/>
    </row>
    <row r="63">
      <c r="A63" s="12" t="inlineStr">
        <is>
          <t>2026-09-05</t>
        </is>
      </c>
      <c r="B63" s="22" t="n">
        <v>1</v>
      </c>
      <c r="C63" s="12" t="inlineStr">
        <is>
          <t>UNA</t>
        </is>
      </c>
      <c r="D63" s="12" t="inlineStr">
        <is>
          <t>ARK</t>
        </is>
      </c>
      <c r="E63" s="22" t="n">
        <v>14</v>
      </c>
      <c r="F63" s="22" t="n">
        <v>31</v>
      </c>
      <c r="G63" s="12" t="inlineStr">
        <is>
          <t>Final</t>
        </is>
      </c>
      <c r="H63" s="12" t="inlineStr"/>
      <c r="I63" s="23" t="n"/>
      <c r="J63" s="29" t="n"/>
      <c r="K63" s="13" t="n"/>
      <c r="L63" s="13" t="n"/>
      <c r="M63" s="12" t="n"/>
    </row>
    <row r="64">
      <c r="A64" s="17" t="inlineStr">
        <is>
          <t>2026-09-05</t>
        </is>
      </c>
      <c r="B64" s="25" t="n">
        <v>1</v>
      </c>
      <c r="C64" s="17" t="inlineStr">
        <is>
          <t>NIU</t>
        </is>
      </c>
      <c r="D64" s="17" t="inlineStr">
        <is>
          <t>IOWA</t>
        </is>
      </c>
      <c r="E64" s="25" t="n">
        <v>0</v>
      </c>
      <c r="F64" s="25" t="n">
        <v>40</v>
      </c>
      <c r="G64" s="17" t="inlineStr">
        <is>
          <t>Final</t>
        </is>
      </c>
      <c r="H64" s="17" t="inlineStr"/>
      <c r="I64" s="26" t="n"/>
      <c r="J64" s="30" t="n"/>
      <c r="K64" s="18" t="n"/>
      <c r="L64" s="18" t="n"/>
      <c r="M64" s="17" t="n"/>
    </row>
    <row r="65">
      <c r="A65" s="12" t="inlineStr">
        <is>
          <t>2026-09-05</t>
        </is>
      </c>
      <c r="B65" s="22" t="n">
        <v>1</v>
      </c>
      <c r="C65" s="12" t="inlineStr">
        <is>
          <t>ALCN</t>
        </is>
      </c>
      <c r="D65" s="12" t="inlineStr">
        <is>
          <t>USM</t>
        </is>
      </c>
      <c r="E65" s="22" t="n">
        <v>3</v>
      </c>
      <c r="F65" s="22" t="n">
        <v>49</v>
      </c>
      <c r="G65" s="12" t="inlineStr">
        <is>
          <t>Final</t>
        </is>
      </c>
      <c r="H65" s="12" t="inlineStr"/>
      <c r="I65" s="23" t="n"/>
      <c r="J65" s="29" t="n"/>
      <c r="K65" s="13" t="n"/>
      <c r="L65" s="13" t="n"/>
      <c r="M65" s="12" t="n"/>
    </row>
    <row r="66">
      <c r="A66" s="17" t="inlineStr">
        <is>
          <t>2026-09-05</t>
        </is>
      </c>
      <c r="B66" s="25" t="n">
        <v>1</v>
      </c>
      <c r="C66" s="17" t="inlineStr">
        <is>
          <t>WYO</t>
        </is>
      </c>
      <c r="D66" s="17" t="inlineStr">
        <is>
          <t>CSU</t>
        </is>
      </c>
      <c r="E66" s="25" t="n">
        <v>13</v>
      </c>
      <c r="F66" s="25" t="n">
        <v>35</v>
      </c>
      <c r="G66" s="17" t="inlineStr">
        <is>
          <t>Final</t>
        </is>
      </c>
      <c r="H66" s="17" t="inlineStr"/>
      <c r="I66" s="26" t="n">
        <v>-3</v>
      </c>
      <c r="J66" s="30" t="n">
        <v>46.5</v>
      </c>
      <c r="K66" s="18" t="n">
        <v>130</v>
      </c>
      <c r="L66" s="18" t="n">
        <v>-155</v>
      </c>
      <c r="M66" s="17" t="inlineStr">
        <is>
          <t>Draft Kings</t>
        </is>
      </c>
    </row>
    <row r="67">
      <c r="A67" s="12" t="inlineStr">
        <is>
          <t>2026-09-05</t>
        </is>
      </c>
      <c r="B67" s="22" t="n">
        <v>1</v>
      </c>
      <c r="C67" s="12" t="inlineStr">
        <is>
          <t>NORF</t>
        </is>
      </c>
      <c r="D67" s="12" t="inlineStr">
        <is>
          <t>ODU</t>
        </is>
      </c>
      <c r="E67" s="22" t="n">
        <v>10</v>
      </c>
      <c r="F67" s="22" t="n">
        <v>31</v>
      </c>
      <c r="G67" s="12" t="inlineStr">
        <is>
          <t>Final</t>
        </is>
      </c>
      <c r="H67" s="12" t="inlineStr"/>
      <c r="I67" s="23" t="n">
        <v>-41.5</v>
      </c>
      <c r="J67" s="29" t="n">
        <v>52.5</v>
      </c>
      <c r="K67" s="13" t="n"/>
      <c r="L67" s="13" t="n"/>
      <c r="M67" s="12" t="inlineStr">
        <is>
          <t>Draft Kings</t>
        </is>
      </c>
    </row>
    <row r="68">
      <c r="A68" s="17" t="inlineStr">
        <is>
          <t>2026-09-05</t>
        </is>
      </c>
      <c r="B68" s="25" t="n">
        <v>1</v>
      </c>
      <c r="C68" s="17" t="inlineStr">
        <is>
          <t>MOST</t>
        </is>
      </c>
      <c r="D68" s="17" t="inlineStr">
        <is>
          <t>TA&amp;M</t>
        </is>
      </c>
      <c r="E68" s="25" t="n">
        <v>0</v>
      </c>
      <c r="F68" s="25" t="n">
        <v>50</v>
      </c>
      <c r="G68" s="17" t="inlineStr">
        <is>
          <t>Final</t>
        </is>
      </c>
      <c r="H68" s="17" t="inlineStr"/>
      <c r="I68" s="26" t="n">
        <v>-40.5</v>
      </c>
      <c r="J68" s="30" t="n">
        <v>53.5</v>
      </c>
      <c r="K68" s="18" t="n"/>
      <c r="L68" s="18" t="n"/>
      <c r="M68" s="17" t="inlineStr">
        <is>
          <t>Draft Kings</t>
        </is>
      </c>
    </row>
    <row r="69">
      <c r="A69" s="12" t="inlineStr">
        <is>
          <t>2026-09-05</t>
        </is>
      </c>
      <c r="B69" s="22" t="n">
        <v>1</v>
      </c>
      <c r="C69" s="12" t="inlineStr">
        <is>
          <t>APSU</t>
        </is>
      </c>
      <c r="D69" s="12" t="inlineStr">
        <is>
          <t>VAN</t>
        </is>
      </c>
      <c r="E69" s="22" t="n">
        <v>9</v>
      </c>
      <c r="F69" s="22" t="n">
        <v>28</v>
      </c>
      <c r="G69" s="12" t="inlineStr">
        <is>
          <t>Final</t>
        </is>
      </c>
      <c r="H69" s="12" t="inlineStr"/>
      <c r="I69" s="23" t="n">
        <v>-28.5</v>
      </c>
      <c r="J69" s="29" t="n">
        <v>58.5</v>
      </c>
      <c r="K69" s="13" t="n">
        <v>2000</v>
      </c>
      <c r="L69" s="13" t="n">
        <v>-6500</v>
      </c>
      <c r="M69" s="12" t="inlineStr">
        <is>
          <t>Draft Kings</t>
        </is>
      </c>
    </row>
    <row r="70">
      <c r="A70" s="17" t="inlineStr">
        <is>
          <t>2026-09-05</t>
        </is>
      </c>
      <c r="B70" s="25" t="n">
        <v>1</v>
      </c>
      <c r="C70" s="17" t="inlineStr">
        <is>
          <t>ACU</t>
        </is>
      </c>
      <c r="D70" s="17" t="inlineStr">
        <is>
          <t>TTU</t>
        </is>
      </c>
      <c r="E70" s="25" t="n">
        <v>10</v>
      </c>
      <c r="F70" s="25" t="n">
        <v>33</v>
      </c>
      <c r="G70" s="17" t="inlineStr">
        <is>
          <t>Final</t>
        </is>
      </c>
      <c r="H70" s="17" t="inlineStr"/>
      <c r="I70" s="26" t="n">
        <v>-44.5</v>
      </c>
      <c r="J70" s="30" t="n">
        <v>60.5</v>
      </c>
      <c r="K70" s="18" t="n"/>
      <c r="L70" s="18" t="n"/>
      <c r="M70" s="17" t="inlineStr">
        <is>
          <t>Draft Kings</t>
        </is>
      </c>
    </row>
    <row r="71">
      <c r="A71" s="12" t="inlineStr">
        <is>
          <t>2026-09-05</t>
        </is>
      </c>
      <c r="B71" s="22" t="n">
        <v>1</v>
      </c>
      <c r="C71" s="12" t="inlineStr">
        <is>
          <t>NICH</t>
        </is>
      </c>
      <c r="D71" s="12" t="inlineStr">
        <is>
          <t>KSU</t>
        </is>
      </c>
      <c r="E71" s="22" t="n">
        <v>3</v>
      </c>
      <c r="F71" s="22" t="n">
        <v>71</v>
      </c>
      <c r="G71" s="12" t="inlineStr">
        <is>
          <t>Final</t>
        </is>
      </c>
      <c r="H71" s="12" t="inlineStr"/>
      <c r="I71" s="23" t="n">
        <v>-41.5</v>
      </c>
      <c r="J71" s="29" t="n">
        <v>54.5</v>
      </c>
      <c r="K71" s="13" t="n"/>
      <c r="L71" s="13" t="n"/>
      <c r="M71" s="12" t="inlineStr">
        <is>
          <t>Draft Kings</t>
        </is>
      </c>
    </row>
    <row r="72">
      <c r="A72" s="17" t="inlineStr">
        <is>
          <t>2026-09-05</t>
        </is>
      </c>
      <c r="B72" s="25" t="n">
        <v>1</v>
      </c>
      <c r="C72" s="17" t="inlineStr">
        <is>
          <t>IDST</t>
        </is>
      </c>
      <c r="D72" s="17" t="inlineStr">
        <is>
          <t>USU</t>
        </is>
      </c>
      <c r="E72" s="25" t="n">
        <v>29</v>
      </c>
      <c r="F72" s="25" t="n">
        <v>17</v>
      </c>
      <c r="G72" s="17" t="inlineStr">
        <is>
          <t>Final</t>
        </is>
      </c>
      <c r="H72" s="17" t="inlineStr"/>
      <c r="I72" s="26" t="n">
        <v>-15.5</v>
      </c>
      <c r="J72" s="30" t="n">
        <v>59.5</v>
      </c>
      <c r="K72" s="18" t="n">
        <v>470</v>
      </c>
      <c r="L72" s="18" t="n">
        <v>-650</v>
      </c>
      <c r="M72" s="17" t="inlineStr">
        <is>
          <t>Draft Kings</t>
        </is>
      </c>
    </row>
    <row r="73">
      <c r="A73" s="12" t="inlineStr">
        <is>
          <t>2026-09-05</t>
        </is>
      </c>
      <c r="B73" s="22" t="n">
        <v>1</v>
      </c>
      <c r="C73" s="12" t="inlineStr">
        <is>
          <t>ARST</t>
        </is>
      </c>
      <c r="D73" s="12" t="inlineStr">
        <is>
          <t>MEM</t>
        </is>
      </c>
      <c r="E73" s="22" t="n">
        <v>24</v>
      </c>
      <c r="F73" s="22" t="n">
        <v>42</v>
      </c>
      <c r="G73" s="12" t="inlineStr">
        <is>
          <t>Final</t>
        </is>
      </c>
      <c r="H73" s="12" t="inlineStr"/>
      <c r="I73" s="23" t="n">
        <v>-10.5</v>
      </c>
      <c r="J73" s="29" t="n">
        <v>52.5</v>
      </c>
      <c r="K73" s="13" t="n">
        <v>330</v>
      </c>
      <c r="L73" s="13" t="n">
        <v>-425</v>
      </c>
      <c r="M73" s="12" t="inlineStr">
        <is>
          <t>Draft Kings</t>
        </is>
      </c>
    </row>
    <row r="74">
      <c r="A74" s="17" t="inlineStr">
        <is>
          <t>2026-09-05</t>
        </is>
      </c>
      <c r="B74" s="25" t="n">
        <v>1</v>
      </c>
      <c r="C74" s="17" t="inlineStr">
        <is>
          <t>HCU</t>
        </is>
      </c>
      <c r="D74" s="17" t="inlineStr">
        <is>
          <t>RICE</t>
        </is>
      </c>
      <c r="E74" s="25" t="n">
        <v>3</v>
      </c>
      <c r="F74" s="25" t="n">
        <v>31</v>
      </c>
      <c r="G74" s="17" t="inlineStr">
        <is>
          <t>Final</t>
        </is>
      </c>
      <c r="H74" s="17" t="inlineStr"/>
      <c r="I74" s="26" t="n">
        <v>-22.5</v>
      </c>
      <c r="J74" s="30" t="n">
        <v>47.5</v>
      </c>
      <c r="K74" s="18" t="n">
        <v>1500</v>
      </c>
      <c r="L74" s="18" t="n">
        <v>-3600</v>
      </c>
      <c r="M74" s="17" t="inlineStr">
        <is>
          <t>Draft Kings</t>
        </is>
      </c>
    </row>
    <row r="75">
      <c r="A75" s="12" t="inlineStr">
        <is>
          <t>2026-09-05</t>
        </is>
      </c>
      <c r="B75" s="22" t="n">
        <v>1</v>
      </c>
      <c r="C75" s="12" t="inlineStr">
        <is>
          <t>FIU</t>
        </is>
      </c>
      <c r="D75" s="12" t="inlineStr">
        <is>
          <t>USF</t>
        </is>
      </c>
      <c r="E75" s="22" t="n">
        <v>9</v>
      </c>
      <c r="F75" s="22" t="n">
        <v>19</v>
      </c>
      <c r="G75" s="12" t="inlineStr">
        <is>
          <t>Final</t>
        </is>
      </c>
      <c r="H75" s="12" t="inlineStr"/>
      <c r="I75" s="23" t="n">
        <v>-14.5</v>
      </c>
      <c r="J75" s="29" t="n">
        <v>53.5</v>
      </c>
      <c r="K75" s="13" t="n">
        <v>470</v>
      </c>
      <c r="L75" s="13" t="n">
        <v>-650</v>
      </c>
      <c r="M75" s="12" t="inlineStr">
        <is>
          <t>Draft Kings</t>
        </is>
      </c>
    </row>
    <row r="76">
      <c r="A76" s="17" t="inlineStr">
        <is>
          <t>2026-09-05</t>
        </is>
      </c>
      <c r="B76" s="25" t="n">
        <v>1</v>
      </c>
      <c r="C76" s="17" t="inlineStr">
        <is>
          <t>EKU</t>
        </is>
      </c>
      <c r="D76" s="17" t="inlineStr">
        <is>
          <t>JVST</t>
        </is>
      </c>
      <c r="E76" s="25" t="n">
        <v>7</v>
      </c>
      <c r="F76" s="25" t="n">
        <v>49</v>
      </c>
      <c r="G76" s="17" t="inlineStr">
        <is>
          <t>Final</t>
        </is>
      </c>
      <c r="H76" s="17" t="inlineStr"/>
      <c r="I76" s="26" t="n">
        <v>-22.5</v>
      </c>
      <c r="J76" s="30" t="n">
        <v>52.5</v>
      </c>
      <c r="K76" s="18" t="n">
        <v>1100</v>
      </c>
      <c r="L76" s="18" t="n">
        <v>-2100</v>
      </c>
      <c r="M76" s="17" t="inlineStr">
        <is>
          <t>Draft Kings</t>
        </is>
      </c>
    </row>
    <row r="77">
      <c r="A77" s="12" t="inlineStr">
        <is>
          <t>2026-09-05</t>
        </is>
      </c>
      <c r="B77" s="22" t="n">
        <v>1</v>
      </c>
      <c r="C77" s="12" t="inlineStr">
        <is>
          <t>CHSO</t>
        </is>
      </c>
      <c r="D77" s="12" t="inlineStr">
        <is>
          <t>GASO</t>
        </is>
      </c>
      <c r="E77" s="22" t="n">
        <v>0</v>
      </c>
      <c r="F77" s="22" t="n">
        <v>31</v>
      </c>
      <c r="G77" s="12" t="inlineStr">
        <is>
          <t>Final</t>
        </is>
      </c>
      <c r="H77" s="12" t="inlineStr"/>
      <c r="I77" s="23" t="n">
        <v>-28.5</v>
      </c>
      <c r="J77" s="29" t="n">
        <v>51.5</v>
      </c>
      <c r="K77" s="13" t="n">
        <v>1800</v>
      </c>
      <c r="L77" s="13" t="n">
        <v>-5000</v>
      </c>
      <c r="M77" s="12" t="inlineStr">
        <is>
          <t>Draft Kings</t>
        </is>
      </c>
    </row>
    <row r="78">
      <c r="A78" s="17" t="inlineStr">
        <is>
          <t>2026-09-05</t>
        </is>
      </c>
      <c r="B78" s="25" t="n">
        <v>1</v>
      </c>
      <c r="C78" s="17" t="inlineStr">
        <is>
          <t>SELA</t>
        </is>
      </c>
      <c r="D78" s="17" t="inlineStr">
        <is>
          <t>USA</t>
        </is>
      </c>
      <c r="E78" s="25" t="n">
        <v>14</v>
      </c>
      <c r="F78" s="25" t="n">
        <v>39</v>
      </c>
      <c r="G78" s="17" t="inlineStr">
        <is>
          <t>Final</t>
        </is>
      </c>
      <c r="H78" s="17" t="inlineStr"/>
      <c r="I78" s="26" t="n">
        <v>-13.5</v>
      </c>
      <c r="J78" s="30" t="n">
        <v>53.5</v>
      </c>
      <c r="K78" s="18" t="n">
        <v>425</v>
      </c>
      <c r="L78" s="18" t="n">
        <v>-575</v>
      </c>
      <c r="M78" s="17" t="inlineStr">
        <is>
          <t>Draft Kings</t>
        </is>
      </c>
    </row>
    <row r="79">
      <c r="A79" s="12" t="inlineStr">
        <is>
          <t>2026-09-05</t>
        </is>
      </c>
      <c r="B79" s="22" t="n">
        <v>1</v>
      </c>
      <c r="C79" s="12" t="inlineStr">
        <is>
          <t>SHSU</t>
        </is>
      </c>
      <c r="D79" s="12" t="inlineStr">
        <is>
          <t>TROY</t>
        </is>
      </c>
      <c r="E79" s="22" t="n">
        <v>21</v>
      </c>
      <c r="F79" s="22" t="n">
        <v>24</v>
      </c>
      <c r="G79" s="12" t="inlineStr">
        <is>
          <t>Final</t>
        </is>
      </c>
      <c r="H79" s="12" t="inlineStr"/>
      <c r="I79" s="23" t="n">
        <v>-16.5</v>
      </c>
      <c r="J79" s="29" t="n">
        <v>52.5</v>
      </c>
      <c r="K79" s="13" t="n">
        <v>575</v>
      </c>
      <c r="L79" s="13" t="n">
        <v>-850</v>
      </c>
      <c r="M79" s="12" t="inlineStr">
        <is>
          <t>Draft Kings</t>
        </is>
      </c>
    </row>
    <row r="80">
      <c r="A80" s="17" t="inlineStr">
        <is>
          <t>2026-09-05</t>
        </is>
      </c>
      <c r="B80" s="25" t="n">
        <v>1</v>
      </c>
      <c r="C80" s="17" t="inlineStr">
        <is>
          <t>ULM</t>
        </is>
      </c>
      <c r="D80" s="17" t="inlineStr">
        <is>
          <t>MSST</t>
        </is>
      </c>
      <c r="E80" s="25" t="n">
        <v>13</v>
      </c>
      <c r="F80" s="25" t="n">
        <v>62</v>
      </c>
      <c r="G80" s="17" t="inlineStr">
        <is>
          <t>Final</t>
        </is>
      </c>
      <c r="H80" s="17" t="inlineStr"/>
      <c r="I80" s="26" t="n">
        <v>-28.5</v>
      </c>
      <c r="J80" s="30" t="n">
        <v>54.5</v>
      </c>
      <c r="K80" s="18" t="n">
        <v>1600</v>
      </c>
      <c r="L80" s="18" t="n">
        <v>-4000</v>
      </c>
      <c r="M80" s="17" t="inlineStr">
        <is>
          <t>Draft Kings</t>
        </is>
      </c>
    </row>
    <row r="81">
      <c r="A81" s="12" t="inlineStr">
        <is>
          <t>2026-09-05</t>
        </is>
      </c>
      <c r="B81" s="22" t="n">
        <v>1</v>
      </c>
      <c r="C81" s="12" t="inlineStr">
        <is>
          <t>VMI</t>
        </is>
      </c>
      <c r="D81" s="12" t="inlineStr">
        <is>
          <t>VT</t>
        </is>
      </c>
      <c r="E81" s="22" t="n">
        <v>3</v>
      </c>
      <c r="F81" s="22" t="n">
        <v>73</v>
      </c>
      <c r="G81" s="12" t="inlineStr">
        <is>
          <t>Final</t>
        </is>
      </c>
      <c r="H81" s="12" t="inlineStr"/>
      <c r="I81" s="23" t="n">
        <v>-53.5</v>
      </c>
      <c r="J81" s="29" t="n">
        <v>59.5</v>
      </c>
      <c r="K81" s="13" t="n"/>
      <c r="L81" s="13" t="n"/>
      <c r="M81" s="12" t="inlineStr">
        <is>
          <t>Draft Kings</t>
        </is>
      </c>
    </row>
    <row r="82">
      <c r="A82" s="17" t="inlineStr">
        <is>
          <t>2026-09-05</t>
        </is>
      </c>
      <c r="B82" s="25" t="n">
        <v>1</v>
      </c>
      <c r="C82" s="17" t="inlineStr">
        <is>
          <t>WMU</t>
        </is>
      </c>
      <c r="D82" s="17" t="inlineStr">
        <is>
          <t>MICH</t>
        </is>
      </c>
      <c r="E82" s="25" t="n">
        <v>12</v>
      </c>
      <c r="F82" s="25" t="n">
        <v>13</v>
      </c>
      <c r="G82" s="17" t="inlineStr">
        <is>
          <t>Final</t>
        </is>
      </c>
      <c r="H82" s="17" t="inlineStr"/>
      <c r="I82" s="26" t="n">
        <v>-27.5</v>
      </c>
      <c r="J82" s="30" t="n">
        <v>49.5</v>
      </c>
      <c r="K82" s="18" t="n">
        <v>2000</v>
      </c>
      <c r="L82" s="18" t="n">
        <v>-6500</v>
      </c>
      <c r="M82" s="17" t="inlineStr">
        <is>
          <t>Draft Kings</t>
        </is>
      </c>
    </row>
    <row r="83">
      <c r="A83" s="12" t="inlineStr">
        <is>
          <t>2026-09-05</t>
        </is>
      </c>
      <c r="B83" s="22" t="n">
        <v>1</v>
      </c>
      <c r="C83" s="12" t="inlineStr">
        <is>
          <t>NWST</t>
        </is>
      </c>
      <c r="D83" s="12" t="inlineStr">
        <is>
          <t>LT</t>
        </is>
      </c>
      <c r="E83" s="22" t="n">
        <v>6</v>
      </c>
      <c r="F83" s="22" t="n">
        <v>80</v>
      </c>
      <c r="G83" s="12" t="inlineStr">
        <is>
          <t>Final</t>
        </is>
      </c>
      <c r="H83" s="12" t="inlineStr"/>
      <c r="I83" s="23" t="n">
        <v>-44.5</v>
      </c>
      <c r="J83" s="29" t="n">
        <v>56.5</v>
      </c>
      <c r="K83" s="13" t="n"/>
      <c r="L83" s="13" t="n"/>
      <c r="M83" s="12" t="inlineStr">
        <is>
          <t>Draft Kings</t>
        </is>
      </c>
    </row>
    <row r="84">
      <c r="A84" s="17" t="inlineStr">
        <is>
          <t>2026-09-05</t>
        </is>
      </c>
      <c r="B84" s="25" t="n">
        <v>1</v>
      </c>
      <c r="C84" s="17" t="inlineStr">
        <is>
          <t>FAU</t>
        </is>
      </c>
      <c r="D84" s="17" t="inlineStr">
        <is>
          <t>FLA</t>
        </is>
      </c>
      <c r="E84" s="25" t="n">
        <v>21</v>
      </c>
      <c r="F84" s="25" t="n">
        <v>66</v>
      </c>
      <c r="G84" s="17" t="inlineStr">
        <is>
          <t>Final</t>
        </is>
      </c>
      <c r="H84" s="17" t="inlineStr"/>
      <c r="I84" s="26" t="n"/>
      <c r="J84" s="30" t="n"/>
      <c r="K84" s="18" t="n"/>
      <c r="L84" s="18" t="n"/>
      <c r="M84" s="17" t="n"/>
    </row>
    <row r="85">
      <c r="A85" s="12" t="inlineStr">
        <is>
          <t>2026-09-05</t>
        </is>
      </c>
      <c r="B85" s="22" t="n">
        <v>1</v>
      </c>
      <c r="C85" s="12" t="inlineStr">
        <is>
          <t>MUR</t>
        </is>
      </c>
      <c r="D85" s="12" t="inlineStr">
        <is>
          <t>MTSU</t>
        </is>
      </c>
      <c r="E85" s="22" t="n">
        <v>14</v>
      </c>
      <c r="F85" s="22" t="n">
        <v>38</v>
      </c>
      <c r="G85" s="12" t="inlineStr">
        <is>
          <t>Final</t>
        </is>
      </c>
      <c r="H85" s="12" t="inlineStr"/>
      <c r="I85" s="23" t="n"/>
      <c r="J85" s="29" t="n"/>
      <c r="K85" s="13" t="n"/>
      <c r="L85" s="13" t="n"/>
      <c r="M85" s="12" t="n"/>
    </row>
    <row r="86">
      <c r="A86" s="17" t="inlineStr">
        <is>
          <t>2026-09-06</t>
        </is>
      </c>
      <c r="B86" s="25" t="n">
        <v>1</v>
      </c>
      <c r="C86" s="17" t="inlineStr">
        <is>
          <t>UTU</t>
        </is>
      </c>
      <c r="D86" s="17" t="inlineStr">
        <is>
          <t>BYU</t>
        </is>
      </c>
      <c r="E86" s="25" t="n">
        <v>7</v>
      </c>
      <c r="F86" s="25" t="n">
        <v>63</v>
      </c>
      <c r="G86" s="17" t="inlineStr">
        <is>
          <t>Final</t>
        </is>
      </c>
      <c r="H86" s="17" t="inlineStr"/>
      <c r="I86" s="26" t="n"/>
      <c r="J86" s="30" t="n"/>
      <c r="K86" s="18" t="n"/>
      <c r="L86" s="18" t="n"/>
      <c r="M86" s="17" t="n"/>
    </row>
    <row r="87">
      <c r="A87" s="12" t="inlineStr">
        <is>
          <t>2026-09-06</t>
        </is>
      </c>
      <c r="B87" s="22" t="n">
        <v>1</v>
      </c>
      <c r="C87" s="12" t="inlineStr">
        <is>
          <t>HAMP</t>
        </is>
      </c>
      <c r="D87" s="12" t="inlineStr">
        <is>
          <t>MD</t>
        </is>
      </c>
      <c r="E87" s="22" t="n">
        <v>0</v>
      </c>
      <c r="F87" s="22" t="n">
        <v>62</v>
      </c>
      <c r="G87" s="12" t="inlineStr">
        <is>
          <t>Final</t>
        </is>
      </c>
      <c r="H87" s="12" t="inlineStr"/>
      <c r="I87" s="23" t="n"/>
      <c r="J87" s="29" t="n"/>
      <c r="K87" s="13" t="n"/>
      <c r="L87" s="13" t="n"/>
      <c r="M87" s="12" t="n"/>
    </row>
    <row r="88">
      <c r="A88" s="17" t="inlineStr">
        <is>
          <t>2026-09-06</t>
        </is>
      </c>
      <c r="B88" s="25" t="n">
        <v>1</v>
      </c>
      <c r="C88" s="17" t="inlineStr">
        <is>
          <t>SDST</t>
        </is>
      </c>
      <c r="D88" s="17" t="inlineStr">
        <is>
          <t>NU</t>
        </is>
      </c>
      <c r="E88" s="25" t="n">
        <v>18</v>
      </c>
      <c r="F88" s="25" t="n">
        <v>34</v>
      </c>
      <c r="G88" s="17" t="inlineStr">
        <is>
          <t>Final</t>
        </is>
      </c>
      <c r="H88" s="17" t="inlineStr"/>
      <c r="I88" s="26" t="n"/>
      <c r="J88" s="30" t="n"/>
      <c r="K88" s="18" t="n"/>
      <c r="L88" s="18" t="n"/>
      <c r="M88" s="17" t="n"/>
    </row>
    <row r="89">
      <c r="A89" s="12" t="inlineStr">
        <is>
          <t>2026-09-06</t>
        </is>
      </c>
      <c r="B89" s="22" t="n">
        <v>1</v>
      </c>
      <c r="C89" s="12" t="inlineStr">
        <is>
          <t>LAM</t>
        </is>
      </c>
      <c r="D89" s="12" t="inlineStr">
        <is>
          <t>UL</t>
        </is>
      </c>
      <c r="E89" s="22" t="n">
        <v>7</v>
      </c>
      <c r="F89" s="22" t="n">
        <v>38</v>
      </c>
      <c r="G89" s="12" t="inlineStr">
        <is>
          <t>Final</t>
        </is>
      </c>
      <c r="H89" s="12" t="inlineStr"/>
      <c r="I89" s="23" t="n"/>
      <c r="J89" s="29" t="n"/>
      <c r="K89" s="13" t="n"/>
      <c r="L89" s="13" t="n"/>
      <c r="M89" s="12" t="n"/>
    </row>
    <row r="90">
      <c r="A90" s="17" t="inlineStr">
        <is>
          <t>2026-09-06</t>
        </is>
      </c>
      <c r="B90" s="25" t="n">
        <v>1</v>
      </c>
      <c r="C90" s="17" t="inlineStr">
        <is>
          <t>MERC</t>
        </is>
      </c>
      <c r="D90" s="17" t="inlineStr">
        <is>
          <t>NMSU</t>
        </is>
      </c>
      <c r="E90" s="25" t="n">
        <v>14</v>
      </c>
      <c r="F90" s="25" t="n">
        <v>51</v>
      </c>
      <c r="G90" s="17" t="inlineStr">
        <is>
          <t>Final</t>
        </is>
      </c>
      <c r="H90" s="17" t="inlineStr"/>
      <c r="I90" s="26" t="n"/>
      <c r="J90" s="30" t="n"/>
      <c r="K90" s="18" t="n"/>
      <c r="L90" s="18" t="n"/>
      <c r="M90" s="17" t="n"/>
    </row>
    <row r="91">
      <c r="A91" s="12" t="inlineStr">
        <is>
          <t>2026-09-06</t>
        </is>
      </c>
      <c r="B91" s="22" t="n">
        <v>1</v>
      </c>
      <c r="C91" s="12" t="inlineStr">
        <is>
          <t>NAU</t>
        </is>
      </c>
      <c r="D91" s="12" t="inlineStr">
        <is>
          <t>ARIZ</t>
        </is>
      </c>
      <c r="E91" s="22" t="n">
        <v>7</v>
      </c>
      <c r="F91" s="22" t="n">
        <v>35</v>
      </c>
      <c r="G91" s="12" t="inlineStr">
        <is>
          <t>Final</t>
        </is>
      </c>
      <c r="H91" s="12" t="inlineStr"/>
      <c r="I91" s="23" t="n"/>
      <c r="J91" s="29" t="n"/>
      <c r="K91" s="13" t="n"/>
      <c r="L91" s="13" t="n"/>
      <c r="M91" s="12" t="n"/>
    </row>
    <row r="92">
      <c r="A92" s="17" t="inlineStr">
        <is>
          <t>2026-09-06</t>
        </is>
      </c>
      <c r="B92" s="25" t="n">
        <v>1</v>
      </c>
      <c r="C92" s="17" t="inlineStr">
        <is>
          <t>PRST</t>
        </is>
      </c>
      <c r="D92" s="17" t="inlineStr">
        <is>
          <t>SDSU</t>
        </is>
      </c>
      <c r="E92" s="25" t="n">
        <v>20</v>
      </c>
      <c r="F92" s="25" t="n">
        <v>53</v>
      </c>
      <c r="G92" s="17" t="inlineStr">
        <is>
          <t>Final</t>
        </is>
      </c>
      <c r="H92" s="17" t="inlineStr"/>
      <c r="I92" s="26" t="n"/>
      <c r="J92" s="30" t="n"/>
      <c r="K92" s="18" t="n"/>
      <c r="L92" s="18" t="n"/>
      <c r="M92" s="17" t="n"/>
    </row>
    <row r="93">
      <c r="A93" s="12" t="inlineStr">
        <is>
          <t>2026-09-06</t>
        </is>
      </c>
      <c r="B93" s="22" t="n">
        <v>1</v>
      </c>
      <c r="C93" s="12" t="inlineStr">
        <is>
          <t>CLEM</t>
        </is>
      </c>
      <c r="D93" s="12" t="inlineStr">
        <is>
          <t>LSU</t>
        </is>
      </c>
      <c r="E93" s="22" t="n">
        <v>10</v>
      </c>
      <c r="F93" s="22" t="n">
        <v>51</v>
      </c>
      <c r="G93" s="12" t="inlineStr">
        <is>
          <t>Final</t>
        </is>
      </c>
      <c r="H93" s="12" t="inlineStr"/>
      <c r="I93" s="23" t="n"/>
      <c r="J93" s="29" t="n"/>
      <c r="K93" s="13" t="n"/>
      <c r="L93" s="13" t="n"/>
      <c r="M93" s="12" t="n"/>
    </row>
    <row r="94">
      <c r="A94" s="17" t="inlineStr">
        <is>
          <t>2026-09-06</t>
        </is>
      </c>
      <c r="B94" s="25" t="n">
        <v>1</v>
      </c>
      <c r="C94" s="17" t="inlineStr">
        <is>
          <t>MORG</t>
        </is>
      </c>
      <c r="D94" s="17" t="inlineStr">
        <is>
          <t>ASU</t>
        </is>
      </c>
      <c r="E94" s="25" t="n">
        <v>7</v>
      </c>
      <c r="F94" s="25" t="n">
        <v>70</v>
      </c>
      <c r="G94" s="17" t="inlineStr">
        <is>
          <t>Final</t>
        </is>
      </c>
      <c r="H94" s="17" t="inlineStr"/>
      <c r="I94" s="26" t="n"/>
      <c r="J94" s="30" t="n"/>
      <c r="K94" s="18" t="n"/>
      <c r="L94" s="18" t="n"/>
      <c r="M94" s="17" t="n"/>
    </row>
    <row r="95">
      <c r="A95" s="12" t="inlineStr">
        <is>
          <t>2026-09-06</t>
        </is>
      </c>
      <c r="B95" s="22" t="n">
        <v>1</v>
      </c>
      <c r="C95" s="12" t="inlineStr">
        <is>
          <t>UNLV</t>
        </is>
      </c>
      <c r="D95" s="12" t="inlineStr">
        <is>
          <t>HAW</t>
        </is>
      </c>
      <c r="E95" s="22" t="n">
        <v>21</v>
      </c>
      <c r="F95" s="22" t="n">
        <v>6</v>
      </c>
      <c r="G95" s="12" t="inlineStr">
        <is>
          <t>Final</t>
        </is>
      </c>
      <c r="H95" s="12" t="inlineStr"/>
      <c r="I95" s="23" t="n"/>
      <c r="J95" s="29" t="n"/>
      <c r="K95" s="13" t="n"/>
      <c r="L95" s="13" t="n"/>
      <c r="M95" s="12" t="n"/>
    </row>
    <row r="96">
      <c r="A96" s="17" t="inlineStr">
        <is>
          <t>2026-09-06</t>
        </is>
      </c>
      <c r="B96" s="25" t="n">
        <v>1</v>
      </c>
      <c r="C96" s="17" t="inlineStr">
        <is>
          <t>CMU</t>
        </is>
      </c>
      <c r="D96" s="17" t="inlineStr">
        <is>
          <t>UNM</t>
        </is>
      </c>
      <c r="E96" s="25" t="n">
        <v>7</v>
      </c>
      <c r="F96" s="25" t="n">
        <v>38</v>
      </c>
      <c r="G96" s="17" t="inlineStr">
        <is>
          <t>Final</t>
        </is>
      </c>
      <c r="H96" s="17" t="inlineStr"/>
      <c r="I96" s="26" t="n"/>
      <c r="J96" s="30" t="n"/>
      <c r="K96" s="18" t="n"/>
      <c r="L96" s="18" t="n"/>
      <c r="M96" s="17" t="n"/>
    </row>
    <row r="97">
      <c r="A97" s="12" t="inlineStr">
        <is>
          <t>2026-09-06</t>
        </is>
      </c>
      <c r="B97" s="22" t="n">
        <v>1</v>
      </c>
      <c r="C97" s="12" t="inlineStr">
        <is>
          <t>MVSU</t>
        </is>
      </c>
      <c r="D97" s="12" t="inlineStr">
        <is>
          <t>SAC</t>
        </is>
      </c>
      <c r="E97" s="22" t="n">
        <v>0</v>
      </c>
      <c r="F97" s="22" t="n">
        <v>52</v>
      </c>
      <c r="G97" s="12" t="inlineStr">
        <is>
          <t>Final</t>
        </is>
      </c>
      <c r="H97" s="12" t="inlineStr"/>
      <c r="I97" s="23" t="n"/>
      <c r="J97" s="29" t="n"/>
      <c r="K97" s="13" t="n"/>
      <c r="L97" s="13" t="n"/>
      <c r="M97" s="12" t="n"/>
    </row>
    <row r="98">
      <c r="A98" s="17" t="inlineStr">
        <is>
          <t>2026-09-06</t>
        </is>
      </c>
      <c r="B98" s="25" t="n">
        <v>1</v>
      </c>
      <c r="C98" s="17" t="inlineStr">
        <is>
          <t>UCLA</t>
        </is>
      </c>
      <c r="D98" s="17" t="inlineStr">
        <is>
          <t>CAL</t>
        </is>
      </c>
      <c r="E98" s="25" t="n">
        <v>45</v>
      </c>
      <c r="F98" s="25" t="n">
        <v>24</v>
      </c>
      <c r="G98" s="17" t="inlineStr">
        <is>
          <t>Final</t>
        </is>
      </c>
      <c r="H98" s="17" t="inlineStr"/>
      <c r="I98" s="26" t="n"/>
      <c r="J98" s="30" t="n"/>
      <c r="K98" s="18" t="n"/>
      <c r="L98" s="18" t="n"/>
      <c r="M98" s="17" t="n"/>
    </row>
    <row r="99">
      <c r="A99" s="12" t="inlineStr">
        <is>
          <t>2026-09-06</t>
        </is>
      </c>
      <c r="B99" s="22" t="n">
        <v>1</v>
      </c>
      <c r="C99" s="12" t="inlineStr">
        <is>
          <t>WKU</t>
        </is>
      </c>
      <c r="D99" s="12" t="inlineStr">
        <is>
          <t>NEV</t>
        </is>
      </c>
      <c r="E99" s="22" t="n">
        <v>14</v>
      </c>
      <c r="F99" s="22" t="n">
        <v>49</v>
      </c>
      <c r="G99" s="12" t="inlineStr">
        <is>
          <t>Final</t>
        </is>
      </c>
      <c r="H99" s="12" t="inlineStr"/>
      <c r="I99" s="23" t="n"/>
      <c r="J99" s="29" t="n"/>
      <c r="K99" s="13" t="n"/>
      <c r="L99" s="13" t="n"/>
      <c r="M99" s="12" t="n"/>
    </row>
    <row r="100">
      <c r="A100" s="17" t="inlineStr">
        <is>
          <t>2026-09-06</t>
        </is>
      </c>
      <c r="B100" s="25" t="n">
        <v>1</v>
      </c>
      <c r="C100" s="17" t="inlineStr">
        <is>
          <t>WSU</t>
        </is>
      </c>
      <c r="D100" s="17" t="inlineStr">
        <is>
          <t>WASH</t>
        </is>
      </c>
      <c r="E100" s="25" t="n">
        <v>10</v>
      </c>
      <c r="F100" s="25" t="n">
        <v>24</v>
      </c>
      <c r="G100" s="17" t="inlineStr">
        <is>
          <t>Final</t>
        </is>
      </c>
      <c r="H100" s="17" t="inlineStr"/>
      <c r="I100" s="26" t="n"/>
      <c r="J100" s="30" t="n"/>
      <c r="K100" s="18" t="n"/>
      <c r="L100" s="18" t="n"/>
      <c r="M100" s="17" t="n"/>
    </row>
    <row r="101">
      <c r="A101" s="12" t="inlineStr">
        <is>
          <t>2026-09-06</t>
        </is>
      </c>
      <c r="B101" s="22" t="n">
        <v>1</v>
      </c>
      <c r="C101" s="12" t="inlineStr">
        <is>
          <t>LOU</t>
        </is>
      </c>
      <c r="D101" s="12" t="inlineStr">
        <is>
          <t>MISS</t>
        </is>
      </c>
      <c r="E101" s="22" t="n">
        <v>38</v>
      </c>
      <c r="F101" s="22" t="n">
        <v>41</v>
      </c>
      <c r="G101" s="12" t="inlineStr">
        <is>
          <t>Final</t>
        </is>
      </c>
      <c r="H101" s="12" t="inlineStr">
        <is>
          <t>Y</t>
        </is>
      </c>
      <c r="I101" s="23" t="n"/>
      <c r="J101" s="29" t="n"/>
      <c r="K101" s="13" t="n"/>
      <c r="L101" s="13" t="n"/>
      <c r="M101" s="12" t="n"/>
    </row>
    <row r="102">
      <c r="A102" s="17" t="inlineStr">
        <is>
          <t>2026-09-06</t>
        </is>
      </c>
      <c r="B102" s="25" t="n">
        <v>1</v>
      </c>
      <c r="C102" s="17" t="inlineStr">
        <is>
          <t>WIS</t>
        </is>
      </c>
      <c r="D102" s="17" t="inlineStr">
        <is>
          <t>ND</t>
        </is>
      </c>
      <c r="E102" s="25" t="n">
        <v>13</v>
      </c>
      <c r="F102" s="25" t="n">
        <v>41</v>
      </c>
      <c r="G102" s="17" t="inlineStr">
        <is>
          <t>Final</t>
        </is>
      </c>
      <c r="H102" s="17" t="inlineStr">
        <is>
          <t>Y</t>
        </is>
      </c>
      <c r="I102" s="26" t="n"/>
      <c r="J102" s="30" t="n"/>
      <c r="K102" s="18" t="n"/>
      <c r="L102" s="18" t="n"/>
      <c r="M102" s="17" t="n"/>
    </row>
    <row r="103">
      <c r="A103" s="12" t="inlineStr">
        <is>
          <t>2026-09-07</t>
        </is>
      </c>
      <c r="B103" s="22" t="n">
        <v>1</v>
      </c>
      <c r="C103" s="12" t="inlineStr">
        <is>
          <t>SMU</t>
        </is>
      </c>
      <c r="D103" s="12" t="inlineStr">
        <is>
          <t>FSU</t>
        </is>
      </c>
      <c r="E103" s="22" t="n">
        <v>27</v>
      </c>
      <c r="F103" s="22" t="n">
        <v>24</v>
      </c>
      <c r="G103" s="12" t="inlineStr">
        <is>
          <t>Final</t>
        </is>
      </c>
      <c r="H103" s="12" t="inlineStr"/>
      <c r="I103" s="23" t="n"/>
      <c r="J103" s="29" t="n"/>
      <c r="K103" s="13" t="n"/>
      <c r="L103" s="13" t="n"/>
      <c r="M103" s="12" t="n"/>
    </row>
    <row r="104">
      <c r="A104" s="17" t="inlineStr">
        <is>
          <t>2026-09-11</t>
        </is>
      </c>
      <c r="B104" s="25" t="n">
        <v>2</v>
      </c>
      <c r="C104" s="17" t="inlineStr">
        <is>
          <t>FAMU</t>
        </is>
      </c>
      <c r="D104" s="17" t="inlineStr">
        <is>
          <t>MIA</t>
        </is>
      </c>
      <c r="E104" s="25" t="n">
        <v>0</v>
      </c>
      <c r="F104" s="25" t="n">
        <v>0</v>
      </c>
      <c r="G104" s="17" t="inlineStr">
        <is>
          <t>9/10 - 8:00 PM EDT</t>
        </is>
      </c>
      <c r="H104" s="17" t="inlineStr"/>
      <c r="I104" s="26" t="n">
        <v>-59.5</v>
      </c>
      <c r="J104" s="30" t="n">
        <v>65.5</v>
      </c>
      <c r="K104" s="18" t="n"/>
      <c r="L104" s="18" t="n"/>
      <c r="M104" s="17" t="inlineStr">
        <is>
          <t>DraftKings</t>
        </is>
      </c>
    </row>
    <row r="105">
      <c r="A105" s="12" t="inlineStr">
        <is>
          <t>2026-09-11</t>
        </is>
      </c>
      <c r="B105" s="22" t="n">
        <v>2</v>
      </c>
      <c r="C105" s="12" t="inlineStr">
        <is>
          <t>VILL</t>
        </is>
      </c>
      <c r="D105" s="12" t="inlineStr">
        <is>
          <t>LOU</t>
        </is>
      </c>
      <c r="E105" s="22" t="n">
        <v>0</v>
      </c>
      <c r="F105" s="22" t="n">
        <v>0</v>
      </c>
      <c r="G105" s="12" t="inlineStr">
        <is>
          <t>9/11 - 7:00 PM EDT</t>
        </is>
      </c>
      <c r="H105" s="12" t="inlineStr"/>
      <c r="I105" s="23" t="n">
        <v>-36.5</v>
      </c>
      <c r="J105" s="29" t="n">
        <v>56.5</v>
      </c>
      <c r="K105" s="13" t="n"/>
      <c r="L105" s="13" t="n"/>
      <c r="M105" s="12" t="inlineStr">
        <is>
          <t>DraftKings</t>
        </is>
      </c>
    </row>
    <row r="106">
      <c r="A106" s="17" t="inlineStr">
        <is>
          <t>2026-09-11</t>
        </is>
      </c>
      <c r="B106" s="25" t="n">
        <v>2</v>
      </c>
      <c r="C106" s="17" t="inlineStr">
        <is>
          <t>NORF</t>
        </is>
      </c>
      <c r="D106" s="17" t="inlineStr">
        <is>
          <t>UVA</t>
        </is>
      </c>
      <c r="E106" s="25" t="n">
        <v>0</v>
      </c>
      <c r="F106" s="25" t="n">
        <v>0</v>
      </c>
      <c r="G106" s="17" t="inlineStr">
        <is>
          <t>9/11 - 7:00 PM EDT</t>
        </is>
      </c>
      <c r="H106" s="17" t="inlineStr"/>
      <c r="I106" s="26" t="n">
        <v>-45.5</v>
      </c>
      <c r="J106" s="30" t="n">
        <v>54.5</v>
      </c>
      <c r="K106" s="18" t="n"/>
      <c r="L106" s="18" t="n"/>
      <c r="M106" s="17" t="inlineStr">
        <is>
          <t>DraftKings</t>
        </is>
      </c>
    </row>
    <row r="107">
      <c r="A107" s="12" t="inlineStr">
        <is>
          <t>2026-09-11</t>
        </is>
      </c>
      <c r="B107" s="22" t="n">
        <v>2</v>
      </c>
      <c r="C107" s="12" t="inlineStr">
        <is>
          <t>RICH</t>
        </is>
      </c>
      <c r="D107" s="12" t="inlineStr">
        <is>
          <t>NCSU</t>
        </is>
      </c>
      <c r="E107" s="22" t="n">
        <v>0</v>
      </c>
      <c r="F107" s="22" t="n">
        <v>0</v>
      </c>
      <c r="G107" s="12" t="inlineStr">
        <is>
          <t>9/11 - 7:00 PM EDT</t>
        </is>
      </c>
      <c r="H107" s="12" t="inlineStr"/>
      <c r="I107" s="23" t="n">
        <v>-32.5</v>
      </c>
      <c r="J107" s="29" t="n">
        <v>50.5</v>
      </c>
      <c r="K107" s="13" t="n">
        <v>2200</v>
      </c>
      <c r="L107" s="13" t="n">
        <v>-8000</v>
      </c>
      <c r="M107" s="12" t="inlineStr">
        <is>
          <t>DraftKings</t>
        </is>
      </c>
    </row>
    <row r="108">
      <c r="A108" s="17" t="inlineStr">
        <is>
          <t>2026-09-11</t>
        </is>
      </c>
      <c r="B108" s="25" t="n">
        <v>2</v>
      </c>
      <c r="C108" s="17" t="inlineStr">
        <is>
          <t>RUTG</t>
        </is>
      </c>
      <c r="D108" s="17" t="inlineStr">
        <is>
          <t>BC</t>
        </is>
      </c>
      <c r="E108" s="25" t="n">
        <v>0</v>
      </c>
      <c r="F108" s="25" t="n">
        <v>0</v>
      </c>
      <c r="G108" s="17" t="inlineStr">
        <is>
          <t>9/11 - 7:30 PM EDT</t>
        </is>
      </c>
      <c r="H108" s="17" t="inlineStr"/>
      <c r="I108" s="26" t="n">
        <v>-3.5</v>
      </c>
      <c r="J108" s="30" t="n">
        <v>54.5</v>
      </c>
      <c r="K108" s="18" t="n">
        <v>136</v>
      </c>
      <c r="L108" s="18" t="n">
        <v>-162</v>
      </c>
      <c r="M108" s="17" t="inlineStr">
        <is>
          <t>DraftKings</t>
        </is>
      </c>
    </row>
    <row r="109">
      <c r="A109" s="12" t="inlineStr">
        <is>
          <t>2026-09-12</t>
        </is>
      </c>
      <c r="B109" s="22" t="n">
        <v>2</v>
      </c>
      <c r="C109" s="12" t="inlineStr">
        <is>
          <t>MIZ</t>
        </is>
      </c>
      <c r="D109" s="12" t="inlineStr">
        <is>
          <t>KU</t>
        </is>
      </c>
      <c r="E109" s="22" t="n">
        <v>0</v>
      </c>
      <c r="F109" s="22" t="n">
        <v>0</v>
      </c>
      <c r="G109" s="12" t="inlineStr">
        <is>
          <t>9/11 - 8:00 PM EDT</t>
        </is>
      </c>
      <c r="H109" s="12" t="inlineStr"/>
      <c r="I109" s="23" t="n">
        <v>5.5</v>
      </c>
      <c r="J109" s="29" t="n">
        <v>51.5</v>
      </c>
      <c r="K109" s="13" t="n">
        <v>-218</v>
      </c>
      <c r="L109" s="13" t="n">
        <v>180</v>
      </c>
      <c r="M109" s="12" t="inlineStr">
        <is>
          <t>DraftKings</t>
        </is>
      </c>
    </row>
    <row r="110">
      <c r="A110" s="17" t="inlineStr">
        <is>
          <t>2026-09-12</t>
        </is>
      </c>
      <c r="B110" s="25" t="n">
        <v>2</v>
      </c>
      <c r="C110" s="17" t="inlineStr">
        <is>
          <t>OU</t>
        </is>
      </c>
      <c r="D110" s="17" t="inlineStr">
        <is>
          <t>MICH</t>
        </is>
      </c>
      <c r="E110" s="25" t="n">
        <v>0</v>
      </c>
      <c r="F110" s="25" t="n">
        <v>0</v>
      </c>
      <c r="G110" s="17" t="inlineStr">
        <is>
          <t>9/12 - 12:00 PM EDT</t>
        </is>
      </c>
      <c r="H110" s="17" t="inlineStr"/>
      <c r="I110" s="26" t="n">
        <v>5.5</v>
      </c>
      <c r="J110" s="30" t="n">
        <v>43.5</v>
      </c>
      <c r="K110" s="18" t="n">
        <v>-218</v>
      </c>
      <c r="L110" s="18" t="n">
        <v>180</v>
      </c>
      <c r="M110" s="17" t="inlineStr">
        <is>
          <t>DraftKings</t>
        </is>
      </c>
    </row>
    <row r="111">
      <c r="A111" s="12" t="inlineStr">
        <is>
          <t>2026-09-12</t>
        </is>
      </c>
      <c r="B111" s="22" t="n">
        <v>2</v>
      </c>
      <c r="C111" s="12" t="inlineStr">
        <is>
          <t>ASU</t>
        </is>
      </c>
      <c r="D111" s="12" t="inlineStr">
        <is>
          <t>TA&amp;M</t>
        </is>
      </c>
      <c r="E111" s="22" t="n">
        <v>0</v>
      </c>
      <c r="F111" s="22" t="n">
        <v>0</v>
      </c>
      <c r="G111" s="12" t="inlineStr">
        <is>
          <t>9/12 - 12:00 PM EDT</t>
        </is>
      </c>
      <c r="H111" s="12" t="inlineStr"/>
      <c r="I111" s="23" t="n">
        <v>-14.5</v>
      </c>
      <c r="J111" s="29" t="n">
        <v>50.5</v>
      </c>
      <c r="K111" s="13" t="n">
        <v>525</v>
      </c>
      <c r="L111" s="13" t="n">
        <v>-750</v>
      </c>
      <c r="M111" s="12" t="inlineStr">
        <is>
          <t>DraftKings</t>
        </is>
      </c>
    </row>
    <row r="112">
      <c r="A112" s="17" t="inlineStr">
        <is>
          <t>2026-09-12</t>
        </is>
      </c>
      <c r="B112" s="25" t="n">
        <v>2</v>
      </c>
      <c r="C112" s="17" t="inlineStr">
        <is>
          <t>WSU</t>
        </is>
      </c>
      <c r="D112" s="17" t="inlineStr">
        <is>
          <t>KSU</t>
        </is>
      </c>
      <c r="E112" s="25" t="n">
        <v>0</v>
      </c>
      <c r="F112" s="25" t="n">
        <v>0</v>
      </c>
      <c r="G112" s="17" t="inlineStr">
        <is>
          <t>9/12 - 12:00 PM EDT</t>
        </is>
      </c>
      <c r="H112" s="17" t="inlineStr"/>
      <c r="I112" s="26" t="n">
        <v>-17.5</v>
      </c>
      <c r="J112" s="30" t="n">
        <v>49.5</v>
      </c>
      <c r="K112" s="18" t="n">
        <v>625</v>
      </c>
      <c r="L112" s="18" t="n">
        <v>-950</v>
      </c>
      <c r="M112" s="17" t="inlineStr">
        <is>
          <t>DraftKings</t>
        </is>
      </c>
    </row>
    <row r="113">
      <c r="A113" s="12" t="inlineStr">
        <is>
          <t>2026-09-12</t>
        </is>
      </c>
      <c r="B113" s="22" t="n">
        <v>2</v>
      </c>
      <c r="C113" s="12" t="inlineStr">
        <is>
          <t>ORE</t>
        </is>
      </c>
      <c r="D113" s="12" t="inlineStr">
        <is>
          <t>OKST</t>
        </is>
      </c>
      <c r="E113" s="22" t="n">
        <v>0</v>
      </c>
      <c r="F113" s="22" t="n">
        <v>0</v>
      </c>
      <c r="G113" s="12" t="inlineStr">
        <is>
          <t>9/12 - 12:00 PM EDT</t>
        </is>
      </c>
      <c r="H113" s="12" t="inlineStr"/>
      <c r="I113" s="23" t="n">
        <v>23.5</v>
      </c>
      <c r="J113" s="29" t="n">
        <v>56.5</v>
      </c>
      <c r="K113" s="13" t="n">
        <v>-2100</v>
      </c>
      <c r="L113" s="13" t="n">
        <v>1100</v>
      </c>
      <c r="M113" s="12" t="inlineStr">
        <is>
          <t>DraftKings</t>
        </is>
      </c>
    </row>
    <row r="114">
      <c r="A114" s="17" t="inlineStr">
        <is>
          <t>2026-09-12</t>
        </is>
      </c>
      <c r="B114" s="25" t="n">
        <v>2</v>
      </c>
      <c r="C114" s="17" t="inlineStr">
        <is>
          <t>ETSU</t>
        </is>
      </c>
      <c r="D114" s="17" t="inlineStr">
        <is>
          <t>UNC</t>
        </is>
      </c>
      <c r="E114" s="25" t="n">
        <v>0</v>
      </c>
      <c r="F114" s="25" t="n">
        <v>0</v>
      </c>
      <c r="G114" s="17" t="inlineStr">
        <is>
          <t>9/12 - 12:00 PM EDT</t>
        </is>
      </c>
      <c r="H114" s="17" t="inlineStr"/>
      <c r="I114" s="26" t="n">
        <v>-35.5</v>
      </c>
      <c r="J114" s="30" t="n">
        <v>54.5</v>
      </c>
      <c r="K114" s="18" t="n"/>
      <c r="L114" s="18" t="n"/>
      <c r="M114" s="17" t="inlineStr">
        <is>
          <t>DraftKings</t>
        </is>
      </c>
    </row>
    <row r="115">
      <c r="A115" s="12" t="inlineStr">
        <is>
          <t>2026-09-12</t>
        </is>
      </c>
      <c r="B115" s="22" t="n">
        <v>2</v>
      </c>
      <c r="C115" s="12" t="inlineStr">
        <is>
          <t>ODU</t>
        </is>
      </c>
      <c r="D115" s="12" t="inlineStr">
        <is>
          <t>VT</t>
        </is>
      </c>
      <c r="E115" s="22" t="n">
        <v>0</v>
      </c>
      <c r="F115" s="22" t="n">
        <v>0</v>
      </c>
      <c r="G115" s="12" t="inlineStr">
        <is>
          <t>9/12 - 12:00 PM EDT</t>
        </is>
      </c>
      <c r="H115" s="12" t="inlineStr"/>
      <c r="I115" s="23" t="n">
        <v>-19.5</v>
      </c>
      <c r="J115" s="29" t="n">
        <v>49.5</v>
      </c>
      <c r="K115" s="13" t="n">
        <v>750</v>
      </c>
      <c r="L115" s="13" t="n">
        <v>-1200</v>
      </c>
      <c r="M115" s="12" t="inlineStr">
        <is>
          <t>DraftKings</t>
        </is>
      </c>
    </row>
    <row r="116">
      <c r="A116" s="17" t="inlineStr">
        <is>
          <t>2026-09-12</t>
        </is>
      </c>
      <c r="B116" s="25" t="n">
        <v>2</v>
      </c>
      <c r="C116" s="17" t="inlineStr">
        <is>
          <t>WAKE</t>
        </is>
      </c>
      <c r="D116" s="17" t="inlineStr">
        <is>
          <t>PUR</t>
        </is>
      </c>
      <c r="E116" s="25" t="n">
        <v>0</v>
      </c>
      <c r="F116" s="25" t="n">
        <v>0</v>
      </c>
      <c r="G116" s="17" t="inlineStr">
        <is>
          <t>9/12 - 12:00 PM EDT</t>
        </is>
      </c>
      <c r="H116" s="17" t="inlineStr"/>
      <c r="I116" s="26" t="n">
        <v>3</v>
      </c>
      <c r="J116" s="30" t="n">
        <v>49.5</v>
      </c>
      <c r="K116" s="18" t="n">
        <v>-155</v>
      </c>
      <c r="L116" s="18" t="n">
        <v>130</v>
      </c>
      <c r="M116" s="17" t="inlineStr">
        <is>
          <t>DraftKings</t>
        </is>
      </c>
    </row>
    <row r="117">
      <c r="A117" s="12" t="inlineStr">
        <is>
          <t>2026-09-12</t>
        </is>
      </c>
      <c r="B117" s="22" t="n">
        <v>2</v>
      </c>
      <c r="C117" s="12" t="inlineStr">
        <is>
          <t>HOW</t>
        </is>
      </c>
      <c r="D117" s="12" t="inlineStr">
        <is>
          <t>IU</t>
        </is>
      </c>
      <c r="E117" s="22" t="n">
        <v>0</v>
      </c>
      <c r="F117" s="22" t="n">
        <v>0</v>
      </c>
      <c r="G117" s="12" t="inlineStr">
        <is>
          <t>9/12 - 12:00 PM EDT</t>
        </is>
      </c>
      <c r="H117" s="12" t="inlineStr"/>
      <c r="I117" s="23" t="n">
        <v>-56.5</v>
      </c>
      <c r="J117" s="29" t="n">
        <v>64.5</v>
      </c>
      <c r="K117" s="13" t="n"/>
      <c r="L117" s="13" t="n"/>
      <c r="M117" s="12" t="inlineStr">
        <is>
          <t>DraftKings</t>
        </is>
      </c>
    </row>
    <row r="118">
      <c r="A118" s="17" t="inlineStr">
        <is>
          <t>2026-09-12</t>
        </is>
      </c>
      <c r="B118" s="25" t="n">
        <v>2</v>
      </c>
      <c r="C118" s="17" t="inlineStr">
        <is>
          <t>PSU</t>
        </is>
      </c>
      <c r="D118" s="17" t="inlineStr">
        <is>
          <t>TEM</t>
        </is>
      </c>
      <c r="E118" s="25" t="n">
        <v>0</v>
      </c>
      <c r="F118" s="25" t="n">
        <v>0</v>
      </c>
      <c r="G118" s="17" t="inlineStr">
        <is>
          <t>9/12 - 12:00 PM EDT</t>
        </is>
      </c>
      <c r="H118" s="17" t="inlineStr"/>
      <c r="I118" s="26" t="n">
        <v>23.5</v>
      </c>
      <c r="J118" s="30" t="n">
        <v>49.5</v>
      </c>
      <c r="K118" s="18" t="n">
        <v>-2400</v>
      </c>
      <c r="L118" s="18" t="n">
        <v>1200</v>
      </c>
      <c r="M118" s="17" t="inlineStr">
        <is>
          <t>DraftKings</t>
        </is>
      </c>
    </row>
    <row r="119">
      <c r="A119" s="12" t="inlineStr">
        <is>
          <t>2026-09-12</t>
        </is>
      </c>
      <c r="B119" s="22" t="n">
        <v>2</v>
      </c>
      <c r="C119" s="12" t="inlineStr">
        <is>
          <t>USF</t>
        </is>
      </c>
      <c r="D119" s="12" t="inlineStr">
        <is>
          <t>ARMY</t>
        </is>
      </c>
      <c r="E119" s="22" t="n">
        <v>0</v>
      </c>
      <c r="F119" s="22" t="n">
        <v>0</v>
      </c>
      <c r="G119" s="12" t="inlineStr">
        <is>
          <t>9/12 - 12:00 PM EDT</t>
        </is>
      </c>
      <c r="H119" s="12" t="inlineStr"/>
      <c r="I119" s="23" t="n">
        <v>-3.5</v>
      </c>
      <c r="J119" s="29" t="n">
        <v>46.5</v>
      </c>
      <c r="K119" s="13" t="n">
        <v>145</v>
      </c>
      <c r="L119" s="13" t="n">
        <v>-175</v>
      </c>
      <c r="M119" s="12" t="inlineStr">
        <is>
          <t>DraftKings</t>
        </is>
      </c>
    </row>
    <row r="120">
      <c r="A120" s="17" t="inlineStr">
        <is>
          <t>2026-09-12</t>
        </is>
      </c>
      <c r="B120" s="25" t="n">
        <v>2</v>
      </c>
      <c r="C120" s="17" t="inlineStr">
        <is>
          <t>APP</t>
        </is>
      </c>
      <c r="D120" s="17" t="inlineStr">
        <is>
          <t>ECU</t>
        </is>
      </c>
      <c r="E120" s="25" t="n">
        <v>0</v>
      </c>
      <c r="F120" s="25" t="n">
        <v>0</v>
      </c>
      <c r="G120" s="17" t="inlineStr">
        <is>
          <t>9/12 - 12:00 PM EDT</t>
        </is>
      </c>
      <c r="H120" s="17" t="inlineStr"/>
      <c r="I120" s="26" t="n">
        <v>-7</v>
      </c>
      <c r="J120" s="30" t="n">
        <v>56.5</v>
      </c>
      <c r="K120" s="18" t="n">
        <v>215</v>
      </c>
      <c r="L120" s="18" t="n">
        <v>-265</v>
      </c>
      <c r="M120" s="17" t="inlineStr">
        <is>
          <t>DraftKings</t>
        </is>
      </c>
    </row>
    <row r="121">
      <c r="A121" s="12" t="inlineStr">
        <is>
          <t>2026-09-12</t>
        </is>
      </c>
      <c r="B121" s="22" t="n">
        <v>2</v>
      </c>
      <c r="C121" s="12" t="inlineStr">
        <is>
          <t>WOF</t>
        </is>
      </c>
      <c r="D121" s="12" t="inlineStr">
        <is>
          <t>KENT</t>
        </is>
      </c>
      <c r="E121" s="22" t="n">
        <v>0</v>
      </c>
      <c r="F121" s="22" t="n">
        <v>0</v>
      </c>
      <c r="G121" s="12" t="inlineStr">
        <is>
          <t>9/12 - 12:00 PM EDT</t>
        </is>
      </c>
      <c r="H121" s="12" t="inlineStr"/>
      <c r="I121" s="23" t="n">
        <v>-11.5</v>
      </c>
      <c r="J121" s="29" t="n">
        <v>47.5</v>
      </c>
      <c r="K121" s="13" t="n">
        <v>410</v>
      </c>
      <c r="L121" s="13" t="n">
        <v>-550</v>
      </c>
      <c r="M121" s="12" t="inlineStr">
        <is>
          <t>DraftKings</t>
        </is>
      </c>
    </row>
    <row r="122">
      <c r="A122" s="17" t="inlineStr">
        <is>
          <t>2026-09-12</t>
        </is>
      </c>
      <c r="B122" s="25" t="n">
        <v>2</v>
      </c>
      <c r="C122" s="17" t="inlineStr">
        <is>
          <t>WKU</t>
        </is>
      </c>
      <c r="D122" s="17" t="inlineStr">
        <is>
          <t>UGA</t>
        </is>
      </c>
      <c r="E122" s="25" t="n">
        <v>0</v>
      </c>
      <c r="F122" s="25" t="n">
        <v>0</v>
      </c>
      <c r="G122" s="17" t="inlineStr">
        <is>
          <t>9/12 - 12:45 PM EDT</t>
        </is>
      </c>
      <c r="H122" s="17" t="inlineStr"/>
      <c r="I122" s="26" t="n">
        <v>-40.5</v>
      </c>
      <c r="J122" s="30" t="n">
        <v>55.5</v>
      </c>
      <c r="K122" s="18" t="n"/>
      <c r="L122" s="18" t="n"/>
      <c r="M122" s="17" t="inlineStr">
        <is>
          <t>DraftKings</t>
        </is>
      </c>
    </row>
    <row r="123">
      <c r="A123" s="12" t="inlineStr">
        <is>
          <t>2026-09-12</t>
        </is>
      </c>
      <c r="B123" s="22" t="n">
        <v>2</v>
      </c>
      <c r="C123" s="12" t="inlineStr">
        <is>
          <t>UTM</t>
        </is>
      </c>
      <c r="D123" s="12" t="inlineStr">
        <is>
          <t>WVU</t>
        </is>
      </c>
      <c r="E123" s="22" t="n">
        <v>0</v>
      </c>
      <c r="F123" s="22" t="n">
        <v>0</v>
      </c>
      <c r="G123" s="12" t="inlineStr">
        <is>
          <t>9/12 - 1:00 PM EDT</t>
        </is>
      </c>
      <c r="H123" s="12" t="inlineStr"/>
      <c r="I123" s="23" t="n">
        <v>-41.5</v>
      </c>
      <c r="J123" s="29" t="n">
        <v>55.5</v>
      </c>
      <c r="K123" s="13" t="n"/>
      <c r="L123" s="13" t="n"/>
      <c r="M123" s="12" t="inlineStr">
        <is>
          <t>DraftKings</t>
        </is>
      </c>
    </row>
    <row r="124">
      <c r="A124" s="17" t="inlineStr">
        <is>
          <t>2026-09-12</t>
        </is>
      </c>
      <c r="B124" s="25" t="n">
        <v>2</v>
      </c>
      <c r="C124" s="17" t="inlineStr">
        <is>
          <t>COLG</t>
        </is>
      </c>
      <c r="D124" s="17" t="inlineStr">
        <is>
          <t>CMU</t>
        </is>
      </c>
      <c r="E124" s="25" t="n">
        <v>0</v>
      </c>
      <c r="F124" s="25" t="n">
        <v>0</v>
      </c>
      <c r="G124" s="17" t="inlineStr">
        <is>
          <t>9/12 - 1:00 PM EDT</t>
        </is>
      </c>
      <c r="H124" s="17" t="inlineStr"/>
      <c r="I124" s="26" t="n">
        <v>-23.5</v>
      </c>
      <c r="J124" s="30" t="n">
        <v>49.5</v>
      </c>
      <c r="K124" s="18" t="n">
        <v>1300</v>
      </c>
      <c r="L124" s="18" t="n">
        <v>-2800</v>
      </c>
      <c r="M124" s="17" t="inlineStr">
        <is>
          <t>DraftKings</t>
        </is>
      </c>
    </row>
    <row r="125">
      <c r="A125" s="12" t="inlineStr">
        <is>
          <t>2026-09-12</t>
        </is>
      </c>
      <c r="B125" s="22" t="n">
        <v>2</v>
      </c>
      <c r="C125" s="12" t="inlineStr">
        <is>
          <t>HC</t>
        </is>
      </c>
      <c r="D125" s="12" t="inlineStr">
        <is>
          <t>M-OH</t>
        </is>
      </c>
      <c r="E125" s="22" t="n">
        <v>0</v>
      </c>
      <c r="F125" s="22" t="n">
        <v>0</v>
      </c>
      <c r="G125" s="12" t="inlineStr">
        <is>
          <t>9/12 - 1:00 PM EDT</t>
        </is>
      </c>
      <c r="H125" s="12" t="inlineStr"/>
      <c r="I125" s="23" t="n">
        <v>-30.5</v>
      </c>
      <c r="J125" s="29" t="n">
        <v>49.5</v>
      </c>
      <c r="K125" s="13" t="n">
        <v>2200</v>
      </c>
      <c r="L125" s="13" t="n">
        <v>-8000</v>
      </c>
      <c r="M125" s="12" t="inlineStr">
        <is>
          <t>DraftKings</t>
        </is>
      </c>
    </row>
    <row r="126">
      <c r="A126" s="17" t="inlineStr">
        <is>
          <t>2026-09-12</t>
        </is>
      </c>
      <c r="B126" s="25" t="n">
        <v>2</v>
      </c>
      <c r="C126" s="17" t="inlineStr">
        <is>
          <t>STBK</t>
        </is>
      </c>
      <c r="D126" s="17" t="inlineStr">
        <is>
          <t>BALL</t>
        </is>
      </c>
      <c r="E126" s="25" t="n">
        <v>0</v>
      </c>
      <c r="F126" s="25" t="n">
        <v>0</v>
      </c>
      <c r="G126" s="17" t="inlineStr">
        <is>
          <t>9/12 - 2:00 PM EDT</t>
        </is>
      </c>
      <c r="H126" s="17" t="inlineStr"/>
      <c r="I126" s="26" t="n">
        <v>-14.5</v>
      </c>
      <c r="J126" s="30" t="n">
        <v>57.5</v>
      </c>
      <c r="K126" s="18" t="n">
        <v>575</v>
      </c>
      <c r="L126" s="18" t="n">
        <v>-850</v>
      </c>
      <c r="M126" s="17" t="inlineStr">
        <is>
          <t>DraftKings</t>
        </is>
      </c>
    </row>
    <row r="127">
      <c r="A127" s="12" t="inlineStr">
        <is>
          <t>2026-09-12</t>
        </is>
      </c>
      <c r="B127" s="22" t="n">
        <v>2</v>
      </c>
      <c r="C127" s="12" t="inlineStr">
        <is>
          <t>ALA</t>
        </is>
      </c>
      <c r="D127" s="12" t="inlineStr">
        <is>
          <t>UK</t>
        </is>
      </c>
      <c r="E127" s="22" t="n">
        <v>0</v>
      </c>
      <c r="F127" s="22" t="n">
        <v>0</v>
      </c>
      <c r="G127" s="12" t="inlineStr">
        <is>
          <t>9/12 - 3:30 PM EDT</t>
        </is>
      </c>
      <c r="H127" s="12" t="inlineStr"/>
      <c r="I127" s="23" t="n">
        <v>10.5</v>
      </c>
      <c r="J127" s="29" t="n">
        <v>49.5</v>
      </c>
      <c r="K127" s="13" t="n">
        <v>-375</v>
      </c>
      <c r="L127" s="13" t="n">
        <v>295</v>
      </c>
      <c r="M127" s="12" t="inlineStr">
        <is>
          <t>DraftKings</t>
        </is>
      </c>
    </row>
    <row r="128">
      <c r="A128" s="17" t="inlineStr">
        <is>
          <t>2026-09-12</t>
        </is>
      </c>
      <c r="B128" s="25" t="n">
        <v>2</v>
      </c>
      <c r="C128" s="17" t="inlineStr">
        <is>
          <t>MSST</t>
        </is>
      </c>
      <c r="D128" s="17" t="inlineStr">
        <is>
          <t>MINN</t>
        </is>
      </c>
      <c r="E128" s="25" t="n">
        <v>0</v>
      </c>
      <c r="F128" s="25" t="n">
        <v>0</v>
      </c>
      <c r="G128" s="17" t="inlineStr">
        <is>
          <t>9/12 - 3:30 PM EDT</t>
        </is>
      </c>
      <c r="H128" s="17" t="inlineStr"/>
      <c r="I128" s="26" t="n">
        <v>-1.5</v>
      </c>
      <c r="J128" s="30" t="n">
        <v>55.5</v>
      </c>
      <c r="K128" s="18" t="n">
        <v>-108</v>
      </c>
      <c r="L128" s="18" t="n">
        <v>-112</v>
      </c>
      <c r="M128" s="17" t="inlineStr">
        <is>
          <t>DraftKings</t>
        </is>
      </c>
    </row>
    <row r="129">
      <c r="A129" s="12" t="inlineStr">
        <is>
          <t>2026-09-12</t>
        </is>
      </c>
      <c r="B129" s="22" t="n">
        <v>2</v>
      </c>
      <c r="C129" s="12" t="inlineStr">
        <is>
          <t>WEB</t>
        </is>
      </c>
      <c r="D129" s="12" t="inlineStr">
        <is>
          <t>COLO</t>
        </is>
      </c>
      <c r="E129" s="22" t="n">
        <v>0</v>
      </c>
      <c r="F129" s="22" t="n">
        <v>0</v>
      </c>
      <c r="G129" s="12" t="inlineStr">
        <is>
          <t>9/12 - 3:30 PM EDT</t>
        </is>
      </c>
      <c r="H129" s="12" t="inlineStr"/>
      <c r="I129" s="23" t="n">
        <v>-33.5</v>
      </c>
      <c r="J129" s="29" t="n">
        <v>54.5</v>
      </c>
      <c r="K129" s="13" t="n">
        <v>3000</v>
      </c>
      <c r="L129" s="13" t="n">
        <v>-10000</v>
      </c>
      <c r="M129" s="12" t="inlineStr">
        <is>
          <t>DraftKings</t>
        </is>
      </c>
    </row>
    <row r="130">
      <c r="A130" s="17" t="inlineStr">
        <is>
          <t>2026-09-12</t>
        </is>
      </c>
      <c r="B130" s="25" t="n">
        <v>2</v>
      </c>
      <c r="C130" s="17" t="inlineStr">
        <is>
          <t>UCF</t>
        </is>
      </c>
      <c r="D130" s="17" t="inlineStr">
        <is>
          <t>PITT</t>
        </is>
      </c>
      <c r="E130" s="25" t="n">
        <v>0</v>
      </c>
      <c r="F130" s="25" t="n">
        <v>0</v>
      </c>
      <c r="G130" s="17" t="inlineStr">
        <is>
          <t>9/12 - 3:30 PM EDT</t>
        </is>
      </c>
      <c r="H130" s="17" t="inlineStr"/>
      <c r="I130" s="26" t="n">
        <v>-7</v>
      </c>
      <c r="J130" s="30" t="n">
        <v>56.5</v>
      </c>
      <c r="K130" s="18" t="n">
        <v>220</v>
      </c>
      <c r="L130" s="18" t="n">
        <v>-270</v>
      </c>
      <c r="M130" s="17" t="inlineStr">
        <is>
          <t>DraftKings</t>
        </is>
      </c>
    </row>
    <row r="131">
      <c r="A131" s="12" t="inlineStr">
        <is>
          <t>2026-09-12</t>
        </is>
      </c>
      <c r="B131" s="22" t="n">
        <v>2</v>
      </c>
      <c r="C131" s="12" t="inlineStr">
        <is>
          <t>ARIZ</t>
        </is>
      </c>
      <c r="D131" s="12" t="inlineStr">
        <is>
          <t>BYU</t>
        </is>
      </c>
      <c r="E131" s="22" t="n">
        <v>0</v>
      </c>
      <c r="F131" s="22" t="n">
        <v>0</v>
      </c>
      <c r="G131" s="12" t="inlineStr">
        <is>
          <t>9/12 - 3:30 PM EDT</t>
        </is>
      </c>
      <c r="H131" s="12" t="inlineStr"/>
      <c r="I131" s="23" t="n">
        <v>-7.5</v>
      </c>
      <c r="J131" s="29" t="n">
        <v>47.5</v>
      </c>
      <c r="K131" s="13" t="n">
        <v>245</v>
      </c>
      <c r="L131" s="13" t="n">
        <v>-305</v>
      </c>
      <c r="M131" s="12" t="inlineStr">
        <is>
          <t>DraftKings</t>
        </is>
      </c>
    </row>
    <row r="132">
      <c r="A132" s="17" t="inlineStr">
        <is>
          <t>2026-09-12</t>
        </is>
      </c>
      <c r="B132" s="25" t="n">
        <v>2</v>
      </c>
      <c r="C132" s="17" t="inlineStr">
        <is>
          <t>CAL</t>
        </is>
      </c>
      <c r="D132" s="17" t="inlineStr">
        <is>
          <t>SYR</t>
        </is>
      </c>
      <c r="E132" s="25" t="n">
        <v>0</v>
      </c>
      <c r="F132" s="25" t="n">
        <v>0</v>
      </c>
      <c r="G132" s="17" t="inlineStr">
        <is>
          <t>9/12 - 3:30 PM EDT</t>
        </is>
      </c>
      <c r="H132" s="17" t="inlineStr"/>
      <c r="I132" s="26" t="n">
        <v>-3.5</v>
      </c>
      <c r="J132" s="30" t="n">
        <v>56.5</v>
      </c>
      <c r="K132" s="18" t="n">
        <v>150</v>
      </c>
      <c r="L132" s="18" t="n">
        <v>-180</v>
      </c>
      <c r="M132" s="17" t="inlineStr">
        <is>
          <t>DraftKings</t>
        </is>
      </c>
    </row>
    <row r="133">
      <c r="A133" s="12" t="inlineStr">
        <is>
          <t>2026-09-12</t>
        </is>
      </c>
      <c r="B133" s="22" t="n">
        <v>2</v>
      </c>
      <c r="C133" s="12" t="inlineStr">
        <is>
          <t>DUKE</t>
        </is>
      </c>
      <c r="D133" s="12" t="inlineStr">
        <is>
          <t>ILL</t>
        </is>
      </c>
      <c r="E133" s="22" t="n">
        <v>0</v>
      </c>
      <c r="F133" s="22" t="n">
        <v>0</v>
      </c>
      <c r="G133" s="12" t="inlineStr">
        <is>
          <t>9/12 - 3:30 PM EDT</t>
        </is>
      </c>
      <c r="H133" s="12" t="inlineStr"/>
      <c r="I133" s="23" t="n">
        <v>-6</v>
      </c>
      <c r="J133" s="29" t="n">
        <v>51.5</v>
      </c>
      <c r="K133" s="13" t="n">
        <v>180</v>
      </c>
      <c r="L133" s="13" t="n">
        <v>-218</v>
      </c>
      <c r="M133" s="12" t="inlineStr">
        <is>
          <t>DraftKings</t>
        </is>
      </c>
    </row>
    <row r="134">
      <c r="A134" s="17" t="inlineStr">
        <is>
          <t>2026-09-12</t>
        </is>
      </c>
      <c r="B134" s="25" t="n">
        <v>2</v>
      </c>
      <c r="C134" s="17" t="inlineStr">
        <is>
          <t>EMU</t>
        </is>
      </c>
      <c r="D134" s="17" t="inlineStr">
        <is>
          <t>MSU</t>
        </is>
      </c>
      <c r="E134" s="25" t="n">
        <v>0</v>
      </c>
      <c r="F134" s="25" t="n">
        <v>0</v>
      </c>
      <c r="G134" s="17" t="inlineStr">
        <is>
          <t>9/12 - 3:30 PM EDT</t>
        </is>
      </c>
      <c r="H134" s="17" t="inlineStr"/>
      <c r="I134" s="26" t="n">
        <v>-17.5</v>
      </c>
      <c r="J134" s="30" t="n">
        <v>49.5</v>
      </c>
      <c r="K134" s="18" t="n">
        <v>600</v>
      </c>
      <c r="L134" s="18" t="n">
        <v>-900</v>
      </c>
      <c r="M134" s="17" t="inlineStr">
        <is>
          <t>DraftKings</t>
        </is>
      </c>
    </row>
    <row r="135">
      <c r="A135" s="12" t="inlineStr">
        <is>
          <t>2026-09-12</t>
        </is>
      </c>
      <c r="B135" s="22" t="n">
        <v>2</v>
      </c>
      <c r="C135" s="12" t="inlineStr">
        <is>
          <t>MD</t>
        </is>
      </c>
      <c r="D135" s="12" t="inlineStr">
        <is>
          <t>CONN</t>
        </is>
      </c>
      <c r="E135" s="22" t="n">
        <v>0</v>
      </c>
      <c r="F135" s="22" t="n">
        <v>0</v>
      </c>
      <c r="G135" s="12" t="inlineStr">
        <is>
          <t>9/12 - 3:30 PM EDT</t>
        </is>
      </c>
      <c r="H135" s="12" t="inlineStr"/>
      <c r="I135" s="23" t="n">
        <v>11.5</v>
      </c>
      <c r="J135" s="29" t="n">
        <v>52.5</v>
      </c>
      <c r="K135" s="13" t="n">
        <v>-470</v>
      </c>
      <c r="L135" s="13" t="n">
        <v>360</v>
      </c>
      <c r="M135" s="12" t="inlineStr">
        <is>
          <t>DraftKings</t>
        </is>
      </c>
    </row>
    <row r="136">
      <c r="A136" s="17" t="inlineStr">
        <is>
          <t>2026-09-12</t>
        </is>
      </c>
      <c r="B136" s="25" t="n">
        <v>2</v>
      </c>
      <c r="C136" s="17" t="inlineStr">
        <is>
          <t>USU</t>
        </is>
      </c>
      <c r="D136" s="17" t="inlineStr">
        <is>
          <t>WASH</t>
        </is>
      </c>
      <c r="E136" s="25" t="n">
        <v>0</v>
      </c>
      <c r="F136" s="25" t="n">
        <v>0</v>
      </c>
      <c r="G136" s="17" t="inlineStr">
        <is>
          <t>9/12 - 3:30 PM EDT</t>
        </is>
      </c>
      <c r="H136" s="17" t="inlineStr"/>
      <c r="I136" s="26" t="n">
        <v>-26.5</v>
      </c>
      <c r="J136" s="30" t="n">
        <v>55.5</v>
      </c>
      <c r="K136" s="18" t="n">
        <v>1500</v>
      </c>
      <c r="L136" s="18" t="n">
        <v>-3600</v>
      </c>
      <c r="M136" s="17" t="inlineStr">
        <is>
          <t>DraftKings</t>
        </is>
      </c>
    </row>
    <row r="137">
      <c r="A137" s="12" t="inlineStr">
        <is>
          <t>2026-09-12</t>
        </is>
      </c>
      <c r="B137" s="22" t="n">
        <v>2</v>
      </c>
      <c r="C137" s="12" t="inlineStr">
        <is>
          <t>RICE</t>
        </is>
      </c>
      <c r="D137" s="12" t="inlineStr">
        <is>
          <t>ND</t>
        </is>
      </c>
      <c r="E137" s="22" t="n">
        <v>0</v>
      </c>
      <c r="F137" s="22" t="n">
        <v>0</v>
      </c>
      <c r="G137" s="12" t="inlineStr">
        <is>
          <t>9/12 - 3:30 PM EDT</t>
        </is>
      </c>
      <c r="H137" s="12" t="inlineStr"/>
      <c r="I137" s="23" t="n">
        <v>-44.5</v>
      </c>
      <c r="J137" s="29" t="n">
        <v>54.5</v>
      </c>
      <c r="K137" s="13" t="n"/>
      <c r="L137" s="13" t="n"/>
      <c r="M137" s="12" t="inlineStr">
        <is>
          <t>DraftKings</t>
        </is>
      </c>
    </row>
    <row r="138">
      <c r="A138" s="17" t="inlineStr">
        <is>
          <t>2026-09-12</t>
        </is>
      </c>
      <c r="B138" s="25" t="n">
        <v>2</v>
      </c>
      <c r="C138" s="17" t="inlineStr">
        <is>
          <t>UTSA</t>
        </is>
      </c>
      <c r="D138" s="17" t="inlineStr">
        <is>
          <t>TXST</t>
        </is>
      </c>
      <c r="E138" s="25" t="n">
        <v>0</v>
      </c>
      <c r="F138" s="25" t="n">
        <v>0</v>
      </c>
      <c r="G138" s="17" t="inlineStr">
        <is>
          <t>9/12 - 3:30 PM EDT</t>
        </is>
      </c>
      <c r="H138" s="17" t="inlineStr"/>
      <c r="I138" s="26" t="n">
        <v>-1.5</v>
      </c>
      <c r="J138" s="30" t="n">
        <v>66.5</v>
      </c>
      <c r="K138" s="18" t="n">
        <v>102</v>
      </c>
      <c r="L138" s="18" t="n">
        <v>-122</v>
      </c>
      <c r="M138" s="17" t="inlineStr">
        <is>
          <t>DraftKings</t>
        </is>
      </c>
    </row>
    <row r="139">
      <c r="A139" s="12" t="inlineStr">
        <is>
          <t>2026-09-12</t>
        </is>
      </c>
      <c r="B139" s="22" t="n">
        <v>2</v>
      </c>
      <c r="C139" s="12" t="inlineStr">
        <is>
          <t>ULM</t>
        </is>
      </c>
      <c r="D139" s="12" t="inlineStr">
        <is>
          <t>UAB</t>
        </is>
      </c>
      <c r="E139" s="22" t="n">
        <v>0</v>
      </c>
      <c r="F139" s="22" t="n">
        <v>0</v>
      </c>
      <c r="G139" s="12" t="inlineStr">
        <is>
          <t>9/12 - 3:30 PM EDT</t>
        </is>
      </c>
      <c r="H139" s="12" t="inlineStr"/>
      <c r="I139" s="23" t="n">
        <v>-10</v>
      </c>
      <c r="J139" s="29" t="n">
        <v>55.5</v>
      </c>
      <c r="K139" s="13" t="n">
        <v>295</v>
      </c>
      <c r="L139" s="13" t="n">
        <v>-375</v>
      </c>
      <c r="M139" s="12" t="inlineStr">
        <is>
          <t>DraftKings</t>
        </is>
      </c>
    </row>
    <row r="140">
      <c r="A140" s="17" t="inlineStr">
        <is>
          <t>2026-09-12</t>
        </is>
      </c>
      <c r="B140" s="25" t="n">
        <v>2</v>
      </c>
      <c r="C140" s="17" t="inlineStr">
        <is>
          <t>RMU</t>
        </is>
      </c>
      <c r="D140" s="17" t="inlineStr">
        <is>
          <t>AKR</t>
        </is>
      </c>
      <c r="E140" s="25" t="n">
        <v>0</v>
      </c>
      <c r="F140" s="25" t="n">
        <v>0</v>
      </c>
      <c r="G140" s="17" t="inlineStr">
        <is>
          <t>9/12 - 3:30 PM EDT</t>
        </is>
      </c>
      <c r="H140" s="17" t="inlineStr"/>
      <c r="I140" s="26" t="n">
        <v>-27.5</v>
      </c>
      <c r="J140" s="30" t="n">
        <v>41.5</v>
      </c>
      <c r="K140" s="18" t="n">
        <v>1800</v>
      </c>
      <c r="L140" s="18" t="n">
        <v>-5000</v>
      </c>
      <c r="M140" s="17" t="inlineStr">
        <is>
          <t>DraftKings</t>
        </is>
      </c>
    </row>
    <row r="141">
      <c r="A141" s="12" t="inlineStr">
        <is>
          <t>2026-09-12</t>
        </is>
      </c>
      <c r="B141" s="22" t="n">
        <v>2</v>
      </c>
      <c r="C141" s="12" t="inlineStr">
        <is>
          <t>CCSU</t>
        </is>
      </c>
      <c r="D141" s="12" t="inlineStr">
        <is>
          <t>TOL</t>
        </is>
      </c>
      <c r="E141" s="22" t="n">
        <v>0</v>
      </c>
      <c r="F141" s="22" t="n">
        <v>0</v>
      </c>
      <c r="G141" s="12" t="inlineStr">
        <is>
          <t>9/12 - 3:30 PM EDT</t>
        </is>
      </c>
      <c r="H141" s="12" t="inlineStr"/>
      <c r="I141" s="23" t="n">
        <v>-33.5</v>
      </c>
      <c r="J141" s="29" t="n">
        <v>55.5</v>
      </c>
      <c r="K141" s="13" t="n">
        <v>2500</v>
      </c>
      <c r="L141" s="13" t="n">
        <v>-9000</v>
      </c>
      <c r="M141" s="12" t="inlineStr">
        <is>
          <t>DraftKings</t>
        </is>
      </c>
    </row>
    <row r="142">
      <c r="A142" s="17" t="inlineStr">
        <is>
          <t>2026-09-12</t>
        </is>
      </c>
      <c r="B142" s="25" t="n">
        <v>2</v>
      </c>
      <c r="C142" s="17" t="inlineStr">
        <is>
          <t>SHU</t>
        </is>
      </c>
      <c r="D142" s="17" t="inlineStr">
        <is>
          <t>MASS</t>
        </is>
      </c>
      <c r="E142" s="25" t="n">
        <v>0</v>
      </c>
      <c r="F142" s="25" t="n">
        <v>0</v>
      </c>
      <c r="G142" s="17" t="inlineStr">
        <is>
          <t>9/12 - 3:30 PM EDT</t>
        </is>
      </c>
      <c r="H142" s="17" t="inlineStr"/>
      <c r="I142" s="26" t="n">
        <v>-23.5</v>
      </c>
      <c r="J142" s="30" t="n">
        <v>53.5</v>
      </c>
      <c r="K142" s="18" t="n">
        <v>1200</v>
      </c>
      <c r="L142" s="18" t="n">
        <v>-2400</v>
      </c>
      <c r="M142" s="17" t="inlineStr">
        <is>
          <t>DraftKings</t>
        </is>
      </c>
    </row>
    <row r="143">
      <c r="A143" s="12" t="inlineStr">
        <is>
          <t>2026-09-12</t>
        </is>
      </c>
      <c r="B143" s="22" t="n">
        <v>2</v>
      </c>
      <c r="C143" s="12" t="inlineStr">
        <is>
          <t>WAG</t>
        </is>
      </c>
      <c r="D143" s="12" t="inlineStr">
        <is>
          <t>JMU</t>
        </is>
      </c>
      <c r="E143" s="22" t="n">
        <v>0</v>
      </c>
      <c r="F143" s="22" t="n">
        <v>0</v>
      </c>
      <c r="G143" s="12" t="inlineStr">
        <is>
          <t>9/12 - 3:30 PM EDT</t>
        </is>
      </c>
      <c r="H143" s="12" t="inlineStr"/>
      <c r="I143" s="23" t="n">
        <v>-45.5</v>
      </c>
      <c r="J143" s="29" t="n">
        <v>54.5</v>
      </c>
      <c r="K143" s="13" t="n"/>
      <c r="L143" s="13" t="n"/>
      <c r="M143" s="12" t="inlineStr">
        <is>
          <t>DraftKings</t>
        </is>
      </c>
    </row>
    <row r="144">
      <c r="A144" s="17" t="inlineStr">
        <is>
          <t>2026-09-12</t>
        </is>
      </c>
      <c r="B144" s="25" t="n">
        <v>2</v>
      </c>
      <c r="C144" s="17" t="inlineStr">
        <is>
          <t>UNLV</t>
        </is>
      </c>
      <c r="D144" s="17" t="inlineStr">
        <is>
          <t>UNT</t>
        </is>
      </c>
      <c r="E144" s="25" t="n">
        <v>0</v>
      </c>
      <c r="F144" s="25" t="n">
        <v>0</v>
      </c>
      <c r="G144" s="17" t="inlineStr">
        <is>
          <t>9/12 - 3:45 PM EDT</t>
        </is>
      </c>
      <c r="H144" s="17" t="inlineStr"/>
      <c r="I144" s="26" t="n">
        <v>3</v>
      </c>
      <c r="J144" s="30" t="n">
        <v>56.5</v>
      </c>
      <c r="K144" s="18" t="n">
        <v>-162</v>
      </c>
      <c r="L144" s="18" t="n">
        <v>136</v>
      </c>
      <c r="M144" s="17" t="inlineStr">
        <is>
          <t>DraftKings</t>
        </is>
      </c>
    </row>
    <row r="145">
      <c r="A145" s="12" t="inlineStr">
        <is>
          <t>2026-09-12</t>
        </is>
      </c>
      <c r="B145" s="22" t="n">
        <v>2</v>
      </c>
      <c r="C145" s="12" t="inlineStr">
        <is>
          <t>UCD</t>
        </is>
      </c>
      <c r="D145" s="12" t="inlineStr">
        <is>
          <t>SMU</t>
        </is>
      </c>
      <c r="E145" s="22" t="n">
        <v>0</v>
      </c>
      <c r="F145" s="22" t="n">
        <v>0</v>
      </c>
      <c r="G145" s="12" t="inlineStr">
        <is>
          <t>9/12 - 4:00 PM EDT</t>
        </is>
      </c>
      <c r="H145" s="12" t="inlineStr"/>
      <c r="I145" s="23" t="n">
        <v>-25.5</v>
      </c>
      <c r="J145" s="29" t="n">
        <v>58.5</v>
      </c>
      <c r="K145" s="13" t="n">
        <v>1300</v>
      </c>
      <c r="L145" s="13" t="n">
        <v>-2800</v>
      </c>
      <c r="M145" s="12" t="inlineStr">
        <is>
          <t>DraftKings</t>
        </is>
      </c>
    </row>
    <row r="146">
      <c r="A146" s="17" t="inlineStr">
        <is>
          <t>2026-09-12</t>
        </is>
      </c>
      <c r="B146" s="25" t="n">
        <v>2</v>
      </c>
      <c r="C146" s="17" t="inlineStr">
        <is>
          <t>UNCO</t>
        </is>
      </c>
      <c r="D146" s="17" t="inlineStr">
        <is>
          <t>WYO</t>
        </is>
      </c>
      <c r="E146" s="25" t="n">
        <v>0</v>
      </c>
      <c r="F146" s="25" t="n">
        <v>0</v>
      </c>
      <c r="G146" s="17" t="inlineStr">
        <is>
          <t>9/12 - 4:00 PM EDT</t>
        </is>
      </c>
      <c r="H146" s="17" t="inlineStr"/>
      <c r="I146" s="26" t="n">
        <v>-22.5</v>
      </c>
      <c r="J146" s="30" t="n">
        <v>47.5</v>
      </c>
      <c r="K146" s="18" t="n">
        <v>1400</v>
      </c>
      <c r="L146" s="18" t="n">
        <v>-3200</v>
      </c>
      <c r="M146" s="17" t="inlineStr">
        <is>
          <t>DraftKings</t>
        </is>
      </c>
    </row>
    <row r="147">
      <c r="A147" s="12" t="inlineStr">
        <is>
          <t>2026-09-12</t>
        </is>
      </c>
      <c r="B147" s="22" t="n">
        <v>2</v>
      </c>
      <c r="C147" s="12" t="inlineStr">
        <is>
          <t>MERC</t>
        </is>
      </c>
      <c r="D147" s="12" t="inlineStr">
        <is>
          <t>UNM</t>
        </is>
      </c>
      <c r="E147" s="22" t="n">
        <v>0</v>
      </c>
      <c r="F147" s="22" t="n">
        <v>0</v>
      </c>
      <c r="G147" s="12" t="inlineStr">
        <is>
          <t>9/12 - 4:00 PM EDT</t>
        </is>
      </c>
      <c r="H147" s="12" t="inlineStr"/>
      <c r="I147" s="23" t="n">
        <v>-41.5</v>
      </c>
      <c r="J147" s="29" t="n">
        <v>51.5</v>
      </c>
      <c r="K147" s="13" t="n"/>
      <c r="L147" s="13" t="n"/>
      <c r="M147" s="12" t="inlineStr">
        <is>
          <t>DraftKings</t>
        </is>
      </c>
    </row>
    <row r="148">
      <c r="A148" s="17" t="inlineStr">
        <is>
          <t>2026-09-12</t>
        </is>
      </c>
      <c r="B148" s="25" t="n">
        <v>2</v>
      </c>
      <c r="C148" s="17" t="inlineStr">
        <is>
          <t>ALST</t>
        </is>
      </c>
      <c r="D148" s="17" t="inlineStr">
        <is>
          <t>TROY</t>
        </is>
      </c>
      <c r="E148" s="25" t="n">
        <v>0</v>
      </c>
      <c r="F148" s="25" t="n">
        <v>0</v>
      </c>
      <c r="G148" s="17" t="inlineStr">
        <is>
          <t>9/12 - 4:00 PM EDT</t>
        </is>
      </c>
      <c r="H148" s="17" t="inlineStr"/>
      <c r="I148" s="26" t="n"/>
      <c r="J148" s="30" t="n">
        <v>51.5</v>
      </c>
      <c r="K148" s="18" t="n">
        <v>950</v>
      </c>
      <c r="L148" s="18" t="n">
        <v>-1650</v>
      </c>
      <c r="M148" s="17" t="inlineStr">
        <is>
          <t>DraftKings</t>
        </is>
      </c>
    </row>
    <row r="149">
      <c r="A149" s="12" t="inlineStr">
        <is>
          <t>2026-09-12</t>
        </is>
      </c>
      <c r="B149" s="22" t="n">
        <v>2</v>
      </c>
      <c r="C149" s="12" t="inlineStr">
        <is>
          <t>DEL</t>
        </is>
      </c>
      <c r="D149" s="12" t="inlineStr">
        <is>
          <t>VAN</t>
        </is>
      </c>
      <c r="E149" s="22" t="n">
        <v>0</v>
      </c>
      <c r="F149" s="22" t="n">
        <v>0</v>
      </c>
      <c r="G149" s="12" t="inlineStr">
        <is>
          <t>9/12 - 4:15 PM EDT</t>
        </is>
      </c>
      <c r="H149" s="12" t="inlineStr"/>
      <c r="I149" s="23" t="n">
        <v>-20.5</v>
      </c>
      <c r="J149" s="29" t="n">
        <v>54.5</v>
      </c>
      <c r="K149" s="13" t="n">
        <v>800</v>
      </c>
      <c r="L149" s="13" t="n">
        <v>-1350</v>
      </c>
      <c r="M149" s="12" t="inlineStr">
        <is>
          <t>DraftKings</t>
        </is>
      </c>
    </row>
    <row r="150">
      <c r="A150" s="17" t="inlineStr">
        <is>
          <t>2026-09-12</t>
        </is>
      </c>
      <c r="B150" s="25" t="n">
        <v>2</v>
      </c>
      <c r="C150" s="17" t="inlineStr">
        <is>
          <t>CAM</t>
        </is>
      </c>
      <c r="D150" s="17" t="inlineStr">
        <is>
          <t>FLA</t>
        </is>
      </c>
      <c r="E150" s="25" t="n">
        <v>0</v>
      </c>
      <c r="F150" s="25" t="n">
        <v>0</v>
      </c>
      <c r="G150" s="17" t="inlineStr">
        <is>
          <t>9/12 - 5:30 PM EDT</t>
        </is>
      </c>
      <c r="H150" s="17" t="inlineStr"/>
      <c r="I150" s="26" t="n">
        <v>-49.5</v>
      </c>
      <c r="J150" s="30" t="n">
        <v>65.5</v>
      </c>
      <c r="K150" s="18" t="n"/>
      <c r="L150" s="18" t="n"/>
      <c r="M150" s="17" t="inlineStr">
        <is>
          <t>DraftKings</t>
        </is>
      </c>
    </row>
    <row r="151">
      <c r="A151" s="12" t="inlineStr">
        <is>
          <t>2026-09-12</t>
        </is>
      </c>
      <c r="B151" s="22" t="n">
        <v>2</v>
      </c>
      <c r="C151" s="12" t="inlineStr">
        <is>
          <t>MEM</t>
        </is>
      </c>
      <c r="D151" s="12" t="inlineStr">
        <is>
          <t>BOIS</t>
        </is>
      </c>
      <c r="E151" s="22" t="n">
        <v>0</v>
      </c>
      <c r="F151" s="22" t="n">
        <v>0</v>
      </c>
      <c r="G151" s="12" t="inlineStr">
        <is>
          <t>9/12 - 6:00 PM EDT</t>
        </is>
      </c>
      <c r="H151" s="12" t="inlineStr"/>
      <c r="I151" s="23" t="n">
        <v>-8.5</v>
      </c>
      <c r="J151" s="29" t="n">
        <v>55.5</v>
      </c>
      <c r="K151" s="13" t="n">
        <v>260</v>
      </c>
      <c r="L151" s="13" t="n">
        <v>-325</v>
      </c>
      <c r="M151" s="12" t="inlineStr">
        <is>
          <t>DraftKings</t>
        </is>
      </c>
    </row>
    <row r="152">
      <c r="A152" s="17" t="inlineStr">
        <is>
          <t>2026-09-12</t>
        </is>
      </c>
      <c r="B152" s="25" t="n">
        <v>2</v>
      </c>
      <c r="C152" s="17" t="inlineStr">
        <is>
          <t>BUFF</t>
        </is>
      </c>
      <c r="D152" s="17" t="inlineStr">
        <is>
          <t>FIU</t>
        </is>
      </c>
      <c r="E152" s="25" t="n">
        <v>0</v>
      </c>
      <c r="F152" s="25" t="n">
        <v>0</v>
      </c>
      <c r="G152" s="17" t="inlineStr">
        <is>
          <t>9/12 - 6:00 PM EDT</t>
        </is>
      </c>
      <c r="H152" s="17" t="inlineStr"/>
      <c r="I152" s="26" t="n">
        <v>-10.5</v>
      </c>
      <c r="J152" s="30" t="n">
        <v>47.5</v>
      </c>
      <c r="K152" s="18" t="n">
        <v>340</v>
      </c>
      <c r="L152" s="18" t="n">
        <v>-440</v>
      </c>
      <c r="M152" s="17" t="inlineStr">
        <is>
          <t>DraftKings</t>
        </is>
      </c>
    </row>
    <row r="153">
      <c r="A153" s="12" t="inlineStr">
        <is>
          <t>2026-09-12</t>
        </is>
      </c>
      <c r="B153" s="22" t="n">
        <v>2</v>
      </c>
      <c r="C153" s="12" t="inlineStr">
        <is>
          <t>JVST</t>
        </is>
      </c>
      <c r="D153" s="12" t="inlineStr">
        <is>
          <t>OHIO</t>
        </is>
      </c>
      <c r="E153" s="22" t="n">
        <v>0</v>
      </c>
      <c r="F153" s="22" t="n">
        <v>0</v>
      </c>
      <c r="G153" s="12" t="inlineStr">
        <is>
          <t>9/12 - 6:00 PM EDT</t>
        </is>
      </c>
      <c r="H153" s="12" t="inlineStr"/>
      <c r="I153" s="23" t="n">
        <v>-2.5</v>
      </c>
      <c r="J153" s="29" t="n">
        <v>50.5</v>
      </c>
      <c r="K153" s="13" t="n">
        <v>114</v>
      </c>
      <c r="L153" s="13" t="n">
        <v>-135</v>
      </c>
      <c r="M153" s="12" t="inlineStr">
        <is>
          <t>DraftKings</t>
        </is>
      </c>
    </row>
    <row r="154">
      <c r="A154" s="17" t="inlineStr">
        <is>
          <t>2026-09-12</t>
        </is>
      </c>
      <c r="B154" s="25" t="n">
        <v>2</v>
      </c>
      <c r="C154" s="17" t="inlineStr">
        <is>
          <t>GWEB</t>
        </is>
      </c>
      <c r="D154" s="17" t="inlineStr">
        <is>
          <t>LIB</t>
        </is>
      </c>
      <c r="E154" s="25" t="n">
        <v>0</v>
      </c>
      <c r="F154" s="25" t="n">
        <v>0</v>
      </c>
      <c r="G154" s="17" t="inlineStr">
        <is>
          <t>9/12 - 6:00 PM EDT</t>
        </is>
      </c>
      <c r="H154" s="17" t="inlineStr"/>
      <c r="I154" s="26" t="n">
        <v>-27.5</v>
      </c>
      <c r="J154" s="30" t="n">
        <v>55.5</v>
      </c>
      <c r="K154" s="18" t="n">
        <v>1800</v>
      </c>
      <c r="L154" s="18" t="n">
        <v>-5000</v>
      </c>
      <c r="M154" s="17" t="inlineStr">
        <is>
          <t>DraftKings</t>
        </is>
      </c>
    </row>
    <row r="155">
      <c r="A155" s="12" t="inlineStr">
        <is>
          <t>2026-09-12</t>
        </is>
      </c>
      <c r="B155" s="22" t="n">
        <v>2</v>
      </c>
      <c r="C155" s="12" t="inlineStr">
        <is>
          <t>MONM</t>
        </is>
      </c>
      <c r="D155" s="12" t="inlineStr">
        <is>
          <t>WMU</t>
        </is>
      </c>
      <c r="E155" s="22" t="n">
        <v>0</v>
      </c>
      <c r="F155" s="22" t="n">
        <v>0</v>
      </c>
      <c r="G155" s="12" t="inlineStr">
        <is>
          <t>9/12 - 6:30 PM EDT</t>
        </is>
      </c>
      <c r="H155" s="12" t="inlineStr"/>
      <c r="I155" s="23" t="n">
        <v>-25.5</v>
      </c>
      <c r="J155" s="29" t="n">
        <v>52.5</v>
      </c>
      <c r="K155" s="13" t="n">
        <v>1500</v>
      </c>
      <c r="L155" s="13" t="n">
        <v>-3600</v>
      </c>
      <c r="M155" s="12" t="inlineStr">
        <is>
          <t>DraftKings</t>
        </is>
      </c>
    </row>
    <row r="156">
      <c r="A156" s="17" t="inlineStr">
        <is>
          <t>2026-09-12</t>
        </is>
      </c>
      <c r="B156" s="25" t="n">
        <v>2</v>
      </c>
      <c r="C156" s="17" t="inlineStr">
        <is>
          <t>TOW</t>
        </is>
      </c>
      <c r="D156" s="17" t="inlineStr">
        <is>
          <t>SC</t>
        </is>
      </c>
      <c r="E156" s="25" t="n">
        <v>0</v>
      </c>
      <c r="F156" s="25" t="n">
        <v>0</v>
      </c>
      <c r="G156" s="17" t="inlineStr">
        <is>
          <t>9/12 - 7:00 PM EDT</t>
        </is>
      </c>
      <c r="H156" s="17" t="inlineStr"/>
      <c r="I156" s="26" t="n">
        <v>-43.5</v>
      </c>
      <c r="J156" s="30" t="n">
        <v>54.5</v>
      </c>
      <c r="K156" s="18" t="n"/>
      <c r="L156" s="18" t="n"/>
      <c r="M156" s="17" t="inlineStr">
        <is>
          <t>DraftKings</t>
        </is>
      </c>
    </row>
    <row r="157">
      <c r="A157" s="12" t="inlineStr">
        <is>
          <t>2026-09-12</t>
        </is>
      </c>
      <c r="B157" s="22" t="n">
        <v>2</v>
      </c>
      <c r="C157" s="12" t="inlineStr">
        <is>
          <t>TENN</t>
        </is>
      </c>
      <c r="D157" s="12" t="inlineStr">
        <is>
          <t>GT</t>
        </is>
      </c>
      <c r="E157" s="22" t="n">
        <v>0</v>
      </c>
      <c r="F157" s="22" t="n">
        <v>0</v>
      </c>
      <c r="G157" s="12" t="inlineStr">
        <is>
          <t>9/12 - 7:00 PM EDT</t>
        </is>
      </c>
      <c r="H157" s="12" t="inlineStr"/>
      <c r="I157" s="23" t="n">
        <v>12.5</v>
      </c>
      <c r="J157" s="29" t="n">
        <v>55.5</v>
      </c>
      <c r="K157" s="13" t="n">
        <v>-535</v>
      </c>
      <c r="L157" s="13" t="n">
        <v>400</v>
      </c>
      <c r="M157" s="12" t="inlineStr">
        <is>
          <t>DraftKings</t>
        </is>
      </c>
    </row>
    <row r="158">
      <c r="A158" s="17" t="inlineStr">
        <is>
          <t>2026-09-12</t>
        </is>
      </c>
      <c r="B158" s="25" t="n">
        <v>2</v>
      </c>
      <c r="C158" s="17" t="inlineStr">
        <is>
          <t>WCU</t>
        </is>
      </c>
      <c r="D158" s="17" t="inlineStr">
        <is>
          <t>CIN</t>
        </is>
      </c>
      <c r="E158" s="25" t="n">
        <v>0</v>
      </c>
      <c r="F158" s="25" t="n">
        <v>0</v>
      </c>
      <c r="G158" s="17" t="inlineStr">
        <is>
          <t>9/12 - 7:00 PM EDT</t>
        </is>
      </c>
      <c r="H158" s="17" t="inlineStr"/>
      <c r="I158" s="26" t="n">
        <v>-36.5</v>
      </c>
      <c r="J158" s="30" t="n">
        <v>60.5</v>
      </c>
      <c r="K158" s="18" t="n"/>
      <c r="L158" s="18" t="n"/>
      <c r="M158" s="17" t="inlineStr">
        <is>
          <t>DraftKings</t>
        </is>
      </c>
    </row>
    <row r="159">
      <c r="A159" s="12" t="inlineStr">
        <is>
          <t>2026-09-12</t>
        </is>
      </c>
      <c r="B159" s="22" t="n">
        <v>2</v>
      </c>
      <c r="C159" s="12" t="inlineStr">
        <is>
          <t>SOU</t>
        </is>
      </c>
      <c r="D159" s="12" t="inlineStr">
        <is>
          <t>HOU</t>
        </is>
      </c>
      <c r="E159" s="22" t="n">
        <v>0</v>
      </c>
      <c r="F159" s="22" t="n">
        <v>0</v>
      </c>
      <c r="G159" s="12" t="inlineStr">
        <is>
          <t>9/12 - 7:00 PM EDT</t>
        </is>
      </c>
      <c r="H159" s="12" t="inlineStr"/>
      <c r="I159" s="23" t="n">
        <v>-51.5</v>
      </c>
      <c r="J159" s="29" t="n">
        <v>60.5</v>
      </c>
      <c r="K159" s="13" t="n"/>
      <c r="L159" s="13" t="n"/>
      <c r="M159" s="12" t="inlineStr">
        <is>
          <t>DraftKings</t>
        </is>
      </c>
    </row>
    <row r="160">
      <c r="A160" s="17" t="inlineStr">
        <is>
          <t>2026-09-12</t>
        </is>
      </c>
      <c r="B160" s="25" t="n">
        <v>2</v>
      </c>
      <c r="C160" s="17" t="inlineStr">
        <is>
          <t>BGSU</t>
        </is>
      </c>
      <c r="D160" s="17" t="inlineStr">
        <is>
          <t>NEB</t>
        </is>
      </c>
      <c r="E160" s="25" t="n">
        <v>0</v>
      </c>
      <c r="F160" s="25" t="n">
        <v>0</v>
      </c>
      <c r="G160" s="17" t="inlineStr">
        <is>
          <t>9/12 - 7:00 PM EDT</t>
        </is>
      </c>
      <c r="H160" s="17" t="inlineStr"/>
      <c r="I160" s="26" t="n">
        <v>-30.5</v>
      </c>
      <c r="J160" s="30" t="n">
        <v>51.5</v>
      </c>
      <c r="K160" s="18" t="n">
        <v>2000</v>
      </c>
      <c r="L160" s="18" t="n">
        <v>-6500</v>
      </c>
      <c r="M160" s="17" t="inlineStr">
        <is>
          <t>DraftKings</t>
        </is>
      </c>
    </row>
    <row r="161">
      <c r="A161" s="12" t="inlineStr">
        <is>
          <t>2026-09-12</t>
        </is>
      </c>
      <c r="B161" s="22" t="n">
        <v>2</v>
      </c>
      <c r="C161" s="12" t="inlineStr">
        <is>
          <t>SUU</t>
        </is>
      </c>
      <c r="D161" s="12" t="inlineStr">
        <is>
          <t>CSU</t>
        </is>
      </c>
      <c r="E161" s="22" t="n">
        <v>0</v>
      </c>
      <c r="F161" s="22" t="n">
        <v>0</v>
      </c>
      <c r="G161" s="12" t="inlineStr">
        <is>
          <t>9/12 - 7:00 PM EDT</t>
        </is>
      </c>
      <c r="H161" s="12" t="inlineStr"/>
      <c r="I161" s="23" t="n">
        <v>-20.5</v>
      </c>
      <c r="J161" s="29" t="n">
        <v>56.5</v>
      </c>
      <c r="K161" s="13" t="n">
        <v>1100</v>
      </c>
      <c r="L161" s="13" t="n">
        <v>-2100</v>
      </c>
      <c r="M161" s="12" t="inlineStr">
        <is>
          <t>DraftKings</t>
        </is>
      </c>
    </row>
    <row r="162">
      <c r="A162" s="17" t="inlineStr">
        <is>
          <t>2026-09-12</t>
        </is>
      </c>
      <c r="B162" s="25" t="n">
        <v>2</v>
      </c>
      <c r="C162" s="17" t="inlineStr">
        <is>
          <t>TLSA</t>
        </is>
      </c>
      <c r="D162" s="17" t="inlineStr">
        <is>
          <t>SHSU</t>
        </is>
      </c>
      <c r="E162" s="25" t="n">
        <v>0</v>
      </c>
      <c r="F162" s="25" t="n">
        <v>0</v>
      </c>
      <c r="G162" s="17" t="inlineStr">
        <is>
          <t>9/12 - 7:00 PM EDT</t>
        </is>
      </c>
      <c r="H162" s="17" t="inlineStr"/>
      <c r="I162" s="26" t="n">
        <v>13.5</v>
      </c>
      <c r="J162" s="30" t="n">
        <v>51.5</v>
      </c>
      <c r="K162" s="18" t="n">
        <v>-535</v>
      </c>
      <c r="L162" s="18" t="n">
        <v>400</v>
      </c>
      <c r="M162" s="17" t="inlineStr">
        <is>
          <t>DraftKings</t>
        </is>
      </c>
    </row>
    <row r="163">
      <c r="A163" s="12" t="inlineStr">
        <is>
          <t>2026-09-12</t>
        </is>
      </c>
      <c r="B163" s="22" t="n">
        <v>2</v>
      </c>
      <c r="C163" s="12" t="inlineStr">
        <is>
          <t>ILST</t>
        </is>
      </c>
      <c r="D163" s="12" t="inlineStr">
        <is>
          <t>NIU</t>
        </is>
      </c>
      <c r="E163" s="22" t="n">
        <v>0</v>
      </c>
      <c r="F163" s="22" t="n">
        <v>0</v>
      </c>
      <c r="G163" s="12" t="inlineStr">
        <is>
          <t>9/12 - 7:00 PM EDT</t>
        </is>
      </c>
      <c r="H163" s="12" t="inlineStr"/>
      <c r="I163" s="23" t="n">
        <v>4.5</v>
      </c>
      <c r="J163" s="29" t="n">
        <v>48.5</v>
      </c>
      <c r="K163" s="13" t="n">
        <v>-175</v>
      </c>
      <c r="L163" s="13" t="n">
        <v>145</v>
      </c>
      <c r="M163" s="12" t="inlineStr">
        <is>
          <t>DraftKings</t>
        </is>
      </c>
    </row>
    <row r="164">
      <c r="A164" s="17" t="inlineStr">
        <is>
          <t>2026-09-12</t>
        </is>
      </c>
      <c r="B164" s="25" t="n">
        <v>2</v>
      </c>
      <c r="C164" s="17" t="inlineStr">
        <is>
          <t>USA</t>
        </is>
      </c>
      <c r="D164" s="17" t="inlineStr">
        <is>
          <t>TULN</t>
        </is>
      </c>
      <c r="E164" s="25" t="n">
        <v>0</v>
      </c>
      <c r="F164" s="25" t="n">
        <v>0</v>
      </c>
      <c r="G164" s="17" t="inlineStr">
        <is>
          <t>9/12 - 7:00 PM EDT</t>
        </is>
      </c>
      <c r="H164" s="17" t="inlineStr"/>
      <c r="I164" s="26" t="n">
        <v>-9.5</v>
      </c>
      <c r="J164" s="30" t="n">
        <v>49.5</v>
      </c>
      <c r="K164" s="18" t="n">
        <v>310</v>
      </c>
      <c r="L164" s="18" t="n">
        <v>-395</v>
      </c>
      <c r="M164" s="17" t="inlineStr">
        <is>
          <t>DraftKings</t>
        </is>
      </c>
    </row>
    <row r="165">
      <c r="A165" s="12" t="inlineStr">
        <is>
          <t>2026-09-12</t>
        </is>
      </c>
      <c r="B165" s="22" t="n">
        <v>2</v>
      </c>
      <c r="C165" s="12" t="inlineStr">
        <is>
          <t>WES</t>
        </is>
      </c>
      <c r="D165" s="12" t="inlineStr">
        <is>
          <t>ARST</t>
        </is>
      </c>
      <c r="E165" s="22" t="n">
        <v>0</v>
      </c>
      <c r="F165" s="22" t="n">
        <v>0</v>
      </c>
      <c r="G165" s="12" t="inlineStr">
        <is>
          <t>9/12 - 7:00 PM EDT</t>
        </is>
      </c>
      <c r="H165" s="12" t="inlineStr"/>
      <c r="I165" s="23" t="n"/>
      <c r="J165" s="29" t="n"/>
      <c r="K165" s="13" t="n"/>
      <c r="L165" s="13" t="n"/>
      <c r="M165" s="12" t="n"/>
    </row>
    <row r="166">
      <c r="A166" s="17" t="inlineStr">
        <is>
          <t>2026-09-12</t>
        </is>
      </c>
      <c r="B166" s="25" t="n">
        <v>2</v>
      </c>
      <c r="C166" s="17" t="inlineStr">
        <is>
          <t>GAST</t>
        </is>
      </c>
      <c r="D166" s="17" t="inlineStr">
        <is>
          <t>KENN</t>
        </is>
      </c>
      <c r="E166" s="25" t="n">
        <v>0</v>
      </c>
      <c r="F166" s="25" t="n">
        <v>0</v>
      </c>
      <c r="G166" s="17" t="inlineStr">
        <is>
          <t>9/12 - 7:00 PM EDT</t>
        </is>
      </c>
      <c r="H166" s="17" t="inlineStr"/>
      <c r="I166" s="26" t="n">
        <v>-8.5</v>
      </c>
      <c r="J166" s="30" t="n">
        <v>54.5</v>
      </c>
      <c r="K166" s="18" t="n">
        <v>245</v>
      </c>
      <c r="L166" s="18" t="n">
        <v>-305</v>
      </c>
      <c r="M166" s="17" t="inlineStr">
        <is>
          <t>DraftKings</t>
        </is>
      </c>
    </row>
    <row r="167">
      <c r="A167" s="12" t="inlineStr">
        <is>
          <t>2026-09-12</t>
        </is>
      </c>
      <c r="B167" s="22" t="n">
        <v>2</v>
      </c>
      <c r="C167" s="12" t="inlineStr">
        <is>
          <t>MTSU</t>
        </is>
      </c>
      <c r="D167" s="12" t="inlineStr">
        <is>
          <t>MRSH</t>
        </is>
      </c>
      <c r="E167" s="22" t="n">
        <v>0</v>
      </c>
      <c r="F167" s="22" t="n">
        <v>0</v>
      </c>
      <c r="G167" s="12" t="inlineStr">
        <is>
          <t>9/12 - 7:00 PM EDT</t>
        </is>
      </c>
      <c r="H167" s="12" t="inlineStr"/>
      <c r="I167" s="23" t="n">
        <v>-13.5</v>
      </c>
      <c r="J167" s="29" t="n">
        <v>56.5</v>
      </c>
      <c r="K167" s="13" t="n">
        <v>410</v>
      </c>
      <c r="L167" s="13" t="n">
        <v>-550</v>
      </c>
      <c r="M167" s="12" t="inlineStr">
        <is>
          <t>DraftKings</t>
        </is>
      </c>
    </row>
    <row r="168">
      <c r="A168" s="17" t="inlineStr">
        <is>
          <t>2026-09-12</t>
        </is>
      </c>
      <c r="B168" s="25" t="n">
        <v>2</v>
      </c>
      <c r="C168" s="17" t="inlineStr">
        <is>
          <t>LIN</t>
        </is>
      </c>
      <c r="D168" s="17" t="inlineStr">
        <is>
          <t>MOST</t>
        </is>
      </c>
      <c r="E168" s="25" t="n">
        <v>0</v>
      </c>
      <c r="F168" s="25" t="n">
        <v>0</v>
      </c>
      <c r="G168" s="17" t="inlineStr">
        <is>
          <t>9/12 - 7:00 PM EDT</t>
        </is>
      </c>
      <c r="H168" s="17" t="inlineStr"/>
      <c r="I168" s="26" t="n">
        <v>-19.5</v>
      </c>
      <c r="J168" s="30" t="n">
        <v>52.5</v>
      </c>
      <c r="K168" s="18" t="n">
        <v>950</v>
      </c>
      <c r="L168" s="18" t="n">
        <v>-1650</v>
      </c>
      <c r="M168" s="17" t="inlineStr">
        <is>
          <t>DraftKings</t>
        </is>
      </c>
    </row>
    <row r="169">
      <c r="A169" s="12" t="inlineStr">
        <is>
          <t>2026-09-12</t>
        </is>
      </c>
      <c r="B169" s="22" t="n">
        <v>2</v>
      </c>
      <c r="C169" s="12" t="inlineStr">
        <is>
          <t>SDSU</t>
        </is>
      </c>
      <c r="D169" s="12" t="inlineStr">
        <is>
          <t>UCLA</t>
        </is>
      </c>
      <c r="E169" s="22" t="n">
        <v>0</v>
      </c>
      <c r="F169" s="22" t="n">
        <v>0</v>
      </c>
      <c r="G169" s="12" t="inlineStr">
        <is>
          <t>9/12 - 7:15 PM EDT</t>
        </is>
      </c>
      <c r="H169" s="12" t="inlineStr"/>
      <c r="I169" s="23" t="n">
        <v>-12.5</v>
      </c>
      <c r="J169" s="29" t="n">
        <v>54.5</v>
      </c>
      <c r="K169" s="13" t="n">
        <v>380</v>
      </c>
      <c r="L169" s="13" t="n">
        <v>-500</v>
      </c>
      <c r="M169" s="12" t="inlineStr">
        <is>
          <t>DraftKings</t>
        </is>
      </c>
    </row>
    <row r="170">
      <c r="A170" s="17" t="inlineStr">
        <is>
          <t>2026-09-12</t>
        </is>
      </c>
      <c r="B170" s="25" t="n">
        <v>2</v>
      </c>
      <c r="C170" s="17" t="inlineStr">
        <is>
          <t>WIU</t>
        </is>
      </c>
      <c r="D170" s="17" t="inlineStr">
        <is>
          <t>WIS</t>
        </is>
      </c>
      <c r="E170" s="25" t="n">
        <v>0</v>
      </c>
      <c r="F170" s="25" t="n">
        <v>0</v>
      </c>
      <c r="G170" s="17" t="inlineStr">
        <is>
          <t>9/12 - 7:15 PM EDT</t>
        </is>
      </c>
      <c r="H170" s="17" t="inlineStr"/>
      <c r="I170" s="26" t="n">
        <v>-38.5</v>
      </c>
      <c r="J170" s="30" t="n">
        <v>48.5</v>
      </c>
      <c r="K170" s="18" t="n"/>
      <c r="L170" s="18" t="n"/>
      <c r="M170" s="17" t="inlineStr">
        <is>
          <t>DraftKings</t>
        </is>
      </c>
    </row>
    <row r="171">
      <c r="A171" s="12" t="inlineStr">
        <is>
          <t>2026-09-12</t>
        </is>
      </c>
      <c r="B171" s="22" t="n">
        <v>2</v>
      </c>
      <c r="C171" s="12" t="inlineStr">
        <is>
          <t>OSU</t>
        </is>
      </c>
      <c r="D171" s="12" t="inlineStr">
        <is>
          <t>TEX</t>
        </is>
      </c>
      <c r="E171" s="22" t="n">
        <v>0</v>
      </c>
      <c r="F171" s="22" t="n">
        <v>0</v>
      </c>
      <c r="G171" s="12" t="inlineStr">
        <is>
          <t>9/12 - 7:30 PM EDT</t>
        </is>
      </c>
      <c r="H171" s="12" t="inlineStr"/>
      <c r="I171" s="23" t="n">
        <v>-1.5</v>
      </c>
      <c r="J171" s="29" t="n">
        <v>49.5</v>
      </c>
      <c r="K171" s="13" t="n">
        <v>105</v>
      </c>
      <c r="L171" s="13" t="n">
        <v>-125</v>
      </c>
      <c r="M171" s="12" t="inlineStr">
        <is>
          <t>DraftKings</t>
        </is>
      </c>
    </row>
    <row r="172">
      <c r="A172" s="17" t="inlineStr">
        <is>
          <t>2026-09-12</t>
        </is>
      </c>
      <c r="B172" s="25" t="n">
        <v>2</v>
      </c>
      <c r="C172" s="17" t="inlineStr">
        <is>
          <t>TTU</t>
        </is>
      </c>
      <c r="D172" s="17" t="inlineStr">
        <is>
          <t>ORST</t>
        </is>
      </c>
      <c r="E172" s="25" t="n">
        <v>0</v>
      </c>
      <c r="F172" s="25" t="n">
        <v>0</v>
      </c>
      <c r="G172" s="17" t="inlineStr">
        <is>
          <t>9/12 - 7:30 PM EDT</t>
        </is>
      </c>
      <c r="H172" s="17" t="inlineStr"/>
      <c r="I172" s="26" t="n">
        <v>25.5</v>
      </c>
      <c r="J172" s="30" t="n">
        <v>53.5</v>
      </c>
      <c r="K172" s="18" t="n">
        <v>-3200</v>
      </c>
      <c r="L172" s="18" t="n">
        <v>1400</v>
      </c>
      <c r="M172" s="17" t="inlineStr">
        <is>
          <t>DraftKings</t>
        </is>
      </c>
    </row>
    <row r="173">
      <c r="A173" s="12" t="inlineStr">
        <is>
          <t>2026-09-12</t>
        </is>
      </c>
      <c r="B173" s="22" t="n">
        <v>2</v>
      </c>
      <c r="C173" s="12" t="inlineStr">
        <is>
          <t>ISU</t>
        </is>
      </c>
      <c r="D173" s="12" t="inlineStr">
        <is>
          <t>IOWA</t>
        </is>
      </c>
      <c r="E173" s="22" t="n">
        <v>0</v>
      </c>
      <c r="F173" s="22" t="n">
        <v>0</v>
      </c>
      <c r="G173" s="12" t="inlineStr">
        <is>
          <t>9/12 - 7:30 PM EDT</t>
        </is>
      </c>
      <c r="H173" s="12" t="inlineStr"/>
      <c r="I173" s="23" t="n">
        <v>-14</v>
      </c>
      <c r="J173" s="29" t="n">
        <v>40.5</v>
      </c>
      <c r="K173" s="13" t="n">
        <v>470</v>
      </c>
      <c r="L173" s="13" t="n">
        <v>-650</v>
      </c>
      <c r="M173" s="12" t="inlineStr">
        <is>
          <t>DraftKings</t>
        </is>
      </c>
    </row>
    <row r="174">
      <c r="A174" s="17" t="inlineStr">
        <is>
          <t>2026-09-12</t>
        </is>
      </c>
      <c r="B174" s="25" t="n">
        <v>2</v>
      </c>
      <c r="C174" s="17" t="inlineStr">
        <is>
          <t>GASO</t>
        </is>
      </c>
      <c r="D174" s="17" t="inlineStr">
        <is>
          <t>CLEM</t>
        </is>
      </c>
      <c r="E174" s="25" t="n">
        <v>0</v>
      </c>
      <c r="F174" s="25" t="n">
        <v>0</v>
      </c>
      <c r="G174" s="17" t="inlineStr">
        <is>
          <t>9/12 - 7:30 PM EDT</t>
        </is>
      </c>
      <c r="H174" s="17" t="inlineStr"/>
      <c r="I174" s="26" t="n">
        <v>-20.5</v>
      </c>
      <c r="J174" s="30" t="n">
        <v>55.5</v>
      </c>
      <c r="K174" s="18" t="n">
        <v>750</v>
      </c>
      <c r="L174" s="18" t="n">
        <v>-1200</v>
      </c>
      <c r="M174" s="17" t="inlineStr">
        <is>
          <t>DraftKings</t>
        </is>
      </c>
    </row>
    <row r="175">
      <c r="A175" s="12" t="inlineStr">
        <is>
          <t>2026-09-12</t>
        </is>
      </c>
      <c r="B175" s="22" t="n">
        <v>2</v>
      </c>
      <c r="C175" s="12" t="inlineStr">
        <is>
          <t>NAVY</t>
        </is>
      </c>
      <c r="D175" s="12" t="inlineStr">
        <is>
          <t>FAU</t>
        </is>
      </c>
      <c r="E175" s="22" t="n">
        <v>0</v>
      </c>
      <c r="F175" s="22" t="n">
        <v>0</v>
      </c>
      <c r="G175" s="12" t="inlineStr">
        <is>
          <t>9/12 - 7:30 PM EDT</t>
        </is>
      </c>
      <c r="H175" s="12" t="inlineStr"/>
      <c r="I175" s="23" t="n">
        <v>4.5</v>
      </c>
      <c r="J175" s="29" t="n">
        <v>58.5</v>
      </c>
      <c r="K175" s="13" t="n">
        <v>-218</v>
      </c>
      <c r="L175" s="13" t="n">
        <v>180</v>
      </c>
      <c r="M175" s="12" t="inlineStr">
        <is>
          <t>DraftKings</t>
        </is>
      </c>
    </row>
    <row r="176">
      <c r="A176" s="17" t="inlineStr">
        <is>
          <t>2026-09-12</t>
        </is>
      </c>
      <c r="B176" s="25" t="n">
        <v>2</v>
      </c>
      <c r="C176" s="17" t="inlineStr">
        <is>
          <t>LT</t>
        </is>
      </c>
      <c r="D176" s="17" t="inlineStr">
        <is>
          <t>LSU</t>
        </is>
      </c>
      <c r="E176" s="25" t="n">
        <v>0</v>
      </c>
      <c r="F176" s="25" t="n">
        <v>0</v>
      </c>
      <c r="G176" s="17" t="inlineStr">
        <is>
          <t>9/12 - 7:30 PM EDT</t>
        </is>
      </c>
      <c r="H176" s="17" t="inlineStr"/>
      <c r="I176" s="26" t="n">
        <v>-35.5</v>
      </c>
      <c r="J176" s="30" t="n">
        <v>55.5</v>
      </c>
      <c r="K176" s="18" t="n">
        <v>4000</v>
      </c>
      <c r="L176" s="18" t="n">
        <v>-50000</v>
      </c>
      <c r="M176" s="17" t="inlineStr">
        <is>
          <t>DraftKings</t>
        </is>
      </c>
    </row>
    <row r="177">
      <c r="A177" s="12" t="inlineStr">
        <is>
          <t>2026-09-12</t>
        </is>
      </c>
      <c r="B177" s="22" t="n">
        <v>2</v>
      </c>
      <c r="C177" s="12" t="inlineStr">
        <is>
          <t>FOR</t>
        </is>
      </c>
      <c r="D177" s="12" t="inlineStr">
        <is>
          <t>CCU</t>
        </is>
      </c>
      <c r="E177" s="22" t="n">
        <v>0</v>
      </c>
      <c r="F177" s="22" t="n">
        <v>0</v>
      </c>
      <c r="G177" s="12" t="inlineStr">
        <is>
          <t>9/12 - 7:30 PM EDT</t>
        </is>
      </c>
      <c r="H177" s="12" t="inlineStr"/>
      <c r="I177" s="23" t="n">
        <v>-34.5</v>
      </c>
      <c r="J177" s="29" t="n">
        <v>52.5</v>
      </c>
      <c r="K177" s="13" t="n">
        <v>2500</v>
      </c>
      <c r="L177" s="13" t="n">
        <v>-9000</v>
      </c>
      <c r="M177" s="12" t="inlineStr">
        <is>
          <t>DraftKings</t>
        </is>
      </c>
    </row>
    <row r="178">
      <c r="A178" s="17" t="inlineStr">
        <is>
          <t>2026-09-12</t>
        </is>
      </c>
      <c r="B178" s="25" t="n">
        <v>2</v>
      </c>
      <c r="C178" s="17" t="inlineStr">
        <is>
          <t>USM</t>
        </is>
      </c>
      <c r="D178" s="17" t="inlineStr">
        <is>
          <t>AUB</t>
        </is>
      </c>
      <c r="E178" s="25" t="n">
        <v>0</v>
      </c>
      <c r="F178" s="25" t="n">
        <v>0</v>
      </c>
      <c r="G178" s="17" t="inlineStr">
        <is>
          <t>9/12 - 7:45 PM EDT</t>
        </is>
      </c>
      <c r="H178" s="17" t="inlineStr"/>
      <c r="I178" s="26" t="n">
        <v>-32.5</v>
      </c>
      <c r="J178" s="30" t="n">
        <v>56.5</v>
      </c>
      <c r="K178" s="18" t="n">
        <v>2200</v>
      </c>
      <c r="L178" s="18" t="n">
        <v>-8000</v>
      </c>
      <c r="M178" s="17" t="inlineStr">
        <is>
          <t>DraftKings</t>
        </is>
      </c>
    </row>
    <row r="179">
      <c r="A179" s="12" t="inlineStr">
        <is>
          <t>2026-09-12</t>
        </is>
      </c>
      <c r="B179" s="22" t="n">
        <v>2</v>
      </c>
      <c r="C179" s="12" t="inlineStr">
        <is>
          <t>CLT</t>
        </is>
      </c>
      <c r="D179" s="12" t="inlineStr">
        <is>
          <t>MISS</t>
        </is>
      </c>
      <c r="E179" s="22" t="n">
        <v>0</v>
      </c>
      <c r="F179" s="22" t="n">
        <v>0</v>
      </c>
      <c r="G179" s="12" t="inlineStr">
        <is>
          <t>9/12 - 7:45 PM EDT</t>
        </is>
      </c>
      <c r="H179" s="12" t="inlineStr"/>
      <c r="I179" s="23" t="n">
        <v>-46.5</v>
      </c>
      <c r="J179" s="29" t="n">
        <v>60.5</v>
      </c>
      <c r="K179" s="13" t="n"/>
      <c r="L179" s="13" t="n"/>
      <c r="M179" s="12" t="inlineStr">
        <is>
          <t>DraftKings</t>
        </is>
      </c>
    </row>
    <row r="180">
      <c r="A180" s="17" t="inlineStr">
        <is>
          <t>2026-09-13</t>
        </is>
      </c>
      <c r="B180" s="25" t="n">
        <v>2</v>
      </c>
      <c r="C180" s="17" t="inlineStr">
        <is>
          <t>GRAM</t>
        </is>
      </c>
      <c r="D180" s="17" t="inlineStr">
        <is>
          <t>TCU</t>
        </is>
      </c>
      <c r="E180" s="25" t="n">
        <v>0</v>
      </c>
      <c r="F180" s="25" t="n">
        <v>0</v>
      </c>
      <c r="G180" s="17" t="inlineStr">
        <is>
          <t>9/12 - 8:00 PM EDT</t>
        </is>
      </c>
      <c r="H180" s="17" t="inlineStr"/>
      <c r="I180" s="26" t="n">
        <v>-43.5</v>
      </c>
      <c r="J180" s="30" t="n">
        <v>54.5</v>
      </c>
      <c r="K180" s="18" t="n"/>
      <c r="L180" s="18" t="n"/>
      <c r="M180" s="17" t="inlineStr">
        <is>
          <t>DraftKings</t>
        </is>
      </c>
    </row>
    <row r="181">
      <c r="A181" s="12" t="inlineStr">
        <is>
          <t>2026-09-13</t>
        </is>
      </c>
      <c r="B181" s="22" t="n">
        <v>2</v>
      </c>
      <c r="C181" s="12" t="inlineStr">
        <is>
          <t>PV</t>
        </is>
      </c>
      <c r="D181" s="12" t="inlineStr">
        <is>
          <t>BAY</t>
        </is>
      </c>
      <c r="E181" s="22" t="n">
        <v>0</v>
      </c>
      <c r="F181" s="22" t="n">
        <v>0</v>
      </c>
      <c r="G181" s="12" t="inlineStr">
        <is>
          <t>9/12 - 8:08 PM EDT</t>
        </is>
      </c>
      <c r="H181" s="12" t="inlineStr"/>
      <c r="I181" s="23" t="n">
        <v>-39.5</v>
      </c>
      <c r="J181" s="29" t="n">
        <v>56.5</v>
      </c>
      <c r="K181" s="13" t="n"/>
      <c r="L181" s="13" t="n"/>
      <c r="M181" s="12" t="inlineStr">
        <is>
          <t>DraftKings</t>
        </is>
      </c>
    </row>
    <row r="182">
      <c r="A182" s="17" t="inlineStr">
        <is>
          <t>2026-09-13</t>
        </is>
      </c>
      <c r="B182" s="25" t="n">
        <v>2</v>
      </c>
      <c r="C182" s="17" t="inlineStr">
        <is>
          <t>CP</t>
        </is>
      </c>
      <c r="D182" s="17" t="inlineStr">
        <is>
          <t>SJSU</t>
        </is>
      </c>
      <c r="E182" s="25" t="n">
        <v>0</v>
      </c>
      <c r="F182" s="25" t="n">
        <v>0</v>
      </c>
      <c r="G182" s="17" t="inlineStr">
        <is>
          <t>9/12 - 9:00 PM EDT</t>
        </is>
      </c>
      <c r="H182" s="17" t="inlineStr"/>
      <c r="I182" s="26" t="n">
        <v>-20.5</v>
      </c>
      <c r="J182" s="30" t="n">
        <v>56.5</v>
      </c>
      <c r="K182" s="18" t="n">
        <v>1100</v>
      </c>
      <c r="L182" s="18" t="n">
        <v>-2100</v>
      </c>
      <c r="M182" s="17" t="inlineStr">
        <is>
          <t>DraftKings</t>
        </is>
      </c>
    </row>
    <row r="183">
      <c r="A183" s="12" t="inlineStr">
        <is>
          <t>2026-09-13</t>
        </is>
      </c>
      <c r="B183" s="22" t="n">
        <v>2</v>
      </c>
      <c r="C183" s="12" t="inlineStr">
        <is>
          <t>TXSO</t>
        </is>
      </c>
      <c r="D183" s="12" t="inlineStr">
        <is>
          <t>UTEP</t>
        </is>
      </c>
      <c r="E183" s="22" t="n">
        <v>0</v>
      </c>
      <c r="F183" s="22" t="n">
        <v>0</v>
      </c>
      <c r="G183" s="12" t="inlineStr">
        <is>
          <t>9/12 - 9:00 PM EDT</t>
        </is>
      </c>
      <c r="H183" s="12" t="inlineStr"/>
      <c r="I183" s="23" t="n">
        <v>-25.5</v>
      </c>
      <c r="J183" s="29" t="n">
        <v>52.5</v>
      </c>
      <c r="K183" s="13" t="n">
        <v>2000</v>
      </c>
      <c r="L183" s="13" t="n">
        <v>-6500</v>
      </c>
      <c r="M183" s="12" t="inlineStr">
        <is>
          <t>DraftKings</t>
        </is>
      </c>
    </row>
    <row r="184">
      <c r="A184" s="17" t="inlineStr">
        <is>
          <t>2026-09-13</t>
        </is>
      </c>
      <c r="B184" s="25" t="n">
        <v>2</v>
      </c>
      <c r="C184" s="17" t="inlineStr">
        <is>
          <t>NDSU</t>
        </is>
      </c>
      <c r="D184" s="17" t="inlineStr">
        <is>
          <t>AFA</t>
        </is>
      </c>
      <c r="E184" s="25" t="n">
        <v>0</v>
      </c>
      <c r="F184" s="25" t="n">
        <v>0</v>
      </c>
      <c r="G184" s="17" t="inlineStr">
        <is>
          <t>9/12 - 10:00 PM EDT</t>
        </is>
      </c>
      <c r="H184" s="17" t="inlineStr"/>
      <c r="I184" s="26" t="n">
        <v>1.5</v>
      </c>
      <c r="J184" s="30" t="n">
        <v>47.5</v>
      </c>
      <c r="K184" s="18" t="n">
        <v>-125</v>
      </c>
      <c r="L184" s="18" t="n">
        <v>105</v>
      </c>
      <c r="M184" s="17" t="inlineStr">
        <is>
          <t>DraftKings</t>
        </is>
      </c>
    </row>
    <row r="185">
      <c r="A185" s="12" t="inlineStr">
        <is>
          <t>2026-09-13</t>
        </is>
      </c>
      <c r="B185" s="22" t="n">
        <v>2</v>
      </c>
      <c r="C185" s="12" t="inlineStr">
        <is>
          <t>ARK</t>
        </is>
      </c>
      <c r="D185" s="12" t="inlineStr">
        <is>
          <t>UTAH</t>
        </is>
      </c>
      <c r="E185" s="22" t="n">
        <v>0</v>
      </c>
      <c r="F185" s="22" t="n">
        <v>0</v>
      </c>
      <c r="G185" s="12" t="inlineStr">
        <is>
          <t>9/12 - 10:15 PM EDT</t>
        </is>
      </c>
      <c r="H185" s="12" t="inlineStr"/>
      <c r="I185" s="23" t="n">
        <v>-12.5</v>
      </c>
      <c r="J185" s="29" t="n">
        <v>55.5</v>
      </c>
      <c r="K185" s="13" t="n">
        <v>390</v>
      </c>
      <c r="L185" s="13" t="n">
        <v>-520</v>
      </c>
      <c r="M185" s="12" t="inlineStr">
        <is>
          <t>DraftKings</t>
        </is>
      </c>
    </row>
    <row r="186">
      <c r="A186" s="17" t="inlineStr">
        <is>
          <t>2026-09-13</t>
        </is>
      </c>
      <c r="B186" s="25" t="n">
        <v>2</v>
      </c>
      <c r="C186" s="17" t="inlineStr">
        <is>
          <t>SAC</t>
        </is>
      </c>
      <c r="D186" s="17" t="inlineStr">
        <is>
          <t>FRES</t>
        </is>
      </c>
      <c r="E186" s="25" t="n">
        <v>0</v>
      </c>
      <c r="F186" s="25" t="n">
        <v>0</v>
      </c>
      <c r="G186" s="17" t="inlineStr">
        <is>
          <t>9/12 - 10:30 PM EDT</t>
        </is>
      </c>
      <c r="H186" s="17" t="inlineStr"/>
      <c r="I186" s="26" t="n">
        <v>-17.5</v>
      </c>
      <c r="J186" s="30" t="n">
        <v>44.5</v>
      </c>
      <c r="K186" s="18" t="n">
        <v>625</v>
      </c>
      <c r="L186" s="18" t="n">
        <v>-950</v>
      </c>
      <c r="M186" s="17" t="inlineStr">
        <is>
          <t>DraftKings</t>
        </is>
      </c>
    </row>
    <row r="187">
      <c r="A187" s="12" t="inlineStr">
        <is>
          <t>2026-09-13</t>
        </is>
      </c>
      <c r="B187" s="22" t="n">
        <v>2</v>
      </c>
      <c r="C187" s="12" t="inlineStr">
        <is>
          <t>MTST</t>
        </is>
      </c>
      <c r="D187" s="12" t="inlineStr">
        <is>
          <t>NEV</t>
        </is>
      </c>
      <c r="E187" s="22" t="n">
        <v>0</v>
      </c>
      <c r="F187" s="22" t="n">
        <v>0</v>
      </c>
      <c r="G187" s="12" t="inlineStr">
        <is>
          <t>9/12 - 10:30 PM EDT</t>
        </is>
      </c>
      <c r="H187" s="12" t="inlineStr"/>
      <c r="I187" s="23" t="n">
        <v>3.5</v>
      </c>
      <c r="J187" s="29" t="n">
        <v>49.5</v>
      </c>
      <c r="K187" s="13" t="n">
        <v>-166</v>
      </c>
      <c r="L187" s="13" t="n">
        <v>140</v>
      </c>
      <c r="M187" s="12" t="inlineStr">
        <is>
          <t>DraftKings</t>
        </is>
      </c>
    </row>
    <row r="188">
      <c r="A188" s="17" t="inlineStr">
        <is>
          <t>2026-09-13</t>
        </is>
      </c>
      <c r="B188" s="25" t="n">
        <v>2</v>
      </c>
      <c r="C188" s="17" t="inlineStr">
        <is>
          <t>UL</t>
        </is>
      </c>
      <c r="D188" s="17" t="inlineStr">
        <is>
          <t>USC</t>
        </is>
      </c>
      <c r="E188" s="25" t="n">
        <v>0</v>
      </c>
      <c r="F188" s="25" t="n">
        <v>0</v>
      </c>
      <c r="G188" s="17" t="inlineStr">
        <is>
          <t>9/12 - 11:00 PM EDT</t>
        </is>
      </c>
      <c r="H188" s="17" t="inlineStr"/>
      <c r="I188" s="26" t="n">
        <v>-31.5</v>
      </c>
      <c r="J188" s="30" t="n">
        <v>59.5</v>
      </c>
      <c r="K188" s="18" t="n">
        <v>2500</v>
      </c>
      <c r="L188" s="18" t="n">
        <v>-9000</v>
      </c>
      <c r="M188" s="17" t="inlineStr">
        <is>
          <t>DraftKings</t>
        </is>
      </c>
    </row>
    <row r="189">
      <c r="A189" s="12" t="inlineStr">
        <is>
          <t>2026-09-13</t>
        </is>
      </c>
      <c r="B189" s="22" t="n">
        <v>2</v>
      </c>
      <c r="C189" s="12" t="inlineStr">
        <is>
          <t>NMSU</t>
        </is>
      </c>
      <c r="D189" s="12" t="inlineStr">
        <is>
          <t>HAW</t>
        </is>
      </c>
      <c r="E189" s="22" t="n">
        <v>0</v>
      </c>
      <c r="F189" s="22" t="n">
        <v>0</v>
      </c>
      <c r="G189" s="12" t="inlineStr">
        <is>
          <t>9/12 - 11:59 PM EDT</t>
        </is>
      </c>
      <c r="H189" s="12" t="inlineStr"/>
      <c r="I189" s="23" t="n">
        <v>-7</v>
      </c>
      <c r="J189" s="29" t="n">
        <v>50.5</v>
      </c>
      <c r="K189" s="13" t="n">
        <v>250</v>
      </c>
      <c r="L189" s="13" t="n">
        <v>-310</v>
      </c>
      <c r="M189" s="12" t="inlineStr">
        <is>
          <t>DraftKings</t>
        </is>
      </c>
    </row>
    <row r="190">
      <c r="A190" s="17" t="inlineStr">
        <is>
          <t>2026-09-17</t>
        </is>
      </c>
      <c r="B190" s="25" t="n">
        <v>3</v>
      </c>
      <c r="C190" s="17" t="inlineStr">
        <is>
          <t>SYR</t>
        </is>
      </c>
      <c r="D190" s="17" t="inlineStr">
        <is>
          <t>PITT</t>
        </is>
      </c>
      <c r="E190" s="25" t="n">
        <v>0</v>
      </c>
      <c r="F190" s="25" t="n">
        <v>0</v>
      </c>
      <c r="G190" s="17" t="inlineStr">
        <is>
          <t>9/17 - 7:30 PM EDT</t>
        </is>
      </c>
      <c r="H190" s="17" t="inlineStr"/>
      <c r="I190" s="26" t="n">
        <v>-10.5</v>
      </c>
      <c r="J190" s="30" t="n">
        <v>59.5</v>
      </c>
      <c r="K190" s="18" t="n">
        <v>295</v>
      </c>
      <c r="L190" s="18" t="n">
        <v>-375</v>
      </c>
      <c r="M190" s="17" t="inlineStr">
        <is>
          <t>DraftKings</t>
        </is>
      </c>
    </row>
    <row r="191">
      <c r="A191" s="12" t="inlineStr">
        <is>
          <t>2026-09-18</t>
        </is>
      </c>
      <c r="B191" s="22" t="n">
        <v>3</v>
      </c>
      <c r="C191" s="12" t="inlineStr">
        <is>
          <t>MIA</t>
        </is>
      </c>
      <c r="D191" s="12" t="inlineStr">
        <is>
          <t>WAKE</t>
        </is>
      </c>
      <c r="E191" s="22" t="n">
        <v>0</v>
      </c>
      <c r="F191" s="22" t="n">
        <v>0</v>
      </c>
      <c r="G191" s="12" t="inlineStr">
        <is>
          <t>9/18 - 7:30 PM EDT</t>
        </is>
      </c>
      <c r="H191" s="12" t="inlineStr"/>
      <c r="I191" s="23" t="n">
        <v>19.5</v>
      </c>
      <c r="J191" s="29" t="n">
        <v>52.5</v>
      </c>
      <c r="K191" s="13" t="n">
        <v>-1200</v>
      </c>
      <c r="L191" s="13" t="n">
        <v>750</v>
      </c>
      <c r="M191" s="12" t="inlineStr">
        <is>
          <t>DraftKings</t>
        </is>
      </c>
    </row>
    <row r="192">
      <c r="A192" s="17" t="inlineStr">
        <is>
          <t>2026-09-19</t>
        </is>
      </c>
      <c r="B192" s="25" t="n">
        <v>3</v>
      </c>
      <c r="C192" s="17" t="inlineStr">
        <is>
          <t>HOU</t>
        </is>
      </c>
      <c r="D192" s="17" t="inlineStr">
        <is>
          <t>TTU</t>
        </is>
      </c>
      <c r="E192" s="25" t="n">
        <v>0</v>
      </c>
      <c r="F192" s="25" t="n">
        <v>0</v>
      </c>
      <c r="G192" s="17" t="inlineStr">
        <is>
          <t>9/18 - 8:00 PM EDT</t>
        </is>
      </c>
      <c r="H192" s="17" t="inlineStr"/>
      <c r="I192" s="26" t="n">
        <v>-14</v>
      </c>
      <c r="J192" s="30" t="n"/>
      <c r="K192" s="18" t="n"/>
      <c r="L192" s="18" t="n"/>
      <c r="M192" s="17" t="inlineStr">
        <is>
          <t>DraftKings</t>
        </is>
      </c>
    </row>
    <row r="193">
      <c r="A193" s="12" t="inlineStr">
        <is>
          <t>2026-09-19</t>
        </is>
      </c>
      <c r="B193" s="22" t="n">
        <v>3</v>
      </c>
      <c r="C193" s="12" t="inlineStr">
        <is>
          <t>PRST</t>
        </is>
      </c>
      <c r="D193" s="12" t="inlineStr">
        <is>
          <t>ORE</t>
        </is>
      </c>
      <c r="E193" s="22" t="n">
        <v>0</v>
      </c>
      <c r="F193" s="22" t="n">
        <v>0</v>
      </c>
      <c r="G193" s="12" t="inlineStr">
        <is>
          <t>9/18 - 10:30 PM EDT</t>
        </is>
      </c>
      <c r="H193" s="12" t="inlineStr"/>
      <c r="I193" s="23" t="n"/>
      <c r="J193" s="29" t="n"/>
      <c r="K193" s="13" t="n"/>
      <c r="L193" s="13" t="n"/>
      <c r="M193" s="12" t="n"/>
    </row>
    <row r="194">
      <c r="A194" s="17" t="inlineStr">
        <is>
          <t>2026-09-19</t>
        </is>
      </c>
      <c r="B194" s="25" t="n">
        <v>3</v>
      </c>
      <c r="C194" s="17" t="inlineStr">
        <is>
          <t>CCU</t>
        </is>
      </c>
      <c r="D194" s="17" t="inlineStr">
        <is>
          <t>DEL</t>
        </is>
      </c>
      <c r="E194" s="25" t="n">
        <v>0</v>
      </c>
      <c r="F194" s="25" t="n">
        <v>0</v>
      </c>
      <c r="G194" s="17" t="inlineStr">
        <is>
          <t>9/19 - 11:30 AM EDT</t>
        </is>
      </c>
      <c r="H194" s="17" t="inlineStr"/>
      <c r="I194" s="26" t="n"/>
      <c r="J194" s="30" t="n"/>
      <c r="K194" s="18" t="n"/>
      <c r="L194" s="18" t="n"/>
      <c r="M194" s="17" t="n"/>
    </row>
    <row r="195">
      <c r="A195" s="12" t="inlineStr">
        <is>
          <t>2026-09-19</t>
        </is>
      </c>
      <c r="B195" s="22" t="n">
        <v>3</v>
      </c>
      <c r="C195" s="12" t="inlineStr">
        <is>
          <t>UGA</t>
        </is>
      </c>
      <c r="D195" s="12" t="inlineStr">
        <is>
          <t>ARK</t>
        </is>
      </c>
      <c r="E195" s="22" t="n">
        <v>0</v>
      </c>
      <c r="F195" s="22" t="n">
        <v>0</v>
      </c>
      <c r="G195" s="12" t="inlineStr">
        <is>
          <t>9/19 - 12:00 PM EDT</t>
        </is>
      </c>
      <c r="H195" s="12" t="inlineStr"/>
      <c r="I195" s="23" t="n">
        <v>17.5</v>
      </c>
      <c r="J195" s="29" t="n">
        <v>52.5</v>
      </c>
      <c r="K195" s="13" t="n">
        <v>-900</v>
      </c>
      <c r="L195" s="13" t="n">
        <v>600</v>
      </c>
      <c r="M195" s="12" t="inlineStr">
        <is>
          <t>DraftKings</t>
        </is>
      </c>
    </row>
    <row r="196">
      <c r="A196" s="17" t="inlineStr">
        <is>
          <t>2026-09-19</t>
        </is>
      </c>
      <c r="B196" s="25" t="n">
        <v>3</v>
      </c>
      <c r="C196" s="17" t="inlineStr">
        <is>
          <t>TULN</t>
        </is>
      </c>
      <c r="D196" s="17" t="inlineStr">
        <is>
          <t>KSU</t>
        </is>
      </c>
      <c r="E196" s="25" t="n">
        <v>0</v>
      </c>
      <c r="F196" s="25" t="n">
        <v>0</v>
      </c>
      <c r="G196" s="17" t="inlineStr">
        <is>
          <t>9/19 - 12:00 PM EDT</t>
        </is>
      </c>
      <c r="H196" s="17" t="inlineStr"/>
      <c r="I196" s="26" t="n"/>
      <c r="J196" s="30" t="n"/>
      <c r="K196" s="18" t="n"/>
      <c r="L196" s="18" t="n"/>
      <c r="M196" s="17" t="n"/>
    </row>
    <row r="197">
      <c r="A197" s="12" t="inlineStr">
        <is>
          <t>2026-09-19</t>
        </is>
      </c>
      <c r="B197" s="22" t="n">
        <v>3</v>
      </c>
      <c r="C197" s="12" t="inlineStr">
        <is>
          <t>BGSU</t>
        </is>
      </c>
      <c r="D197" s="12" t="inlineStr">
        <is>
          <t>ISU</t>
        </is>
      </c>
      <c r="E197" s="22" t="n">
        <v>0</v>
      </c>
      <c r="F197" s="22" t="n">
        <v>0</v>
      </c>
      <c r="G197" s="12" t="inlineStr">
        <is>
          <t>9/19 - 12:00 PM EDT</t>
        </is>
      </c>
      <c r="H197" s="12" t="inlineStr"/>
      <c r="I197" s="23" t="n"/>
      <c r="J197" s="29" t="n"/>
      <c r="K197" s="13" t="n"/>
      <c r="L197" s="13" t="n"/>
      <c r="M197" s="12" t="n"/>
    </row>
    <row r="198">
      <c r="A198" s="17" t="inlineStr">
        <is>
          <t>2026-09-19</t>
        </is>
      </c>
      <c r="B198" s="25" t="n">
        <v>3</v>
      </c>
      <c r="C198" s="17" t="inlineStr">
        <is>
          <t>ASU</t>
        </is>
      </c>
      <c r="D198" s="17" t="inlineStr">
        <is>
          <t>KU</t>
        </is>
      </c>
      <c r="E198" s="25" t="n">
        <v>0</v>
      </c>
      <c r="F198" s="25" t="n">
        <v>0</v>
      </c>
      <c r="G198" s="17" t="inlineStr">
        <is>
          <t>9/19 - 12:00 PM EDT</t>
        </is>
      </c>
      <c r="H198" s="17" t="inlineStr">
        <is>
          <t>Y</t>
        </is>
      </c>
      <c r="I198" s="26" t="n"/>
      <c r="J198" s="30" t="n"/>
      <c r="K198" s="18" t="n"/>
      <c r="L198" s="18" t="n"/>
      <c r="M198" s="17" t="n"/>
    </row>
    <row r="199">
      <c r="A199" s="12" t="inlineStr">
        <is>
          <t>2026-09-19</t>
        </is>
      </c>
      <c r="B199" s="22" t="n">
        <v>3</v>
      </c>
      <c r="C199" s="12" t="inlineStr">
        <is>
          <t>MER</t>
        </is>
      </c>
      <c r="D199" s="12" t="inlineStr">
        <is>
          <t>GT</t>
        </is>
      </c>
      <c r="E199" s="22" t="n">
        <v>0</v>
      </c>
      <c r="F199" s="22" t="n">
        <v>0</v>
      </c>
      <c r="G199" s="12" t="inlineStr">
        <is>
          <t>9/19 - 12:00 PM EDT</t>
        </is>
      </c>
      <c r="H199" s="12" t="inlineStr"/>
      <c r="I199" s="23" t="n"/>
      <c r="J199" s="29" t="n"/>
      <c r="K199" s="13" t="n"/>
      <c r="L199" s="13" t="n"/>
      <c r="M199" s="12" t="n"/>
    </row>
    <row r="200">
      <c r="A200" s="17" t="inlineStr">
        <is>
          <t>2026-09-19</t>
        </is>
      </c>
      <c r="B200" s="25" t="n">
        <v>3</v>
      </c>
      <c r="C200" s="17" t="inlineStr">
        <is>
          <t>UNC</t>
        </is>
      </c>
      <c r="D200" s="17" t="inlineStr">
        <is>
          <t>CLEM</t>
        </is>
      </c>
      <c r="E200" s="25" t="n">
        <v>0</v>
      </c>
      <c r="F200" s="25" t="n">
        <v>0</v>
      </c>
      <c r="G200" s="17" t="inlineStr">
        <is>
          <t>9/19 - 12:00 PM EDT</t>
        </is>
      </c>
      <c r="H200" s="17" t="inlineStr"/>
      <c r="I200" s="26" t="n">
        <v>-9.5</v>
      </c>
      <c r="J200" s="30" t="n">
        <v>44.5</v>
      </c>
      <c r="K200" s="18" t="n">
        <v>320</v>
      </c>
      <c r="L200" s="18" t="n">
        <v>-410</v>
      </c>
      <c r="M200" s="17" t="inlineStr">
        <is>
          <t>DraftKings</t>
        </is>
      </c>
    </row>
    <row r="201">
      <c r="A201" s="12" t="inlineStr">
        <is>
          <t>2026-09-19</t>
        </is>
      </c>
      <c r="B201" s="22" t="n">
        <v>3</v>
      </c>
      <c r="C201" s="12" t="inlineStr">
        <is>
          <t>AKR</t>
        </is>
      </c>
      <c r="D201" s="12" t="inlineStr">
        <is>
          <t>MINN</t>
        </is>
      </c>
      <c r="E201" s="22" t="n">
        <v>0</v>
      </c>
      <c r="F201" s="22" t="n">
        <v>0</v>
      </c>
      <c r="G201" s="12" t="inlineStr">
        <is>
          <t>9/19 - 12:00 PM EDT</t>
        </is>
      </c>
      <c r="H201" s="12" t="inlineStr"/>
      <c r="I201" s="23" t="n"/>
      <c r="J201" s="29" t="n"/>
      <c r="K201" s="13" t="n"/>
      <c r="L201" s="13" t="n"/>
      <c r="M201" s="12" t="n"/>
    </row>
    <row r="202">
      <c r="A202" s="17" t="inlineStr">
        <is>
          <t>2026-09-19</t>
        </is>
      </c>
      <c r="B202" s="25" t="n">
        <v>3</v>
      </c>
      <c r="C202" s="17" t="inlineStr">
        <is>
          <t>KENT</t>
        </is>
      </c>
      <c r="D202" s="17" t="inlineStr">
        <is>
          <t>OSU</t>
        </is>
      </c>
      <c r="E202" s="25" t="n">
        <v>0</v>
      </c>
      <c r="F202" s="25" t="n">
        <v>0</v>
      </c>
      <c r="G202" s="17" t="inlineStr">
        <is>
          <t>9/19 - 12:00 PM EDT</t>
        </is>
      </c>
      <c r="H202" s="17" t="inlineStr"/>
      <c r="I202" s="26" t="n"/>
      <c r="J202" s="30" t="n"/>
      <c r="K202" s="18" t="n"/>
      <c r="L202" s="18" t="n"/>
      <c r="M202" s="17" t="n"/>
    </row>
    <row r="203">
      <c r="A203" s="12" t="inlineStr">
        <is>
          <t>2026-09-19</t>
        </is>
      </c>
      <c r="B203" s="22" t="n">
        <v>3</v>
      </c>
      <c r="C203" s="12" t="inlineStr">
        <is>
          <t>BUFF</t>
        </is>
      </c>
      <c r="D203" s="12" t="inlineStr">
        <is>
          <t>PSU</t>
        </is>
      </c>
      <c r="E203" s="22" t="n">
        <v>0</v>
      </c>
      <c r="F203" s="22" t="n">
        <v>0</v>
      </c>
      <c r="G203" s="12" t="inlineStr">
        <is>
          <t>9/19 - 12:00 PM EDT</t>
        </is>
      </c>
      <c r="H203" s="12" t="inlineStr"/>
      <c r="I203" s="23" t="n"/>
      <c r="J203" s="29" t="n"/>
      <c r="K203" s="13" t="n"/>
      <c r="L203" s="13" t="n"/>
      <c r="M203" s="12" t="n"/>
    </row>
    <row r="204">
      <c r="A204" s="17" t="inlineStr">
        <is>
          <t>2026-09-19</t>
        </is>
      </c>
      <c r="B204" s="25" t="n">
        <v>3</v>
      </c>
      <c r="C204" s="17" t="inlineStr">
        <is>
          <t>UNT</t>
        </is>
      </c>
      <c r="D204" s="17" t="inlineStr">
        <is>
          <t>TXST</t>
        </is>
      </c>
      <c r="E204" s="25" t="n">
        <v>0</v>
      </c>
      <c r="F204" s="25" t="n">
        <v>0</v>
      </c>
      <c r="G204" s="17" t="inlineStr">
        <is>
          <t>9/19 - 12:00 PM EDT</t>
        </is>
      </c>
      <c r="H204" s="17" t="inlineStr"/>
      <c r="I204" s="26" t="n"/>
      <c r="J204" s="30" t="n"/>
      <c r="K204" s="18" t="n"/>
      <c r="L204" s="18" t="n"/>
      <c r="M204" s="17" t="n"/>
    </row>
    <row r="205">
      <c r="A205" s="12" t="inlineStr">
        <is>
          <t>2026-09-19</t>
        </is>
      </c>
      <c r="B205" s="22" t="n">
        <v>3</v>
      </c>
      <c r="C205" s="12" t="inlineStr">
        <is>
          <t>EMU</t>
        </is>
      </c>
      <c r="D205" s="12" t="inlineStr">
        <is>
          <t>WIS</t>
        </is>
      </c>
      <c r="E205" s="22" t="n">
        <v>0</v>
      </c>
      <c r="F205" s="22" t="n">
        <v>0</v>
      </c>
      <c r="G205" s="12" t="inlineStr">
        <is>
          <t>9/19 - 12:30 PM EDT</t>
        </is>
      </c>
      <c r="H205" s="12" t="inlineStr"/>
      <c r="I205" s="23" t="n"/>
      <c r="J205" s="29" t="n"/>
      <c r="K205" s="13" t="n"/>
      <c r="L205" s="13" t="n"/>
      <c r="M205" s="12" t="n"/>
    </row>
    <row r="206">
      <c r="A206" s="17" t="inlineStr">
        <is>
          <t>2026-09-19</t>
        </is>
      </c>
      <c r="B206" s="25" t="n">
        <v>3</v>
      </c>
      <c r="C206" s="17" t="inlineStr">
        <is>
          <t>NCSU</t>
        </is>
      </c>
      <c r="D206" s="17" t="inlineStr">
        <is>
          <t>VAN</t>
        </is>
      </c>
      <c r="E206" s="25" t="n">
        <v>0</v>
      </c>
      <c r="F206" s="25" t="n">
        <v>0</v>
      </c>
      <c r="G206" s="17" t="inlineStr">
        <is>
          <t>9/19 - 12:45 PM EDT</t>
        </is>
      </c>
      <c r="H206" s="17" t="inlineStr"/>
      <c r="I206" s="26" t="n"/>
      <c r="J206" s="30" t="n"/>
      <c r="K206" s="18" t="n"/>
      <c r="L206" s="18" t="n"/>
      <c r="M206" s="17" t="n"/>
    </row>
    <row r="207">
      <c r="A207" s="12" t="inlineStr">
        <is>
          <t>2026-09-19</t>
        </is>
      </c>
      <c r="B207" s="22" t="n">
        <v>3</v>
      </c>
      <c r="C207" s="12" t="inlineStr">
        <is>
          <t>WYO</t>
        </is>
      </c>
      <c r="D207" s="12" t="inlineStr">
        <is>
          <t>CMU</t>
        </is>
      </c>
      <c r="E207" s="22" t="n">
        <v>0</v>
      </c>
      <c r="F207" s="22" t="n">
        <v>0</v>
      </c>
      <c r="G207" s="12" t="inlineStr">
        <is>
          <t>9/19 - 1:00 PM EDT</t>
        </is>
      </c>
      <c r="H207" s="12" t="inlineStr"/>
      <c r="I207" s="23" t="n"/>
      <c r="J207" s="29" t="n"/>
      <c r="K207" s="13" t="n"/>
      <c r="L207" s="13" t="n"/>
      <c r="M207" s="12" t="n"/>
    </row>
    <row r="208">
      <c r="A208" s="17" t="inlineStr">
        <is>
          <t>2026-09-19</t>
        </is>
      </c>
      <c r="B208" s="25" t="n">
        <v>3</v>
      </c>
      <c r="C208" s="17" t="inlineStr">
        <is>
          <t>ME</t>
        </is>
      </c>
      <c r="D208" s="17" t="inlineStr">
        <is>
          <t>BC</t>
        </is>
      </c>
      <c r="E208" s="25" t="n">
        <v>0</v>
      </c>
      <c r="F208" s="25" t="n">
        <v>0</v>
      </c>
      <c r="G208" s="17" t="inlineStr">
        <is>
          <t>9/19 - 2:00 PM EDT</t>
        </is>
      </c>
      <c r="H208" s="17" t="inlineStr"/>
      <c r="I208" s="26" t="n"/>
      <c r="J208" s="30" t="n"/>
      <c r="K208" s="18" t="n"/>
      <c r="L208" s="18" t="n"/>
      <c r="M208" s="17" t="n"/>
    </row>
    <row r="209">
      <c r="A209" s="12" t="inlineStr">
        <is>
          <t>2026-09-19</t>
        </is>
      </c>
      <c r="B209" s="22" t="n">
        <v>3</v>
      </c>
      <c r="C209" s="12" t="inlineStr">
        <is>
          <t>SIU</t>
        </is>
      </c>
      <c r="D209" s="12" t="inlineStr">
        <is>
          <t>ILL</t>
        </is>
      </c>
      <c r="E209" s="22" t="n">
        <v>0</v>
      </c>
      <c r="F209" s="22" t="n">
        <v>0</v>
      </c>
      <c r="G209" s="12" t="inlineStr">
        <is>
          <t>9/19 - 2:00 PM EDT</t>
        </is>
      </c>
      <c r="H209" s="12" t="inlineStr"/>
      <c r="I209" s="23" t="n"/>
      <c r="J209" s="29" t="n"/>
      <c r="K209" s="13" t="n"/>
      <c r="L209" s="13" t="n"/>
      <c r="M209" s="12" t="n"/>
    </row>
    <row r="210">
      <c r="A210" s="17" t="inlineStr">
        <is>
          <t>2026-09-19</t>
        </is>
      </c>
      <c r="B210" s="25" t="n">
        <v>3</v>
      </c>
      <c r="C210" s="17" t="inlineStr">
        <is>
          <t>TEM</t>
        </is>
      </c>
      <c r="D210" s="17" t="inlineStr">
        <is>
          <t>TOL</t>
        </is>
      </c>
      <c r="E210" s="25" t="n">
        <v>0</v>
      </c>
      <c r="F210" s="25" t="n">
        <v>0</v>
      </c>
      <c r="G210" s="17" t="inlineStr">
        <is>
          <t>9/19 - 3:00 PM EDT</t>
        </is>
      </c>
      <c r="H210" s="17" t="inlineStr"/>
      <c r="I210" s="26" t="n"/>
      <c r="J210" s="30" t="n"/>
      <c r="K210" s="18" t="n"/>
      <c r="L210" s="18" t="n"/>
      <c r="M210" s="17" t="n"/>
    </row>
    <row r="211">
      <c r="A211" s="12" t="inlineStr">
        <is>
          <t>2026-09-19</t>
        </is>
      </c>
      <c r="B211" s="22" t="n">
        <v>3</v>
      </c>
      <c r="C211" s="12" t="inlineStr">
        <is>
          <t>FSU</t>
        </is>
      </c>
      <c r="D211" s="12" t="inlineStr">
        <is>
          <t>ALA</t>
        </is>
      </c>
      <c r="E211" s="22" t="n">
        <v>0</v>
      </c>
      <c r="F211" s="22" t="n">
        <v>0</v>
      </c>
      <c r="G211" s="12" t="inlineStr">
        <is>
          <t>9/19 - 3:30 PM EDT</t>
        </is>
      </c>
      <c r="H211" s="12" t="inlineStr"/>
      <c r="I211" s="23" t="n">
        <v>-17.5</v>
      </c>
      <c r="J211" s="29" t="n">
        <v>50.5</v>
      </c>
      <c r="K211" s="13" t="n">
        <v>625</v>
      </c>
      <c r="L211" s="13" t="n">
        <v>-950</v>
      </c>
      <c r="M211" s="12" t="inlineStr">
        <is>
          <t>DraftKings</t>
        </is>
      </c>
    </row>
    <row r="212">
      <c r="A212" s="17" t="inlineStr">
        <is>
          <t>2026-09-19</t>
        </is>
      </c>
      <c r="B212" s="25" t="n">
        <v>3</v>
      </c>
      <c r="C212" s="17" t="inlineStr">
        <is>
          <t>UK</t>
        </is>
      </c>
      <c r="D212" s="17" t="inlineStr">
        <is>
          <t>TA&amp;M</t>
        </is>
      </c>
      <c r="E212" s="25" t="n">
        <v>0</v>
      </c>
      <c r="F212" s="25" t="n">
        <v>0</v>
      </c>
      <c r="G212" s="17" t="inlineStr">
        <is>
          <t>9/19 - 3:30 PM EDT</t>
        </is>
      </c>
      <c r="H212" s="17" t="inlineStr"/>
      <c r="I212" s="26" t="n"/>
      <c r="J212" s="30" t="n"/>
      <c r="K212" s="18" t="n"/>
      <c r="L212" s="18" t="n"/>
      <c r="M212" s="17" t="n"/>
    </row>
    <row r="213">
      <c r="A213" s="12" t="inlineStr">
        <is>
          <t>2026-09-19</t>
        </is>
      </c>
      <c r="B213" s="22" t="n">
        <v>3</v>
      </c>
      <c r="C213" s="12" t="inlineStr">
        <is>
          <t>M-OH</t>
        </is>
      </c>
      <c r="D213" s="12" t="inlineStr">
        <is>
          <t>CIN</t>
        </is>
      </c>
      <c r="E213" s="22" t="n">
        <v>0</v>
      </c>
      <c r="F213" s="22" t="n">
        <v>0</v>
      </c>
      <c r="G213" s="12" t="inlineStr">
        <is>
          <t>9/19 - 3:30 PM EDT</t>
        </is>
      </c>
      <c r="H213" s="12" t="inlineStr"/>
      <c r="I213" s="23" t="n"/>
      <c r="J213" s="29" t="n"/>
      <c r="K213" s="13" t="n"/>
      <c r="L213" s="13" t="n"/>
      <c r="M213" s="12" t="n"/>
    </row>
    <row r="214">
      <c r="A214" s="17" t="inlineStr">
        <is>
          <t>2026-09-19</t>
        </is>
      </c>
      <c r="B214" s="25" t="n">
        <v>3</v>
      </c>
      <c r="C214" s="17" t="inlineStr">
        <is>
          <t>USU</t>
        </is>
      </c>
      <c r="D214" s="17" t="inlineStr">
        <is>
          <t>UTAH</t>
        </is>
      </c>
      <c r="E214" s="25" t="n">
        <v>0</v>
      </c>
      <c r="F214" s="25" t="n">
        <v>0</v>
      </c>
      <c r="G214" s="17" t="inlineStr">
        <is>
          <t>9/19 - 3:30 PM EDT</t>
        </is>
      </c>
      <c r="H214" s="17" t="inlineStr"/>
      <c r="I214" s="26" t="n"/>
      <c r="J214" s="30" t="n"/>
      <c r="K214" s="18" t="n"/>
      <c r="L214" s="18" t="n"/>
      <c r="M214" s="17" t="n"/>
    </row>
    <row r="215">
      <c r="A215" s="12" t="inlineStr">
        <is>
          <t>2026-09-19</t>
        </is>
      </c>
      <c r="B215" s="22" t="n">
        <v>3</v>
      </c>
      <c r="C215" s="12" t="inlineStr">
        <is>
          <t>SMU</t>
        </is>
      </c>
      <c r="D215" s="12" t="inlineStr">
        <is>
          <t>LOU</t>
        </is>
      </c>
      <c r="E215" s="22" t="n">
        <v>0</v>
      </c>
      <c r="F215" s="22" t="n">
        <v>0</v>
      </c>
      <c r="G215" s="12" t="inlineStr">
        <is>
          <t>9/19 - 3:30 PM EDT</t>
        </is>
      </c>
      <c r="H215" s="12" t="inlineStr"/>
      <c r="I215" s="23" t="n">
        <v>-1.5</v>
      </c>
      <c r="J215" s="29" t="n">
        <v>58.5</v>
      </c>
      <c r="K215" s="13" t="n">
        <v>-108</v>
      </c>
      <c r="L215" s="13" t="n">
        <v>-112</v>
      </c>
      <c r="M215" s="12" t="inlineStr">
        <is>
          <t>DraftKings</t>
        </is>
      </c>
    </row>
    <row r="216">
      <c r="A216" s="17" t="inlineStr">
        <is>
          <t>2026-09-19</t>
        </is>
      </c>
      <c r="B216" s="25" t="n">
        <v>3</v>
      </c>
      <c r="C216" s="17" t="inlineStr">
        <is>
          <t>WAG</t>
        </is>
      </c>
      <c r="D216" s="17" t="inlineStr">
        <is>
          <t>CAL</t>
        </is>
      </c>
      <c r="E216" s="25" t="n">
        <v>0</v>
      </c>
      <c r="F216" s="25" t="n">
        <v>0</v>
      </c>
      <c r="G216" s="17" t="inlineStr">
        <is>
          <t>9/19 - 3:30 PM EDT</t>
        </is>
      </c>
      <c r="H216" s="17" t="inlineStr"/>
      <c r="I216" s="26" t="n"/>
      <c r="J216" s="30" t="n"/>
      <c r="K216" s="18" t="n"/>
      <c r="L216" s="18" t="n"/>
      <c r="M216" s="17" t="n"/>
    </row>
    <row r="217">
      <c r="A217" s="12" t="inlineStr">
        <is>
          <t>2026-09-19</t>
        </is>
      </c>
      <c r="B217" s="22" t="n">
        <v>3</v>
      </c>
      <c r="C217" s="12" t="inlineStr">
        <is>
          <t>UTEP</t>
        </is>
      </c>
      <c r="D217" s="12" t="inlineStr">
        <is>
          <t>MICH</t>
        </is>
      </c>
      <c r="E217" s="22" t="n">
        <v>0</v>
      </c>
      <c r="F217" s="22" t="n">
        <v>0</v>
      </c>
      <c r="G217" s="12" t="inlineStr">
        <is>
          <t>9/19 - 3:30 PM EDT</t>
        </is>
      </c>
      <c r="H217" s="12" t="inlineStr"/>
      <c r="I217" s="23" t="n"/>
      <c r="J217" s="29" t="n"/>
      <c r="K217" s="13" t="n"/>
      <c r="L217" s="13" t="n"/>
      <c r="M217" s="12" t="n"/>
    </row>
    <row r="218">
      <c r="A218" s="17" t="inlineStr">
        <is>
          <t>2026-09-19</t>
        </is>
      </c>
      <c r="B218" s="25" t="n">
        <v>3</v>
      </c>
      <c r="C218" s="17" t="inlineStr">
        <is>
          <t>USC</t>
        </is>
      </c>
      <c r="D218" s="17" t="inlineStr">
        <is>
          <t>RUTG</t>
        </is>
      </c>
      <c r="E218" s="25" t="n">
        <v>0</v>
      </c>
      <c r="F218" s="25" t="n">
        <v>0</v>
      </c>
      <c r="G218" s="17" t="inlineStr">
        <is>
          <t>9/19 - 3:30 PM EDT</t>
        </is>
      </c>
      <c r="H218" s="17" t="inlineStr"/>
      <c r="I218" s="26" t="n"/>
      <c r="J218" s="30" t="n"/>
      <c r="K218" s="18" t="n"/>
      <c r="L218" s="18" t="n"/>
      <c r="M218" s="17" t="n"/>
    </row>
    <row r="219">
      <c r="A219" s="12" t="inlineStr">
        <is>
          <t>2026-09-19</t>
        </is>
      </c>
      <c r="B219" s="22" t="n">
        <v>3</v>
      </c>
      <c r="C219" s="12" t="inlineStr">
        <is>
          <t>DUQ</t>
        </is>
      </c>
      <c r="D219" s="12" t="inlineStr">
        <is>
          <t>WSU</t>
        </is>
      </c>
      <c r="E219" s="22" t="n">
        <v>0</v>
      </c>
      <c r="F219" s="22" t="n">
        <v>0</v>
      </c>
      <c r="G219" s="12" t="inlineStr">
        <is>
          <t>9/19 - 3:30 PM EDT</t>
        </is>
      </c>
      <c r="H219" s="12" t="inlineStr"/>
      <c r="I219" s="23" t="n"/>
      <c r="J219" s="29" t="n"/>
      <c r="K219" s="13" t="n"/>
      <c r="L219" s="13" t="n"/>
      <c r="M219" s="12" t="n"/>
    </row>
    <row r="220">
      <c r="A220" s="17" t="inlineStr">
        <is>
          <t>2026-09-19</t>
        </is>
      </c>
      <c r="B220" s="25" t="n">
        <v>3</v>
      </c>
      <c r="C220" s="17" t="inlineStr">
        <is>
          <t>STO</t>
        </is>
      </c>
      <c r="D220" s="17" t="inlineStr">
        <is>
          <t>MASS</t>
        </is>
      </c>
      <c r="E220" s="25" t="n">
        <v>0</v>
      </c>
      <c r="F220" s="25" t="n">
        <v>0</v>
      </c>
      <c r="G220" s="17" t="inlineStr">
        <is>
          <t>9/19 - 3:30 PM EDT</t>
        </is>
      </c>
      <c r="H220" s="17" t="inlineStr"/>
      <c r="I220" s="26" t="n"/>
      <c r="J220" s="30" t="n"/>
      <c r="K220" s="18" t="n"/>
      <c r="L220" s="18" t="n"/>
      <c r="M220" s="17" t="n"/>
    </row>
    <row r="221">
      <c r="A221" s="12" t="inlineStr">
        <is>
          <t>2026-09-19</t>
        </is>
      </c>
      <c r="B221" s="22" t="n">
        <v>3</v>
      </c>
      <c r="C221" s="12" t="inlineStr">
        <is>
          <t>STAN</t>
        </is>
      </c>
      <c r="D221" s="12" t="inlineStr">
        <is>
          <t>DUKE</t>
        </is>
      </c>
      <c r="E221" s="22" t="n">
        <v>0</v>
      </c>
      <c r="F221" s="22" t="n">
        <v>0</v>
      </c>
      <c r="G221" s="12" t="inlineStr">
        <is>
          <t>9/19 - 4:00 PM EDT</t>
        </is>
      </c>
      <c r="H221" s="12" t="inlineStr"/>
      <c r="I221" s="23" t="n"/>
      <c r="J221" s="29" t="n"/>
      <c r="K221" s="13" t="n"/>
      <c r="L221" s="13" t="n"/>
      <c r="M221" s="12" t="n"/>
    </row>
    <row r="222">
      <c r="A222" s="17" t="inlineStr">
        <is>
          <t>2026-09-19</t>
        </is>
      </c>
      <c r="B222" s="25" t="n">
        <v>3</v>
      </c>
      <c r="C222" s="17" t="inlineStr">
        <is>
          <t>WKU</t>
        </is>
      </c>
      <c r="D222" s="17" t="inlineStr">
        <is>
          <t>IU</t>
        </is>
      </c>
      <c r="E222" s="25" t="n">
        <v>0</v>
      </c>
      <c r="F222" s="25" t="n">
        <v>0</v>
      </c>
      <c r="G222" s="17" t="inlineStr">
        <is>
          <t>9/19 - 4:00 PM EDT</t>
        </is>
      </c>
      <c r="H222" s="17" t="inlineStr"/>
      <c r="I222" s="26" t="n"/>
      <c r="J222" s="30" t="n"/>
      <c r="K222" s="18" t="n"/>
      <c r="L222" s="18" t="n"/>
      <c r="M222" s="17" t="n"/>
    </row>
    <row r="223">
      <c r="A223" s="12" t="inlineStr">
        <is>
          <t>2026-09-19</t>
        </is>
      </c>
      <c r="B223" s="22" t="n">
        <v>3</v>
      </c>
      <c r="C223" s="12" t="inlineStr">
        <is>
          <t>UNI</t>
        </is>
      </c>
      <c r="D223" s="12" t="inlineStr">
        <is>
          <t>IOWA</t>
        </is>
      </c>
      <c r="E223" s="22" t="n">
        <v>0</v>
      </c>
      <c r="F223" s="22" t="n">
        <v>0</v>
      </c>
      <c r="G223" s="12" t="inlineStr">
        <is>
          <t>9/19 - 4:00 PM EDT</t>
        </is>
      </c>
      <c r="H223" s="12" t="inlineStr"/>
      <c r="I223" s="23" t="n"/>
      <c r="J223" s="29" t="n"/>
      <c r="K223" s="13" t="n"/>
      <c r="L223" s="13" t="n"/>
      <c r="M223" s="12" t="n"/>
    </row>
    <row r="224">
      <c r="A224" s="17" t="inlineStr">
        <is>
          <t>2026-09-19</t>
        </is>
      </c>
      <c r="B224" s="25" t="n">
        <v>3</v>
      </c>
      <c r="C224" s="17" t="inlineStr">
        <is>
          <t>BALL</t>
        </is>
      </c>
      <c r="D224" s="17" t="inlineStr">
        <is>
          <t>LIB</t>
        </is>
      </c>
      <c r="E224" s="25" t="n">
        <v>0</v>
      </c>
      <c r="F224" s="25" t="n">
        <v>0</v>
      </c>
      <c r="G224" s="17" t="inlineStr">
        <is>
          <t>9/19 - 4:00 PM EDT</t>
        </is>
      </c>
      <c r="H224" s="17" t="inlineStr"/>
      <c r="I224" s="26" t="n"/>
      <c r="J224" s="30" t="n"/>
      <c r="K224" s="18" t="n"/>
      <c r="L224" s="18" t="n"/>
      <c r="M224" s="17" t="n"/>
    </row>
    <row r="225">
      <c r="A225" s="12" t="inlineStr">
        <is>
          <t>2026-09-19</t>
        </is>
      </c>
      <c r="B225" s="22" t="n">
        <v>3</v>
      </c>
      <c r="C225" s="12" t="inlineStr">
        <is>
          <t>LT</t>
        </is>
      </c>
      <c r="D225" s="12" t="inlineStr">
        <is>
          <t>BAY</t>
        </is>
      </c>
      <c r="E225" s="22" t="n">
        <v>0</v>
      </c>
      <c r="F225" s="22" t="n">
        <v>0</v>
      </c>
      <c r="G225" s="12" t="inlineStr">
        <is>
          <t>9/19 - 4:00 PM EDT</t>
        </is>
      </c>
      <c r="H225" s="12" t="inlineStr"/>
      <c r="I225" s="23" t="n"/>
      <c r="J225" s="29" t="n"/>
      <c r="K225" s="13" t="n"/>
      <c r="L225" s="13" t="n"/>
      <c r="M225" s="12" t="n"/>
    </row>
    <row r="226">
      <c r="A226" s="17" t="inlineStr">
        <is>
          <t>2026-09-19</t>
        </is>
      </c>
      <c r="B226" s="25" t="n">
        <v>3</v>
      </c>
      <c r="C226" s="17" t="inlineStr">
        <is>
          <t>MSST</t>
        </is>
      </c>
      <c r="D226" s="17" t="inlineStr">
        <is>
          <t>SC</t>
        </is>
      </c>
      <c r="E226" s="25" t="n">
        <v>0</v>
      </c>
      <c r="F226" s="25" t="n">
        <v>0</v>
      </c>
      <c r="G226" s="17" t="inlineStr">
        <is>
          <t>9/19 - 4:15 PM EDT</t>
        </is>
      </c>
      <c r="H226" s="17" t="inlineStr"/>
      <c r="I226" s="26" t="n">
        <v>-7.5</v>
      </c>
      <c r="J226" s="30" t="n">
        <v>54.5</v>
      </c>
      <c r="K226" s="18" t="n">
        <v>240</v>
      </c>
      <c r="L226" s="18" t="n">
        <v>-298</v>
      </c>
      <c r="M226" s="17" t="inlineStr">
        <is>
          <t>DraftKings</t>
        </is>
      </c>
    </row>
    <row r="227">
      <c r="A227" s="12" t="inlineStr">
        <is>
          <t>2026-09-19</t>
        </is>
      </c>
      <c r="B227" s="22" t="n">
        <v>3</v>
      </c>
      <c r="C227" s="12" t="inlineStr">
        <is>
          <t>SELA</t>
        </is>
      </c>
      <c r="D227" s="12" t="inlineStr">
        <is>
          <t>ULM</t>
        </is>
      </c>
      <c r="E227" s="22" t="n">
        <v>0</v>
      </c>
      <c r="F227" s="22" t="n">
        <v>0</v>
      </c>
      <c r="G227" s="12" t="inlineStr">
        <is>
          <t>9/19 - 4:30 PM EDT</t>
        </is>
      </c>
      <c r="H227" s="12" t="inlineStr"/>
      <c r="I227" s="23" t="n"/>
      <c r="J227" s="29" t="n"/>
      <c r="K227" s="13" t="n"/>
      <c r="L227" s="13" t="n"/>
      <c r="M227" s="12" t="n"/>
    </row>
    <row r="228">
      <c r="A228" s="17" t="inlineStr">
        <is>
          <t>2026-09-19</t>
        </is>
      </c>
      <c r="B228" s="25" t="n">
        <v>3</v>
      </c>
      <c r="C228" s="17" t="inlineStr">
        <is>
          <t>ECU</t>
        </is>
      </c>
      <c r="D228" s="17" t="inlineStr">
        <is>
          <t>ODU</t>
        </is>
      </c>
      <c r="E228" s="25" t="n">
        <v>0</v>
      </c>
      <c r="F228" s="25" t="n">
        <v>0</v>
      </c>
      <c r="G228" s="17" t="inlineStr">
        <is>
          <t>9/19 - 6:00 PM EDT</t>
        </is>
      </c>
      <c r="H228" s="17" t="inlineStr"/>
      <c r="I228" s="26" t="n"/>
      <c r="J228" s="30" t="n"/>
      <c r="K228" s="18" t="n"/>
      <c r="L228" s="18" t="n"/>
      <c r="M228" s="17" t="n"/>
    </row>
    <row r="229">
      <c r="A229" s="12" t="inlineStr">
        <is>
          <t>2026-09-19</t>
        </is>
      </c>
      <c r="B229" s="22" t="n">
        <v>3</v>
      </c>
      <c r="C229" s="12" t="inlineStr">
        <is>
          <t>FIU</t>
        </is>
      </c>
      <c r="D229" s="12" t="inlineStr">
        <is>
          <t>FAU</t>
        </is>
      </c>
      <c r="E229" s="22" t="n">
        <v>0</v>
      </c>
      <c r="F229" s="22" t="n">
        <v>0</v>
      </c>
      <c r="G229" s="12" t="inlineStr">
        <is>
          <t>9/19 - 6:00 PM EDT</t>
        </is>
      </c>
      <c r="H229" s="12" t="inlineStr"/>
      <c r="I229" s="23" t="n"/>
      <c r="J229" s="29" t="n"/>
      <c r="K229" s="13" t="n"/>
      <c r="L229" s="13" t="n"/>
      <c r="M229" s="12" t="n"/>
    </row>
    <row r="230">
      <c r="A230" s="17" t="inlineStr">
        <is>
          <t>2026-09-19</t>
        </is>
      </c>
      <c r="B230" s="25" t="n">
        <v>3</v>
      </c>
      <c r="C230" s="17" t="inlineStr">
        <is>
          <t>CLT</t>
        </is>
      </c>
      <c r="D230" s="17" t="inlineStr">
        <is>
          <t>APP</t>
        </is>
      </c>
      <c r="E230" s="25" t="n">
        <v>0</v>
      </c>
      <c r="F230" s="25" t="n">
        <v>0</v>
      </c>
      <c r="G230" s="17" t="inlineStr">
        <is>
          <t>9/19 - 6:00 PM EDT</t>
        </is>
      </c>
      <c r="H230" s="17" t="inlineStr"/>
      <c r="I230" s="26" t="n"/>
      <c r="J230" s="30" t="n"/>
      <c r="K230" s="18" t="n"/>
      <c r="L230" s="18" t="n"/>
      <c r="M230" s="17" t="n"/>
    </row>
    <row r="231">
      <c r="A231" s="12" t="inlineStr">
        <is>
          <t>2026-09-19</t>
        </is>
      </c>
      <c r="B231" s="22" t="n">
        <v>3</v>
      </c>
      <c r="C231" s="12" t="inlineStr">
        <is>
          <t>MRSH</t>
        </is>
      </c>
      <c r="D231" s="12" t="inlineStr">
        <is>
          <t>MOST</t>
        </is>
      </c>
      <c r="E231" s="22" t="n">
        <v>0</v>
      </c>
      <c r="F231" s="22" t="n">
        <v>0</v>
      </c>
      <c r="G231" s="12" t="inlineStr">
        <is>
          <t>9/19 - 6:30 PM EDT</t>
        </is>
      </c>
      <c r="H231" s="12" t="inlineStr"/>
      <c r="I231" s="23" t="n"/>
      <c r="J231" s="29" t="n"/>
      <c r="K231" s="13" t="n"/>
      <c r="L231" s="13" t="n"/>
      <c r="M231" s="12" t="n"/>
    </row>
    <row r="232">
      <c r="A232" s="17" t="inlineStr">
        <is>
          <t>2026-09-19</t>
        </is>
      </c>
      <c r="B232" s="25" t="n">
        <v>3</v>
      </c>
      <c r="C232" s="17" t="inlineStr">
        <is>
          <t>FLA</t>
        </is>
      </c>
      <c r="D232" s="17" t="inlineStr">
        <is>
          <t>AUB</t>
        </is>
      </c>
      <c r="E232" s="25" t="n">
        <v>0</v>
      </c>
      <c r="F232" s="25" t="n">
        <v>0</v>
      </c>
      <c r="G232" s="17" t="inlineStr">
        <is>
          <t>9/19 - 7:00 PM EDT</t>
        </is>
      </c>
      <c r="H232" s="17" t="inlineStr"/>
      <c r="I232" s="26" t="n">
        <v>2.5</v>
      </c>
      <c r="J232" s="30" t="n">
        <v>49.5</v>
      </c>
      <c r="K232" s="18" t="n">
        <v>-142</v>
      </c>
      <c r="L232" s="18" t="n">
        <v>120</v>
      </c>
      <c r="M232" s="17" t="inlineStr">
        <is>
          <t>DraftKings</t>
        </is>
      </c>
    </row>
    <row r="233">
      <c r="A233" s="12" t="inlineStr">
        <is>
          <t>2026-09-19</t>
        </is>
      </c>
      <c r="B233" s="22" t="n">
        <v>3</v>
      </c>
      <c r="C233" s="12" t="inlineStr">
        <is>
          <t>TROY</t>
        </is>
      </c>
      <c r="D233" s="12" t="inlineStr">
        <is>
          <t>MIZ</t>
        </is>
      </c>
      <c r="E233" s="22" t="n">
        <v>0</v>
      </c>
      <c r="F233" s="22" t="n">
        <v>0</v>
      </c>
      <c r="G233" s="12" t="inlineStr">
        <is>
          <t>9/19 - 7:00 PM EDT</t>
        </is>
      </c>
      <c r="H233" s="12" t="inlineStr"/>
      <c r="I233" s="23" t="n"/>
      <c r="J233" s="29" t="n"/>
      <c r="K233" s="13" t="n"/>
      <c r="L233" s="13" t="n"/>
      <c r="M233" s="12" t="n"/>
    </row>
    <row r="234">
      <c r="A234" s="17" t="inlineStr">
        <is>
          <t>2026-09-19</t>
        </is>
      </c>
      <c r="B234" s="25" t="n">
        <v>3</v>
      </c>
      <c r="C234" s="17" t="inlineStr">
        <is>
          <t>GAST</t>
        </is>
      </c>
      <c r="D234" s="17" t="inlineStr">
        <is>
          <t>UCF</t>
        </is>
      </c>
      <c r="E234" s="25" t="n">
        <v>0</v>
      </c>
      <c r="F234" s="25" t="n">
        <v>0</v>
      </c>
      <c r="G234" s="17" t="inlineStr">
        <is>
          <t>9/19 - 7:00 PM EDT</t>
        </is>
      </c>
      <c r="H234" s="17" t="inlineStr"/>
      <c r="I234" s="26" t="n"/>
      <c r="J234" s="30" t="n"/>
      <c r="K234" s="18" t="n"/>
      <c r="L234" s="18" t="n"/>
      <c r="M234" s="17" t="n"/>
    </row>
    <row r="235">
      <c r="A235" s="12" t="inlineStr">
        <is>
          <t>2026-09-19</t>
        </is>
      </c>
      <c r="B235" s="22" t="n">
        <v>3</v>
      </c>
      <c r="C235" s="12" t="inlineStr">
        <is>
          <t>MUR</t>
        </is>
      </c>
      <c r="D235" s="12" t="inlineStr">
        <is>
          <t>OKST</t>
        </is>
      </c>
      <c r="E235" s="22" t="n">
        <v>0</v>
      </c>
      <c r="F235" s="22" t="n">
        <v>0</v>
      </c>
      <c r="G235" s="12" t="inlineStr">
        <is>
          <t>9/19 - 7:00 PM EDT</t>
        </is>
      </c>
      <c r="H235" s="12" t="inlineStr"/>
      <c r="I235" s="23" t="n"/>
      <c r="J235" s="29" t="n"/>
      <c r="K235" s="13" t="n"/>
      <c r="L235" s="13" t="n"/>
      <c r="M235" s="12" t="n"/>
    </row>
    <row r="236">
      <c r="A236" s="17" t="inlineStr">
        <is>
          <t>2026-09-19</t>
        </is>
      </c>
      <c r="B236" s="25" t="n">
        <v>3</v>
      </c>
      <c r="C236" s="17" t="inlineStr">
        <is>
          <t>CONN</t>
        </is>
      </c>
      <c r="D236" s="17" t="inlineStr">
        <is>
          <t>USM</t>
        </is>
      </c>
      <c r="E236" s="25" t="n">
        <v>0</v>
      </c>
      <c r="F236" s="25" t="n">
        <v>0</v>
      </c>
      <c r="G236" s="17" t="inlineStr">
        <is>
          <t>9/19 - 7:00 PM EDT</t>
        </is>
      </c>
      <c r="H236" s="17" t="inlineStr"/>
      <c r="I236" s="26" t="n"/>
      <c r="J236" s="30" t="n"/>
      <c r="K236" s="18" t="n"/>
      <c r="L236" s="18" t="n"/>
      <c r="M236" s="17" t="n"/>
    </row>
    <row r="237">
      <c r="A237" s="12" t="inlineStr">
        <is>
          <t>2026-09-19</t>
        </is>
      </c>
      <c r="B237" s="22" t="n">
        <v>3</v>
      </c>
      <c r="C237" s="12" t="inlineStr">
        <is>
          <t>UTM</t>
        </is>
      </c>
      <c r="D237" s="12" t="inlineStr">
        <is>
          <t>MEM</t>
        </is>
      </c>
      <c r="E237" s="22" t="n">
        <v>0</v>
      </c>
      <c r="F237" s="22" t="n">
        <v>0</v>
      </c>
      <c r="G237" s="12" t="inlineStr">
        <is>
          <t>9/19 - 7:00 PM EDT</t>
        </is>
      </c>
      <c r="H237" s="12" t="inlineStr"/>
      <c r="I237" s="23" t="n"/>
      <c r="J237" s="29" t="n"/>
      <c r="K237" s="13" t="n"/>
      <c r="L237" s="13" t="n"/>
      <c r="M237" s="12" t="n"/>
    </row>
    <row r="238">
      <c r="A238" s="17" t="inlineStr">
        <is>
          <t>2026-09-19</t>
        </is>
      </c>
      <c r="B238" s="25" t="n">
        <v>3</v>
      </c>
      <c r="C238" s="17" t="inlineStr">
        <is>
          <t>WMU</t>
        </is>
      </c>
      <c r="D238" s="17" t="inlineStr">
        <is>
          <t>RICE</t>
        </is>
      </c>
      <c r="E238" s="25" t="n">
        <v>0</v>
      </c>
      <c r="F238" s="25" t="n">
        <v>0</v>
      </c>
      <c r="G238" s="17" t="inlineStr">
        <is>
          <t>9/19 - 7:00 PM EDT</t>
        </is>
      </c>
      <c r="H238" s="17" t="inlineStr"/>
      <c r="I238" s="26" t="n"/>
      <c r="J238" s="30" t="n"/>
      <c r="K238" s="18" t="n"/>
      <c r="L238" s="18" t="n"/>
      <c r="M238" s="17" t="n"/>
    </row>
    <row r="239">
      <c r="A239" s="12" t="inlineStr">
        <is>
          <t>2026-09-19</t>
        </is>
      </c>
      <c r="B239" s="22" t="n">
        <v>3</v>
      </c>
      <c r="C239" s="12" t="inlineStr">
        <is>
          <t>DSU</t>
        </is>
      </c>
      <c r="D239" s="12" t="inlineStr">
        <is>
          <t>USF</t>
        </is>
      </c>
      <c r="E239" s="22" t="n">
        <v>0</v>
      </c>
      <c r="F239" s="22" t="n">
        <v>0</v>
      </c>
      <c r="G239" s="12" t="inlineStr">
        <is>
          <t>9/19 - 7:00 PM EDT</t>
        </is>
      </c>
      <c r="H239" s="12" t="inlineStr"/>
      <c r="I239" s="23" t="n"/>
      <c r="J239" s="29" t="n"/>
      <c r="K239" s="13" t="n"/>
      <c r="L239" s="13" t="n"/>
      <c r="M239" s="12" t="n"/>
    </row>
    <row r="240">
      <c r="A240" s="17" t="inlineStr">
        <is>
          <t>2026-09-19</t>
        </is>
      </c>
      <c r="B240" s="25" t="n">
        <v>3</v>
      </c>
      <c r="C240" s="17" t="inlineStr">
        <is>
          <t>NEV</t>
        </is>
      </c>
      <c r="D240" s="17" t="inlineStr">
        <is>
          <t>MTSU</t>
        </is>
      </c>
      <c r="E240" s="25" t="n">
        <v>0</v>
      </c>
      <c r="F240" s="25" t="n">
        <v>0</v>
      </c>
      <c r="G240" s="17" t="inlineStr">
        <is>
          <t>9/19 - 7:00 PM EDT</t>
        </is>
      </c>
      <c r="H240" s="17" t="inlineStr"/>
      <c r="I240" s="26" t="n"/>
      <c r="J240" s="30" t="n"/>
      <c r="K240" s="18" t="n"/>
      <c r="L240" s="18" t="n"/>
      <c r="M240" s="17" t="n"/>
    </row>
    <row r="241">
      <c r="A241" s="12" t="inlineStr">
        <is>
          <t>2026-09-19</t>
        </is>
      </c>
      <c r="B241" s="22" t="n">
        <v>3</v>
      </c>
      <c r="C241" s="12" t="inlineStr">
        <is>
          <t>OHIO</t>
        </is>
      </c>
      <c r="D241" s="12" t="inlineStr">
        <is>
          <t>USA</t>
        </is>
      </c>
      <c r="E241" s="22" t="n">
        <v>0</v>
      </c>
      <c r="F241" s="22" t="n">
        <v>0</v>
      </c>
      <c r="G241" s="12" t="inlineStr">
        <is>
          <t>9/19 - 7:00 PM EDT</t>
        </is>
      </c>
      <c r="H241" s="12" t="inlineStr"/>
      <c r="I241" s="23" t="n"/>
      <c r="J241" s="29" t="n"/>
      <c r="K241" s="13" t="n"/>
      <c r="L241" s="13" t="n"/>
      <c r="M241" s="12" t="n"/>
    </row>
    <row r="242">
      <c r="A242" s="17" t="inlineStr">
        <is>
          <t>2026-09-19</t>
        </is>
      </c>
      <c r="B242" s="25" t="n">
        <v>3</v>
      </c>
      <c r="C242" s="17" t="inlineStr">
        <is>
          <t>GASO</t>
        </is>
      </c>
      <c r="D242" s="17" t="inlineStr">
        <is>
          <t>JVST</t>
        </is>
      </c>
      <c r="E242" s="25" t="n">
        <v>0</v>
      </c>
      <c r="F242" s="25" t="n">
        <v>0</v>
      </c>
      <c r="G242" s="17" t="inlineStr">
        <is>
          <t>9/19 - 7:00 PM EDT</t>
        </is>
      </c>
      <c r="H242" s="17" t="inlineStr"/>
      <c r="I242" s="26" t="n"/>
      <c r="J242" s="30" t="n"/>
      <c r="K242" s="18" t="n"/>
      <c r="L242" s="18" t="n"/>
      <c r="M242" s="17" t="n"/>
    </row>
    <row r="243">
      <c r="A243" s="12" t="inlineStr">
        <is>
          <t>2026-09-19</t>
        </is>
      </c>
      <c r="B243" s="22" t="n">
        <v>3</v>
      </c>
      <c r="C243" s="12" t="inlineStr">
        <is>
          <t>NICH</t>
        </is>
      </c>
      <c r="D243" s="12" t="inlineStr">
        <is>
          <t>SHSU</t>
        </is>
      </c>
      <c r="E243" s="22" t="n">
        <v>0</v>
      </c>
      <c r="F243" s="22" t="n">
        <v>0</v>
      </c>
      <c r="G243" s="12" t="inlineStr">
        <is>
          <t>9/19 - 7:00 PM EDT</t>
        </is>
      </c>
      <c r="H243" s="12" t="inlineStr"/>
      <c r="I243" s="23" t="n"/>
      <c r="J243" s="29" t="n"/>
      <c r="K243" s="13" t="n"/>
      <c r="L243" s="13" t="n"/>
      <c r="M243" s="12" t="n"/>
    </row>
    <row r="244">
      <c r="A244" s="17" t="inlineStr">
        <is>
          <t>2026-09-19</t>
        </is>
      </c>
      <c r="B244" s="25" t="n">
        <v>3</v>
      </c>
      <c r="C244" s="17" t="inlineStr">
        <is>
          <t>UND</t>
        </is>
      </c>
      <c r="D244" s="17" t="inlineStr">
        <is>
          <t>NEB</t>
        </is>
      </c>
      <c r="E244" s="25" t="n">
        <v>0</v>
      </c>
      <c r="F244" s="25" t="n">
        <v>0</v>
      </c>
      <c r="G244" s="17" t="inlineStr">
        <is>
          <t>9/19 - 7:15 PM EDT</t>
        </is>
      </c>
      <c r="H244" s="17" t="inlineStr"/>
      <c r="I244" s="26" t="n"/>
      <c r="J244" s="30" t="n"/>
      <c r="K244" s="18" t="n"/>
      <c r="L244" s="18" t="n"/>
      <c r="M244" s="17" t="n"/>
    </row>
    <row r="245">
      <c r="A245" s="12" t="inlineStr">
        <is>
          <t>2026-09-19</t>
        </is>
      </c>
      <c r="B245" s="22" t="n">
        <v>3</v>
      </c>
      <c r="C245" s="12" t="inlineStr">
        <is>
          <t>EWU</t>
        </is>
      </c>
      <c r="D245" s="12" t="inlineStr">
        <is>
          <t>WASH</t>
        </is>
      </c>
      <c r="E245" s="22" t="n">
        <v>0</v>
      </c>
      <c r="F245" s="22" t="n">
        <v>0</v>
      </c>
      <c r="G245" s="12" t="inlineStr">
        <is>
          <t>9/19 - 7:15 PM EDT</t>
        </is>
      </c>
      <c r="H245" s="12" t="inlineStr"/>
      <c r="I245" s="23" t="n"/>
      <c r="J245" s="29" t="n"/>
      <c r="K245" s="13" t="n"/>
      <c r="L245" s="13" t="n"/>
      <c r="M245" s="12" t="n"/>
    </row>
    <row r="246">
      <c r="A246" s="17" t="inlineStr">
        <is>
          <t>2026-09-19</t>
        </is>
      </c>
      <c r="B246" s="25" t="n">
        <v>3</v>
      </c>
      <c r="C246" s="17" t="inlineStr">
        <is>
          <t>LSU</t>
        </is>
      </c>
      <c r="D246" s="17" t="inlineStr">
        <is>
          <t>MISS</t>
        </is>
      </c>
      <c r="E246" s="25" t="n">
        <v>0</v>
      </c>
      <c r="F246" s="25" t="n">
        <v>0</v>
      </c>
      <c r="G246" s="17" t="inlineStr">
        <is>
          <t>9/19 - 7:30 PM EDT</t>
        </is>
      </c>
      <c r="H246" s="17" t="inlineStr"/>
      <c r="I246" s="26" t="n">
        <v>3</v>
      </c>
      <c r="J246" s="30" t="n">
        <v>58.5</v>
      </c>
      <c r="K246" s="18" t="n">
        <v>-155</v>
      </c>
      <c r="L246" s="18" t="n">
        <v>130</v>
      </c>
      <c r="M246" s="17" t="inlineStr">
        <is>
          <t>DraftKings</t>
        </is>
      </c>
    </row>
    <row r="247">
      <c r="A247" s="12" t="inlineStr">
        <is>
          <t>2026-09-19</t>
        </is>
      </c>
      <c r="B247" s="22" t="n">
        <v>3</v>
      </c>
      <c r="C247" s="12" t="inlineStr">
        <is>
          <t>UNM</t>
        </is>
      </c>
      <c r="D247" s="12" t="inlineStr">
        <is>
          <t>OU</t>
        </is>
      </c>
      <c r="E247" s="22" t="n">
        <v>0</v>
      </c>
      <c r="F247" s="22" t="n">
        <v>0</v>
      </c>
      <c r="G247" s="12" t="inlineStr">
        <is>
          <t>9/19 - 7:30 PM EDT</t>
        </is>
      </c>
      <c r="H247" s="12" t="inlineStr"/>
      <c r="I247" s="23" t="n"/>
      <c r="J247" s="29" t="n"/>
      <c r="K247" s="13" t="n"/>
      <c r="L247" s="13" t="n"/>
      <c r="M247" s="12" t="n"/>
    </row>
    <row r="248">
      <c r="A248" s="17" t="inlineStr">
        <is>
          <t>2026-09-19</t>
        </is>
      </c>
      <c r="B248" s="25" t="n">
        <v>3</v>
      </c>
      <c r="C248" s="17" t="inlineStr">
        <is>
          <t>BYU</t>
        </is>
      </c>
      <c r="D248" s="17" t="inlineStr">
        <is>
          <t>CSU</t>
        </is>
      </c>
      <c r="E248" s="25" t="n">
        <v>0</v>
      </c>
      <c r="F248" s="25" t="n">
        <v>0</v>
      </c>
      <c r="G248" s="17" t="inlineStr">
        <is>
          <t>9/19 - 7:30 PM EDT</t>
        </is>
      </c>
      <c r="H248" s="17" t="inlineStr"/>
      <c r="I248" s="26" t="n"/>
      <c r="J248" s="30" t="n"/>
      <c r="K248" s="18" t="n"/>
      <c r="L248" s="18" t="n"/>
      <c r="M248" s="17" t="n"/>
    </row>
    <row r="249">
      <c r="A249" s="12" t="inlineStr">
        <is>
          <t>2026-09-19</t>
        </is>
      </c>
      <c r="B249" s="22" t="n">
        <v>3</v>
      </c>
      <c r="C249" s="12" t="inlineStr">
        <is>
          <t>COLO</t>
        </is>
      </c>
      <c r="D249" s="12" t="inlineStr">
        <is>
          <t>NU</t>
        </is>
      </c>
      <c r="E249" s="22" t="n">
        <v>0</v>
      </c>
      <c r="F249" s="22" t="n">
        <v>0</v>
      </c>
      <c r="G249" s="12" t="inlineStr">
        <is>
          <t>9/19 - 7:30 PM EDT</t>
        </is>
      </c>
      <c r="H249" s="12" t="inlineStr"/>
      <c r="I249" s="23" t="n"/>
      <c r="J249" s="29" t="n"/>
      <c r="K249" s="13" t="n"/>
      <c r="L249" s="13" t="n"/>
      <c r="M249" s="12" t="n"/>
    </row>
    <row r="250">
      <c r="A250" s="17" t="inlineStr">
        <is>
          <t>2026-09-19</t>
        </is>
      </c>
      <c r="B250" s="25" t="n">
        <v>3</v>
      </c>
      <c r="C250" s="17" t="inlineStr">
        <is>
          <t>WVU</t>
        </is>
      </c>
      <c r="D250" s="17" t="inlineStr">
        <is>
          <t>UVA</t>
        </is>
      </c>
      <c r="E250" s="25" t="n">
        <v>0</v>
      </c>
      <c r="F250" s="25" t="n">
        <v>0</v>
      </c>
      <c r="G250" s="17" t="inlineStr">
        <is>
          <t>9/19 - 7:30 PM EDT</t>
        </is>
      </c>
      <c r="H250" s="17" t="inlineStr">
        <is>
          <t>Y</t>
        </is>
      </c>
      <c r="I250" s="26" t="n">
        <v>-8.5</v>
      </c>
      <c r="J250" s="30" t="n">
        <v>50.5</v>
      </c>
      <c r="K250" s="18" t="n">
        <v>240</v>
      </c>
      <c r="L250" s="18" t="n">
        <v>-298</v>
      </c>
      <c r="M250" s="17" t="inlineStr">
        <is>
          <t>DraftKings</t>
        </is>
      </c>
    </row>
    <row r="251">
      <c r="A251" s="12" t="inlineStr">
        <is>
          <t>2026-09-19</t>
        </is>
      </c>
      <c r="B251" s="22" t="n">
        <v>3</v>
      </c>
      <c r="C251" s="12" t="inlineStr">
        <is>
          <t>VT</t>
        </is>
      </c>
      <c r="D251" s="12" t="inlineStr">
        <is>
          <t>MD</t>
        </is>
      </c>
      <c r="E251" s="22" t="n">
        <v>0</v>
      </c>
      <c r="F251" s="22" t="n">
        <v>0</v>
      </c>
      <c r="G251" s="12" t="inlineStr">
        <is>
          <t>9/19 - 7:30 PM EDT</t>
        </is>
      </c>
      <c r="H251" s="12" t="inlineStr"/>
      <c r="I251" s="23" t="n">
        <v>1.5</v>
      </c>
      <c r="J251" s="29" t="n">
        <v>53.5</v>
      </c>
      <c r="K251" s="13" t="n">
        <v>-115</v>
      </c>
      <c r="L251" s="13" t="n">
        <v>-105</v>
      </c>
      <c r="M251" s="12" t="inlineStr">
        <is>
          <t>DraftKings</t>
        </is>
      </c>
    </row>
    <row r="252">
      <c r="A252" s="17" t="inlineStr">
        <is>
          <t>2026-09-19</t>
        </is>
      </c>
      <c r="B252" s="25" t="n">
        <v>3</v>
      </c>
      <c r="C252" s="17" t="inlineStr">
        <is>
          <t>MSU</t>
        </is>
      </c>
      <c r="D252" s="17" t="inlineStr">
        <is>
          <t>ND</t>
        </is>
      </c>
      <c r="E252" s="25" t="n">
        <v>0</v>
      </c>
      <c r="F252" s="25" t="n">
        <v>0</v>
      </c>
      <c r="G252" s="17" t="inlineStr">
        <is>
          <t>9/19 - 7:30 PM EDT</t>
        </is>
      </c>
      <c r="H252" s="17" t="inlineStr"/>
      <c r="I252" s="26" t="n"/>
      <c r="J252" s="30" t="n"/>
      <c r="K252" s="18" t="n"/>
      <c r="L252" s="18" t="n"/>
      <c r="M252" s="17" t="n"/>
    </row>
    <row r="253">
      <c r="A253" s="12" t="inlineStr">
        <is>
          <t>2026-09-19</t>
        </is>
      </c>
      <c r="B253" s="22" t="n">
        <v>3</v>
      </c>
      <c r="C253" s="12" t="inlineStr">
        <is>
          <t>KENN</t>
        </is>
      </c>
      <c r="D253" s="12" t="inlineStr">
        <is>
          <t>TENN</t>
        </is>
      </c>
      <c r="E253" s="22" t="n">
        <v>0</v>
      </c>
      <c r="F253" s="22" t="n">
        <v>0</v>
      </c>
      <c r="G253" s="12" t="inlineStr">
        <is>
          <t>9/19 - 7:45 PM EDT</t>
        </is>
      </c>
      <c r="H253" s="12" t="inlineStr"/>
      <c r="I253" s="23" t="n"/>
      <c r="J253" s="29" t="n"/>
      <c r="K253" s="13" t="n"/>
      <c r="L253" s="13" t="n"/>
      <c r="M253" s="12" t="n"/>
    </row>
    <row r="254">
      <c r="A254" s="17" t="inlineStr">
        <is>
          <t>2026-09-20</t>
        </is>
      </c>
      <c r="B254" s="25" t="n">
        <v>3</v>
      </c>
      <c r="C254" s="17" t="inlineStr">
        <is>
          <t>UTSA</t>
        </is>
      </c>
      <c r="D254" s="17" t="inlineStr">
        <is>
          <t>TEX</t>
        </is>
      </c>
      <c r="E254" s="25" t="n">
        <v>0</v>
      </c>
      <c r="F254" s="25" t="n">
        <v>0</v>
      </c>
      <c r="G254" s="17" t="inlineStr">
        <is>
          <t>9/19 - 8:00 PM EDT</t>
        </is>
      </c>
      <c r="H254" s="17" t="inlineStr"/>
      <c r="I254" s="26" t="n"/>
      <c r="J254" s="30" t="n"/>
      <c r="K254" s="18" t="n"/>
      <c r="L254" s="18" t="n"/>
      <c r="M254" s="17" t="n"/>
    </row>
    <row r="255">
      <c r="A255" s="12" t="inlineStr">
        <is>
          <t>2026-09-20</t>
        </is>
      </c>
      <c r="B255" s="22" t="n">
        <v>3</v>
      </c>
      <c r="C255" s="12" t="inlineStr">
        <is>
          <t>ARST</t>
        </is>
      </c>
      <c r="D255" s="12" t="inlineStr">
        <is>
          <t>TCU</t>
        </is>
      </c>
      <c r="E255" s="22" t="n">
        <v>0</v>
      </c>
      <c r="F255" s="22" t="n">
        <v>0</v>
      </c>
      <c r="G255" s="12" t="inlineStr">
        <is>
          <t>9/19 - 8:00 PM EDT</t>
        </is>
      </c>
      <c r="H255" s="12" t="inlineStr"/>
      <c r="I255" s="23" t="n"/>
      <c r="J255" s="29" t="n"/>
      <c r="K255" s="13" t="n"/>
      <c r="L255" s="13" t="n"/>
      <c r="M255" s="12" t="n"/>
    </row>
    <row r="256">
      <c r="A256" s="17" t="inlineStr">
        <is>
          <t>2026-09-20</t>
        </is>
      </c>
      <c r="B256" s="25" t="n">
        <v>3</v>
      </c>
      <c r="C256" s="17" t="inlineStr">
        <is>
          <t>ETAM</t>
        </is>
      </c>
      <c r="D256" s="17" t="inlineStr">
        <is>
          <t>TLSA</t>
        </is>
      </c>
      <c r="E256" s="25" t="n">
        <v>0</v>
      </c>
      <c r="F256" s="25" t="n">
        <v>0</v>
      </c>
      <c r="G256" s="17" t="inlineStr">
        <is>
          <t>9/19 - 8:00 PM EDT</t>
        </is>
      </c>
      <c r="H256" s="17" t="inlineStr"/>
      <c r="I256" s="26" t="n"/>
      <c r="J256" s="30" t="n"/>
      <c r="K256" s="18" t="n"/>
      <c r="L256" s="18" t="n"/>
      <c r="M256" s="17" t="n"/>
    </row>
    <row r="257">
      <c r="A257" s="12" t="inlineStr">
        <is>
          <t>2026-09-20</t>
        </is>
      </c>
      <c r="B257" s="22" t="n">
        <v>3</v>
      </c>
      <c r="C257" s="12" t="inlineStr">
        <is>
          <t>UAB</t>
        </is>
      </c>
      <c r="D257" s="12" t="inlineStr">
        <is>
          <t>UL</t>
        </is>
      </c>
      <c r="E257" s="22" t="n">
        <v>0</v>
      </c>
      <c r="F257" s="22" t="n">
        <v>0</v>
      </c>
      <c r="G257" s="12" t="inlineStr">
        <is>
          <t>9/19 - 8:00 PM EDT</t>
        </is>
      </c>
      <c r="H257" s="12" t="inlineStr"/>
      <c r="I257" s="23" t="n"/>
      <c r="J257" s="29" t="n"/>
      <c r="K257" s="13" t="n"/>
      <c r="L257" s="13" t="n"/>
      <c r="M257" s="12" t="n"/>
    </row>
    <row r="258">
      <c r="A258" s="17" t="inlineStr">
        <is>
          <t>2026-09-20</t>
        </is>
      </c>
      <c r="B258" s="25" t="n">
        <v>3</v>
      </c>
      <c r="C258" s="17" t="inlineStr">
        <is>
          <t>SDAK</t>
        </is>
      </c>
      <c r="D258" s="17" t="inlineStr">
        <is>
          <t>BOIS</t>
        </is>
      </c>
      <c r="E258" s="25" t="n">
        <v>0</v>
      </c>
      <c r="F258" s="25" t="n">
        <v>0</v>
      </c>
      <c r="G258" s="17" t="inlineStr">
        <is>
          <t>9/19 - 10:00 PM EDT</t>
        </is>
      </c>
      <c r="H258" s="17" t="inlineStr"/>
      <c r="I258" s="26" t="n"/>
      <c r="J258" s="30" t="n"/>
      <c r="K258" s="18" t="n"/>
      <c r="L258" s="18" t="n"/>
      <c r="M258" s="17" t="n"/>
    </row>
    <row r="259">
      <c r="A259" s="12" t="inlineStr">
        <is>
          <t>2026-09-20</t>
        </is>
      </c>
      <c r="B259" s="22" t="n">
        <v>3</v>
      </c>
      <c r="C259" s="12" t="inlineStr">
        <is>
          <t>JMU</t>
        </is>
      </c>
      <c r="D259" s="12" t="inlineStr">
        <is>
          <t>SDSU</t>
        </is>
      </c>
      <c r="E259" s="22" t="n">
        <v>0</v>
      </c>
      <c r="F259" s="22" t="n">
        <v>0</v>
      </c>
      <c r="G259" s="12" t="inlineStr">
        <is>
          <t>9/19 - 10:00 PM EDT</t>
        </is>
      </c>
      <c r="H259" s="12" t="inlineStr"/>
      <c r="I259" s="23" t="n"/>
      <c r="J259" s="29" t="n"/>
      <c r="K259" s="13" t="n"/>
      <c r="L259" s="13" t="n"/>
      <c r="M259" s="12" t="n"/>
    </row>
    <row r="260">
      <c r="A260" s="17" t="inlineStr">
        <is>
          <t>2026-09-20</t>
        </is>
      </c>
      <c r="B260" s="25" t="n">
        <v>3</v>
      </c>
      <c r="C260" s="17" t="inlineStr">
        <is>
          <t>NIU</t>
        </is>
      </c>
      <c r="D260" s="17" t="inlineStr">
        <is>
          <t>ARIZ</t>
        </is>
      </c>
      <c r="E260" s="25" t="n">
        <v>0</v>
      </c>
      <c r="F260" s="25" t="n">
        <v>0</v>
      </c>
      <c r="G260" s="17" t="inlineStr">
        <is>
          <t>9/19 - 10:30 PM EDT</t>
        </is>
      </c>
      <c r="H260" s="17" t="inlineStr"/>
      <c r="I260" s="26" t="n"/>
      <c r="J260" s="30" t="n"/>
      <c r="K260" s="18" t="n"/>
      <c r="L260" s="18" t="n"/>
      <c r="M260" s="17" t="n"/>
    </row>
    <row r="261">
      <c r="A261" s="12" t="inlineStr">
        <is>
          <t>2026-09-20</t>
        </is>
      </c>
      <c r="B261" s="22" t="n">
        <v>3</v>
      </c>
      <c r="C261" s="12" t="inlineStr">
        <is>
          <t>NDSU</t>
        </is>
      </c>
      <c r="D261" s="12" t="inlineStr">
        <is>
          <t>SAC</t>
        </is>
      </c>
      <c r="E261" s="22" t="n">
        <v>0</v>
      </c>
      <c r="F261" s="22" t="n">
        <v>0</v>
      </c>
      <c r="G261" s="12" t="inlineStr">
        <is>
          <t>9/19 - 10:30 PM EDT</t>
        </is>
      </c>
      <c r="H261" s="12" t="inlineStr"/>
      <c r="I261" s="23" t="n"/>
      <c r="J261" s="29" t="n"/>
      <c r="K261" s="13" t="n"/>
      <c r="L261" s="13" t="n"/>
      <c r="M261" s="12" t="n"/>
    </row>
    <row r="262">
      <c r="A262" s="17" t="inlineStr">
        <is>
          <t>2026-09-20</t>
        </is>
      </c>
      <c r="B262" s="25" t="n">
        <v>3</v>
      </c>
      <c r="C262" s="17" t="inlineStr">
        <is>
          <t>PUR</t>
        </is>
      </c>
      <c r="D262" s="17" t="inlineStr">
        <is>
          <t>UCLA</t>
        </is>
      </c>
      <c r="E262" s="25" t="n">
        <v>0</v>
      </c>
      <c r="F262" s="25" t="n">
        <v>0</v>
      </c>
      <c r="G262" s="17" t="inlineStr">
        <is>
          <t>9/19 - 11:00 PM EDT</t>
        </is>
      </c>
      <c r="H262" s="17" t="inlineStr"/>
      <c r="I262" s="26" t="n"/>
      <c r="J262" s="30" t="n"/>
      <c r="K262" s="18" t="n"/>
      <c r="L262" s="18" t="n"/>
      <c r="M262" s="17" t="n"/>
    </row>
    <row r="263">
      <c r="A263" s="12" t="inlineStr">
        <is>
          <t>2026-09-20</t>
        </is>
      </c>
      <c r="B263" s="22" t="n">
        <v>3</v>
      </c>
      <c r="C263" s="12" t="inlineStr">
        <is>
          <t>MONT</t>
        </is>
      </c>
      <c r="D263" s="12" t="inlineStr">
        <is>
          <t>ORST</t>
        </is>
      </c>
      <c r="E263" s="22" t="n">
        <v>0</v>
      </c>
      <c r="F263" s="22" t="n">
        <v>0</v>
      </c>
      <c r="G263" s="12" t="inlineStr">
        <is>
          <t>9/19 - 11:00 PM EDT</t>
        </is>
      </c>
      <c r="H263" s="12" t="inlineStr"/>
      <c r="I263" s="23" t="n"/>
      <c r="J263" s="29" t="n"/>
      <c r="K263" s="13" t="n"/>
      <c r="L263" s="13" t="n"/>
      <c r="M263" s="12" t="n"/>
    </row>
    <row r="264">
      <c r="A264" s="17" t="inlineStr">
        <is>
          <t>2026-09-20</t>
        </is>
      </c>
      <c r="B264" s="25" t="n">
        <v>3</v>
      </c>
      <c r="C264" s="17" t="inlineStr">
        <is>
          <t>FRES</t>
        </is>
      </c>
      <c r="D264" s="17" t="inlineStr">
        <is>
          <t>SJSU</t>
        </is>
      </c>
      <c r="E264" s="25" t="n">
        <v>0</v>
      </c>
      <c r="F264" s="25" t="n">
        <v>0</v>
      </c>
      <c r="G264" s="17" t="inlineStr">
        <is>
          <t>9/19 - 11:00 PM EDT</t>
        </is>
      </c>
      <c r="H264" s="17" t="inlineStr"/>
      <c r="I264" s="26" t="n"/>
      <c r="J264" s="30" t="n"/>
      <c r="K264" s="18" t="n"/>
      <c r="L264" s="18" t="n"/>
      <c r="M264" s="17" t="n"/>
    </row>
    <row r="265">
      <c r="A265" s="12" t="inlineStr">
        <is>
          <t>2026-09-24</t>
        </is>
      </c>
      <c r="B265" s="22" t="n">
        <v>4</v>
      </c>
      <c r="C265" s="12" t="inlineStr">
        <is>
          <t>LIB</t>
        </is>
      </c>
      <c r="D265" s="12" t="inlineStr">
        <is>
          <t>CCU</t>
        </is>
      </c>
      <c r="E265" s="22" t="n">
        <v>0</v>
      </c>
      <c r="F265" s="22" t="n">
        <v>0</v>
      </c>
      <c r="G265" s="12" t="inlineStr">
        <is>
          <t>9/24 - 7:30 PM EDT</t>
        </is>
      </c>
      <c r="H265" s="12" t="inlineStr"/>
      <c r="I265" s="23" t="n"/>
      <c r="J265" s="29" t="n"/>
      <c r="K265" s="13" t="n"/>
      <c r="L265" s="13" t="n"/>
      <c r="M265" s="12" t="n"/>
    </row>
    <row r="266">
      <c r="A266" s="17" t="inlineStr">
        <is>
          <t>2026-09-25</t>
        </is>
      </c>
      <c r="B266" s="25" t="n">
        <v>4</v>
      </c>
      <c r="C266" s="17" t="inlineStr">
        <is>
          <t>ARMY</t>
        </is>
      </c>
      <c r="D266" s="17" t="inlineStr">
        <is>
          <t>TEM</t>
        </is>
      </c>
      <c r="E266" s="25" t="n">
        <v>0</v>
      </c>
      <c r="F266" s="25" t="n">
        <v>0</v>
      </c>
      <c r="G266" s="17" t="inlineStr">
        <is>
          <t>9/25 - 4:00 PM EDT</t>
        </is>
      </c>
      <c r="H266" s="17" t="inlineStr"/>
      <c r="I266" s="26" t="n"/>
      <c r="J266" s="30" t="n"/>
      <c r="K266" s="18" t="n"/>
      <c r="L266" s="18" t="n"/>
      <c r="M266" s="17" t="n"/>
    </row>
    <row r="267">
      <c r="A267" s="12" t="inlineStr">
        <is>
          <t>2026-09-25</t>
        </is>
      </c>
      <c r="B267" s="22" t="n">
        <v>4</v>
      </c>
      <c r="C267" s="12" t="inlineStr">
        <is>
          <t>HOW</t>
        </is>
      </c>
      <c r="D267" s="12" t="inlineStr">
        <is>
          <t>RUTG</t>
        </is>
      </c>
      <c r="E267" s="22" t="n">
        <v>0</v>
      </c>
      <c r="F267" s="22" t="n">
        <v>0</v>
      </c>
      <c r="G267" s="12" t="inlineStr">
        <is>
          <t>9/25 - 7:00 PM EDT</t>
        </is>
      </c>
      <c r="H267" s="12" t="inlineStr"/>
      <c r="I267" s="23" t="n"/>
      <c r="J267" s="29" t="n"/>
      <c r="K267" s="13" t="n"/>
      <c r="L267" s="13" t="n"/>
      <c r="M267" s="12" t="n"/>
    </row>
    <row r="268">
      <c r="A268" s="17" t="inlineStr">
        <is>
          <t>2026-09-25</t>
        </is>
      </c>
      <c r="B268" s="25" t="n">
        <v>4</v>
      </c>
      <c r="C268" s="17" t="inlineStr">
        <is>
          <t>NAVY</t>
        </is>
      </c>
      <c r="D268" s="17" t="inlineStr">
        <is>
          <t>UAB</t>
        </is>
      </c>
      <c r="E268" s="25" t="n">
        <v>0</v>
      </c>
      <c r="F268" s="25" t="n">
        <v>0</v>
      </c>
      <c r="G268" s="17" t="inlineStr">
        <is>
          <t>9/25 - 7:00 PM EDT</t>
        </is>
      </c>
      <c r="H268" s="17" t="inlineStr"/>
      <c r="I268" s="26" t="n"/>
      <c r="J268" s="30" t="n"/>
      <c r="K268" s="18" t="n"/>
      <c r="L268" s="18" t="n"/>
      <c r="M268" s="17" t="n"/>
    </row>
    <row r="269">
      <c r="A269" s="12" t="inlineStr">
        <is>
          <t>2026-09-26</t>
        </is>
      </c>
      <c r="B269" s="22" t="n">
        <v>4</v>
      </c>
      <c r="C269" s="12" t="inlineStr">
        <is>
          <t>NU</t>
        </is>
      </c>
      <c r="D269" s="12" t="inlineStr">
        <is>
          <t>IU</t>
        </is>
      </c>
      <c r="E269" s="22" t="n">
        <v>0</v>
      </c>
      <c r="F269" s="22" t="n">
        <v>0</v>
      </c>
      <c r="G269" s="12" t="inlineStr">
        <is>
          <t>9/25 - 8:00 PM EDT</t>
        </is>
      </c>
      <c r="H269" s="12" t="inlineStr"/>
      <c r="I269" s="23" t="n"/>
      <c r="J269" s="29" t="n"/>
      <c r="K269" s="13" t="n"/>
      <c r="L269" s="13" t="n"/>
      <c r="M269" s="12" t="n"/>
    </row>
    <row r="270">
      <c r="A270" s="17" t="inlineStr">
        <is>
          <t>2026-09-26</t>
        </is>
      </c>
      <c r="B270" s="25" t="n">
        <v>4</v>
      </c>
      <c r="C270" s="17" t="inlineStr">
        <is>
          <t>CLEM</t>
        </is>
      </c>
      <c r="D270" s="17" t="inlineStr">
        <is>
          <t>CAL</t>
        </is>
      </c>
      <c r="E270" s="25" t="n">
        <v>0</v>
      </c>
      <c r="F270" s="25" t="n">
        <v>0</v>
      </c>
      <c r="G270" s="17" t="inlineStr">
        <is>
          <t>9/25 - 10:30 PM EDT</t>
        </is>
      </c>
      <c r="H270" s="17" t="inlineStr"/>
      <c r="I270" s="26" t="n"/>
      <c r="J270" s="30" t="n"/>
      <c r="K270" s="18" t="n"/>
      <c r="L270" s="18" t="n"/>
      <c r="M270" s="17" t="n"/>
    </row>
    <row r="271">
      <c r="A271" s="12" t="inlineStr">
        <is>
          <t>2026-09-26</t>
        </is>
      </c>
      <c r="B271" s="22" t="n">
        <v>4</v>
      </c>
      <c r="C271" s="12" t="inlineStr">
        <is>
          <t>SC</t>
        </is>
      </c>
      <c r="D271" s="12" t="inlineStr">
        <is>
          <t>ALA</t>
        </is>
      </c>
      <c r="E271" s="22" t="n">
        <v>0</v>
      </c>
      <c r="F271" s="22" t="n">
        <v>0</v>
      </c>
      <c r="G271" s="12" t="inlineStr">
        <is>
          <t>TBD</t>
        </is>
      </c>
      <c r="H271" s="12" t="inlineStr"/>
      <c r="I271" s="23" t="n"/>
      <c r="J271" s="29" t="n"/>
      <c r="K271" s="13" t="n"/>
      <c r="L271" s="13" t="n"/>
      <c r="M271" s="12" t="n"/>
    </row>
    <row r="272">
      <c r="A272" s="17" t="inlineStr">
        <is>
          <t>2026-09-26</t>
        </is>
      </c>
      <c r="B272" s="25" t="n">
        <v>4</v>
      </c>
      <c r="C272" s="17" t="inlineStr">
        <is>
          <t>VAN</t>
        </is>
      </c>
      <c r="D272" s="17" t="inlineStr">
        <is>
          <t>AUB</t>
        </is>
      </c>
      <c r="E272" s="25" t="n">
        <v>0</v>
      </c>
      <c r="F272" s="25" t="n">
        <v>0</v>
      </c>
      <c r="G272" s="17" t="inlineStr">
        <is>
          <t>TBD</t>
        </is>
      </c>
      <c r="H272" s="17" t="inlineStr"/>
      <c r="I272" s="26" t="n"/>
      <c r="J272" s="30" t="n"/>
      <c r="K272" s="18" t="n"/>
      <c r="L272" s="18" t="n"/>
      <c r="M272" s="17" t="n"/>
    </row>
    <row r="273">
      <c r="A273" s="12" t="inlineStr">
        <is>
          <t>2026-09-26</t>
        </is>
      </c>
      <c r="B273" s="22" t="n">
        <v>4</v>
      </c>
      <c r="C273" s="12" t="inlineStr">
        <is>
          <t>MISS</t>
        </is>
      </c>
      <c r="D273" s="12" t="inlineStr">
        <is>
          <t>FLA</t>
        </is>
      </c>
      <c r="E273" s="22" t="n">
        <v>0</v>
      </c>
      <c r="F273" s="22" t="n">
        <v>0</v>
      </c>
      <c r="G273" s="12" t="inlineStr">
        <is>
          <t>TBD</t>
        </is>
      </c>
      <c r="H273" s="12" t="inlineStr"/>
      <c r="I273" s="23" t="n"/>
      <c r="J273" s="29" t="n"/>
      <c r="K273" s="13" t="n"/>
      <c r="L273" s="13" t="n"/>
      <c r="M273" s="12" t="n"/>
    </row>
    <row r="274">
      <c r="A274" s="17" t="inlineStr">
        <is>
          <t>2026-09-26</t>
        </is>
      </c>
      <c r="B274" s="25" t="n">
        <v>4</v>
      </c>
      <c r="C274" s="17" t="inlineStr">
        <is>
          <t>OU</t>
        </is>
      </c>
      <c r="D274" s="17" t="inlineStr">
        <is>
          <t>UGA</t>
        </is>
      </c>
      <c r="E274" s="25" t="n">
        <v>0</v>
      </c>
      <c r="F274" s="25" t="n">
        <v>0</v>
      </c>
      <c r="G274" s="17" t="inlineStr">
        <is>
          <t>TBD</t>
        </is>
      </c>
      <c r="H274" s="17" t="inlineStr"/>
      <c r="I274" s="26" t="n"/>
      <c r="J274" s="30" t="n"/>
      <c r="K274" s="18" t="n"/>
      <c r="L274" s="18" t="n"/>
      <c r="M274" s="17" t="n"/>
    </row>
    <row r="275">
      <c r="A275" s="12" t="inlineStr">
        <is>
          <t>2026-09-26</t>
        </is>
      </c>
      <c r="B275" s="22" t="n">
        <v>4</v>
      </c>
      <c r="C275" s="12" t="inlineStr">
        <is>
          <t>TA&amp;M</t>
        </is>
      </c>
      <c r="D275" s="12" t="inlineStr">
        <is>
          <t>LSU</t>
        </is>
      </c>
      <c r="E275" s="22" t="n">
        <v>0</v>
      </c>
      <c r="F275" s="22" t="n">
        <v>0</v>
      </c>
      <c r="G275" s="12" t="inlineStr">
        <is>
          <t>TBD</t>
        </is>
      </c>
      <c r="H275" s="12" t="inlineStr"/>
      <c r="I275" s="23" t="n"/>
      <c r="J275" s="29" t="n"/>
      <c r="K275" s="13" t="n"/>
      <c r="L275" s="13" t="n"/>
      <c r="M275" s="12" t="n"/>
    </row>
    <row r="276">
      <c r="A276" s="17" t="inlineStr">
        <is>
          <t>2026-09-26</t>
        </is>
      </c>
      <c r="B276" s="25" t="n">
        <v>4</v>
      </c>
      <c r="C276" s="17" t="inlineStr">
        <is>
          <t>MIZ</t>
        </is>
      </c>
      <c r="D276" s="17" t="inlineStr">
        <is>
          <t>MSST</t>
        </is>
      </c>
      <c r="E276" s="25" t="n">
        <v>0</v>
      </c>
      <c r="F276" s="25" t="n">
        <v>0</v>
      </c>
      <c r="G276" s="17" t="inlineStr">
        <is>
          <t>TBD</t>
        </is>
      </c>
      <c r="H276" s="17" t="inlineStr"/>
      <c r="I276" s="26" t="n"/>
      <c r="J276" s="30" t="n"/>
      <c r="K276" s="18" t="n"/>
      <c r="L276" s="18" t="n"/>
      <c r="M276" s="17" t="n"/>
    </row>
    <row r="277">
      <c r="A277" s="12" t="inlineStr">
        <is>
          <t>2026-09-26</t>
        </is>
      </c>
      <c r="B277" s="22" t="n">
        <v>4</v>
      </c>
      <c r="C277" s="12" t="inlineStr">
        <is>
          <t>SHSU</t>
        </is>
      </c>
      <c r="D277" s="12" t="inlineStr">
        <is>
          <t>TTU</t>
        </is>
      </c>
      <c r="E277" s="22" t="n">
        <v>0</v>
      </c>
      <c r="F277" s="22" t="n">
        <v>0</v>
      </c>
      <c r="G277" s="12" t="inlineStr">
        <is>
          <t>TBD</t>
        </is>
      </c>
      <c r="H277" s="12" t="inlineStr"/>
      <c r="I277" s="23" t="n"/>
      <c r="J277" s="29" t="n"/>
      <c r="K277" s="13" t="n"/>
      <c r="L277" s="13" t="n"/>
      <c r="M277" s="12" t="n"/>
    </row>
    <row r="278">
      <c r="A278" s="17" t="inlineStr">
        <is>
          <t>2026-09-26</t>
        </is>
      </c>
      <c r="B278" s="25" t="n">
        <v>4</v>
      </c>
      <c r="C278" s="17" t="inlineStr">
        <is>
          <t>HOU</t>
        </is>
      </c>
      <c r="D278" s="17" t="inlineStr">
        <is>
          <t>GASO</t>
        </is>
      </c>
      <c r="E278" s="25" t="n">
        <v>0</v>
      </c>
      <c r="F278" s="25" t="n">
        <v>0</v>
      </c>
      <c r="G278" s="17" t="inlineStr">
        <is>
          <t>TBD</t>
        </is>
      </c>
      <c r="H278" s="17" t="inlineStr"/>
      <c r="I278" s="26" t="n"/>
      <c r="J278" s="30" t="n"/>
      <c r="K278" s="18" t="n"/>
      <c r="L278" s="18" t="n"/>
      <c r="M278" s="17" t="n"/>
    </row>
    <row r="279">
      <c r="A279" s="12" t="inlineStr">
        <is>
          <t>2026-09-26</t>
        </is>
      </c>
      <c r="B279" s="22" t="n">
        <v>4</v>
      </c>
      <c r="C279" s="12" t="inlineStr">
        <is>
          <t>COLO</t>
        </is>
      </c>
      <c r="D279" s="12" t="inlineStr">
        <is>
          <t>BAY</t>
        </is>
      </c>
      <c r="E279" s="22" t="n">
        <v>0</v>
      </c>
      <c r="F279" s="22" t="n">
        <v>0</v>
      </c>
      <c r="G279" s="12" t="inlineStr">
        <is>
          <t>TBD</t>
        </is>
      </c>
      <c r="H279" s="12" t="inlineStr"/>
      <c r="I279" s="23" t="n"/>
      <c r="J279" s="29" t="n"/>
      <c r="K279" s="13" t="n"/>
      <c r="L279" s="13" t="n"/>
      <c r="M279" s="12" t="n"/>
    </row>
    <row r="280">
      <c r="A280" s="17" t="inlineStr">
        <is>
          <t>2026-09-26</t>
        </is>
      </c>
      <c r="B280" s="25" t="n">
        <v>4</v>
      </c>
      <c r="C280" s="17" t="inlineStr">
        <is>
          <t>KSU</t>
        </is>
      </c>
      <c r="D280" s="17" t="inlineStr">
        <is>
          <t>CIN</t>
        </is>
      </c>
      <c r="E280" s="25" t="n">
        <v>0</v>
      </c>
      <c r="F280" s="25" t="n">
        <v>0</v>
      </c>
      <c r="G280" s="17" t="inlineStr">
        <is>
          <t>TBD</t>
        </is>
      </c>
      <c r="H280" s="17" t="inlineStr"/>
      <c r="I280" s="26" t="n"/>
      <c r="J280" s="30" t="n"/>
      <c r="K280" s="18" t="n"/>
      <c r="L280" s="18" t="n"/>
      <c r="M280" s="17" t="n"/>
    </row>
    <row r="281">
      <c r="A281" s="12" t="inlineStr">
        <is>
          <t>2026-09-26</t>
        </is>
      </c>
      <c r="B281" s="22" t="n">
        <v>4</v>
      </c>
      <c r="C281" s="12" t="inlineStr">
        <is>
          <t>TCU</t>
        </is>
      </c>
      <c r="D281" s="12" t="inlineStr">
        <is>
          <t>UCF</t>
        </is>
      </c>
      <c r="E281" s="22" t="n">
        <v>0</v>
      </c>
      <c r="F281" s="22" t="n">
        <v>0</v>
      </c>
      <c r="G281" s="12" t="inlineStr">
        <is>
          <t>TBD</t>
        </is>
      </c>
      <c r="H281" s="12" t="inlineStr"/>
      <c r="I281" s="23" t="n"/>
      <c r="J281" s="29" t="n"/>
      <c r="K281" s="13" t="n"/>
      <c r="L281" s="13" t="n"/>
      <c r="M281" s="12" t="n"/>
    </row>
    <row r="282">
      <c r="A282" s="17" t="inlineStr">
        <is>
          <t>2026-09-26</t>
        </is>
      </c>
      <c r="B282" s="25" t="n">
        <v>4</v>
      </c>
      <c r="C282" s="17" t="inlineStr">
        <is>
          <t>UTAH</t>
        </is>
      </c>
      <c r="D282" s="17" t="inlineStr">
        <is>
          <t>ISU</t>
        </is>
      </c>
      <c r="E282" s="25" t="n">
        <v>0</v>
      </c>
      <c r="F282" s="25" t="n">
        <v>0</v>
      </c>
      <c r="G282" s="17" t="inlineStr">
        <is>
          <t>TBD</t>
        </is>
      </c>
      <c r="H282" s="17" t="inlineStr"/>
      <c r="I282" s="26" t="n"/>
      <c r="J282" s="30" t="n"/>
      <c r="K282" s="18" t="n"/>
      <c r="L282" s="18" t="n"/>
      <c r="M282" s="17" t="n"/>
    </row>
    <row r="283">
      <c r="A283" s="12" t="inlineStr">
        <is>
          <t>2026-09-26</t>
        </is>
      </c>
      <c r="B283" s="22" t="n">
        <v>4</v>
      </c>
      <c r="C283" s="12" t="inlineStr">
        <is>
          <t>OKST</t>
        </is>
      </c>
      <c r="D283" s="12" t="inlineStr">
        <is>
          <t>WVU</t>
        </is>
      </c>
      <c r="E283" s="22" t="n">
        <v>0</v>
      </c>
      <c r="F283" s="22" t="n">
        <v>0</v>
      </c>
      <c r="G283" s="12" t="inlineStr">
        <is>
          <t>TBD</t>
        </is>
      </c>
      <c r="H283" s="12" t="inlineStr"/>
      <c r="I283" s="23" t="n"/>
      <c r="J283" s="29" t="n"/>
      <c r="K283" s="13" t="n"/>
      <c r="L283" s="13" t="n"/>
      <c r="M283" s="12" t="n"/>
    </row>
    <row r="284">
      <c r="A284" s="17" t="inlineStr">
        <is>
          <t>2026-09-26</t>
        </is>
      </c>
      <c r="B284" s="25" t="n">
        <v>4</v>
      </c>
      <c r="C284" s="17" t="inlineStr">
        <is>
          <t>CARK</t>
        </is>
      </c>
      <c r="D284" s="17" t="inlineStr">
        <is>
          <t>FSU</t>
        </is>
      </c>
      <c r="E284" s="25" t="n">
        <v>0</v>
      </c>
      <c r="F284" s="25" t="n">
        <v>0</v>
      </c>
      <c r="G284" s="17" t="inlineStr">
        <is>
          <t>TBD</t>
        </is>
      </c>
      <c r="H284" s="17" t="inlineStr"/>
      <c r="I284" s="26" t="n"/>
      <c r="J284" s="30" t="n"/>
      <c r="K284" s="18" t="n"/>
      <c r="L284" s="18" t="n"/>
      <c r="M284" s="17" t="n"/>
    </row>
    <row r="285">
      <c r="A285" s="12" t="inlineStr">
        <is>
          <t>2026-09-26</t>
        </is>
      </c>
      <c r="B285" s="22" t="n">
        <v>4</v>
      </c>
      <c r="C285" s="12" t="inlineStr">
        <is>
          <t>DEL</t>
        </is>
      </c>
      <c r="D285" s="12" t="inlineStr">
        <is>
          <t>UVA</t>
        </is>
      </c>
      <c r="E285" s="22" t="n">
        <v>0</v>
      </c>
      <c r="F285" s="22" t="n">
        <v>0</v>
      </c>
      <c r="G285" s="12" t="inlineStr">
        <is>
          <t>TBD</t>
        </is>
      </c>
      <c r="H285" s="12" t="inlineStr"/>
      <c r="I285" s="23" t="n"/>
      <c r="J285" s="29" t="n"/>
      <c r="K285" s="13" t="n"/>
      <c r="L285" s="13" t="n"/>
      <c r="M285" s="12" t="n"/>
    </row>
    <row r="286">
      <c r="A286" s="17" t="inlineStr">
        <is>
          <t>2026-09-26</t>
        </is>
      </c>
      <c r="B286" s="25" t="n">
        <v>4</v>
      </c>
      <c r="C286" s="17" t="inlineStr">
        <is>
          <t>MOST</t>
        </is>
      </c>
      <c r="D286" s="17" t="inlineStr">
        <is>
          <t>SMU</t>
        </is>
      </c>
      <c r="E286" s="25" t="n">
        <v>0</v>
      </c>
      <c r="F286" s="25" t="n">
        <v>0</v>
      </c>
      <c r="G286" s="17" t="inlineStr">
        <is>
          <t>TBD</t>
        </is>
      </c>
      <c r="H286" s="17" t="inlineStr"/>
      <c r="I286" s="26" t="n"/>
      <c r="J286" s="30" t="n"/>
      <c r="K286" s="18" t="n"/>
      <c r="L286" s="18" t="n"/>
      <c r="M286" s="17" t="n"/>
    </row>
    <row r="287">
      <c r="A287" s="12" t="inlineStr">
        <is>
          <t>2026-09-26</t>
        </is>
      </c>
      <c r="B287" s="22" t="n">
        <v>4</v>
      </c>
      <c r="C287" s="12" t="inlineStr">
        <is>
          <t>VT</t>
        </is>
      </c>
      <c r="D287" s="12" t="inlineStr">
        <is>
          <t>BC</t>
        </is>
      </c>
      <c r="E287" s="22" t="n">
        <v>0</v>
      </c>
      <c r="F287" s="22" t="n">
        <v>0</v>
      </c>
      <c r="G287" s="12" t="inlineStr">
        <is>
          <t>TBD</t>
        </is>
      </c>
      <c r="H287" s="12" t="inlineStr"/>
      <c r="I287" s="23" t="n"/>
      <c r="J287" s="29" t="n"/>
      <c r="K287" s="13" t="n"/>
      <c r="L287" s="13" t="n"/>
      <c r="M287" s="12" t="n"/>
    </row>
    <row r="288">
      <c r="A288" s="17" t="inlineStr">
        <is>
          <t>2026-09-26</t>
        </is>
      </c>
      <c r="B288" s="25" t="n">
        <v>4</v>
      </c>
      <c r="C288" s="17" t="inlineStr">
        <is>
          <t>WAKE</t>
        </is>
      </c>
      <c r="D288" s="17" t="inlineStr">
        <is>
          <t>LOU</t>
        </is>
      </c>
      <c r="E288" s="25" t="n">
        <v>0</v>
      </c>
      <c r="F288" s="25" t="n">
        <v>0</v>
      </c>
      <c r="G288" s="17" t="inlineStr">
        <is>
          <t>TBD</t>
        </is>
      </c>
      <c r="H288" s="17" t="inlineStr"/>
      <c r="I288" s="26" t="n"/>
      <c r="J288" s="30" t="n"/>
      <c r="K288" s="18" t="n"/>
      <c r="L288" s="18" t="n"/>
      <c r="M288" s="17" t="n"/>
    </row>
    <row r="289">
      <c r="A289" s="12" t="inlineStr">
        <is>
          <t>2026-09-26</t>
        </is>
      </c>
      <c r="B289" s="22" t="n">
        <v>4</v>
      </c>
      <c r="C289" s="12" t="inlineStr">
        <is>
          <t>UCLA</t>
        </is>
      </c>
      <c r="D289" s="12" t="inlineStr">
        <is>
          <t>MD</t>
        </is>
      </c>
      <c r="E289" s="22" t="n">
        <v>0</v>
      </c>
      <c r="F289" s="22" t="n">
        <v>0</v>
      </c>
      <c r="G289" s="12" t="inlineStr">
        <is>
          <t>TBD</t>
        </is>
      </c>
      <c r="H289" s="12" t="inlineStr"/>
      <c r="I289" s="23" t="n"/>
      <c r="J289" s="29" t="n"/>
      <c r="K289" s="13" t="n"/>
      <c r="L289" s="13" t="n"/>
      <c r="M289" s="12" t="n"/>
    </row>
    <row r="290">
      <c r="A290" s="17" t="inlineStr">
        <is>
          <t>2026-09-26</t>
        </is>
      </c>
      <c r="B290" s="25" t="n">
        <v>4</v>
      </c>
      <c r="C290" s="17" t="inlineStr">
        <is>
          <t>IOWA</t>
        </is>
      </c>
      <c r="D290" s="17" t="inlineStr">
        <is>
          <t>MICH</t>
        </is>
      </c>
      <c r="E290" s="25" t="n">
        <v>0</v>
      </c>
      <c r="F290" s="25" t="n">
        <v>0</v>
      </c>
      <c r="G290" s="17" t="inlineStr">
        <is>
          <t>TBD</t>
        </is>
      </c>
      <c r="H290" s="17" t="inlineStr"/>
      <c r="I290" s="26" t="n"/>
      <c r="J290" s="30" t="n"/>
      <c r="K290" s="18" t="n"/>
      <c r="L290" s="18" t="n"/>
      <c r="M290" s="17" t="n"/>
    </row>
    <row r="291">
      <c r="A291" s="12" t="inlineStr">
        <is>
          <t>2026-09-26</t>
        </is>
      </c>
      <c r="B291" s="22" t="n">
        <v>4</v>
      </c>
      <c r="C291" s="12" t="inlineStr">
        <is>
          <t>NEB</t>
        </is>
      </c>
      <c r="D291" s="12" t="inlineStr">
        <is>
          <t>MSU</t>
        </is>
      </c>
      <c r="E291" s="22" t="n">
        <v>0</v>
      </c>
      <c r="F291" s="22" t="n">
        <v>0</v>
      </c>
      <c r="G291" s="12" t="inlineStr">
        <is>
          <t>TBD</t>
        </is>
      </c>
      <c r="H291" s="12" t="inlineStr"/>
      <c r="I291" s="23" t="n"/>
      <c r="J291" s="29" t="n"/>
      <c r="K291" s="13" t="n"/>
      <c r="L291" s="13" t="n"/>
      <c r="M291" s="12" t="n"/>
    </row>
    <row r="292">
      <c r="A292" s="17" t="inlineStr">
        <is>
          <t>2026-09-26</t>
        </is>
      </c>
      <c r="B292" s="25" t="n">
        <v>4</v>
      </c>
      <c r="C292" s="17" t="inlineStr">
        <is>
          <t>ILL</t>
        </is>
      </c>
      <c r="D292" s="17" t="inlineStr">
        <is>
          <t>OSU</t>
        </is>
      </c>
      <c r="E292" s="25" t="n">
        <v>0</v>
      </c>
      <c r="F292" s="25" t="n">
        <v>0</v>
      </c>
      <c r="G292" s="17" t="inlineStr">
        <is>
          <t>TBD</t>
        </is>
      </c>
      <c r="H292" s="17" t="inlineStr"/>
      <c r="I292" s="26" t="n"/>
      <c r="J292" s="30" t="n"/>
      <c r="K292" s="18" t="n"/>
      <c r="L292" s="18" t="n"/>
      <c r="M292" s="17" t="n"/>
    </row>
    <row r="293">
      <c r="A293" s="12" t="inlineStr">
        <is>
          <t>2026-09-26</t>
        </is>
      </c>
      <c r="B293" s="22" t="n">
        <v>4</v>
      </c>
      <c r="C293" s="12" t="inlineStr">
        <is>
          <t>WIS</t>
        </is>
      </c>
      <c r="D293" s="12" t="inlineStr">
        <is>
          <t>PSU</t>
        </is>
      </c>
      <c r="E293" s="22" t="n">
        <v>0</v>
      </c>
      <c r="F293" s="22" t="n">
        <v>0</v>
      </c>
      <c r="G293" s="12" t="inlineStr">
        <is>
          <t>TBD</t>
        </is>
      </c>
      <c r="H293" s="12" t="inlineStr"/>
      <c r="I293" s="23" t="n"/>
      <c r="J293" s="29" t="n"/>
      <c r="K293" s="13" t="n"/>
      <c r="L293" s="13" t="n"/>
      <c r="M293" s="12" t="n"/>
    </row>
    <row r="294">
      <c r="A294" s="17" t="inlineStr">
        <is>
          <t>2026-09-26</t>
        </is>
      </c>
      <c r="B294" s="25" t="n">
        <v>4</v>
      </c>
      <c r="C294" s="17" t="inlineStr">
        <is>
          <t>ND</t>
        </is>
      </c>
      <c r="D294" s="17" t="inlineStr">
        <is>
          <t>PUR</t>
        </is>
      </c>
      <c r="E294" s="25" t="n">
        <v>0</v>
      </c>
      <c r="F294" s="25" t="n">
        <v>0</v>
      </c>
      <c r="G294" s="17" t="inlineStr">
        <is>
          <t>TBD</t>
        </is>
      </c>
      <c r="H294" s="17" t="inlineStr"/>
      <c r="I294" s="26" t="n"/>
      <c r="J294" s="30" t="n"/>
      <c r="K294" s="18" t="n"/>
      <c r="L294" s="18" t="n"/>
      <c r="M294" s="17" t="n"/>
    </row>
    <row r="295">
      <c r="A295" s="12" t="inlineStr">
        <is>
          <t>2026-09-26</t>
        </is>
      </c>
      <c r="B295" s="22" t="n">
        <v>4</v>
      </c>
      <c r="C295" s="12" t="inlineStr">
        <is>
          <t>ORE</t>
        </is>
      </c>
      <c r="D295" s="12" t="inlineStr">
        <is>
          <t>USC</t>
        </is>
      </c>
      <c r="E295" s="22" t="n">
        <v>0</v>
      </c>
      <c r="F295" s="22" t="n">
        <v>0</v>
      </c>
      <c r="G295" s="12" t="inlineStr">
        <is>
          <t>TBD</t>
        </is>
      </c>
      <c r="H295" s="12" t="inlineStr"/>
      <c r="I295" s="23" t="n"/>
      <c r="J295" s="29" t="n"/>
      <c r="K295" s="13" t="n"/>
      <c r="L295" s="13" t="n"/>
      <c r="M295" s="12" t="n"/>
    </row>
    <row r="296">
      <c r="A296" s="17" t="inlineStr">
        <is>
          <t>2026-09-26</t>
        </is>
      </c>
      <c r="B296" s="25" t="n">
        <v>4</v>
      </c>
      <c r="C296" s="17" t="inlineStr">
        <is>
          <t>MINN</t>
        </is>
      </c>
      <c r="D296" s="17" t="inlineStr">
        <is>
          <t>WASH</t>
        </is>
      </c>
      <c r="E296" s="25" t="n">
        <v>0</v>
      </c>
      <c r="F296" s="25" t="n">
        <v>0</v>
      </c>
      <c r="G296" s="17" t="inlineStr">
        <is>
          <t>TBD</t>
        </is>
      </c>
      <c r="H296" s="17" t="inlineStr"/>
      <c r="I296" s="26" t="n"/>
      <c r="J296" s="30" t="n"/>
      <c r="K296" s="18" t="n"/>
      <c r="L296" s="18" t="n"/>
      <c r="M296" s="17" t="n"/>
    </row>
    <row r="297">
      <c r="A297" s="12" t="inlineStr">
        <is>
          <t>2026-09-26</t>
        </is>
      </c>
      <c r="B297" s="22" t="n">
        <v>4</v>
      </c>
      <c r="C297" s="12" t="inlineStr">
        <is>
          <t>SDSU</t>
        </is>
      </c>
      <c r="D297" s="12" t="inlineStr">
        <is>
          <t>TOL</t>
        </is>
      </c>
      <c r="E297" s="22" t="n">
        <v>0</v>
      </c>
      <c r="F297" s="22" t="n">
        <v>0</v>
      </c>
      <c r="G297" s="12" t="inlineStr">
        <is>
          <t>TBD</t>
        </is>
      </c>
      <c r="H297" s="12" t="inlineStr"/>
      <c r="I297" s="23" t="n"/>
      <c r="J297" s="29" t="n"/>
      <c r="K297" s="13" t="n"/>
      <c r="L297" s="13" t="n"/>
      <c r="M297" s="12" t="n"/>
    </row>
    <row r="298">
      <c r="A298" s="17" t="inlineStr">
        <is>
          <t>2026-09-26</t>
        </is>
      </c>
      <c r="B298" s="25" t="n">
        <v>4</v>
      </c>
      <c r="C298" s="17" t="inlineStr">
        <is>
          <t>CSU</t>
        </is>
      </c>
      <c r="D298" s="17" t="inlineStr">
        <is>
          <t>UTSA</t>
        </is>
      </c>
      <c r="E298" s="25" t="n">
        <v>0</v>
      </c>
      <c r="F298" s="25" t="n">
        <v>0</v>
      </c>
      <c r="G298" s="17" t="inlineStr">
        <is>
          <t>TBD</t>
        </is>
      </c>
      <c r="H298" s="17" t="inlineStr"/>
      <c r="I298" s="26" t="n"/>
      <c r="J298" s="30" t="n"/>
      <c r="K298" s="18" t="n"/>
      <c r="L298" s="18" t="n"/>
      <c r="M298" s="17" t="n"/>
    </row>
    <row r="299">
      <c r="A299" s="12" t="inlineStr">
        <is>
          <t>2026-09-26</t>
        </is>
      </c>
      <c r="B299" s="22" t="n">
        <v>4</v>
      </c>
      <c r="C299" s="12" t="inlineStr">
        <is>
          <t>BOIS</t>
        </is>
      </c>
      <c r="D299" s="12" t="inlineStr">
        <is>
          <t>WMU</t>
        </is>
      </c>
      <c r="E299" s="22" t="n">
        <v>0</v>
      </c>
      <c r="F299" s="22" t="n">
        <v>0</v>
      </c>
      <c r="G299" s="12" t="inlineStr">
        <is>
          <t>TBD</t>
        </is>
      </c>
      <c r="H299" s="12" t="inlineStr"/>
      <c r="I299" s="23" t="n"/>
      <c r="J299" s="29" t="n"/>
      <c r="K299" s="13" t="n"/>
      <c r="L299" s="13" t="n"/>
      <c r="M299" s="12" t="n"/>
    </row>
    <row r="300">
      <c r="A300" s="17" t="inlineStr">
        <is>
          <t>2026-09-26</t>
        </is>
      </c>
      <c r="B300" s="25" t="n">
        <v>4</v>
      </c>
      <c r="C300" s="17" t="inlineStr">
        <is>
          <t>CONN</t>
        </is>
      </c>
      <c r="D300" s="17" t="inlineStr">
        <is>
          <t>M-OH</t>
        </is>
      </c>
      <c r="E300" s="25" t="n">
        <v>0</v>
      </c>
      <c r="F300" s="25" t="n">
        <v>0</v>
      </c>
      <c r="G300" s="17" t="inlineStr">
        <is>
          <t>TBD</t>
        </is>
      </c>
      <c r="H300" s="17" t="inlineStr"/>
      <c r="I300" s="26" t="n"/>
      <c r="J300" s="30" t="n"/>
      <c r="K300" s="18" t="n"/>
      <c r="L300" s="18" t="n"/>
      <c r="M300" s="17" t="n"/>
    </row>
    <row r="301">
      <c r="A301" s="12" t="inlineStr">
        <is>
          <t>2026-09-26</t>
        </is>
      </c>
      <c r="B301" s="22" t="n">
        <v>4</v>
      </c>
      <c r="C301" s="12" t="inlineStr">
        <is>
          <t>UL</t>
        </is>
      </c>
      <c r="D301" s="12" t="inlineStr">
        <is>
          <t>CLT</t>
        </is>
      </c>
      <c r="E301" s="22" t="n">
        <v>0</v>
      </c>
      <c r="F301" s="22" t="n">
        <v>0</v>
      </c>
      <c r="G301" s="12" t="inlineStr">
        <is>
          <t>TBD</t>
        </is>
      </c>
      <c r="H301" s="12" t="inlineStr"/>
      <c r="I301" s="23" t="n"/>
      <c r="J301" s="29" t="n"/>
      <c r="K301" s="13" t="n"/>
      <c r="L301" s="13" t="n"/>
      <c r="M301" s="12" t="n"/>
    </row>
    <row r="302">
      <c r="A302" s="17" t="inlineStr">
        <is>
          <t>2026-09-26</t>
        </is>
      </c>
      <c r="B302" s="25" t="n">
        <v>4</v>
      </c>
      <c r="C302" s="17" t="inlineStr">
        <is>
          <t>FAU</t>
        </is>
      </c>
      <c r="D302" s="17" t="inlineStr">
        <is>
          <t>ULM</t>
        </is>
      </c>
      <c r="E302" s="25" t="n">
        <v>0</v>
      </c>
      <c r="F302" s="25" t="n">
        <v>0</v>
      </c>
      <c r="G302" s="17" t="inlineStr">
        <is>
          <t>TBD</t>
        </is>
      </c>
      <c r="H302" s="17" t="inlineStr"/>
      <c r="I302" s="26" t="n"/>
      <c r="J302" s="30" t="n"/>
      <c r="K302" s="18" t="n"/>
      <c r="L302" s="18" t="n"/>
      <c r="M302" s="17" t="n"/>
    </row>
    <row r="303">
      <c r="A303" s="12" t="inlineStr">
        <is>
          <t>2026-09-26</t>
        </is>
      </c>
      <c r="B303" s="22" t="n">
        <v>4</v>
      </c>
      <c r="C303" s="12" t="inlineStr">
        <is>
          <t>USM</t>
        </is>
      </c>
      <c r="D303" s="12" t="inlineStr">
        <is>
          <t>TULN</t>
        </is>
      </c>
      <c r="E303" s="22" t="n">
        <v>0</v>
      </c>
      <c r="F303" s="22" t="n">
        <v>0</v>
      </c>
      <c r="G303" s="12" t="inlineStr">
        <is>
          <t>TBD</t>
        </is>
      </c>
      <c r="H303" s="12" t="inlineStr"/>
      <c r="I303" s="23" t="n"/>
      <c r="J303" s="29" t="n"/>
      <c r="K303" s="13" t="n"/>
      <c r="L303" s="13" t="n"/>
      <c r="M303" s="12" t="n"/>
    </row>
    <row r="304">
      <c r="A304" s="17" t="inlineStr">
        <is>
          <t>2026-09-26</t>
        </is>
      </c>
      <c r="B304" s="25" t="n">
        <v>4</v>
      </c>
      <c r="C304" s="17" t="inlineStr">
        <is>
          <t>USF</t>
        </is>
      </c>
      <c r="D304" s="17" t="inlineStr">
        <is>
          <t>BGSU</t>
        </is>
      </c>
      <c r="E304" s="25" t="n">
        <v>0</v>
      </c>
      <c r="F304" s="25" t="n">
        <v>0</v>
      </c>
      <c r="G304" s="17" t="inlineStr">
        <is>
          <t>TBD</t>
        </is>
      </c>
      <c r="H304" s="17" t="inlineStr"/>
      <c r="I304" s="26" t="n"/>
      <c r="J304" s="30" t="n"/>
      <c r="K304" s="18" t="n"/>
      <c r="L304" s="18" t="n"/>
      <c r="M304" s="17" t="n"/>
    </row>
    <row r="305">
      <c r="A305" s="12" t="inlineStr">
        <is>
          <t>2026-09-26</t>
        </is>
      </c>
      <c r="B305" s="22" t="n">
        <v>4</v>
      </c>
      <c r="C305" s="12" t="inlineStr">
        <is>
          <t>AFA</t>
        </is>
      </c>
      <c r="D305" s="12" t="inlineStr">
        <is>
          <t>NEV</t>
        </is>
      </c>
      <c r="E305" s="22" t="n">
        <v>0</v>
      </c>
      <c r="F305" s="22" t="n">
        <v>0</v>
      </c>
      <c r="G305" s="12" t="inlineStr">
        <is>
          <t>TBD</t>
        </is>
      </c>
      <c r="H305" s="12" t="inlineStr"/>
      <c r="I305" s="23" t="n"/>
      <c r="J305" s="29" t="n"/>
      <c r="K305" s="13" t="n"/>
      <c r="L305" s="13" t="n"/>
      <c r="M305" s="12" t="n"/>
    </row>
    <row r="306">
      <c r="A306" s="17" t="inlineStr">
        <is>
          <t>2026-09-26</t>
        </is>
      </c>
      <c r="B306" s="25" t="n">
        <v>4</v>
      </c>
      <c r="C306" s="17" t="inlineStr">
        <is>
          <t>NIU</t>
        </is>
      </c>
      <c r="D306" s="17" t="inlineStr">
        <is>
          <t>GAST</t>
        </is>
      </c>
      <c r="E306" s="25" t="n">
        <v>0</v>
      </c>
      <c r="F306" s="25" t="n">
        <v>0</v>
      </c>
      <c r="G306" s="17" t="inlineStr">
        <is>
          <t>TBD</t>
        </is>
      </c>
      <c r="H306" s="17" t="inlineStr"/>
      <c r="I306" s="26" t="n"/>
      <c r="J306" s="30" t="n"/>
      <c r="K306" s="18" t="n"/>
      <c r="L306" s="18" t="n"/>
      <c r="M306" s="17" t="n"/>
    </row>
    <row r="307">
      <c r="A307" s="12" t="inlineStr">
        <is>
          <t>2026-09-26</t>
        </is>
      </c>
      <c r="B307" s="22" t="n">
        <v>4</v>
      </c>
      <c r="C307" s="12" t="inlineStr">
        <is>
          <t>UNLV</t>
        </is>
      </c>
      <c r="D307" s="12" t="inlineStr">
        <is>
          <t>AKR</t>
        </is>
      </c>
      <c r="E307" s="22" t="n">
        <v>0</v>
      </c>
      <c r="F307" s="22" t="n">
        <v>0</v>
      </c>
      <c r="G307" s="12" t="inlineStr">
        <is>
          <t>TBD</t>
        </is>
      </c>
      <c r="H307" s="12" t="inlineStr"/>
      <c r="I307" s="23" t="n"/>
      <c r="J307" s="29" t="n"/>
      <c r="K307" s="13" t="n"/>
      <c r="L307" s="13" t="n"/>
      <c r="M307" s="12" t="n"/>
    </row>
    <row r="308">
      <c r="A308" s="17" t="inlineStr">
        <is>
          <t>2026-09-26</t>
        </is>
      </c>
      <c r="B308" s="25" t="n">
        <v>4</v>
      </c>
      <c r="C308" s="17" t="inlineStr">
        <is>
          <t>APP</t>
        </is>
      </c>
      <c r="D308" s="17" t="inlineStr">
        <is>
          <t>NCSU</t>
        </is>
      </c>
      <c r="E308" s="25" t="n">
        <v>0</v>
      </c>
      <c r="F308" s="25" t="n">
        <v>0</v>
      </c>
      <c r="G308" s="17" t="inlineStr">
        <is>
          <t>TBD</t>
        </is>
      </c>
      <c r="H308" s="17" t="inlineStr"/>
      <c r="I308" s="26" t="n"/>
      <c r="J308" s="30" t="n"/>
      <c r="K308" s="18" t="n"/>
      <c r="L308" s="18" t="n"/>
      <c r="M308" s="17" t="n"/>
    </row>
    <row r="309">
      <c r="A309" s="12" t="inlineStr">
        <is>
          <t>2026-09-26</t>
        </is>
      </c>
      <c r="B309" s="22" t="n">
        <v>4</v>
      </c>
      <c r="C309" s="12" t="inlineStr">
        <is>
          <t>BALL</t>
        </is>
      </c>
      <c r="D309" s="12" t="inlineStr">
        <is>
          <t>KENT</t>
        </is>
      </c>
      <c r="E309" s="22" t="n">
        <v>0</v>
      </c>
      <c r="F309" s="22" t="n">
        <v>0</v>
      </c>
      <c r="G309" s="12" t="inlineStr">
        <is>
          <t>TBD</t>
        </is>
      </c>
      <c r="H309" s="12" t="inlineStr"/>
      <c r="I309" s="23" t="n"/>
      <c r="J309" s="29" t="n"/>
      <c r="K309" s="13" t="n"/>
      <c r="L309" s="13" t="n"/>
      <c r="M309" s="12" t="n"/>
    </row>
    <row r="310">
      <c r="A310" s="17" t="inlineStr">
        <is>
          <t>2026-09-26</t>
        </is>
      </c>
      <c r="B310" s="25" t="n">
        <v>4</v>
      </c>
      <c r="C310" s="17" t="inlineStr">
        <is>
          <t>MASS</t>
        </is>
      </c>
      <c r="D310" s="17" t="inlineStr">
        <is>
          <t>SAC</t>
        </is>
      </c>
      <c r="E310" s="25" t="n">
        <v>0</v>
      </c>
      <c r="F310" s="25" t="n">
        <v>0</v>
      </c>
      <c r="G310" s="17" t="inlineStr">
        <is>
          <t>TBD</t>
        </is>
      </c>
      <c r="H310" s="17" t="inlineStr"/>
      <c r="I310" s="26" t="n"/>
      <c r="J310" s="30" t="n"/>
      <c r="K310" s="18" t="n"/>
      <c r="L310" s="18" t="n"/>
      <c r="M310" s="17" t="n"/>
    </row>
    <row r="311">
      <c r="A311" s="12" t="inlineStr">
        <is>
          <t>2026-09-26</t>
        </is>
      </c>
      <c r="B311" s="22" t="n">
        <v>4</v>
      </c>
      <c r="C311" s="12" t="inlineStr">
        <is>
          <t>JMU</t>
        </is>
      </c>
      <c r="D311" s="12" t="inlineStr">
        <is>
          <t>ODU</t>
        </is>
      </c>
      <c r="E311" s="22" t="n">
        <v>0</v>
      </c>
      <c r="F311" s="22" t="n">
        <v>0</v>
      </c>
      <c r="G311" s="12" t="inlineStr">
        <is>
          <t>TBD</t>
        </is>
      </c>
      <c r="H311" s="12" t="inlineStr"/>
      <c r="I311" s="23" t="n"/>
      <c r="J311" s="29" t="n"/>
      <c r="K311" s="13" t="n"/>
      <c r="L311" s="13" t="n"/>
      <c r="M311" s="12" t="n"/>
    </row>
    <row r="312">
      <c r="A312" s="17" t="inlineStr">
        <is>
          <t>2026-09-26</t>
        </is>
      </c>
      <c r="B312" s="25" t="n">
        <v>4</v>
      </c>
      <c r="C312" s="17" t="inlineStr">
        <is>
          <t>TEX</t>
        </is>
      </c>
      <c r="D312" s="17" t="inlineStr">
        <is>
          <t>TENN</t>
        </is>
      </c>
      <c r="E312" s="25" t="n">
        <v>0</v>
      </c>
      <c r="F312" s="25" t="n">
        <v>0</v>
      </c>
      <c r="G312" s="17" t="inlineStr">
        <is>
          <t>9/26 - 12:00 PM EDT</t>
        </is>
      </c>
      <c r="H312" s="17" t="inlineStr"/>
      <c r="I312" s="26" t="n"/>
      <c r="J312" s="30" t="n"/>
      <c r="K312" s="18" t="n"/>
      <c r="L312" s="18" t="n"/>
      <c r="M312" s="17" t="n"/>
    </row>
    <row r="313">
      <c r="A313" s="12" t="inlineStr">
        <is>
          <t>2026-09-26</t>
        </is>
      </c>
      <c r="B313" s="22" t="n">
        <v>4</v>
      </c>
      <c r="C313" s="12" t="inlineStr">
        <is>
          <t>BUCK</t>
        </is>
      </c>
      <c r="D313" s="12" t="inlineStr">
        <is>
          <t>PITT</t>
        </is>
      </c>
      <c r="E313" s="22" t="n">
        <v>0</v>
      </c>
      <c r="F313" s="22" t="n">
        <v>0</v>
      </c>
      <c r="G313" s="12" t="inlineStr">
        <is>
          <t>9/26 - 12:00 PM EDT</t>
        </is>
      </c>
      <c r="H313" s="12" t="inlineStr"/>
      <c r="I313" s="23" t="n"/>
      <c r="J313" s="29" t="n"/>
      <c r="K313" s="13" t="n"/>
      <c r="L313" s="13" t="n"/>
      <c r="M313" s="12" t="n"/>
    </row>
    <row r="314">
      <c r="A314" s="17" t="inlineStr">
        <is>
          <t>2026-09-26</t>
        </is>
      </c>
      <c r="B314" s="25" t="n">
        <v>4</v>
      </c>
      <c r="C314" s="17" t="inlineStr">
        <is>
          <t>USA</t>
        </is>
      </c>
      <c r="D314" s="17" t="inlineStr">
        <is>
          <t>UK</t>
        </is>
      </c>
      <c r="E314" s="25" t="n">
        <v>0</v>
      </c>
      <c r="F314" s="25" t="n">
        <v>0</v>
      </c>
      <c r="G314" s="17" t="inlineStr">
        <is>
          <t>9/26 - 12:45 PM EDT</t>
        </is>
      </c>
      <c r="H314" s="17" t="inlineStr"/>
      <c r="I314" s="26" t="n"/>
      <c r="J314" s="30" t="n"/>
      <c r="K314" s="18" t="n"/>
      <c r="L314" s="18" t="n"/>
      <c r="M314" s="17" t="n"/>
    </row>
    <row r="315">
      <c r="A315" s="12" t="inlineStr">
        <is>
          <t>2026-09-26</t>
        </is>
      </c>
      <c r="B315" s="22" t="n">
        <v>4</v>
      </c>
      <c r="C315" s="12" t="inlineStr">
        <is>
          <t>LIN</t>
        </is>
      </c>
      <c r="D315" s="12" t="inlineStr">
        <is>
          <t>EMU</t>
        </is>
      </c>
      <c r="E315" s="22" t="n">
        <v>0</v>
      </c>
      <c r="F315" s="22" t="n">
        <v>0</v>
      </c>
      <c r="G315" s="12" t="inlineStr">
        <is>
          <t>9/26 - 1:00 PM EDT</t>
        </is>
      </c>
      <c r="H315" s="12" t="inlineStr"/>
      <c r="I315" s="23" t="n"/>
      <c r="J315" s="29" t="n"/>
      <c r="K315" s="13" t="n"/>
      <c r="L315" s="13" t="n"/>
      <c r="M315" s="12" t="n"/>
    </row>
    <row r="316">
      <c r="A316" s="17" t="inlineStr">
        <is>
          <t>2026-09-26</t>
        </is>
      </c>
      <c r="B316" s="25" t="n">
        <v>4</v>
      </c>
      <c r="C316" s="17" t="inlineStr">
        <is>
          <t>HAW</t>
        </is>
      </c>
      <c r="D316" s="17" t="inlineStr">
        <is>
          <t>WYO</t>
        </is>
      </c>
      <c r="E316" s="25" t="n">
        <v>0</v>
      </c>
      <c r="F316" s="25" t="n">
        <v>0</v>
      </c>
      <c r="G316" s="17" t="inlineStr">
        <is>
          <t>9/26 - 3:00 PM EDT</t>
        </is>
      </c>
      <c r="H316" s="17" t="inlineStr"/>
      <c r="I316" s="26" t="n"/>
      <c r="J316" s="30" t="n"/>
      <c r="K316" s="18" t="n"/>
      <c r="L316" s="18" t="n"/>
      <c r="M316" s="17" t="n"/>
    </row>
    <row r="317">
      <c r="A317" s="12" t="inlineStr">
        <is>
          <t>2026-09-26</t>
        </is>
      </c>
      <c r="B317" s="22" t="n">
        <v>4</v>
      </c>
      <c r="C317" s="12" t="inlineStr">
        <is>
          <t>W&amp;M</t>
        </is>
      </c>
      <c r="D317" s="12" t="inlineStr">
        <is>
          <t>DUKE</t>
        </is>
      </c>
      <c r="E317" s="22" t="n">
        <v>0</v>
      </c>
      <c r="F317" s="22" t="n">
        <v>0</v>
      </c>
      <c r="G317" s="12" t="inlineStr">
        <is>
          <t>9/26 - 3:30 PM EDT</t>
        </is>
      </c>
      <c r="H317" s="12" t="inlineStr"/>
      <c r="I317" s="23" t="n"/>
      <c r="J317" s="29" t="n"/>
      <c r="K317" s="13" t="n"/>
      <c r="L317" s="13" t="n"/>
      <c r="M317" s="12" t="n"/>
    </row>
    <row r="318">
      <c r="A318" s="17" t="inlineStr">
        <is>
          <t>2026-09-26</t>
        </is>
      </c>
      <c r="B318" s="25" t="n">
        <v>4</v>
      </c>
      <c r="C318" s="17" t="inlineStr">
        <is>
          <t>UNM</t>
        </is>
      </c>
      <c r="D318" s="17" t="inlineStr">
        <is>
          <t>NMSU</t>
        </is>
      </c>
      <c r="E318" s="25" t="n">
        <v>0</v>
      </c>
      <c r="F318" s="25" t="n">
        <v>0</v>
      </c>
      <c r="G318" s="17" t="inlineStr">
        <is>
          <t>9/26 - 3:30 PM EDT</t>
        </is>
      </c>
      <c r="H318" s="17" t="inlineStr"/>
      <c r="I318" s="26" t="n"/>
      <c r="J318" s="30" t="n"/>
      <c r="K318" s="18" t="n"/>
      <c r="L318" s="18" t="n"/>
      <c r="M318" s="17" t="n"/>
    </row>
    <row r="319">
      <c r="A319" s="12" t="inlineStr">
        <is>
          <t>2026-09-26</t>
        </is>
      </c>
      <c r="B319" s="22" t="n">
        <v>4</v>
      </c>
      <c r="C319" s="12" t="inlineStr">
        <is>
          <t>RMU</t>
        </is>
      </c>
      <c r="D319" s="12" t="inlineStr">
        <is>
          <t>BUFF</t>
        </is>
      </c>
      <c r="E319" s="22" t="n">
        <v>0</v>
      </c>
      <c r="F319" s="22" t="n">
        <v>0</v>
      </c>
      <c r="G319" s="12" t="inlineStr">
        <is>
          <t>9/26 - 3:30 PM EDT</t>
        </is>
      </c>
      <c r="H319" s="12" t="inlineStr"/>
      <c r="I319" s="23" t="n"/>
      <c r="J319" s="29" t="n"/>
      <c r="K319" s="13" t="n"/>
      <c r="L319" s="13" t="n"/>
      <c r="M319" s="12" t="n"/>
    </row>
    <row r="320">
      <c r="A320" s="17" t="inlineStr">
        <is>
          <t>2026-09-26</t>
        </is>
      </c>
      <c r="B320" s="25" t="n">
        <v>4</v>
      </c>
      <c r="C320" s="17" t="inlineStr">
        <is>
          <t>STO</t>
        </is>
      </c>
      <c r="D320" s="17" t="inlineStr">
        <is>
          <t>OHIO</t>
        </is>
      </c>
      <c r="E320" s="25" t="n">
        <v>0</v>
      </c>
      <c r="F320" s="25" t="n">
        <v>0</v>
      </c>
      <c r="G320" s="17" t="inlineStr">
        <is>
          <t>9/26 - 3:30 PM EDT</t>
        </is>
      </c>
      <c r="H320" s="17" t="inlineStr"/>
      <c r="I320" s="26" t="n"/>
      <c r="J320" s="30" t="n"/>
      <c r="K320" s="18" t="n"/>
      <c r="L320" s="18" t="n"/>
      <c r="M320" s="17" t="n"/>
    </row>
    <row r="321">
      <c r="A321" s="12" t="inlineStr">
        <is>
          <t>2026-09-26</t>
        </is>
      </c>
      <c r="B321" s="22" t="n">
        <v>4</v>
      </c>
      <c r="C321" s="12" t="inlineStr">
        <is>
          <t>GWEB</t>
        </is>
      </c>
      <c r="D321" s="12" t="inlineStr">
        <is>
          <t>MRSH</t>
        </is>
      </c>
      <c r="E321" s="22" t="n">
        <v>0</v>
      </c>
      <c r="F321" s="22" t="n">
        <v>0</v>
      </c>
      <c r="G321" s="12" t="inlineStr">
        <is>
          <t>9/26 - 3:30 PM EDT</t>
        </is>
      </c>
      <c r="H321" s="12" t="inlineStr"/>
      <c r="I321" s="23" t="n"/>
      <c r="J321" s="29" t="n"/>
      <c r="K321" s="13" t="n"/>
      <c r="L321" s="13" t="n"/>
      <c r="M321" s="12" t="n"/>
    </row>
    <row r="322">
      <c r="A322" s="17" t="inlineStr">
        <is>
          <t>2026-09-26</t>
        </is>
      </c>
      <c r="B322" s="25" t="n">
        <v>4</v>
      </c>
      <c r="C322" s="17" t="inlineStr">
        <is>
          <t>NCCU</t>
        </is>
      </c>
      <c r="D322" s="17" t="inlineStr">
        <is>
          <t>ECU</t>
        </is>
      </c>
      <c r="E322" s="25" t="n">
        <v>0</v>
      </c>
      <c r="F322" s="25" t="n">
        <v>0</v>
      </c>
      <c r="G322" s="17" t="inlineStr">
        <is>
          <t>9/26 - 4:00 PM EDT</t>
        </is>
      </c>
      <c r="H322" s="17" t="inlineStr"/>
      <c r="I322" s="26" t="n"/>
      <c r="J322" s="30" t="n"/>
      <c r="K322" s="18" t="n"/>
      <c r="L322" s="18" t="n"/>
      <c r="M322" s="17" t="n"/>
    </row>
    <row r="323">
      <c r="A323" s="12" t="inlineStr">
        <is>
          <t>2026-09-26</t>
        </is>
      </c>
      <c r="B323" s="22" t="n">
        <v>4</v>
      </c>
      <c r="C323" s="12" t="inlineStr">
        <is>
          <t>UIW</t>
        </is>
      </c>
      <c r="D323" s="12" t="inlineStr">
        <is>
          <t>TXST</t>
        </is>
      </c>
      <c r="E323" s="22" t="n">
        <v>0</v>
      </c>
      <c r="F323" s="22" t="n">
        <v>0</v>
      </c>
      <c r="G323" s="12" t="inlineStr">
        <is>
          <t>9/26 - 6:00 PM EDT</t>
        </is>
      </c>
      <c r="H323" s="12" t="inlineStr"/>
      <c r="I323" s="23" t="n"/>
      <c r="J323" s="29" t="n"/>
      <c r="K323" s="13" t="n"/>
      <c r="L323" s="13" t="n"/>
      <c r="M323" s="12" t="n"/>
    </row>
    <row r="324">
      <c r="A324" s="17" t="inlineStr">
        <is>
          <t>2026-09-26</t>
        </is>
      </c>
      <c r="B324" s="25" t="n">
        <v>4</v>
      </c>
      <c r="C324" s="17" t="inlineStr">
        <is>
          <t>LIU</t>
        </is>
      </c>
      <c r="D324" s="17" t="inlineStr">
        <is>
          <t>FIU</t>
        </is>
      </c>
      <c r="E324" s="25" t="n">
        <v>0</v>
      </c>
      <c r="F324" s="25" t="n">
        <v>0</v>
      </c>
      <c r="G324" s="17" t="inlineStr">
        <is>
          <t>9/26 - 6:00 PM EDT</t>
        </is>
      </c>
      <c r="H324" s="17" t="inlineStr"/>
      <c r="I324" s="26" t="n"/>
      <c r="J324" s="30" t="n"/>
      <c r="K324" s="18" t="n"/>
      <c r="L324" s="18" t="n"/>
      <c r="M324" s="17" t="n"/>
    </row>
    <row r="325">
      <c r="A325" s="12" t="inlineStr">
        <is>
          <t>2026-09-26</t>
        </is>
      </c>
      <c r="B325" s="22" t="n">
        <v>4</v>
      </c>
      <c r="C325" s="12" t="inlineStr">
        <is>
          <t>CMU</t>
        </is>
      </c>
      <c r="D325" s="12" t="inlineStr">
        <is>
          <t>MIA</t>
        </is>
      </c>
      <c r="E325" s="22" t="n">
        <v>0</v>
      </c>
      <c r="F325" s="22" t="n">
        <v>0</v>
      </c>
      <c r="G325" s="12" t="inlineStr">
        <is>
          <t>9/26 - 6:30 PM EDT</t>
        </is>
      </c>
      <c r="H325" s="12" t="inlineStr"/>
      <c r="I325" s="23" t="n"/>
      <c r="J325" s="29" t="n"/>
      <c r="K325" s="13" t="n"/>
      <c r="L325" s="13" t="n"/>
      <c r="M325" s="12" t="n"/>
    </row>
    <row r="326">
      <c r="A326" s="17" t="inlineStr">
        <is>
          <t>2026-09-26</t>
        </is>
      </c>
      <c r="B326" s="25" t="n">
        <v>4</v>
      </c>
      <c r="C326" s="17" t="inlineStr">
        <is>
          <t>KENN</t>
        </is>
      </c>
      <c r="D326" s="17" t="inlineStr">
        <is>
          <t>ARST</t>
        </is>
      </c>
      <c r="E326" s="25" t="n">
        <v>0</v>
      </c>
      <c r="F326" s="25" t="n">
        <v>0</v>
      </c>
      <c r="G326" s="17" t="inlineStr">
        <is>
          <t>9/26 - 7:00 PM EDT</t>
        </is>
      </c>
      <c r="H326" s="17" t="inlineStr"/>
      <c r="I326" s="26" t="n"/>
      <c r="J326" s="30" t="n"/>
      <c r="K326" s="18" t="n"/>
      <c r="L326" s="18" t="n"/>
      <c r="M326" s="17" t="n"/>
    </row>
    <row r="327">
      <c r="A327" s="12" t="inlineStr">
        <is>
          <t>2026-09-26</t>
        </is>
      </c>
      <c r="B327" s="22" t="n">
        <v>4</v>
      </c>
      <c r="C327" s="12" t="inlineStr">
        <is>
          <t>MERC</t>
        </is>
      </c>
      <c r="D327" s="12" t="inlineStr">
        <is>
          <t>WKU</t>
        </is>
      </c>
      <c r="E327" s="22" t="n">
        <v>0</v>
      </c>
      <c r="F327" s="22" t="n">
        <v>0</v>
      </c>
      <c r="G327" s="12" t="inlineStr">
        <is>
          <t>9/26 - 7:00 PM EDT</t>
        </is>
      </c>
      <c r="H327" s="12" t="inlineStr"/>
      <c r="I327" s="23" t="n"/>
      <c r="J327" s="29" t="n"/>
      <c r="K327" s="13" t="n"/>
      <c r="L327" s="13" t="n"/>
      <c r="M327" s="12" t="n"/>
    </row>
    <row r="328">
      <c r="A328" s="17" t="inlineStr">
        <is>
          <t>2026-09-26</t>
        </is>
      </c>
      <c r="B328" s="25" t="n">
        <v>4</v>
      </c>
      <c r="C328" s="17" t="inlineStr">
        <is>
          <t>MTSU</t>
        </is>
      </c>
      <c r="D328" s="17" t="inlineStr">
        <is>
          <t>JVST</t>
        </is>
      </c>
      <c r="E328" s="25" t="n">
        <v>0</v>
      </c>
      <c r="F328" s="25" t="n">
        <v>0</v>
      </c>
      <c r="G328" s="17" t="inlineStr">
        <is>
          <t>9/26 - 7:00 PM EDT</t>
        </is>
      </c>
      <c r="H328" s="17" t="inlineStr"/>
      <c r="I328" s="26" t="n"/>
      <c r="J328" s="30" t="n"/>
      <c r="K328" s="18" t="n"/>
      <c r="L328" s="18" t="n"/>
      <c r="M328" s="17" t="n"/>
    </row>
    <row r="329">
      <c r="A329" s="12" t="inlineStr">
        <is>
          <t>2026-09-26</t>
        </is>
      </c>
      <c r="B329" s="22" t="n">
        <v>4</v>
      </c>
      <c r="C329" s="12" t="inlineStr">
        <is>
          <t>ARIZ</t>
        </is>
      </c>
      <c r="D329" s="12" t="inlineStr">
        <is>
          <t>WSU</t>
        </is>
      </c>
      <c r="E329" s="22" t="n">
        <v>0</v>
      </c>
      <c r="F329" s="22" t="n">
        <v>0</v>
      </c>
      <c r="G329" s="12" t="inlineStr">
        <is>
          <t>9/26 - 7:30 PM EDT</t>
        </is>
      </c>
      <c r="H329" s="12" t="inlineStr"/>
      <c r="I329" s="23" t="n"/>
      <c r="J329" s="29" t="n"/>
      <c r="K329" s="13" t="n"/>
      <c r="L329" s="13" t="n"/>
      <c r="M329" s="12" t="n"/>
    </row>
    <row r="330">
      <c r="A330" s="17" t="inlineStr">
        <is>
          <t>2026-09-26</t>
        </is>
      </c>
      <c r="B330" s="25" t="n">
        <v>4</v>
      </c>
      <c r="C330" s="17" t="inlineStr">
        <is>
          <t>TROY</t>
        </is>
      </c>
      <c r="D330" s="17" t="inlineStr">
        <is>
          <t>USU</t>
        </is>
      </c>
      <c r="E330" s="25" t="n">
        <v>0</v>
      </c>
      <c r="F330" s="25" t="n">
        <v>0</v>
      </c>
      <c r="G330" s="17" t="inlineStr">
        <is>
          <t>9/26 - 7:30 PM EDT</t>
        </is>
      </c>
      <c r="H330" s="17" t="inlineStr"/>
      <c r="I330" s="26" t="n"/>
      <c r="J330" s="30" t="n"/>
      <c r="K330" s="18" t="n"/>
      <c r="L330" s="18" t="n"/>
      <c r="M330" s="17" t="n"/>
    </row>
    <row r="331">
      <c r="A331" s="12" t="inlineStr">
        <is>
          <t>2026-09-26</t>
        </is>
      </c>
      <c r="B331" s="22" t="n">
        <v>4</v>
      </c>
      <c r="C331" s="12" t="inlineStr">
        <is>
          <t>HCU</t>
        </is>
      </c>
      <c r="D331" s="12" t="inlineStr">
        <is>
          <t>UNT</t>
        </is>
      </c>
      <c r="E331" s="22" t="n">
        <v>0</v>
      </c>
      <c r="F331" s="22" t="n">
        <v>0</v>
      </c>
      <c r="G331" s="12" t="inlineStr">
        <is>
          <t>9/26 - 7:30 PM EDT</t>
        </is>
      </c>
      <c r="H331" s="12" t="inlineStr"/>
      <c r="I331" s="23" t="n"/>
      <c r="J331" s="29" t="n"/>
      <c r="K331" s="13" t="n"/>
      <c r="L331" s="13" t="n"/>
      <c r="M331" s="12" t="n"/>
    </row>
    <row r="332">
      <c r="A332" s="17" t="inlineStr">
        <is>
          <t>2026-09-27</t>
        </is>
      </c>
      <c r="B332" s="25" t="n">
        <v>4</v>
      </c>
      <c r="C332" s="17" t="inlineStr">
        <is>
          <t>TLSA</t>
        </is>
      </c>
      <c r="D332" s="17" t="inlineStr">
        <is>
          <t>ARK</t>
        </is>
      </c>
      <c r="E332" s="25" t="n">
        <v>0</v>
      </c>
      <c r="F332" s="25" t="n">
        <v>0</v>
      </c>
      <c r="G332" s="17" t="inlineStr">
        <is>
          <t>9/26 - 8:00 PM EDT</t>
        </is>
      </c>
      <c r="H332" s="17" t="inlineStr"/>
      <c r="I332" s="26" t="n"/>
      <c r="J332" s="30" t="n"/>
      <c r="K332" s="18" t="n"/>
      <c r="L332" s="18" t="n"/>
      <c r="M332" s="17" t="n"/>
    </row>
    <row r="333">
      <c r="A333" s="12" t="inlineStr">
        <is>
          <t>2026-09-27</t>
        </is>
      </c>
      <c r="B333" s="22" t="n">
        <v>4</v>
      </c>
      <c r="C333" s="12" t="inlineStr">
        <is>
          <t>ORST</t>
        </is>
      </c>
      <c r="D333" s="12" t="inlineStr">
        <is>
          <t>UTEP</t>
        </is>
      </c>
      <c r="E333" s="22" t="n">
        <v>0</v>
      </c>
      <c r="F333" s="22" t="n">
        <v>0</v>
      </c>
      <c r="G333" s="12" t="inlineStr">
        <is>
          <t>9/26 - 9:00 PM EDT</t>
        </is>
      </c>
      <c r="H333" s="12" t="inlineStr"/>
      <c r="I333" s="23" t="n"/>
      <c r="J333" s="29" t="n"/>
      <c r="K333" s="13" t="n"/>
      <c r="L333" s="13" t="n"/>
      <c r="M333" s="12" t="n"/>
    </row>
    <row r="334">
      <c r="A334" s="17" t="inlineStr">
        <is>
          <t>2026-09-27</t>
        </is>
      </c>
      <c r="B334" s="25" t="n">
        <v>4</v>
      </c>
      <c r="C334" s="17" t="inlineStr">
        <is>
          <t>RICE</t>
        </is>
      </c>
      <c r="D334" s="17" t="inlineStr">
        <is>
          <t>FRES</t>
        </is>
      </c>
      <c r="E334" s="25" t="n">
        <v>0</v>
      </c>
      <c r="F334" s="25" t="n">
        <v>0</v>
      </c>
      <c r="G334" s="17" t="inlineStr">
        <is>
          <t>9/26 - 10:00 PM EDT</t>
        </is>
      </c>
      <c r="H334" s="17" t="inlineStr"/>
      <c r="I334" s="26" t="n"/>
      <c r="J334" s="30" t="n"/>
      <c r="K334" s="18" t="n"/>
      <c r="L334" s="18" t="n"/>
      <c r="M334" s="17" t="n"/>
    </row>
    <row r="335">
      <c r="A335" s="12" t="inlineStr">
        <is>
          <t>2026-09-27</t>
        </is>
      </c>
      <c r="B335" s="22" t="n">
        <v>4</v>
      </c>
      <c r="C335" s="12" t="inlineStr">
        <is>
          <t>GT</t>
        </is>
      </c>
      <c r="D335" s="12" t="inlineStr">
        <is>
          <t>STAN</t>
        </is>
      </c>
      <c r="E335" s="22" t="n">
        <v>0</v>
      </c>
      <c r="F335" s="22" t="n">
        <v>0</v>
      </c>
      <c r="G335" s="12" t="inlineStr">
        <is>
          <t>9/26 - 10:30 PM EDT</t>
        </is>
      </c>
      <c r="H335" s="12" t="inlineStr"/>
      <c r="I335" s="23" t="n"/>
      <c r="J335" s="29" t="n"/>
      <c r="K335" s="13" t="n"/>
      <c r="L335" s="13" t="n"/>
      <c r="M335" s="12" t="n"/>
    </row>
    <row r="336">
      <c r="A336" s="17" t="inlineStr">
        <is>
          <t>2026-10-02</t>
        </is>
      </c>
      <c r="B336" s="25" t="n">
        <v>5</v>
      </c>
      <c r="C336" s="17" t="inlineStr">
        <is>
          <t>WKU</t>
        </is>
      </c>
      <c r="D336" s="17" t="inlineStr">
        <is>
          <t>NMSU</t>
        </is>
      </c>
      <c r="E336" s="25" t="n">
        <v>0</v>
      </c>
      <c r="F336" s="25" t="n">
        <v>0</v>
      </c>
      <c r="G336" s="17" t="inlineStr">
        <is>
          <t>10/1 - 8:00 PM EDT</t>
        </is>
      </c>
      <c r="H336" s="17" t="inlineStr"/>
      <c r="I336" s="26" t="n"/>
      <c r="J336" s="30" t="n"/>
      <c r="K336" s="18" t="n"/>
      <c r="L336" s="18" t="n"/>
      <c r="M336" s="17" t="n"/>
    </row>
    <row r="337">
      <c r="A337" s="12" t="inlineStr">
        <is>
          <t>2026-10-02</t>
        </is>
      </c>
      <c r="B337" s="22" t="n">
        <v>5</v>
      </c>
      <c r="C337" s="12" t="inlineStr">
        <is>
          <t>UNT</t>
        </is>
      </c>
      <c r="D337" s="12" t="inlineStr">
        <is>
          <t>TLSA</t>
        </is>
      </c>
      <c r="E337" s="22" t="n">
        <v>0</v>
      </c>
      <c r="F337" s="22" t="n">
        <v>0</v>
      </c>
      <c r="G337" s="12" t="inlineStr">
        <is>
          <t>10/1 - 9:00 PM EDT</t>
        </is>
      </c>
      <c r="H337" s="12" t="inlineStr"/>
      <c r="I337" s="23" t="n"/>
      <c r="J337" s="29" t="n"/>
      <c r="K337" s="13" t="n"/>
      <c r="L337" s="13" t="n"/>
      <c r="M337" s="12" t="n"/>
    </row>
    <row r="338">
      <c r="A338" s="17" t="inlineStr">
        <is>
          <t>2026-10-02</t>
        </is>
      </c>
      <c r="B338" s="25" t="n">
        <v>5</v>
      </c>
      <c r="C338" s="17" t="inlineStr">
        <is>
          <t>PITT</t>
        </is>
      </c>
      <c r="D338" s="17" t="inlineStr">
        <is>
          <t>VT</t>
        </is>
      </c>
      <c r="E338" s="25" t="n">
        <v>0</v>
      </c>
      <c r="F338" s="25" t="n">
        <v>0</v>
      </c>
      <c r="G338" s="17" t="inlineStr">
        <is>
          <t>10/2 - 7:00 PM EDT</t>
        </is>
      </c>
      <c r="H338" s="17" t="inlineStr"/>
      <c r="I338" s="26" t="n"/>
      <c r="J338" s="30" t="n"/>
      <c r="K338" s="18" t="n"/>
      <c r="L338" s="18" t="n"/>
      <c r="M338" s="17" t="n"/>
    </row>
    <row r="339">
      <c r="A339" s="12" t="inlineStr">
        <is>
          <t>2026-10-02</t>
        </is>
      </c>
      <c r="B339" s="22" t="n">
        <v>5</v>
      </c>
      <c r="C339" s="12" t="inlineStr">
        <is>
          <t>LIB</t>
        </is>
      </c>
      <c r="D339" s="12" t="inlineStr">
        <is>
          <t>DEL</t>
        </is>
      </c>
      <c r="E339" s="22" t="n">
        <v>0</v>
      </c>
      <c r="F339" s="22" t="n">
        <v>0</v>
      </c>
      <c r="G339" s="12" t="inlineStr">
        <is>
          <t>10/2 - 7:00 PM EDT</t>
        </is>
      </c>
      <c r="H339" s="12" t="inlineStr"/>
      <c r="I339" s="23" t="n"/>
      <c r="J339" s="29" t="n"/>
      <c r="K339" s="13" t="n"/>
      <c r="L339" s="13" t="n"/>
      <c r="M339" s="12" t="n"/>
    </row>
    <row r="340">
      <c r="A340" s="17" t="inlineStr">
        <is>
          <t>2026-10-03</t>
        </is>
      </c>
      <c r="B340" s="25" t="n">
        <v>5</v>
      </c>
      <c r="C340" s="17" t="inlineStr">
        <is>
          <t>PSU</t>
        </is>
      </c>
      <c r="D340" s="17" t="inlineStr">
        <is>
          <t>NU</t>
        </is>
      </c>
      <c r="E340" s="25" t="n">
        <v>0</v>
      </c>
      <c r="F340" s="25" t="n">
        <v>0</v>
      </c>
      <c r="G340" s="17" t="inlineStr">
        <is>
          <t>10/2 - 8:00 PM EDT</t>
        </is>
      </c>
      <c r="H340" s="17" t="inlineStr"/>
      <c r="I340" s="26" t="n"/>
      <c r="J340" s="30" t="n"/>
      <c r="K340" s="18" t="n"/>
      <c r="L340" s="18" t="n"/>
      <c r="M340" s="17" t="n"/>
    </row>
    <row r="341">
      <c r="A341" s="12" t="inlineStr">
        <is>
          <t>2026-10-03</t>
        </is>
      </c>
      <c r="B341" s="22" t="n">
        <v>5</v>
      </c>
      <c r="C341" s="12" t="inlineStr">
        <is>
          <t>VAN</t>
        </is>
      </c>
      <c r="D341" s="12" t="inlineStr">
        <is>
          <t>UGA</t>
        </is>
      </c>
      <c r="E341" s="22" t="n">
        <v>0</v>
      </c>
      <c r="F341" s="22" t="n">
        <v>0</v>
      </c>
      <c r="G341" s="12" t="inlineStr">
        <is>
          <t>TBD</t>
        </is>
      </c>
      <c r="H341" s="12" t="inlineStr"/>
      <c r="I341" s="23" t="n"/>
      <c r="J341" s="29" t="n"/>
      <c r="K341" s="13" t="n"/>
      <c r="L341" s="13" t="n"/>
      <c r="M341" s="12" t="n"/>
    </row>
    <row r="342">
      <c r="A342" s="17" t="inlineStr">
        <is>
          <t>2026-10-03</t>
        </is>
      </c>
      <c r="B342" s="25" t="n">
        <v>5</v>
      </c>
      <c r="C342" s="17" t="inlineStr">
        <is>
          <t>ALA</t>
        </is>
      </c>
      <c r="D342" s="17" t="inlineStr">
        <is>
          <t>MSST</t>
        </is>
      </c>
      <c r="E342" s="25" t="n">
        <v>0</v>
      </c>
      <c r="F342" s="25" t="n">
        <v>0</v>
      </c>
      <c r="G342" s="17" t="inlineStr">
        <is>
          <t>TBD</t>
        </is>
      </c>
      <c r="H342" s="17" t="inlineStr"/>
      <c r="I342" s="26" t="n"/>
      <c r="J342" s="30" t="n"/>
      <c r="K342" s="18" t="n"/>
      <c r="L342" s="18" t="n"/>
      <c r="M342" s="17" t="n"/>
    </row>
    <row r="343">
      <c r="A343" s="12" t="inlineStr">
        <is>
          <t>2026-10-03</t>
        </is>
      </c>
      <c r="B343" s="22" t="n">
        <v>5</v>
      </c>
      <c r="C343" s="12" t="inlineStr">
        <is>
          <t>FLA</t>
        </is>
      </c>
      <c r="D343" s="12" t="inlineStr">
        <is>
          <t>MIZ</t>
        </is>
      </c>
      <c r="E343" s="22" t="n">
        <v>0</v>
      </c>
      <c r="F343" s="22" t="n">
        <v>0</v>
      </c>
      <c r="G343" s="12" t="inlineStr">
        <is>
          <t>TBD</t>
        </is>
      </c>
      <c r="H343" s="12" t="inlineStr"/>
      <c r="I343" s="23" t="n"/>
      <c r="J343" s="29" t="n"/>
      <c r="K343" s="13" t="n"/>
      <c r="L343" s="13" t="n"/>
      <c r="M343" s="12" t="n"/>
    </row>
    <row r="344">
      <c r="A344" s="17" t="inlineStr">
        <is>
          <t>2026-10-03</t>
        </is>
      </c>
      <c r="B344" s="25" t="n">
        <v>5</v>
      </c>
      <c r="C344" s="17" t="inlineStr">
        <is>
          <t>UK</t>
        </is>
      </c>
      <c r="D344" s="17" t="inlineStr">
        <is>
          <t>SC</t>
        </is>
      </c>
      <c r="E344" s="25" t="n">
        <v>0</v>
      </c>
      <c r="F344" s="25" t="n">
        <v>0</v>
      </c>
      <c r="G344" s="17" t="inlineStr">
        <is>
          <t>TBD</t>
        </is>
      </c>
      <c r="H344" s="17" t="inlineStr"/>
      <c r="I344" s="26" t="n"/>
      <c r="J344" s="30" t="n"/>
      <c r="K344" s="18" t="n"/>
      <c r="L344" s="18" t="n"/>
      <c r="M344" s="17" t="n"/>
    </row>
    <row r="345">
      <c r="A345" s="12" t="inlineStr">
        <is>
          <t>2026-10-03</t>
        </is>
      </c>
      <c r="B345" s="22" t="n">
        <v>5</v>
      </c>
      <c r="C345" s="12" t="inlineStr">
        <is>
          <t>AUB</t>
        </is>
      </c>
      <c r="D345" s="12" t="inlineStr">
        <is>
          <t>TENN</t>
        </is>
      </c>
      <c r="E345" s="22" t="n">
        <v>0</v>
      </c>
      <c r="F345" s="22" t="n">
        <v>0</v>
      </c>
      <c r="G345" s="12" t="inlineStr">
        <is>
          <t>TBD</t>
        </is>
      </c>
      <c r="H345" s="12" t="inlineStr"/>
      <c r="I345" s="23" t="n"/>
      <c r="J345" s="29" t="n"/>
      <c r="K345" s="13" t="n"/>
      <c r="L345" s="13" t="n"/>
      <c r="M345" s="12" t="n"/>
    </row>
    <row r="346">
      <c r="A346" s="17" t="inlineStr">
        <is>
          <t>2026-10-03</t>
        </is>
      </c>
      <c r="B346" s="25" t="n">
        <v>5</v>
      </c>
      <c r="C346" s="17" t="inlineStr">
        <is>
          <t>ARK</t>
        </is>
      </c>
      <c r="D346" s="17" t="inlineStr">
        <is>
          <t>TA&amp;M</t>
        </is>
      </c>
      <c r="E346" s="25" t="n">
        <v>0</v>
      </c>
      <c r="F346" s="25" t="n">
        <v>0</v>
      </c>
      <c r="G346" s="17" t="inlineStr">
        <is>
          <t>TBD</t>
        </is>
      </c>
      <c r="H346" s="17" t="inlineStr"/>
      <c r="I346" s="26" t="n"/>
      <c r="J346" s="30" t="n"/>
      <c r="K346" s="18" t="n"/>
      <c r="L346" s="18" t="n"/>
      <c r="M346" s="17" t="n"/>
    </row>
    <row r="347">
      <c r="A347" s="12" t="inlineStr">
        <is>
          <t>2026-10-03</t>
        </is>
      </c>
      <c r="B347" s="22" t="n">
        <v>5</v>
      </c>
      <c r="C347" s="12" t="inlineStr">
        <is>
          <t>MTSU</t>
        </is>
      </c>
      <c r="D347" s="12" t="inlineStr">
        <is>
          <t>KU</t>
        </is>
      </c>
      <c r="E347" s="22" t="n">
        <v>0</v>
      </c>
      <c r="F347" s="22" t="n">
        <v>0</v>
      </c>
      <c r="G347" s="12" t="inlineStr">
        <is>
          <t>TBD</t>
        </is>
      </c>
      <c r="H347" s="12" t="inlineStr"/>
      <c r="I347" s="23" t="n"/>
      <c r="J347" s="29" t="n"/>
      <c r="K347" s="13" t="n"/>
      <c r="L347" s="13" t="n"/>
      <c r="M347" s="12" t="n"/>
    </row>
    <row r="348">
      <c r="A348" s="17" t="inlineStr">
        <is>
          <t>2026-10-03</t>
        </is>
      </c>
      <c r="B348" s="25" t="n">
        <v>5</v>
      </c>
      <c r="C348" s="17" t="inlineStr">
        <is>
          <t>BAY</t>
        </is>
      </c>
      <c r="D348" s="17" t="inlineStr">
        <is>
          <t>ASU</t>
        </is>
      </c>
      <c r="E348" s="25" t="n">
        <v>0</v>
      </c>
      <c r="F348" s="25" t="n">
        <v>0</v>
      </c>
      <c r="G348" s="17" t="inlineStr">
        <is>
          <t>TBD</t>
        </is>
      </c>
      <c r="H348" s="17" t="inlineStr"/>
      <c r="I348" s="26" t="n"/>
      <c r="J348" s="30" t="n"/>
      <c r="K348" s="18" t="n"/>
      <c r="L348" s="18" t="n"/>
      <c r="M348" s="17" t="n"/>
    </row>
    <row r="349">
      <c r="A349" s="12" t="inlineStr">
        <is>
          <t>2026-10-03</t>
        </is>
      </c>
      <c r="B349" s="22" t="n">
        <v>5</v>
      </c>
      <c r="C349" s="12" t="inlineStr">
        <is>
          <t>BYU</t>
        </is>
      </c>
      <c r="D349" s="12" t="inlineStr">
        <is>
          <t>TCU</t>
        </is>
      </c>
      <c r="E349" s="22" t="n">
        <v>0</v>
      </c>
      <c r="F349" s="22" t="n">
        <v>0</v>
      </c>
      <c r="G349" s="12" t="inlineStr">
        <is>
          <t>TBD</t>
        </is>
      </c>
      <c r="H349" s="12" t="inlineStr"/>
      <c r="I349" s="23" t="n"/>
      <c r="J349" s="29" t="n"/>
      <c r="K349" s="13" t="n"/>
      <c r="L349" s="13" t="n"/>
      <c r="M349" s="12" t="n"/>
    </row>
    <row r="350">
      <c r="A350" s="17" t="inlineStr">
        <is>
          <t>2026-10-03</t>
        </is>
      </c>
      <c r="B350" s="25" t="n">
        <v>5</v>
      </c>
      <c r="C350" s="17" t="inlineStr">
        <is>
          <t>UCF</t>
        </is>
      </c>
      <c r="D350" s="17" t="inlineStr">
        <is>
          <t>HOU</t>
        </is>
      </c>
      <c r="E350" s="25" t="n">
        <v>0</v>
      </c>
      <c r="F350" s="25" t="n">
        <v>0</v>
      </c>
      <c r="G350" s="17" t="inlineStr">
        <is>
          <t>TBD</t>
        </is>
      </c>
      <c r="H350" s="17" t="inlineStr"/>
      <c r="I350" s="26" t="n"/>
      <c r="J350" s="30" t="n"/>
      <c r="K350" s="18" t="n"/>
      <c r="L350" s="18" t="n"/>
      <c r="M350" s="17" t="n"/>
    </row>
    <row r="351">
      <c r="A351" s="12" t="inlineStr">
        <is>
          <t>2026-10-03</t>
        </is>
      </c>
      <c r="B351" s="22" t="n">
        <v>5</v>
      </c>
      <c r="C351" s="12" t="inlineStr">
        <is>
          <t>CIN</t>
        </is>
      </c>
      <c r="D351" s="12" t="inlineStr">
        <is>
          <t>ARIZ</t>
        </is>
      </c>
      <c r="E351" s="22" t="n">
        <v>0</v>
      </c>
      <c r="F351" s="22" t="n">
        <v>0</v>
      </c>
      <c r="G351" s="12" t="inlineStr">
        <is>
          <t>TBD</t>
        </is>
      </c>
      <c r="H351" s="12" t="inlineStr"/>
      <c r="I351" s="23" t="n"/>
      <c r="J351" s="29" t="n"/>
      <c r="K351" s="13" t="n"/>
      <c r="L351" s="13" t="n"/>
      <c r="M351" s="12" t="n"/>
    </row>
    <row r="352">
      <c r="A352" s="17" t="inlineStr">
        <is>
          <t>2026-10-03</t>
        </is>
      </c>
      <c r="B352" s="25" t="n">
        <v>5</v>
      </c>
      <c r="C352" s="17" t="inlineStr">
        <is>
          <t>TTU</t>
        </is>
      </c>
      <c r="D352" s="17" t="inlineStr">
        <is>
          <t>COLO</t>
        </is>
      </c>
      <c r="E352" s="25" t="n">
        <v>0</v>
      </c>
      <c r="F352" s="25" t="n">
        <v>0</v>
      </c>
      <c r="G352" s="17" t="inlineStr">
        <is>
          <t>TBD</t>
        </is>
      </c>
      <c r="H352" s="17" t="inlineStr"/>
      <c r="I352" s="26" t="n"/>
      <c r="J352" s="30" t="n"/>
      <c r="K352" s="18" t="n"/>
      <c r="L352" s="18" t="n"/>
      <c r="M352" s="17" t="n"/>
    </row>
    <row r="353">
      <c r="A353" s="12" t="inlineStr">
        <is>
          <t>2026-10-03</t>
        </is>
      </c>
      <c r="B353" s="22" t="n">
        <v>5</v>
      </c>
      <c r="C353" s="12" t="inlineStr">
        <is>
          <t>WVU</t>
        </is>
      </c>
      <c r="D353" s="12" t="inlineStr">
        <is>
          <t>ISU</t>
        </is>
      </c>
      <c r="E353" s="22" t="n">
        <v>0</v>
      </c>
      <c r="F353" s="22" t="n">
        <v>0</v>
      </c>
      <c r="G353" s="12" t="inlineStr">
        <is>
          <t>TBD</t>
        </is>
      </c>
      <c r="H353" s="12" t="inlineStr"/>
      <c r="I353" s="23" t="n"/>
      <c r="J353" s="29" t="n"/>
      <c r="K353" s="13" t="n"/>
      <c r="L353" s="13" t="n"/>
      <c r="M353" s="12" t="n"/>
    </row>
    <row r="354">
      <c r="A354" s="17" t="inlineStr">
        <is>
          <t>2026-10-03</t>
        </is>
      </c>
      <c r="B354" s="25" t="n">
        <v>5</v>
      </c>
      <c r="C354" s="17" t="inlineStr">
        <is>
          <t>BC</t>
        </is>
      </c>
      <c r="D354" s="17" t="inlineStr">
        <is>
          <t>SMU</t>
        </is>
      </c>
      <c r="E354" s="25" t="n">
        <v>0</v>
      </c>
      <c r="F354" s="25" t="n">
        <v>0</v>
      </c>
      <c r="G354" s="17" t="inlineStr">
        <is>
          <t>TBD</t>
        </is>
      </c>
      <c r="H354" s="17" t="inlineStr"/>
      <c r="I354" s="26" t="n"/>
      <c r="J354" s="30" t="n"/>
      <c r="K354" s="18" t="n"/>
      <c r="L354" s="18" t="n"/>
      <c r="M354" s="17" t="n"/>
    </row>
    <row r="355">
      <c r="A355" s="12" t="inlineStr">
        <is>
          <t>2026-10-03</t>
        </is>
      </c>
      <c r="B355" s="22" t="n">
        <v>5</v>
      </c>
      <c r="C355" s="12" t="inlineStr">
        <is>
          <t>LOU</t>
        </is>
      </c>
      <c r="D355" s="12" t="inlineStr">
        <is>
          <t>NCSU</t>
        </is>
      </c>
      <c r="E355" s="22" t="n">
        <v>0</v>
      </c>
      <c r="F355" s="22" t="n">
        <v>0</v>
      </c>
      <c r="G355" s="12" t="inlineStr">
        <is>
          <t>TBD</t>
        </is>
      </c>
      <c r="H355" s="12" t="inlineStr"/>
      <c r="I355" s="23" t="n"/>
      <c r="J355" s="29" t="n"/>
      <c r="K355" s="13" t="n"/>
      <c r="L355" s="13" t="n"/>
      <c r="M355" s="12" t="n"/>
    </row>
    <row r="356">
      <c r="A356" s="17" t="inlineStr">
        <is>
          <t>2026-10-03</t>
        </is>
      </c>
      <c r="B356" s="25" t="n">
        <v>5</v>
      </c>
      <c r="C356" s="17" t="inlineStr">
        <is>
          <t>MIA</t>
        </is>
      </c>
      <c r="D356" s="17" t="inlineStr">
        <is>
          <t>CLEM</t>
        </is>
      </c>
      <c r="E356" s="25" t="n">
        <v>0</v>
      </c>
      <c r="F356" s="25" t="n">
        <v>0</v>
      </c>
      <c r="G356" s="17" t="inlineStr">
        <is>
          <t>TBD</t>
        </is>
      </c>
      <c r="H356" s="17" t="inlineStr"/>
      <c r="I356" s="26" t="n"/>
      <c r="J356" s="30" t="n"/>
      <c r="K356" s="18" t="n"/>
      <c r="L356" s="18" t="n"/>
      <c r="M356" s="17" t="n"/>
    </row>
    <row r="357">
      <c r="A357" s="12" t="inlineStr">
        <is>
          <t>2026-10-03</t>
        </is>
      </c>
      <c r="B357" s="22" t="n">
        <v>5</v>
      </c>
      <c r="C357" s="12" t="inlineStr">
        <is>
          <t>ND</t>
        </is>
      </c>
      <c r="D357" s="12" t="inlineStr">
        <is>
          <t>UNC</t>
        </is>
      </c>
      <c r="E357" s="22" t="n">
        <v>0</v>
      </c>
      <c r="F357" s="22" t="n">
        <v>0</v>
      </c>
      <c r="G357" s="12" t="inlineStr">
        <is>
          <t>TBD</t>
        </is>
      </c>
      <c r="H357" s="12" t="inlineStr"/>
      <c r="I357" s="23" t="n"/>
      <c r="J357" s="29" t="n"/>
      <c r="K357" s="13" t="n"/>
      <c r="L357" s="13" t="n"/>
      <c r="M357" s="12" t="n"/>
    </row>
    <row r="358">
      <c r="A358" s="17" t="inlineStr">
        <is>
          <t>2026-10-03</t>
        </is>
      </c>
      <c r="B358" s="25" t="n">
        <v>5</v>
      </c>
      <c r="C358" s="17" t="inlineStr">
        <is>
          <t>STAN</t>
        </is>
      </c>
      <c r="D358" s="17" t="inlineStr">
        <is>
          <t>WAKE</t>
        </is>
      </c>
      <c r="E358" s="25" t="n">
        <v>0</v>
      </c>
      <c r="F358" s="25" t="n">
        <v>0</v>
      </c>
      <c r="G358" s="17" t="inlineStr">
        <is>
          <t>TBD</t>
        </is>
      </c>
      <c r="H358" s="17" t="inlineStr"/>
      <c r="I358" s="26" t="n"/>
      <c r="J358" s="30" t="n"/>
      <c r="K358" s="18" t="n"/>
      <c r="L358" s="18" t="n"/>
      <c r="M358" s="17" t="n"/>
    </row>
    <row r="359">
      <c r="A359" s="12" t="inlineStr">
        <is>
          <t>2026-10-03</t>
        </is>
      </c>
      <c r="B359" s="22" t="n">
        <v>5</v>
      </c>
      <c r="C359" s="12" t="inlineStr">
        <is>
          <t>UVA</t>
        </is>
      </c>
      <c r="D359" s="12" t="inlineStr">
        <is>
          <t>FSU</t>
        </is>
      </c>
      <c r="E359" s="22" t="n">
        <v>0</v>
      </c>
      <c r="F359" s="22" t="n">
        <v>0</v>
      </c>
      <c r="G359" s="12" t="inlineStr">
        <is>
          <t>TBD</t>
        </is>
      </c>
      <c r="H359" s="12" t="inlineStr"/>
      <c r="I359" s="23" t="n"/>
      <c r="J359" s="29" t="n"/>
      <c r="K359" s="13" t="n"/>
      <c r="L359" s="13" t="n"/>
      <c r="M359" s="12" t="n"/>
    </row>
    <row r="360">
      <c r="A360" s="17" t="inlineStr">
        <is>
          <t>2026-10-03</t>
        </is>
      </c>
      <c r="B360" s="25" t="n">
        <v>5</v>
      </c>
      <c r="C360" s="17" t="inlineStr">
        <is>
          <t>PUR</t>
        </is>
      </c>
      <c r="D360" s="17" t="inlineStr">
        <is>
          <t>ILL</t>
        </is>
      </c>
      <c r="E360" s="25" t="n">
        <v>0</v>
      </c>
      <c r="F360" s="25" t="n">
        <v>0</v>
      </c>
      <c r="G360" s="17" t="inlineStr">
        <is>
          <t>TBD</t>
        </is>
      </c>
      <c r="H360" s="17" t="inlineStr"/>
      <c r="I360" s="26" t="n"/>
      <c r="J360" s="30" t="n"/>
      <c r="K360" s="18" t="n"/>
      <c r="L360" s="18" t="n"/>
      <c r="M360" s="17" t="n"/>
    </row>
    <row r="361">
      <c r="A361" s="12" t="inlineStr">
        <is>
          <t>2026-10-03</t>
        </is>
      </c>
      <c r="B361" s="22" t="n">
        <v>5</v>
      </c>
      <c r="C361" s="12" t="inlineStr">
        <is>
          <t>OSU</t>
        </is>
      </c>
      <c r="D361" s="12" t="inlineStr">
        <is>
          <t>IOWA</t>
        </is>
      </c>
      <c r="E361" s="22" t="n">
        <v>0</v>
      </c>
      <c r="F361" s="22" t="n">
        <v>0</v>
      </c>
      <c r="G361" s="12" t="inlineStr">
        <is>
          <t>TBD</t>
        </is>
      </c>
      <c r="H361" s="12" t="inlineStr"/>
      <c r="I361" s="23" t="n"/>
      <c r="J361" s="29" t="n"/>
      <c r="K361" s="13" t="n"/>
      <c r="L361" s="13" t="n"/>
      <c r="M361" s="12" t="n"/>
    </row>
    <row r="362">
      <c r="A362" s="17" t="inlineStr">
        <is>
          <t>2026-10-03</t>
        </is>
      </c>
      <c r="B362" s="25" t="n">
        <v>5</v>
      </c>
      <c r="C362" s="17" t="inlineStr">
        <is>
          <t>MICH</t>
        </is>
      </c>
      <c r="D362" s="17" t="inlineStr">
        <is>
          <t>MINN</t>
        </is>
      </c>
      <c r="E362" s="25" t="n">
        <v>0</v>
      </c>
      <c r="F362" s="25" t="n">
        <v>0</v>
      </c>
      <c r="G362" s="17" t="inlineStr">
        <is>
          <t>TBD</t>
        </is>
      </c>
      <c r="H362" s="17" t="inlineStr"/>
      <c r="I362" s="26" t="n"/>
      <c r="J362" s="30" t="n"/>
      <c r="K362" s="18" t="n"/>
      <c r="L362" s="18" t="n"/>
      <c r="M362" s="17" t="n"/>
    </row>
    <row r="363">
      <c r="A363" s="12" t="inlineStr">
        <is>
          <t>2026-10-03</t>
        </is>
      </c>
      <c r="B363" s="22" t="n">
        <v>5</v>
      </c>
      <c r="C363" s="12" t="inlineStr">
        <is>
          <t>MD</t>
        </is>
      </c>
      <c r="D363" s="12" t="inlineStr">
        <is>
          <t>NEB</t>
        </is>
      </c>
      <c r="E363" s="22" t="n">
        <v>0</v>
      </c>
      <c r="F363" s="22" t="n">
        <v>0</v>
      </c>
      <c r="G363" s="12" t="inlineStr">
        <is>
          <t>TBD</t>
        </is>
      </c>
      <c r="H363" s="12" t="inlineStr"/>
      <c r="I363" s="23" t="n"/>
      <c r="J363" s="29" t="n"/>
      <c r="K363" s="13" t="n"/>
      <c r="L363" s="13" t="n"/>
      <c r="M363" s="12" t="n"/>
    </row>
    <row r="364">
      <c r="A364" s="17" t="inlineStr">
        <is>
          <t>2026-10-03</t>
        </is>
      </c>
      <c r="B364" s="25" t="n">
        <v>5</v>
      </c>
      <c r="C364" s="17" t="inlineStr">
        <is>
          <t>WASH</t>
        </is>
      </c>
      <c r="D364" s="17" t="inlineStr">
        <is>
          <t>USC</t>
        </is>
      </c>
      <c r="E364" s="25" t="n">
        <v>0</v>
      </c>
      <c r="F364" s="25" t="n">
        <v>0</v>
      </c>
      <c r="G364" s="17" t="inlineStr">
        <is>
          <t>TBD</t>
        </is>
      </c>
      <c r="H364" s="17" t="inlineStr"/>
      <c r="I364" s="26" t="n"/>
      <c r="J364" s="30" t="n"/>
      <c r="K364" s="18" t="n"/>
      <c r="L364" s="18" t="n"/>
      <c r="M364" s="17" t="n"/>
    </row>
    <row r="365">
      <c r="A365" s="12" t="inlineStr">
        <is>
          <t>2026-10-03</t>
        </is>
      </c>
      <c r="B365" s="22" t="n">
        <v>5</v>
      </c>
      <c r="C365" s="12" t="inlineStr">
        <is>
          <t>MSU</t>
        </is>
      </c>
      <c r="D365" s="12" t="inlineStr">
        <is>
          <t>WIS</t>
        </is>
      </c>
      <c r="E365" s="22" t="n">
        <v>0</v>
      </c>
      <c r="F365" s="22" t="n">
        <v>0</v>
      </c>
      <c r="G365" s="12" t="inlineStr">
        <is>
          <t>TBD</t>
        </is>
      </c>
      <c r="H365" s="12" t="inlineStr"/>
      <c r="I365" s="23" t="n"/>
      <c r="J365" s="29" t="n"/>
      <c r="K365" s="13" t="n"/>
      <c r="L365" s="13" t="n"/>
      <c r="M365" s="12" t="n"/>
    </row>
    <row r="366">
      <c r="A366" s="17" t="inlineStr">
        <is>
          <t>2026-10-03</t>
        </is>
      </c>
      <c r="B366" s="25" t="n">
        <v>5</v>
      </c>
      <c r="C366" s="17" t="inlineStr">
        <is>
          <t>MEM</t>
        </is>
      </c>
      <c r="D366" s="17" t="inlineStr">
        <is>
          <t>CLT</t>
        </is>
      </c>
      <c r="E366" s="25" t="n">
        <v>0</v>
      </c>
      <c r="F366" s="25" t="n">
        <v>0</v>
      </c>
      <c r="G366" s="17" t="inlineStr">
        <is>
          <t>TBD</t>
        </is>
      </c>
      <c r="H366" s="17" t="inlineStr"/>
      <c r="I366" s="26" t="n"/>
      <c r="J366" s="30" t="n"/>
      <c r="K366" s="18" t="n"/>
      <c r="L366" s="18" t="n"/>
      <c r="M366" s="17" t="n"/>
    </row>
    <row r="367">
      <c r="A367" s="12" t="inlineStr">
        <is>
          <t>2026-10-03</t>
        </is>
      </c>
      <c r="B367" s="22" t="n">
        <v>5</v>
      </c>
      <c r="C367" s="12" t="inlineStr">
        <is>
          <t>UTSA</t>
        </is>
      </c>
      <c r="D367" s="12" t="inlineStr">
        <is>
          <t>RICE</t>
        </is>
      </c>
      <c r="E367" s="22" t="n">
        <v>0</v>
      </c>
      <c r="F367" s="22" t="n">
        <v>0</v>
      </c>
      <c r="G367" s="12" t="inlineStr">
        <is>
          <t>TBD</t>
        </is>
      </c>
      <c r="H367" s="12" t="inlineStr"/>
      <c r="I367" s="23" t="n"/>
      <c r="J367" s="29" t="n"/>
      <c r="K367" s="13" t="n"/>
      <c r="L367" s="13" t="n"/>
      <c r="M367" s="12" t="n"/>
    </row>
    <row r="368">
      <c r="A368" s="17" t="inlineStr">
        <is>
          <t>2026-10-03</t>
        </is>
      </c>
      <c r="B368" s="25" t="n">
        <v>5</v>
      </c>
      <c r="C368" s="17" t="inlineStr">
        <is>
          <t>TEM</t>
        </is>
      </c>
      <c r="D368" s="17" t="inlineStr">
        <is>
          <t>USF</t>
        </is>
      </c>
      <c r="E368" s="25" t="n">
        <v>0</v>
      </c>
      <c r="F368" s="25" t="n">
        <v>0</v>
      </c>
      <c r="G368" s="17" t="inlineStr">
        <is>
          <t>TBD</t>
        </is>
      </c>
      <c r="H368" s="17" t="inlineStr"/>
      <c r="I368" s="26" t="n"/>
      <c r="J368" s="30" t="n"/>
      <c r="K368" s="18" t="n"/>
      <c r="L368" s="18" t="n"/>
      <c r="M368" s="17" t="n"/>
    </row>
    <row r="369">
      <c r="A369" s="12" t="inlineStr">
        <is>
          <t>2026-10-03</t>
        </is>
      </c>
      <c r="B369" s="22" t="n">
        <v>5</v>
      </c>
      <c r="C369" s="12" t="inlineStr">
        <is>
          <t>UTEP</t>
        </is>
      </c>
      <c r="D369" s="12" t="inlineStr">
        <is>
          <t>UNM</t>
        </is>
      </c>
      <c r="E369" s="22" t="n">
        <v>0</v>
      </c>
      <c r="F369" s="22" t="n">
        <v>0</v>
      </c>
      <c r="G369" s="12" t="inlineStr">
        <is>
          <t>TBD</t>
        </is>
      </c>
      <c r="H369" s="12" t="inlineStr"/>
      <c r="I369" s="23" t="n"/>
      <c r="J369" s="29" t="n"/>
      <c r="K369" s="13" t="n"/>
      <c r="L369" s="13" t="n"/>
      <c r="M369" s="12" t="n"/>
    </row>
    <row r="370">
      <c r="A370" s="17" t="inlineStr">
        <is>
          <t>2026-10-03</t>
        </is>
      </c>
      <c r="B370" s="25" t="n">
        <v>5</v>
      </c>
      <c r="C370" s="17" t="inlineStr">
        <is>
          <t>AKR</t>
        </is>
      </c>
      <c r="D370" s="17" t="inlineStr">
        <is>
          <t>CMU</t>
        </is>
      </c>
      <c r="E370" s="25" t="n">
        <v>0</v>
      </c>
      <c r="F370" s="25" t="n">
        <v>0</v>
      </c>
      <c r="G370" s="17" t="inlineStr">
        <is>
          <t>TBD</t>
        </is>
      </c>
      <c r="H370" s="17" t="inlineStr"/>
      <c r="I370" s="26" t="n"/>
      <c r="J370" s="30" t="n"/>
      <c r="K370" s="18" t="n"/>
      <c r="L370" s="18" t="n"/>
      <c r="M370" s="17" t="n"/>
    </row>
    <row r="371">
      <c r="A371" s="12" t="inlineStr">
        <is>
          <t>2026-10-03</t>
        </is>
      </c>
      <c r="B371" s="22" t="n">
        <v>5</v>
      </c>
      <c r="C371" s="12" t="inlineStr">
        <is>
          <t>TOL</t>
        </is>
      </c>
      <c r="D371" s="12" t="inlineStr">
        <is>
          <t>BALL</t>
        </is>
      </c>
      <c r="E371" s="22" t="n">
        <v>0</v>
      </c>
      <c r="F371" s="22" t="n">
        <v>0</v>
      </c>
      <c r="G371" s="12" t="inlineStr">
        <is>
          <t>TBD</t>
        </is>
      </c>
      <c r="H371" s="12" t="inlineStr"/>
      <c r="I371" s="23" t="n"/>
      <c r="J371" s="29" t="n"/>
      <c r="K371" s="13" t="n"/>
      <c r="L371" s="13" t="n"/>
      <c r="M371" s="12" t="n"/>
    </row>
    <row r="372">
      <c r="A372" s="17" t="inlineStr">
        <is>
          <t>2026-10-03</t>
        </is>
      </c>
      <c r="B372" s="25" t="n">
        <v>5</v>
      </c>
      <c r="C372" s="17" t="inlineStr">
        <is>
          <t>WMU</t>
        </is>
      </c>
      <c r="D372" s="17" t="inlineStr">
        <is>
          <t>BUFF</t>
        </is>
      </c>
      <c r="E372" s="25" t="n">
        <v>0</v>
      </c>
      <c r="F372" s="25" t="n">
        <v>0</v>
      </c>
      <c r="G372" s="17" t="inlineStr">
        <is>
          <t>TBD</t>
        </is>
      </c>
      <c r="H372" s="17" t="inlineStr"/>
      <c r="I372" s="26" t="n"/>
      <c r="J372" s="30" t="n"/>
      <c r="K372" s="18" t="n"/>
      <c r="L372" s="18" t="n"/>
      <c r="M372" s="17" t="n"/>
    </row>
    <row r="373">
      <c r="A373" s="12" t="inlineStr">
        <is>
          <t>2026-10-03</t>
        </is>
      </c>
      <c r="B373" s="22" t="n">
        <v>5</v>
      </c>
      <c r="C373" s="12" t="inlineStr">
        <is>
          <t>EMU</t>
        </is>
      </c>
      <c r="D373" s="12" t="inlineStr">
        <is>
          <t>MASS</t>
        </is>
      </c>
      <c r="E373" s="22" t="n">
        <v>0</v>
      </c>
      <c r="F373" s="22" t="n">
        <v>0</v>
      </c>
      <c r="G373" s="12" t="inlineStr">
        <is>
          <t>TBD</t>
        </is>
      </c>
      <c r="H373" s="12" t="inlineStr"/>
      <c r="I373" s="23" t="n"/>
      <c r="J373" s="29" t="n"/>
      <c r="K373" s="13" t="n"/>
      <c r="L373" s="13" t="n"/>
      <c r="M373" s="12" t="n"/>
    </row>
    <row r="374">
      <c r="A374" s="17" t="inlineStr">
        <is>
          <t>2026-10-03</t>
        </is>
      </c>
      <c r="B374" s="25" t="n">
        <v>5</v>
      </c>
      <c r="C374" s="17" t="inlineStr">
        <is>
          <t>OHIO</t>
        </is>
      </c>
      <c r="D374" s="17" t="inlineStr">
        <is>
          <t>KENT</t>
        </is>
      </c>
      <c r="E374" s="25" t="n">
        <v>0</v>
      </c>
      <c r="F374" s="25" t="n">
        <v>0</v>
      </c>
      <c r="G374" s="17" t="inlineStr">
        <is>
          <t>TBD</t>
        </is>
      </c>
      <c r="H374" s="17" t="inlineStr"/>
      <c r="I374" s="26" t="n"/>
      <c r="J374" s="30" t="n"/>
      <c r="K374" s="18" t="n"/>
      <c r="L374" s="18" t="n"/>
      <c r="M374" s="17" t="n"/>
    </row>
    <row r="375">
      <c r="A375" s="12" t="inlineStr">
        <is>
          <t>2026-10-03</t>
        </is>
      </c>
      <c r="B375" s="22" t="n">
        <v>5</v>
      </c>
      <c r="C375" s="12" t="inlineStr">
        <is>
          <t>BGSU</t>
        </is>
      </c>
      <c r="D375" s="12" t="inlineStr">
        <is>
          <t>M-OH</t>
        </is>
      </c>
      <c r="E375" s="22" t="n">
        <v>0</v>
      </c>
      <c r="F375" s="22" t="n">
        <v>0</v>
      </c>
      <c r="G375" s="12" t="inlineStr">
        <is>
          <t>TBD</t>
        </is>
      </c>
      <c r="H375" s="12" t="inlineStr"/>
      <c r="I375" s="23" t="n"/>
      <c r="J375" s="29" t="n"/>
      <c r="K375" s="13" t="n"/>
      <c r="L375" s="13" t="n"/>
      <c r="M375" s="12" t="n"/>
    </row>
    <row r="376">
      <c r="A376" s="17" t="inlineStr">
        <is>
          <t>2026-10-03</t>
        </is>
      </c>
      <c r="B376" s="25" t="n">
        <v>5</v>
      </c>
      <c r="C376" s="17" t="inlineStr">
        <is>
          <t>ARMY</t>
        </is>
      </c>
      <c r="D376" s="17" t="inlineStr">
        <is>
          <t>LT</t>
        </is>
      </c>
      <c r="E376" s="25" t="n">
        <v>0</v>
      </c>
      <c r="F376" s="25" t="n">
        <v>0</v>
      </c>
      <c r="G376" s="17" t="inlineStr">
        <is>
          <t>TBD</t>
        </is>
      </c>
      <c r="H376" s="17" t="inlineStr"/>
      <c r="I376" s="26" t="n"/>
      <c r="J376" s="30" t="n"/>
      <c r="K376" s="18" t="n"/>
      <c r="L376" s="18" t="n"/>
      <c r="M376" s="17" t="n"/>
    </row>
    <row r="377">
      <c r="A377" s="12" t="inlineStr">
        <is>
          <t>2026-10-03</t>
        </is>
      </c>
      <c r="B377" s="22" t="n">
        <v>5</v>
      </c>
      <c r="C377" s="12" t="inlineStr">
        <is>
          <t>ARST</t>
        </is>
      </c>
      <c r="D377" s="12" t="inlineStr">
        <is>
          <t>UL</t>
        </is>
      </c>
      <c r="E377" s="22" t="n">
        <v>0</v>
      </c>
      <c r="F377" s="22" t="n">
        <v>0</v>
      </c>
      <c r="G377" s="12" t="inlineStr">
        <is>
          <t>TBD</t>
        </is>
      </c>
      <c r="H377" s="12" t="inlineStr"/>
      <c r="I377" s="23" t="n"/>
      <c r="J377" s="29" t="n"/>
      <c r="K377" s="13" t="n"/>
      <c r="L377" s="13" t="n"/>
      <c r="M377" s="12" t="n"/>
    </row>
    <row r="378">
      <c r="A378" s="17" t="inlineStr">
        <is>
          <t>2026-10-03</t>
        </is>
      </c>
      <c r="B378" s="25" t="n">
        <v>5</v>
      </c>
      <c r="C378" s="17" t="inlineStr">
        <is>
          <t>GASO</t>
        </is>
      </c>
      <c r="D378" s="17" t="inlineStr">
        <is>
          <t>CCU</t>
        </is>
      </c>
      <c r="E378" s="25" t="n">
        <v>0</v>
      </c>
      <c r="F378" s="25" t="n">
        <v>0</v>
      </c>
      <c r="G378" s="17" t="inlineStr">
        <is>
          <t>TBD</t>
        </is>
      </c>
      <c r="H378" s="17" t="inlineStr"/>
      <c r="I378" s="26" t="n"/>
      <c r="J378" s="30" t="n"/>
      <c r="K378" s="18" t="n"/>
      <c r="L378" s="18" t="n"/>
      <c r="M378" s="17" t="n"/>
    </row>
    <row r="379">
      <c r="A379" s="12" t="inlineStr">
        <is>
          <t>2026-10-03</t>
        </is>
      </c>
      <c r="B379" s="22" t="n">
        <v>5</v>
      </c>
      <c r="C379" s="12" t="inlineStr">
        <is>
          <t>ODU</t>
        </is>
      </c>
      <c r="D379" s="12" t="inlineStr">
        <is>
          <t>GAST</t>
        </is>
      </c>
      <c r="E379" s="22" t="n">
        <v>0</v>
      </c>
      <c r="F379" s="22" t="n">
        <v>0</v>
      </c>
      <c r="G379" s="12" t="inlineStr">
        <is>
          <t>TBD</t>
        </is>
      </c>
      <c r="H379" s="12" t="inlineStr"/>
      <c r="I379" s="23" t="n"/>
      <c r="J379" s="29" t="n"/>
      <c r="K379" s="13" t="n"/>
      <c r="L379" s="13" t="n"/>
      <c r="M379" s="12" t="n"/>
    </row>
    <row r="380">
      <c r="A380" s="17" t="inlineStr">
        <is>
          <t>2026-10-03</t>
        </is>
      </c>
      <c r="B380" s="25" t="n">
        <v>5</v>
      </c>
      <c r="C380" s="17" t="inlineStr">
        <is>
          <t>MRSH</t>
        </is>
      </c>
      <c r="D380" s="17" t="inlineStr">
        <is>
          <t>JMU</t>
        </is>
      </c>
      <c r="E380" s="25" t="n">
        <v>0</v>
      </c>
      <c r="F380" s="25" t="n">
        <v>0</v>
      </c>
      <c r="G380" s="17" t="inlineStr">
        <is>
          <t>TBD</t>
        </is>
      </c>
      <c r="H380" s="17" t="inlineStr"/>
      <c r="I380" s="26" t="n"/>
      <c r="J380" s="30" t="n"/>
      <c r="K380" s="18" t="n"/>
      <c r="L380" s="18" t="n"/>
      <c r="M380" s="17" t="n"/>
    </row>
    <row r="381">
      <c r="A381" s="12" t="inlineStr">
        <is>
          <t>2026-10-03</t>
        </is>
      </c>
      <c r="B381" s="22" t="n">
        <v>5</v>
      </c>
      <c r="C381" s="12" t="inlineStr">
        <is>
          <t>ULM</t>
        </is>
      </c>
      <c r="D381" s="12" t="inlineStr">
        <is>
          <t>USA</t>
        </is>
      </c>
      <c r="E381" s="22" t="n">
        <v>0</v>
      </c>
      <c r="F381" s="22" t="n">
        <v>0</v>
      </c>
      <c r="G381" s="12" t="inlineStr">
        <is>
          <t>TBD</t>
        </is>
      </c>
      <c r="H381" s="12" t="inlineStr"/>
      <c r="I381" s="23" t="n"/>
      <c r="J381" s="29" t="n"/>
      <c r="K381" s="13" t="n"/>
      <c r="L381" s="13" t="n"/>
      <c r="M381" s="12" t="n"/>
    </row>
    <row r="382">
      <c r="A382" s="17" t="inlineStr">
        <is>
          <t>2026-10-03</t>
        </is>
      </c>
      <c r="B382" s="25" t="n">
        <v>5</v>
      </c>
      <c r="C382" s="17" t="inlineStr">
        <is>
          <t>SYR</t>
        </is>
      </c>
      <c r="D382" s="17" t="inlineStr">
        <is>
          <t>CONN</t>
        </is>
      </c>
      <c r="E382" s="25" t="n">
        <v>0</v>
      </c>
      <c r="F382" s="25" t="n">
        <v>0</v>
      </c>
      <c r="G382" s="17" t="inlineStr">
        <is>
          <t>10/3 - 12:00 PM EDT</t>
        </is>
      </c>
      <c r="H382" s="17" t="inlineStr"/>
      <c r="I382" s="26" t="n"/>
      <c r="J382" s="30" t="n"/>
      <c r="K382" s="18" t="n"/>
      <c r="L382" s="18" t="n"/>
      <c r="M382" s="17" t="n"/>
    </row>
    <row r="383">
      <c r="A383" s="12" t="inlineStr">
        <is>
          <t>2026-10-03</t>
        </is>
      </c>
      <c r="B383" s="22" t="n">
        <v>5</v>
      </c>
      <c r="C383" s="12" t="inlineStr">
        <is>
          <t>NAVY</t>
        </is>
      </c>
      <c r="D383" s="12" t="inlineStr">
        <is>
          <t>AFA</t>
        </is>
      </c>
      <c r="E383" s="22" t="n">
        <v>0</v>
      </c>
      <c r="F383" s="22" t="n">
        <v>0</v>
      </c>
      <c r="G383" s="12" t="inlineStr">
        <is>
          <t>10/3 - 12:00 PM EDT</t>
        </is>
      </c>
      <c r="H383" s="12" t="inlineStr"/>
      <c r="I383" s="23" t="n"/>
      <c r="J383" s="29" t="n"/>
      <c r="K383" s="13" t="n"/>
      <c r="L383" s="13" t="n"/>
      <c r="M383" s="12" t="n"/>
    </row>
    <row r="384">
      <c r="A384" s="17" t="inlineStr">
        <is>
          <t>2026-10-03</t>
        </is>
      </c>
      <c r="B384" s="25" t="n">
        <v>5</v>
      </c>
      <c r="C384" s="17" t="inlineStr">
        <is>
          <t>CAL</t>
        </is>
      </c>
      <c r="D384" s="17" t="inlineStr">
        <is>
          <t>UNLV</t>
        </is>
      </c>
      <c r="E384" s="25" t="n">
        <v>0</v>
      </c>
      <c r="F384" s="25" t="n">
        <v>0</v>
      </c>
      <c r="G384" s="17" t="inlineStr">
        <is>
          <t>10/3 - 3:30 PM EDT</t>
        </is>
      </c>
      <c r="H384" s="17" t="inlineStr"/>
      <c r="I384" s="26" t="n"/>
      <c r="J384" s="30" t="n"/>
      <c r="K384" s="18" t="n"/>
      <c r="L384" s="18" t="n"/>
      <c r="M384" s="17" t="n"/>
    </row>
    <row r="385">
      <c r="A385" s="12" t="inlineStr">
        <is>
          <t>2026-10-03</t>
        </is>
      </c>
      <c r="B385" s="22" t="n">
        <v>5</v>
      </c>
      <c r="C385" s="12" t="inlineStr">
        <is>
          <t>SAM</t>
        </is>
      </c>
      <c r="D385" s="12" t="inlineStr">
        <is>
          <t>UAB</t>
        </is>
      </c>
      <c r="E385" s="22" t="n">
        <v>0</v>
      </c>
      <c r="F385" s="22" t="n">
        <v>0</v>
      </c>
      <c r="G385" s="12" t="inlineStr">
        <is>
          <t>10/3 - 3:30 PM EDT</t>
        </is>
      </c>
      <c r="H385" s="12" t="inlineStr"/>
      <c r="I385" s="23" t="n"/>
      <c r="J385" s="29" t="n"/>
      <c r="K385" s="13" t="n"/>
      <c r="L385" s="13" t="n"/>
      <c r="M385" s="12" t="n"/>
    </row>
    <row r="386">
      <c r="A386" s="17" t="inlineStr">
        <is>
          <t>2026-10-03</t>
        </is>
      </c>
      <c r="B386" s="25" t="n">
        <v>5</v>
      </c>
      <c r="C386" s="17" t="inlineStr">
        <is>
          <t>WYO</t>
        </is>
      </c>
      <c r="D386" s="17" t="inlineStr">
        <is>
          <t>NDSU</t>
        </is>
      </c>
      <c r="E386" s="25" t="n">
        <v>0</v>
      </c>
      <c r="F386" s="25" t="n">
        <v>0</v>
      </c>
      <c r="G386" s="17" t="inlineStr">
        <is>
          <t>10/3 - 3:30 PM EDT</t>
        </is>
      </c>
      <c r="H386" s="17" t="inlineStr"/>
      <c r="I386" s="26" t="n"/>
      <c r="J386" s="30" t="n"/>
      <c r="K386" s="18" t="n"/>
      <c r="L386" s="18" t="n"/>
      <c r="M386" s="17" t="n"/>
    </row>
    <row r="387">
      <c r="A387" s="12" t="inlineStr">
        <is>
          <t>2026-10-03</t>
        </is>
      </c>
      <c r="B387" s="22" t="n">
        <v>5</v>
      </c>
      <c r="C387" s="12" t="inlineStr">
        <is>
          <t>ORST</t>
        </is>
      </c>
      <c r="D387" s="12" t="inlineStr">
        <is>
          <t>CSU</t>
        </is>
      </c>
      <c r="E387" s="22" t="n">
        <v>0</v>
      </c>
      <c r="F387" s="22" t="n">
        <v>0</v>
      </c>
      <c r="G387" s="12" t="inlineStr">
        <is>
          <t>10/3 - 6:00 PM EDT</t>
        </is>
      </c>
      <c r="H387" s="12" t="inlineStr"/>
      <c r="I387" s="23" t="n"/>
      <c r="J387" s="29" t="n"/>
      <c r="K387" s="13" t="n"/>
      <c r="L387" s="13" t="n"/>
      <c r="M387" s="12" t="n"/>
    </row>
    <row r="388">
      <c r="A388" s="17" t="inlineStr">
        <is>
          <t>2026-10-03</t>
        </is>
      </c>
      <c r="B388" s="25" t="n">
        <v>5</v>
      </c>
      <c r="C388" s="17" t="inlineStr">
        <is>
          <t>TXSO</t>
        </is>
      </c>
      <c r="D388" s="17" t="inlineStr">
        <is>
          <t>FAU</t>
        </is>
      </c>
      <c r="E388" s="25" t="n">
        <v>0</v>
      </c>
      <c r="F388" s="25" t="n">
        <v>0</v>
      </c>
      <c r="G388" s="17" t="inlineStr">
        <is>
          <t>10/3 - 6:00 PM EDT</t>
        </is>
      </c>
      <c r="H388" s="17" t="inlineStr"/>
      <c r="I388" s="26" t="n"/>
      <c r="J388" s="30" t="n"/>
      <c r="K388" s="18" t="n"/>
      <c r="L388" s="18" t="n"/>
      <c r="M388" s="17" t="n"/>
    </row>
    <row r="389">
      <c r="A389" s="12" t="inlineStr">
        <is>
          <t>2026-10-03</t>
        </is>
      </c>
      <c r="B389" s="22" t="n">
        <v>5</v>
      </c>
      <c r="C389" s="12" t="inlineStr">
        <is>
          <t>USU</t>
        </is>
      </c>
      <c r="D389" s="12" t="inlineStr">
        <is>
          <t>BOIS</t>
        </is>
      </c>
      <c r="E389" s="22" t="n">
        <v>0</v>
      </c>
      <c r="F389" s="22" t="n">
        <v>0</v>
      </c>
      <c r="G389" s="12" t="inlineStr">
        <is>
          <t>10/3 - 7:30 PM EDT</t>
        </is>
      </c>
      <c r="H389" s="12" t="inlineStr"/>
      <c r="I389" s="23" t="n"/>
      <c r="J389" s="29" t="n"/>
      <c r="K389" s="13" t="n"/>
      <c r="L389" s="13" t="n"/>
      <c r="M389" s="12" t="n"/>
    </row>
    <row r="390">
      <c r="A390" s="17" t="inlineStr">
        <is>
          <t>2026-10-03</t>
        </is>
      </c>
      <c r="B390" s="25" t="n">
        <v>5</v>
      </c>
      <c r="C390" s="17" t="inlineStr">
        <is>
          <t>MCN</t>
        </is>
      </c>
      <c r="D390" s="17" t="inlineStr">
        <is>
          <t>LSU</t>
        </is>
      </c>
      <c r="E390" s="25" t="n">
        <v>0</v>
      </c>
      <c r="F390" s="25" t="n">
        <v>0</v>
      </c>
      <c r="G390" s="17" t="inlineStr">
        <is>
          <t>10/3 - 7:45 PM EDT</t>
        </is>
      </c>
      <c r="H390" s="17" t="inlineStr"/>
      <c r="I390" s="26" t="n"/>
      <c r="J390" s="30" t="n"/>
      <c r="K390" s="18" t="n"/>
      <c r="L390" s="18" t="n"/>
      <c r="M390" s="17" t="n"/>
    </row>
    <row r="391">
      <c r="A391" s="12" t="inlineStr">
        <is>
          <t>2026-10-04</t>
        </is>
      </c>
      <c r="B391" s="22" t="n">
        <v>5</v>
      </c>
      <c r="C391" s="12" t="inlineStr">
        <is>
          <t>IU</t>
        </is>
      </c>
      <c r="D391" s="12" t="inlineStr">
        <is>
          <t>RUTG</t>
        </is>
      </c>
      <c r="E391" s="22" t="n">
        <v>0</v>
      </c>
      <c r="F391" s="22" t="n">
        <v>0</v>
      </c>
      <c r="G391" s="12" t="inlineStr">
        <is>
          <t>10/3 - 8:00 PM EDT</t>
        </is>
      </c>
      <c r="H391" s="12" t="inlineStr"/>
      <c r="I391" s="23" t="n"/>
      <c r="J391" s="29" t="n"/>
      <c r="K391" s="13" t="n"/>
      <c r="L391" s="13" t="n"/>
      <c r="M391" s="12" t="n"/>
    </row>
    <row r="392">
      <c r="A392" s="17" t="inlineStr">
        <is>
          <t>2026-10-04</t>
        </is>
      </c>
      <c r="B392" s="25" t="n">
        <v>5</v>
      </c>
      <c r="C392" s="17" t="inlineStr">
        <is>
          <t>FRES</t>
        </is>
      </c>
      <c r="D392" s="17" t="inlineStr">
        <is>
          <t>WSU</t>
        </is>
      </c>
      <c r="E392" s="25" t="n">
        <v>0</v>
      </c>
      <c r="F392" s="25" t="n">
        <v>0</v>
      </c>
      <c r="G392" s="17" t="inlineStr">
        <is>
          <t>10/3 - 9:30 PM EDT</t>
        </is>
      </c>
      <c r="H392" s="17" t="inlineStr"/>
      <c r="I392" s="26" t="n"/>
      <c r="J392" s="30" t="n"/>
      <c r="K392" s="18" t="n"/>
      <c r="L392" s="18" t="n"/>
      <c r="M392" s="17" t="n"/>
    </row>
    <row r="393">
      <c r="A393" s="12" t="inlineStr">
        <is>
          <t>2026-10-04</t>
        </is>
      </c>
      <c r="B393" s="22" t="n">
        <v>5</v>
      </c>
      <c r="C393" s="12" t="inlineStr">
        <is>
          <t>TXST</t>
        </is>
      </c>
      <c r="D393" s="12" t="inlineStr">
        <is>
          <t>SDSU</t>
        </is>
      </c>
      <c r="E393" s="22" t="n">
        <v>0</v>
      </c>
      <c r="F393" s="22" t="n">
        <v>0</v>
      </c>
      <c r="G393" s="12" t="inlineStr">
        <is>
          <t>10/3 - 10:30 PM EDT</t>
        </is>
      </c>
      <c r="H393" s="12" t="inlineStr"/>
      <c r="I393" s="23" t="n"/>
      <c r="J393" s="29" t="n"/>
      <c r="K393" s="13" t="n"/>
      <c r="L393" s="13" t="n"/>
      <c r="M393" s="12" t="n"/>
    </row>
    <row r="394">
      <c r="A394" s="17" t="inlineStr">
        <is>
          <t>2026-10-04</t>
        </is>
      </c>
      <c r="B394" s="25" t="n">
        <v>5</v>
      </c>
      <c r="C394" s="17" t="inlineStr">
        <is>
          <t>SJSU</t>
        </is>
      </c>
      <c r="D394" s="17" t="inlineStr">
        <is>
          <t>HAW</t>
        </is>
      </c>
      <c r="E394" s="25" t="n">
        <v>0</v>
      </c>
      <c r="F394" s="25" t="n">
        <v>0</v>
      </c>
      <c r="G394" s="17" t="inlineStr">
        <is>
          <t>10/3 - 11:59 PM EDT</t>
        </is>
      </c>
      <c r="H394" s="17" t="inlineStr"/>
      <c r="I394" s="26" t="n"/>
      <c r="J394" s="30" t="n"/>
      <c r="K394" s="18" t="n"/>
      <c r="L394" s="18" t="n"/>
      <c r="M394" s="17" t="n"/>
    </row>
    <row r="395">
      <c r="A395" s="12" t="inlineStr">
        <is>
          <t>2026-10-07</t>
        </is>
      </c>
      <c r="B395" s="22" t="n">
        <v>6</v>
      </c>
      <c r="C395" s="12" t="inlineStr">
        <is>
          <t>USM</t>
        </is>
      </c>
      <c r="D395" s="12" t="inlineStr">
        <is>
          <t>TROY</t>
        </is>
      </c>
      <c r="E395" s="22" t="n">
        <v>0</v>
      </c>
      <c r="F395" s="22" t="n">
        <v>0</v>
      </c>
      <c r="G395" s="12" t="inlineStr">
        <is>
          <t>10/6 - 8:00 PM EDT</t>
        </is>
      </c>
      <c r="H395" s="12" t="inlineStr"/>
      <c r="I395" s="23" t="n"/>
      <c r="J395" s="29" t="n"/>
      <c r="K395" s="13" t="n"/>
      <c r="L395" s="13" t="n"/>
      <c r="M395" s="12" t="n"/>
    </row>
    <row r="396">
      <c r="A396" s="17" t="inlineStr">
        <is>
          <t>2026-10-07</t>
        </is>
      </c>
      <c r="B396" s="25" t="n">
        <v>6</v>
      </c>
      <c r="C396" s="17" t="inlineStr">
        <is>
          <t>JVST</t>
        </is>
      </c>
      <c r="D396" s="17" t="inlineStr">
        <is>
          <t>KENN</t>
        </is>
      </c>
      <c r="E396" s="25" t="n">
        <v>0</v>
      </c>
      <c r="F396" s="25" t="n">
        <v>0</v>
      </c>
      <c r="G396" s="17" t="inlineStr">
        <is>
          <t>10/7 - 7:00 PM EDT</t>
        </is>
      </c>
      <c r="H396" s="17" t="inlineStr"/>
      <c r="I396" s="26" t="n"/>
      <c r="J396" s="30" t="n"/>
      <c r="K396" s="18" t="n"/>
      <c r="L396" s="18" t="n"/>
      <c r="M396" s="17" t="n"/>
    </row>
    <row r="397">
      <c r="A397" s="12" t="inlineStr">
        <is>
          <t>2026-10-07</t>
        </is>
      </c>
      <c r="B397" s="22" t="n">
        <v>6</v>
      </c>
      <c r="C397" s="12" t="inlineStr">
        <is>
          <t>NMSU</t>
        </is>
      </c>
      <c r="D397" s="12" t="inlineStr">
        <is>
          <t>FIU</t>
        </is>
      </c>
      <c r="E397" s="22" t="n">
        <v>0</v>
      </c>
      <c r="F397" s="22" t="n">
        <v>0</v>
      </c>
      <c r="G397" s="12" t="inlineStr">
        <is>
          <t>10/7 - 7:30 PM EDT</t>
        </is>
      </c>
      <c r="H397" s="12" t="inlineStr"/>
      <c r="I397" s="23" t="n"/>
      <c r="J397" s="29" t="n"/>
      <c r="K397" s="13" t="n"/>
      <c r="L397" s="13" t="n"/>
      <c r="M397" s="12" t="n"/>
    </row>
    <row r="398">
      <c r="A398" s="17" t="inlineStr">
        <is>
          <t>2026-10-08</t>
        </is>
      </c>
      <c r="B398" s="25" t="n">
        <v>6</v>
      </c>
      <c r="C398" s="17" t="inlineStr">
        <is>
          <t>SHSU</t>
        </is>
      </c>
      <c r="D398" s="17" t="inlineStr">
        <is>
          <t>LIB</t>
        </is>
      </c>
      <c r="E398" s="25" t="n">
        <v>0</v>
      </c>
      <c r="F398" s="25" t="n">
        <v>0</v>
      </c>
      <c r="G398" s="17" t="inlineStr">
        <is>
          <t>10/8 - 7:00 PM EDT</t>
        </is>
      </c>
      <c r="H398" s="17" t="inlineStr"/>
      <c r="I398" s="26" t="n"/>
      <c r="J398" s="30" t="n"/>
      <c r="K398" s="18" t="n"/>
      <c r="L398" s="18" t="n"/>
      <c r="M398" s="17" t="n"/>
    </row>
    <row r="399">
      <c r="A399" s="12" t="inlineStr">
        <is>
          <t>2026-10-08</t>
        </is>
      </c>
      <c r="B399" s="22" t="n">
        <v>6</v>
      </c>
      <c r="C399" s="12" t="inlineStr">
        <is>
          <t>MOST</t>
        </is>
      </c>
      <c r="D399" s="12" t="inlineStr">
        <is>
          <t>WKU</t>
        </is>
      </c>
      <c r="E399" s="22" t="n">
        <v>0</v>
      </c>
      <c r="F399" s="22" t="n">
        <v>0</v>
      </c>
      <c r="G399" s="12" t="inlineStr">
        <is>
          <t>10/8 - 7:00 PM EDT</t>
        </is>
      </c>
      <c r="H399" s="12" t="inlineStr"/>
      <c r="I399" s="23" t="n"/>
      <c r="J399" s="29" t="n"/>
      <c r="K399" s="13" t="n"/>
      <c r="L399" s="13" t="n"/>
      <c r="M399" s="12" t="n"/>
    </row>
    <row r="400">
      <c r="A400" s="17" t="inlineStr">
        <is>
          <t>2026-10-08</t>
        </is>
      </c>
      <c r="B400" s="25" t="n">
        <v>6</v>
      </c>
      <c r="C400" s="17" t="inlineStr">
        <is>
          <t>USF</t>
        </is>
      </c>
      <c r="D400" s="17" t="inlineStr">
        <is>
          <t>UTSA</t>
        </is>
      </c>
      <c r="E400" s="25" t="n">
        <v>0</v>
      </c>
      <c r="F400" s="25" t="n">
        <v>0</v>
      </c>
      <c r="G400" s="17" t="inlineStr">
        <is>
          <t>10/8 - 7:30 PM EDT</t>
        </is>
      </c>
      <c r="H400" s="17" t="inlineStr"/>
      <c r="I400" s="26" t="n"/>
      <c r="J400" s="30" t="n"/>
      <c r="K400" s="18" t="n"/>
      <c r="L400" s="18" t="n"/>
      <c r="M400" s="17" t="n"/>
    </row>
    <row r="401">
      <c r="A401" s="12" t="inlineStr">
        <is>
          <t>2026-10-08</t>
        </is>
      </c>
      <c r="B401" s="22" t="n">
        <v>6</v>
      </c>
      <c r="C401" s="12" t="inlineStr">
        <is>
          <t>USA</t>
        </is>
      </c>
      <c r="D401" s="12" t="inlineStr">
        <is>
          <t>ARST</t>
        </is>
      </c>
      <c r="E401" s="22" t="n">
        <v>0</v>
      </c>
      <c r="F401" s="22" t="n">
        <v>0</v>
      </c>
      <c r="G401" s="12" t="inlineStr">
        <is>
          <t>10/8 - 7:30 PM EDT</t>
        </is>
      </c>
      <c r="H401" s="12" t="inlineStr"/>
      <c r="I401" s="23" t="n"/>
      <c r="J401" s="29" t="n"/>
      <c r="K401" s="13" t="n"/>
      <c r="L401" s="13" t="n"/>
      <c r="M401" s="12" t="n"/>
    </row>
    <row r="402">
      <c r="A402" s="17" t="inlineStr">
        <is>
          <t>2026-10-09</t>
        </is>
      </c>
      <c r="B402" s="25" t="n">
        <v>6</v>
      </c>
      <c r="C402" s="17" t="inlineStr">
        <is>
          <t>FSU</t>
        </is>
      </c>
      <c r="D402" s="17" t="inlineStr">
        <is>
          <t>LOU</t>
        </is>
      </c>
      <c r="E402" s="25" t="n">
        <v>0</v>
      </c>
      <c r="F402" s="25" t="n">
        <v>0</v>
      </c>
      <c r="G402" s="17" t="inlineStr">
        <is>
          <t>10/9 - 7:00 PM EDT</t>
        </is>
      </c>
      <c r="H402" s="17" t="inlineStr"/>
      <c r="I402" s="26" t="n"/>
      <c r="J402" s="30" t="n"/>
      <c r="K402" s="18" t="n"/>
      <c r="L402" s="18" t="n"/>
      <c r="M402" s="17" t="n"/>
    </row>
    <row r="403">
      <c r="A403" s="12" t="inlineStr">
        <is>
          <t>2026-10-10</t>
        </is>
      </c>
      <c r="B403" s="22" t="n">
        <v>6</v>
      </c>
      <c r="C403" s="12" t="inlineStr">
        <is>
          <t>IOWA</t>
        </is>
      </c>
      <c r="D403" s="12" t="inlineStr">
        <is>
          <t>WASH</t>
        </is>
      </c>
      <c r="E403" s="22" t="n">
        <v>0</v>
      </c>
      <c r="F403" s="22" t="n">
        <v>0</v>
      </c>
      <c r="G403" s="12" t="inlineStr">
        <is>
          <t>10/9 - 9:00 PM EDT</t>
        </is>
      </c>
      <c r="H403" s="12" t="inlineStr"/>
      <c r="I403" s="23" t="n"/>
      <c r="J403" s="29" t="n"/>
      <c r="K403" s="13" t="n"/>
      <c r="L403" s="13" t="n"/>
      <c r="M403" s="12" t="n"/>
    </row>
    <row r="404">
      <c r="A404" s="17" t="inlineStr">
        <is>
          <t>2026-10-10</t>
        </is>
      </c>
      <c r="B404" s="25" t="n">
        <v>6</v>
      </c>
      <c r="C404" s="17" t="inlineStr">
        <is>
          <t>WSU</t>
        </is>
      </c>
      <c r="D404" s="17" t="inlineStr">
        <is>
          <t>USU</t>
        </is>
      </c>
      <c r="E404" s="25" t="n">
        <v>0</v>
      </c>
      <c r="F404" s="25" t="n">
        <v>0</v>
      </c>
      <c r="G404" s="17" t="inlineStr">
        <is>
          <t>10/9 - 9:00 PM EDT</t>
        </is>
      </c>
      <c r="H404" s="17" t="inlineStr"/>
      <c r="I404" s="26" t="n"/>
      <c r="J404" s="30" t="n"/>
      <c r="K404" s="18" t="n"/>
      <c r="L404" s="18" t="n"/>
      <c r="M404" s="17" t="n"/>
    </row>
    <row r="405">
      <c r="A405" s="12" t="inlineStr">
        <is>
          <t>2026-10-10</t>
        </is>
      </c>
      <c r="B405" s="22" t="n">
        <v>6</v>
      </c>
      <c r="C405" s="12" t="inlineStr">
        <is>
          <t>WYO</t>
        </is>
      </c>
      <c r="D405" s="12" t="inlineStr">
        <is>
          <t>SJSU</t>
        </is>
      </c>
      <c r="E405" s="22" t="n">
        <v>0</v>
      </c>
      <c r="F405" s="22" t="n">
        <v>0</v>
      </c>
      <c r="G405" s="12" t="inlineStr">
        <is>
          <t>10/9 - 9:00 PM EDT</t>
        </is>
      </c>
      <c r="H405" s="12" t="inlineStr"/>
      <c r="I405" s="23" t="n"/>
      <c r="J405" s="29" t="n"/>
      <c r="K405" s="13" t="n"/>
      <c r="L405" s="13" t="n"/>
      <c r="M405" s="12" t="n"/>
    </row>
    <row r="406">
      <c r="A406" s="17" t="inlineStr">
        <is>
          <t>2026-10-10</t>
        </is>
      </c>
      <c r="B406" s="25" t="n">
        <v>6</v>
      </c>
      <c r="C406" s="17" t="inlineStr">
        <is>
          <t>ISU</t>
        </is>
      </c>
      <c r="D406" s="17" t="inlineStr">
        <is>
          <t>BYU</t>
        </is>
      </c>
      <c r="E406" s="25" t="n">
        <v>0</v>
      </c>
      <c r="F406" s="25" t="n">
        <v>0</v>
      </c>
      <c r="G406" s="17" t="inlineStr">
        <is>
          <t>10/9 - 10:15 PM EDT</t>
        </is>
      </c>
      <c r="H406" s="17" t="inlineStr"/>
      <c r="I406" s="26" t="n"/>
      <c r="J406" s="30" t="n"/>
      <c r="K406" s="18" t="n"/>
      <c r="L406" s="18" t="n"/>
      <c r="M406" s="17" t="n"/>
    </row>
    <row r="407">
      <c r="A407" s="12" t="inlineStr">
        <is>
          <t>2026-10-10</t>
        </is>
      </c>
      <c r="B407" s="22" t="n">
        <v>6</v>
      </c>
      <c r="C407" s="12" t="inlineStr">
        <is>
          <t>UGA</t>
        </is>
      </c>
      <c r="D407" s="12" t="inlineStr">
        <is>
          <t>ALA</t>
        </is>
      </c>
      <c r="E407" s="22" t="n">
        <v>0</v>
      </c>
      <c r="F407" s="22" t="n">
        <v>0</v>
      </c>
      <c r="G407" s="12" t="inlineStr">
        <is>
          <t>TBD</t>
        </is>
      </c>
      <c r="H407" s="12" t="inlineStr"/>
      <c r="I407" s="23" t="n"/>
      <c r="J407" s="29" t="n"/>
      <c r="K407" s="13" t="n"/>
      <c r="L407" s="13" t="n"/>
      <c r="M407" s="12" t="n"/>
    </row>
    <row r="408">
      <c r="A408" s="17" t="inlineStr">
        <is>
          <t>2026-10-10</t>
        </is>
      </c>
      <c r="B408" s="25" t="n">
        <v>6</v>
      </c>
      <c r="C408" s="17" t="inlineStr">
        <is>
          <t>TENN</t>
        </is>
      </c>
      <c r="D408" s="17" t="inlineStr">
        <is>
          <t>ARK</t>
        </is>
      </c>
      <c r="E408" s="25" t="n">
        <v>0</v>
      </c>
      <c r="F408" s="25" t="n">
        <v>0</v>
      </c>
      <c r="G408" s="17" t="inlineStr">
        <is>
          <t>TBD</t>
        </is>
      </c>
      <c r="H408" s="17" t="inlineStr"/>
      <c r="I408" s="26" t="n"/>
      <c r="J408" s="30" t="n"/>
      <c r="K408" s="18" t="n"/>
      <c r="L408" s="18" t="n"/>
      <c r="M408" s="17" t="n"/>
    </row>
    <row r="409">
      <c r="A409" s="12" t="inlineStr">
        <is>
          <t>2026-10-10</t>
        </is>
      </c>
      <c r="B409" s="22" t="n">
        <v>6</v>
      </c>
      <c r="C409" s="12" t="inlineStr">
        <is>
          <t>SC</t>
        </is>
      </c>
      <c r="D409" s="12" t="inlineStr">
        <is>
          <t>FLA</t>
        </is>
      </c>
      <c r="E409" s="22" t="n">
        <v>0</v>
      </c>
      <c r="F409" s="22" t="n">
        <v>0</v>
      </c>
      <c r="G409" s="12" t="inlineStr">
        <is>
          <t>TBD</t>
        </is>
      </c>
      <c r="H409" s="12" t="inlineStr"/>
      <c r="I409" s="23" t="n"/>
      <c r="J409" s="29" t="n"/>
      <c r="K409" s="13" t="n"/>
      <c r="L409" s="13" t="n"/>
      <c r="M409" s="12" t="n"/>
    </row>
    <row r="410">
      <c r="A410" s="17" t="inlineStr">
        <is>
          <t>2026-10-10</t>
        </is>
      </c>
      <c r="B410" s="25" t="n">
        <v>6</v>
      </c>
      <c r="C410" s="17" t="inlineStr">
        <is>
          <t>LSU</t>
        </is>
      </c>
      <c r="D410" s="17" t="inlineStr">
        <is>
          <t>UK</t>
        </is>
      </c>
      <c r="E410" s="25" t="n">
        <v>0</v>
      </c>
      <c r="F410" s="25" t="n">
        <v>0</v>
      </c>
      <c r="G410" s="17" t="inlineStr">
        <is>
          <t>TBD</t>
        </is>
      </c>
      <c r="H410" s="17" t="inlineStr"/>
      <c r="I410" s="26" t="n"/>
      <c r="J410" s="30" t="n"/>
      <c r="K410" s="18" t="n"/>
      <c r="L410" s="18" t="n"/>
      <c r="M410" s="17" t="n"/>
    </row>
    <row r="411">
      <c r="A411" s="12" t="inlineStr">
        <is>
          <t>2026-10-10</t>
        </is>
      </c>
      <c r="B411" s="22" t="n">
        <v>6</v>
      </c>
      <c r="C411" s="12" t="inlineStr">
        <is>
          <t>TA&amp;M</t>
        </is>
      </c>
      <c r="D411" s="12" t="inlineStr">
        <is>
          <t>MIZ</t>
        </is>
      </c>
      <c r="E411" s="22" t="n">
        <v>0</v>
      </c>
      <c r="F411" s="22" t="n">
        <v>0</v>
      </c>
      <c r="G411" s="12" t="inlineStr">
        <is>
          <t>TBD</t>
        </is>
      </c>
      <c r="H411" s="12" t="inlineStr"/>
      <c r="I411" s="23" t="n"/>
      <c r="J411" s="29" t="n"/>
      <c r="K411" s="13" t="n"/>
      <c r="L411" s="13" t="n"/>
      <c r="M411" s="12" t="n"/>
    </row>
    <row r="412">
      <c r="A412" s="17" t="inlineStr">
        <is>
          <t>2026-10-10</t>
        </is>
      </c>
      <c r="B412" s="25" t="n">
        <v>6</v>
      </c>
      <c r="C412" s="17" t="inlineStr">
        <is>
          <t>MISS</t>
        </is>
      </c>
      <c r="D412" s="17" t="inlineStr">
        <is>
          <t>VAN</t>
        </is>
      </c>
      <c r="E412" s="25" t="n">
        <v>0</v>
      </c>
      <c r="F412" s="25" t="n">
        <v>0</v>
      </c>
      <c r="G412" s="17" t="inlineStr">
        <is>
          <t>TBD</t>
        </is>
      </c>
      <c r="H412" s="17" t="inlineStr"/>
      <c r="I412" s="26" t="n"/>
      <c r="J412" s="30" t="n"/>
      <c r="K412" s="18" t="n"/>
      <c r="L412" s="18" t="n"/>
      <c r="M412" s="17" t="n"/>
    </row>
    <row r="413">
      <c r="A413" s="12" t="inlineStr">
        <is>
          <t>2026-10-10</t>
        </is>
      </c>
      <c r="B413" s="22" t="n">
        <v>6</v>
      </c>
      <c r="C413" s="12" t="inlineStr">
        <is>
          <t>HAW</t>
        </is>
      </c>
      <c r="D413" s="12" t="inlineStr">
        <is>
          <t>ASU</t>
        </is>
      </c>
      <c r="E413" s="22" t="n">
        <v>0</v>
      </c>
      <c r="F413" s="22" t="n">
        <v>0</v>
      </c>
      <c r="G413" s="12" t="inlineStr">
        <is>
          <t>TBD</t>
        </is>
      </c>
      <c r="H413" s="12" t="inlineStr"/>
      <c r="I413" s="23" t="n"/>
      <c r="J413" s="29" t="n"/>
      <c r="K413" s="13" t="n"/>
      <c r="L413" s="13" t="n"/>
      <c r="M413" s="12" t="n"/>
    </row>
    <row r="414">
      <c r="A414" s="17" t="inlineStr">
        <is>
          <t>2026-10-10</t>
        </is>
      </c>
      <c r="B414" s="25" t="n">
        <v>6</v>
      </c>
      <c r="C414" s="17" t="inlineStr">
        <is>
          <t>ARIZ</t>
        </is>
      </c>
      <c r="D414" s="17" t="inlineStr">
        <is>
          <t>WVU</t>
        </is>
      </c>
      <c r="E414" s="25" t="n">
        <v>0</v>
      </c>
      <c r="F414" s="25" t="n">
        <v>0</v>
      </c>
      <c r="G414" s="17" t="inlineStr">
        <is>
          <t>TBD</t>
        </is>
      </c>
      <c r="H414" s="17" t="inlineStr"/>
      <c r="I414" s="26" t="n"/>
      <c r="J414" s="30" t="n"/>
      <c r="K414" s="18" t="n"/>
      <c r="L414" s="18" t="n"/>
      <c r="M414" s="17" t="n"/>
    </row>
    <row r="415">
      <c r="A415" s="12" t="inlineStr">
        <is>
          <t>2026-10-10</t>
        </is>
      </c>
      <c r="B415" s="22" t="n">
        <v>6</v>
      </c>
      <c r="C415" s="12" t="inlineStr">
        <is>
          <t>UCF</t>
        </is>
      </c>
      <c r="D415" s="12" t="inlineStr">
        <is>
          <t>OKST</t>
        </is>
      </c>
      <c r="E415" s="22" t="n">
        <v>0</v>
      </c>
      <c r="F415" s="22" t="n">
        <v>0</v>
      </c>
      <c r="G415" s="12" t="inlineStr">
        <is>
          <t>TBD</t>
        </is>
      </c>
      <c r="H415" s="12" t="inlineStr"/>
      <c r="I415" s="23" t="n"/>
      <c r="J415" s="29" t="n"/>
      <c r="K415" s="13" t="n"/>
      <c r="L415" s="13" t="n"/>
      <c r="M415" s="12" t="n"/>
    </row>
    <row r="416">
      <c r="A416" s="17" t="inlineStr">
        <is>
          <t>2026-10-10</t>
        </is>
      </c>
      <c r="B416" s="25" t="n">
        <v>6</v>
      </c>
      <c r="C416" s="17" t="inlineStr">
        <is>
          <t>HOU</t>
        </is>
      </c>
      <c r="D416" s="17" t="inlineStr">
        <is>
          <t>KSU</t>
        </is>
      </c>
      <c r="E416" s="25" t="n">
        <v>0</v>
      </c>
      <c r="F416" s="25" t="n">
        <v>0</v>
      </c>
      <c r="G416" s="17" t="inlineStr">
        <is>
          <t>TBD</t>
        </is>
      </c>
      <c r="H416" s="17" t="inlineStr"/>
      <c r="I416" s="26" t="n"/>
      <c r="J416" s="30" t="n"/>
      <c r="K416" s="18" t="n"/>
      <c r="L416" s="18" t="n"/>
      <c r="M416" s="17" t="n"/>
    </row>
    <row r="417">
      <c r="A417" s="12" t="inlineStr">
        <is>
          <t>2026-10-10</t>
        </is>
      </c>
      <c r="B417" s="22" t="n">
        <v>6</v>
      </c>
      <c r="C417" s="12" t="inlineStr">
        <is>
          <t>KU</t>
        </is>
      </c>
      <c r="D417" s="12" t="inlineStr">
        <is>
          <t>UTAH</t>
        </is>
      </c>
      <c r="E417" s="22" t="n">
        <v>0</v>
      </c>
      <c r="F417" s="22" t="n">
        <v>0</v>
      </c>
      <c r="G417" s="12" t="inlineStr">
        <is>
          <t>TBD</t>
        </is>
      </c>
      <c r="H417" s="12" t="inlineStr"/>
      <c r="I417" s="23" t="n"/>
      <c r="J417" s="29" t="n"/>
      <c r="K417" s="13" t="n"/>
      <c r="L417" s="13" t="n"/>
      <c r="M417" s="12" t="n"/>
    </row>
    <row r="418">
      <c r="A418" s="17" t="inlineStr">
        <is>
          <t>2026-10-10</t>
        </is>
      </c>
      <c r="B418" s="25" t="n">
        <v>6</v>
      </c>
      <c r="C418" s="17" t="inlineStr">
        <is>
          <t>DUKE</t>
        </is>
      </c>
      <c r="D418" s="17" t="inlineStr">
        <is>
          <t>GT</t>
        </is>
      </c>
      <c r="E418" s="25" t="n">
        <v>0</v>
      </c>
      <c r="F418" s="25" t="n">
        <v>0</v>
      </c>
      <c r="G418" s="17" t="inlineStr">
        <is>
          <t>TBD</t>
        </is>
      </c>
      <c r="H418" s="17" t="inlineStr"/>
      <c r="I418" s="26" t="n"/>
      <c r="J418" s="30" t="n"/>
      <c r="K418" s="18" t="n"/>
      <c r="L418" s="18" t="n"/>
      <c r="M418" s="17" t="n"/>
    </row>
    <row r="419">
      <c r="A419" s="12" t="inlineStr">
        <is>
          <t>2026-10-10</t>
        </is>
      </c>
      <c r="B419" s="22" t="n">
        <v>6</v>
      </c>
      <c r="C419" s="12" t="inlineStr">
        <is>
          <t>UNC</t>
        </is>
      </c>
      <c r="D419" s="12" t="inlineStr">
        <is>
          <t>PITT</t>
        </is>
      </c>
      <c r="E419" s="22" t="n">
        <v>0</v>
      </c>
      <c r="F419" s="22" t="n">
        <v>0</v>
      </c>
      <c r="G419" s="12" t="inlineStr">
        <is>
          <t>TBD</t>
        </is>
      </c>
      <c r="H419" s="12" t="inlineStr"/>
      <c r="I419" s="23" t="n"/>
      <c r="J419" s="29" t="n"/>
      <c r="K419" s="13" t="n"/>
      <c r="L419" s="13" t="n"/>
      <c r="M419" s="12" t="n"/>
    </row>
    <row r="420">
      <c r="A420" s="17" t="inlineStr">
        <is>
          <t>2026-10-10</t>
        </is>
      </c>
      <c r="B420" s="25" t="n">
        <v>6</v>
      </c>
      <c r="C420" s="17" t="inlineStr">
        <is>
          <t>SYR</t>
        </is>
      </c>
      <c r="D420" s="17" t="inlineStr">
        <is>
          <t>UVA</t>
        </is>
      </c>
      <c r="E420" s="25" t="n">
        <v>0</v>
      </c>
      <c r="F420" s="25" t="n">
        <v>0</v>
      </c>
      <c r="G420" s="17" t="inlineStr">
        <is>
          <t>TBD</t>
        </is>
      </c>
      <c r="H420" s="17" t="inlineStr"/>
      <c r="I420" s="26" t="n"/>
      <c r="J420" s="30" t="n"/>
      <c r="K420" s="18" t="n"/>
      <c r="L420" s="18" t="n"/>
      <c r="M420" s="17" t="n"/>
    </row>
    <row r="421">
      <c r="A421" s="12" t="inlineStr">
        <is>
          <t>2026-10-10</t>
        </is>
      </c>
      <c r="B421" s="22" t="n">
        <v>6</v>
      </c>
      <c r="C421" s="12" t="inlineStr">
        <is>
          <t>VT</t>
        </is>
      </c>
      <c r="D421" s="12" t="inlineStr">
        <is>
          <t>CAL</t>
        </is>
      </c>
      <c r="E421" s="22" t="n">
        <v>0</v>
      </c>
      <c r="F421" s="22" t="n">
        <v>0</v>
      </c>
      <c r="G421" s="12" t="inlineStr">
        <is>
          <t>TBD</t>
        </is>
      </c>
      <c r="H421" s="12" t="inlineStr"/>
      <c r="I421" s="23" t="n"/>
      <c r="J421" s="29" t="n"/>
      <c r="K421" s="13" t="n"/>
      <c r="L421" s="13" t="n"/>
      <c r="M421" s="12" t="n"/>
    </row>
    <row r="422">
      <c r="A422" s="17" t="inlineStr">
        <is>
          <t>2026-10-10</t>
        </is>
      </c>
      <c r="B422" s="25" t="n">
        <v>6</v>
      </c>
      <c r="C422" s="17" t="inlineStr">
        <is>
          <t>WAKE</t>
        </is>
      </c>
      <c r="D422" s="17" t="inlineStr">
        <is>
          <t>NCSU</t>
        </is>
      </c>
      <c r="E422" s="25" t="n">
        <v>0</v>
      </c>
      <c r="F422" s="25" t="n">
        <v>0</v>
      </c>
      <c r="G422" s="17" t="inlineStr">
        <is>
          <t>TBD</t>
        </is>
      </c>
      <c r="H422" s="17" t="inlineStr"/>
      <c r="I422" s="26" t="n"/>
      <c r="J422" s="30" t="n"/>
      <c r="K422" s="18" t="n"/>
      <c r="L422" s="18" t="n"/>
      <c r="M422" s="17" t="n"/>
    </row>
    <row r="423">
      <c r="A423" s="12" t="inlineStr">
        <is>
          <t>2026-10-10</t>
        </is>
      </c>
      <c r="B423" s="22" t="n">
        <v>6</v>
      </c>
      <c r="C423" s="12" t="inlineStr">
        <is>
          <t>ILL</t>
        </is>
      </c>
      <c r="D423" s="12" t="inlineStr">
        <is>
          <t>MSU</t>
        </is>
      </c>
      <c r="E423" s="22" t="n">
        <v>0</v>
      </c>
      <c r="F423" s="22" t="n">
        <v>0</v>
      </c>
      <c r="G423" s="12" t="inlineStr">
        <is>
          <t>TBD</t>
        </is>
      </c>
      <c r="H423" s="12" t="inlineStr"/>
      <c r="I423" s="23" t="n"/>
      <c r="J423" s="29" t="n"/>
      <c r="K423" s="13" t="n"/>
      <c r="L423" s="13" t="n"/>
      <c r="M423" s="12" t="n"/>
    </row>
    <row r="424">
      <c r="A424" s="17" t="inlineStr">
        <is>
          <t>2026-10-10</t>
        </is>
      </c>
      <c r="B424" s="25" t="n">
        <v>6</v>
      </c>
      <c r="C424" s="17" t="inlineStr">
        <is>
          <t>IU</t>
        </is>
      </c>
      <c r="D424" s="17" t="inlineStr">
        <is>
          <t>NEB</t>
        </is>
      </c>
      <c r="E424" s="25" t="n">
        <v>0</v>
      </c>
      <c r="F424" s="25" t="n">
        <v>0</v>
      </c>
      <c r="G424" s="17" t="inlineStr">
        <is>
          <t>TBD</t>
        </is>
      </c>
      <c r="H424" s="17" t="inlineStr"/>
      <c r="I424" s="26" t="n"/>
      <c r="J424" s="30" t="n"/>
      <c r="K424" s="18" t="n"/>
      <c r="L424" s="18" t="n"/>
      <c r="M424" s="17" t="n"/>
    </row>
    <row r="425">
      <c r="A425" s="12" t="inlineStr">
        <is>
          <t>2026-10-10</t>
        </is>
      </c>
      <c r="B425" s="22" t="n">
        <v>6</v>
      </c>
      <c r="C425" s="12" t="inlineStr">
        <is>
          <t>BALL</t>
        </is>
      </c>
      <c r="D425" s="12" t="inlineStr">
        <is>
          <t>NU</t>
        </is>
      </c>
      <c r="E425" s="22" t="n">
        <v>0</v>
      </c>
      <c r="F425" s="22" t="n">
        <v>0</v>
      </c>
      <c r="G425" s="12" t="inlineStr">
        <is>
          <t>TBD</t>
        </is>
      </c>
      <c r="H425" s="12" t="inlineStr"/>
      <c r="I425" s="23" t="n"/>
      <c r="J425" s="29" t="n"/>
      <c r="K425" s="13" t="n"/>
      <c r="L425" s="13" t="n"/>
      <c r="M425" s="12" t="n"/>
    </row>
    <row r="426">
      <c r="A426" s="17" t="inlineStr">
        <is>
          <t>2026-10-10</t>
        </is>
      </c>
      <c r="B426" s="25" t="n">
        <v>6</v>
      </c>
      <c r="C426" s="17" t="inlineStr">
        <is>
          <t>MD</t>
        </is>
      </c>
      <c r="D426" s="17" t="inlineStr">
        <is>
          <t>OSU</t>
        </is>
      </c>
      <c r="E426" s="25" t="n">
        <v>0</v>
      </c>
      <c r="F426" s="25" t="n">
        <v>0</v>
      </c>
      <c r="G426" s="17" t="inlineStr">
        <is>
          <t>TBD</t>
        </is>
      </c>
      <c r="H426" s="17" t="inlineStr"/>
      <c r="I426" s="26" t="n"/>
      <c r="J426" s="30" t="n"/>
      <c r="K426" s="18" t="n"/>
      <c r="L426" s="18" t="n"/>
      <c r="M426" s="17" t="n"/>
    </row>
    <row r="427">
      <c r="A427" s="12" t="inlineStr">
        <is>
          <t>2026-10-10</t>
        </is>
      </c>
      <c r="B427" s="22" t="n">
        <v>6</v>
      </c>
      <c r="C427" s="12" t="inlineStr">
        <is>
          <t>UCLA</t>
        </is>
      </c>
      <c r="D427" s="12" t="inlineStr">
        <is>
          <t>ORE</t>
        </is>
      </c>
      <c r="E427" s="22" t="n">
        <v>0</v>
      </c>
      <c r="F427" s="22" t="n">
        <v>0</v>
      </c>
      <c r="G427" s="12" t="inlineStr">
        <is>
          <t>TBD</t>
        </is>
      </c>
      <c r="H427" s="12" t="inlineStr"/>
      <c r="I427" s="23" t="n"/>
      <c r="J427" s="29" t="n"/>
      <c r="K427" s="13" t="n"/>
      <c r="L427" s="13" t="n"/>
      <c r="M427" s="12" t="n"/>
    </row>
    <row r="428">
      <c r="A428" s="17" t="inlineStr">
        <is>
          <t>2026-10-10</t>
        </is>
      </c>
      <c r="B428" s="25" t="n">
        <v>6</v>
      </c>
      <c r="C428" s="17" t="inlineStr">
        <is>
          <t>USC</t>
        </is>
      </c>
      <c r="D428" s="17" t="inlineStr">
        <is>
          <t>PSU</t>
        </is>
      </c>
      <c r="E428" s="25" t="n">
        <v>0</v>
      </c>
      <c r="F428" s="25" t="n">
        <v>0</v>
      </c>
      <c r="G428" s="17" t="inlineStr">
        <is>
          <t>TBD</t>
        </is>
      </c>
      <c r="H428" s="17" t="inlineStr"/>
      <c r="I428" s="26" t="n"/>
      <c r="J428" s="30" t="n"/>
      <c r="K428" s="18" t="n"/>
      <c r="L428" s="18" t="n"/>
      <c r="M428" s="17" t="n"/>
    </row>
    <row r="429">
      <c r="A429" s="12" t="inlineStr">
        <is>
          <t>2026-10-10</t>
        </is>
      </c>
      <c r="B429" s="22" t="n">
        <v>6</v>
      </c>
      <c r="C429" s="12" t="inlineStr">
        <is>
          <t>MINN</t>
        </is>
      </c>
      <c r="D429" s="12" t="inlineStr">
        <is>
          <t>PUR</t>
        </is>
      </c>
      <c r="E429" s="22" t="n">
        <v>0</v>
      </c>
      <c r="F429" s="22" t="n">
        <v>0</v>
      </c>
      <c r="G429" s="12" t="inlineStr">
        <is>
          <t>TBD</t>
        </is>
      </c>
      <c r="H429" s="12" t="inlineStr"/>
      <c r="I429" s="23" t="n"/>
      <c r="J429" s="29" t="n"/>
      <c r="K429" s="13" t="n"/>
      <c r="L429" s="13" t="n"/>
      <c r="M429" s="12" t="n"/>
    </row>
    <row r="430">
      <c r="A430" s="17" t="inlineStr">
        <is>
          <t>2026-10-10</t>
        </is>
      </c>
      <c r="B430" s="25" t="n">
        <v>6</v>
      </c>
      <c r="C430" s="17" t="inlineStr">
        <is>
          <t>CONN</t>
        </is>
      </c>
      <c r="D430" s="17" t="inlineStr">
        <is>
          <t>TEM</t>
        </is>
      </c>
      <c r="E430" s="25" t="n">
        <v>0</v>
      </c>
      <c r="F430" s="25" t="n">
        <v>0</v>
      </c>
      <c r="G430" s="17" t="inlineStr">
        <is>
          <t>TBD</t>
        </is>
      </c>
      <c r="H430" s="17" t="inlineStr"/>
      <c r="I430" s="26" t="n"/>
      <c r="J430" s="30" t="n"/>
      <c r="K430" s="18" t="n"/>
      <c r="L430" s="18" t="n"/>
      <c r="M430" s="17" t="n"/>
    </row>
    <row r="431">
      <c r="A431" s="12" t="inlineStr">
        <is>
          <t>2026-10-10</t>
        </is>
      </c>
      <c r="B431" s="22" t="n">
        <v>6</v>
      </c>
      <c r="C431" s="12" t="inlineStr">
        <is>
          <t>CLT</t>
        </is>
      </c>
      <c r="D431" s="12" t="inlineStr">
        <is>
          <t>UNT</t>
        </is>
      </c>
      <c r="E431" s="22" t="n">
        <v>0</v>
      </c>
      <c r="F431" s="22" t="n">
        <v>0</v>
      </c>
      <c r="G431" s="12" t="inlineStr">
        <is>
          <t>TBD</t>
        </is>
      </c>
      <c r="H431" s="12" t="inlineStr"/>
      <c r="I431" s="23" t="n"/>
      <c r="J431" s="29" t="n"/>
      <c r="K431" s="13" t="n"/>
      <c r="L431" s="13" t="n"/>
      <c r="M431" s="12" t="n"/>
    </row>
    <row r="432">
      <c r="A432" s="17" t="inlineStr">
        <is>
          <t>2026-10-10</t>
        </is>
      </c>
      <c r="B432" s="25" t="n">
        <v>6</v>
      </c>
      <c r="C432" s="17" t="inlineStr">
        <is>
          <t>RICE</t>
        </is>
      </c>
      <c r="D432" s="17" t="inlineStr">
        <is>
          <t>ECU</t>
        </is>
      </c>
      <c r="E432" s="25" t="n">
        <v>0</v>
      </c>
      <c r="F432" s="25" t="n">
        <v>0</v>
      </c>
      <c r="G432" s="17" t="inlineStr">
        <is>
          <t>TBD</t>
        </is>
      </c>
      <c r="H432" s="17" t="inlineStr"/>
      <c r="I432" s="26" t="n"/>
      <c r="J432" s="30" t="n"/>
      <c r="K432" s="18" t="n"/>
      <c r="L432" s="18" t="n"/>
      <c r="M432" s="17" t="n"/>
    </row>
    <row r="433">
      <c r="A433" s="12" t="inlineStr">
        <is>
          <t>2026-10-10</t>
        </is>
      </c>
      <c r="B433" s="22" t="n">
        <v>6</v>
      </c>
      <c r="C433" s="12" t="inlineStr">
        <is>
          <t>UAB</t>
        </is>
      </c>
      <c r="D433" s="12" t="inlineStr">
        <is>
          <t>MEM</t>
        </is>
      </c>
      <c r="E433" s="22" t="n">
        <v>0</v>
      </c>
      <c r="F433" s="22" t="n">
        <v>0</v>
      </c>
      <c r="G433" s="12" t="inlineStr">
        <is>
          <t>TBD</t>
        </is>
      </c>
      <c r="H433" s="12" t="inlineStr"/>
      <c r="I433" s="23" t="n"/>
      <c r="J433" s="29" t="n"/>
      <c r="K433" s="13" t="n"/>
      <c r="L433" s="13" t="n"/>
      <c r="M433" s="12" t="n"/>
    </row>
    <row r="434">
      <c r="A434" s="17" t="inlineStr">
        <is>
          <t>2026-10-10</t>
        </is>
      </c>
      <c r="B434" s="25" t="n">
        <v>6</v>
      </c>
      <c r="C434" s="17" t="inlineStr">
        <is>
          <t>NEV</t>
        </is>
      </c>
      <c r="D434" s="17" t="inlineStr">
        <is>
          <t>UTEP</t>
        </is>
      </c>
      <c r="E434" s="25" t="n">
        <v>0</v>
      </c>
      <c r="F434" s="25" t="n">
        <v>0</v>
      </c>
      <c r="G434" s="17" t="inlineStr">
        <is>
          <t>TBD</t>
        </is>
      </c>
      <c r="H434" s="17" t="inlineStr"/>
      <c r="I434" s="26" t="n"/>
      <c r="J434" s="30" t="n"/>
      <c r="K434" s="18" t="n"/>
      <c r="L434" s="18" t="n"/>
      <c r="M434" s="17" t="n"/>
    </row>
    <row r="435">
      <c r="A435" s="12" t="inlineStr">
        <is>
          <t>2026-10-10</t>
        </is>
      </c>
      <c r="B435" s="22" t="n">
        <v>6</v>
      </c>
      <c r="C435" s="12" t="inlineStr">
        <is>
          <t>SAC</t>
        </is>
      </c>
      <c r="D435" s="12" t="inlineStr">
        <is>
          <t>BGSU</t>
        </is>
      </c>
      <c r="E435" s="22" t="n">
        <v>0</v>
      </c>
      <c r="F435" s="22" t="n">
        <v>0</v>
      </c>
      <c r="G435" s="12" t="inlineStr">
        <is>
          <t>TBD</t>
        </is>
      </c>
      <c r="H435" s="12" t="inlineStr"/>
      <c r="I435" s="23" t="n"/>
      <c r="J435" s="29" t="n"/>
      <c r="K435" s="13" t="n"/>
      <c r="L435" s="13" t="n"/>
      <c r="M435" s="12" t="n"/>
    </row>
    <row r="436">
      <c r="A436" s="17" t="inlineStr">
        <is>
          <t>2026-10-10</t>
        </is>
      </c>
      <c r="B436" s="25" t="n">
        <v>6</v>
      </c>
      <c r="C436" s="17" t="inlineStr">
        <is>
          <t>BUFF</t>
        </is>
      </c>
      <c r="D436" s="17" t="inlineStr">
        <is>
          <t>TOL</t>
        </is>
      </c>
      <c r="E436" s="25" t="n">
        <v>0</v>
      </c>
      <c r="F436" s="25" t="n">
        <v>0</v>
      </c>
      <c r="G436" s="17" t="inlineStr">
        <is>
          <t>TBD</t>
        </is>
      </c>
      <c r="H436" s="17" t="inlineStr"/>
      <c r="I436" s="26" t="n"/>
      <c r="J436" s="30" t="n"/>
      <c r="K436" s="18" t="n"/>
      <c r="L436" s="18" t="n"/>
      <c r="M436" s="17" t="n"/>
    </row>
    <row r="437">
      <c r="A437" s="12" t="inlineStr">
        <is>
          <t>2026-10-10</t>
        </is>
      </c>
      <c r="B437" s="22" t="n">
        <v>6</v>
      </c>
      <c r="C437" s="12" t="inlineStr">
        <is>
          <t>CMU</t>
        </is>
      </c>
      <c r="D437" s="12" t="inlineStr">
        <is>
          <t>OHIO</t>
        </is>
      </c>
      <c r="E437" s="22" t="n">
        <v>0</v>
      </c>
      <c r="F437" s="22" t="n">
        <v>0</v>
      </c>
      <c r="G437" s="12" t="inlineStr">
        <is>
          <t>TBD</t>
        </is>
      </c>
      <c r="H437" s="12" t="inlineStr"/>
      <c r="I437" s="23" t="n"/>
      <c r="J437" s="29" t="n"/>
      <c r="K437" s="13" t="n"/>
      <c r="L437" s="13" t="n"/>
      <c r="M437" s="12" t="n"/>
    </row>
    <row r="438">
      <c r="A438" s="17" t="inlineStr">
        <is>
          <t>2026-10-10</t>
        </is>
      </c>
      <c r="B438" s="25" t="n">
        <v>6</v>
      </c>
      <c r="C438" s="17" t="inlineStr">
        <is>
          <t>KENT</t>
        </is>
      </c>
      <c r="D438" s="17" t="inlineStr">
        <is>
          <t>WMU</t>
        </is>
      </c>
      <c r="E438" s="25" t="n">
        <v>0</v>
      </c>
      <c r="F438" s="25" t="n">
        <v>0</v>
      </c>
      <c r="G438" s="17" t="inlineStr">
        <is>
          <t>TBD</t>
        </is>
      </c>
      <c r="H438" s="17" t="inlineStr"/>
      <c r="I438" s="26" t="n"/>
      <c r="J438" s="30" t="n"/>
      <c r="K438" s="18" t="n"/>
      <c r="L438" s="18" t="n"/>
      <c r="M438" s="17" t="n"/>
    </row>
    <row r="439">
      <c r="A439" s="12" t="inlineStr">
        <is>
          <t>2026-10-10</t>
        </is>
      </c>
      <c r="B439" s="22" t="n">
        <v>6</v>
      </c>
      <c r="C439" s="12" t="inlineStr">
        <is>
          <t>M-OH</t>
        </is>
      </c>
      <c r="D439" s="12" t="inlineStr">
        <is>
          <t>MASS</t>
        </is>
      </c>
      <c r="E439" s="22" t="n">
        <v>0</v>
      </c>
      <c r="F439" s="22" t="n">
        <v>0</v>
      </c>
      <c r="G439" s="12" t="inlineStr">
        <is>
          <t>TBD</t>
        </is>
      </c>
      <c r="H439" s="12" t="inlineStr"/>
      <c r="I439" s="23" t="n"/>
      <c r="J439" s="29" t="n"/>
      <c r="K439" s="13" t="n"/>
      <c r="L439" s="13" t="n"/>
      <c r="M439" s="12" t="n"/>
    </row>
    <row r="440">
      <c r="A440" s="17" t="inlineStr">
        <is>
          <t>2026-10-10</t>
        </is>
      </c>
      <c r="B440" s="25" t="n">
        <v>6</v>
      </c>
      <c r="C440" s="17" t="inlineStr">
        <is>
          <t>ODU</t>
        </is>
      </c>
      <c r="D440" s="17" t="inlineStr">
        <is>
          <t>APP</t>
        </is>
      </c>
      <c r="E440" s="25" t="n">
        <v>0</v>
      </c>
      <c r="F440" s="25" t="n">
        <v>0</v>
      </c>
      <c r="G440" s="17" t="inlineStr">
        <is>
          <t>TBD</t>
        </is>
      </c>
      <c r="H440" s="17" t="inlineStr"/>
      <c r="I440" s="26" t="n"/>
      <c r="J440" s="30" t="n"/>
      <c r="K440" s="18" t="n"/>
      <c r="L440" s="18" t="n"/>
      <c r="M440" s="17" t="n"/>
    </row>
    <row r="441">
      <c r="A441" s="12" t="inlineStr">
        <is>
          <t>2026-10-10</t>
        </is>
      </c>
      <c r="B441" s="22" t="n">
        <v>6</v>
      </c>
      <c r="C441" s="12" t="inlineStr">
        <is>
          <t>CCU</t>
        </is>
      </c>
      <c r="D441" s="12" t="inlineStr">
        <is>
          <t>MRSH</t>
        </is>
      </c>
      <c r="E441" s="22" t="n">
        <v>0</v>
      </c>
      <c r="F441" s="22" t="n">
        <v>0</v>
      </c>
      <c r="G441" s="12" t="inlineStr">
        <is>
          <t>TBD</t>
        </is>
      </c>
      <c r="H441" s="12" t="inlineStr"/>
      <c r="I441" s="23" t="n"/>
      <c r="J441" s="29" t="n"/>
      <c r="K441" s="13" t="n"/>
      <c r="L441" s="13" t="n"/>
      <c r="M441" s="12" t="n"/>
    </row>
    <row r="442">
      <c r="A442" s="17" t="inlineStr">
        <is>
          <t>2026-10-10</t>
        </is>
      </c>
      <c r="B442" s="25" t="n">
        <v>6</v>
      </c>
      <c r="C442" s="17" t="inlineStr">
        <is>
          <t>JMU</t>
        </is>
      </c>
      <c r="D442" s="17" t="inlineStr">
        <is>
          <t>GASO</t>
        </is>
      </c>
      <c r="E442" s="25" t="n">
        <v>0</v>
      </c>
      <c r="F442" s="25" t="n">
        <v>0</v>
      </c>
      <c r="G442" s="17" t="inlineStr">
        <is>
          <t>TBD</t>
        </is>
      </c>
      <c r="H442" s="17" t="inlineStr"/>
      <c r="I442" s="26" t="n"/>
      <c r="J442" s="30" t="n"/>
      <c r="K442" s="18" t="n"/>
      <c r="L442" s="18" t="n"/>
      <c r="M442" s="17" t="n"/>
    </row>
    <row r="443">
      <c r="A443" s="12" t="inlineStr">
        <is>
          <t>2026-10-10</t>
        </is>
      </c>
      <c r="B443" s="22" t="n">
        <v>6</v>
      </c>
      <c r="C443" s="12" t="inlineStr">
        <is>
          <t>UL</t>
        </is>
      </c>
      <c r="D443" s="12" t="inlineStr">
        <is>
          <t>LT</t>
        </is>
      </c>
      <c r="E443" s="22" t="n">
        <v>0</v>
      </c>
      <c r="F443" s="22" t="n">
        <v>0</v>
      </c>
      <c r="G443" s="12" t="inlineStr">
        <is>
          <t>TBD</t>
        </is>
      </c>
      <c r="H443" s="12" t="inlineStr"/>
      <c r="I443" s="23" t="n"/>
      <c r="J443" s="29" t="n"/>
      <c r="K443" s="13" t="n"/>
      <c r="L443" s="13" t="n"/>
      <c r="M443" s="12" t="n"/>
    </row>
    <row r="444">
      <c r="A444" s="17" t="inlineStr">
        <is>
          <t>2026-10-10</t>
        </is>
      </c>
      <c r="B444" s="25" t="n">
        <v>6</v>
      </c>
      <c r="C444" s="17" t="inlineStr">
        <is>
          <t>TULN</t>
        </is>
      </c>
      <c r="D444" s="17" t="inlineStr">
        <is>
          <t>ARMY</t>
        </is>
      </c>
      <c r="E444" s="25" t="n">
        <v>0</v>
      </c>
      <c r="F444" s="25" t="n">
        <v>0</v>
      </c>
      <c r="G444" s="17" t="inlineStr">
        <is>
          <t>10/10 - 12:00 PM EDT</t>
        </is>
      </c>
      <c r="H444" s="17" t="inlineStr"/>
      <c r="I444" s="26" t="n"/>
      <c r="J444" s="30" t="n"/>
      <c r="K444" s="18" t="n"/>
      <c r="L444" s="18" t="n"/>
      <c r="M444" s="17" t="n"/>
    </row>
    <row r="445">
      <c r="A445" s="12" t="inlineStr">
        <is>
          <t>2026-10-10</t>
        </is>
      </c>
      <c r="B445" s="22" t="n">
        <v>6</v>
      </c>
      <c r="C445" s="12" t="inlineStr">
        <is>
          <t>TEX</t>
        </is>
      </c>
      <c r="D445" s="12" t="inlineStr">
        <is>
          <t>OU</t>
        </is>
      </c>
      <c r="E445" s="22" t="n">
        <v>0</v>
      </c>
      <c r="F445" s="22" t="n">
        <v>0</v>
      </c>
      <c r="G445" s="12" t="inlineStr">
        <is>
          <t>10/10 - 3:30 PM EDT</t>
        </is>
      </c>
      <c r="H445" s="12" t="inlineStr">
        <is>
          <t>Y</t>
        </is>
      </c>
      <c r="I445" s="23" t="n"/>
      <c r="J445" s="29" t="n"/>
      <c r="K445" s="13" t="n"/>
      <c r="L445" s="13" t="n"/>
      <c r="M445" s="12" t="n"/>
    </row>
    <row r="446">
      <c r="A446" s="17" t="inlineStr">
        <is>
          <t>2026-10-10</t>
        </is>
      </c>
      <c r="B446" s="25" t="n">
        <v>6</v>
      </c>
      <c r="C446" s="17" t="inlineStr">
        <is>
          <t>STAN</t>
        </is>
      </c>
      <c r="D446" s="17" t="inlineStr">
        <is>
          <t>ND</t>
        </is>
      </c>
      <c r="E446" s="25" t="n">
        <v>0</v>
      </c>
      <c r="F446" s="25" t="n">
        <v>0</v>
      </c>
      <c r="G446" s="17" t="inlineStr">
        <is>
          <t>10/10 - 3:30 PM EDT</t>
        </is>
      </c>
      <c r="H446" s="17" t="inlineStr"/>
      <c r="I446" s="26" t="n"/>
      <c r="J446" s="30" t="n"/>
      <c r="K446" s="18" t="n"/>
      <c r="L446" s="18" t="n"/>
      <c r="M446" s="17" t="n"/>
    </row>
    <row r="447">
      <c r="A447" s="12" t="inlineStr">
        <is>
          <t>2026-10-10</t>
        </is>
      </c>
      <c r="B447" s="22" t="n">
        <v>6</v>
      </c>
      <c r="C447" s="12" t="inlineStr">
        <is>
          <t>TLSA</t>
        </is>
      </c>
      <c r="D447" s="12" t="inlineStr">
        <is>
          <t>NAVY</t>
        </is>
      </c>
      <c r="E447" s="22" t="n">
        <v>0</v>
      </c>
      <c r="F447" s="22" t="n">
        <v>0</v>
      </c>
      <c r="G447" s="12" t="inlineStr">
        <is>
          <t>10/10 - 3:30 PM EDT</t>
        </is>
      </c>
      <c r="H447" s="12" t="inlineStr"/>
      <c r="I447" s="23" t="n"/>
      <c r="J447" s="29" t="n"/>
      <c r="K447" s="13" t="n"/>
      <c r="L447" s="13" t="n"/>
      <c r="M447" s="12" t="n"/>
    </row>
    <row r="448">
      <c r="A448" s="17" t="inlineStr">
        <is>
          <t>2026-10-10</t>
        </is>
      </c>
      <c r="B448" s="25" t="n">
        <v>6</v>
      </c>
      <c r="C448" s="17" t="inlineStr">
        <is>
          <t>EMU</t>
        </is>
      </c>
      <c r="D448" s="17" t="inlineStr">
        <is>
          <t>AKR</t>
        </is>
      </c>
      <c r="E448" s="25" t="n">
        <v>0</v>
      </c>
      <c r="F448" s="25" t="n">
        <v>0</v>
      </c>
      <c r="G448" s="17" t="inlineStr">
        <is>
          <t>10/10 - 3:30 PM EDT</t>
        </is>
      </c>
      <c r="H448" s="17" t="inlineStr"/>
      <c r="I448" s="26" t="n"/>
      <c r="J448" s="30" t="n"/>
      <c r="K448" s="18" t="n"/>
      <c r="L448" s="18" t="n"/>
      <c r="M448" s="17" t="n"/>
    </row>
    <row r="449">
      <c r="A449" s="12" t="inlineStr">
        <is>
          <t>2026-10-10</t>
        </is>
      </c>
      <c r="B449" s="22" t="n">
        <v>6</v>
      </c>
      <c r="C449" s="12" t="inlineStr">
        <is>
          <t>SDSU</t>
        </is>
      </c>
      <c r="D449" s="12" t="inlineStr">
        <is>
          <t>ORST</t>
        </is>
      </c>
      <c r="E449" s="22" t="n">
        <v>0</v>
      </c>
      <c r="F449" s="22" t="n">
        <v>0</v>
      </c>
      <c r="G449" s="12" t="inlineStr">
        <is>
          <t>10/10 - 6:00 PM EDT</t>
        </is>
      </c>
      <c r="H449" s="12" t="inlineStr"/>
      <c r="I449" s="23" t="n"/>
      <c r="J449" s="29" t="n"/>
      <c r="K449" s="13" t="n"/>
      <c r="L449" s="13" t="n"/>
      <c r="M449" s="12" t="n"/>
    </row>
    <row r="450">
      <c r="A450" s="17" t="inlineStr">
        <is>
          <t>2026-10-10</t>
        </is>
      </c>
      <c r="B450" s="25" t="n">
        <v>6</v>
      </c>
      <c r="C450" s="17" t="inlineStr">
        <is>
          <t>NDSU</t>
        </is>
      </c>
      <c r="D450" s="17" t="inlineStr">
        <is>
          <t>UNLV</t>
        </is>
      </c>
      <c r="E450" s="25" t="n">
        <v>0</v>
      </c>
      <c r="F450" s="25" t="n">
        <v>0</v>
      </c>
      <c r="G450" s="17" t="inlineStr">
        <is>
          <t>10/10 - 7:00 PM EDT</t>
        </is>
      </c>
      <c r="H450" s="17" t="inlineStr"/>
      <c r="I450" s="26" t="n"/>
      <c r="J450" s="30" t="n"/>
      <c r="K450" s="18" t="n"/>
      <c r="L450" s="18" t="n"/>
      <c r="M450" s="17" t="n"/>
    </row>
    <row r="451">
      <c r="A451" s="12" t="inlineStr">
        <is>
          <t>2026-10-10</t>
        </is>
      </c>
      <c r="B451" s="22" t="n">
        <v>6</v>
      </c>
      <c r="C451" s="12" t="inlineStr">
        <is>
          <t>AFA</t>
        </is>
      </c>
      <c r="D451" s="12" t="inlineStr">
        <is>
          <t>NIU</t>
        </is>
      </c>
      <c r="E451" s="22" t="n">
        <v>0</v>
      </c>
      <c r="F451" s="22" t="n">
        <v>0</v>
      </c>
      <c r="G451" s="12" t="inlineStr">
        <is>
          <t>10/10 - 7:30 PM EDT</t>
        </is>
      </c>
      <c r="H451" s="12" t="inlineStr"/>
      <c r="I451" s="23" t="n"/>
      <c r="J451" s="29" t="n"/>
      <c r="K451" s="13" t="n"/>
      <c r="L451" s="13" t="n"/>
      <c r="M451" s="12" t="n"/>
    </row>
    <row r="452">
      <c r="A452" s="17" t="inlineStr">
        <is>
          <t>2026-10-11</t>
        </is>
      </c>
      <c r="B452" s="25" t="n">
        <v>6</v>
      </c>
      <c r="C452" s="17" t="inlineStr">
        <is>
          <t>BOIS</t>
        </is>
      </c>
      <c r="D452" s="17" t="inlineStr">
        <is>
          <t>FRES</t>
        </is>
      </c>
      <c r="E452" s="25" t="n">
        <v>0</v>
      </c>
      <c r="F452" s="25" t="n">
        <v>0</v>
      </c>
      <c r="G452" s="17" t="inlineStr">
        <is>
          <t>10/10 - 10:30 PM EDT</t>
        </is>
      </c>
      <c r="H452" s="17" t="inlineStr"/>
      <c r="I452" s="26" t="n"/>
      <c r="J452" s="30" t="n"/>
      <c r="K452" s="18" t="n"/>
      <c r="L452" s="18" t="n"/>
      <c r="M452" s="17" t="n"/>
    </row>
    <row r="453">
      <c r="A453" s="12" t="inlineStr">
        <is>
          <t>2026-10-13</t>
        </is>
      </c>
      <c r="B453" s="22" t="n">
        <v>7</v>
      </c>
      <c r="C453" s="12" t="inlineStr">
        <is>
          <t>DEL</t>
        </is>
      </c>
      <c r="D453" s="12" t="inlineStr">
        <is>
          <t>MTSU</t>
        </is>
      </c>
      <c r="E453" s="22" t="n">
        <v>0</v>
      </c>
      <c r="F453" s="22" t="n">
        <v>0</v>
      </c>
      <c r="G453" s="12" t="inlineStr">
        <is>
          <t>10/13 - 7:00 PM EDT</t>
        </is>
      </c>
      <c r="H453" s="12" t="inlineStr"/>
      <c r="I453" s="23" t="n"/>
      <c r="J453" s="29" t="n"/>
      <c r="K453" s="13" t="n"/>
      <c r="L453" s="13" t="n"/>
      <c r="M453" s="12" t="n"/>
    </row>
    <row r="454">
      <c r="A454" s="17" t="inlineStr">
        <is>
          <t>2026-10-14</t>
        </is>
      </c>
      <c r="B454" s="25" t="n">
        <v>7</v>
      </c>
      <c r="C454" s="17" t="inlineStr">
        <is>
          <t>FIU</t>
        </is>
      </c>
      <c r="D454" s="17" t="inlineStr">
        <is>
          <t>JVST</t>
        </is>
      </c>
      <c r="E454" s="25" t="n">
        <v>0</v>
      </c>
      <c r="F454" s="25" t="n">
        <v>0</v>
      </c>
      <c r="G454" s="17" t="inlineStr">
        <is>
          <t>10/13 - 8:00 PM EDT</t>
        </is>
      </c>
      <c r="H454" s="17" t="inlineStr"/>
      <c r="I454" s="26" t="n"/>
      <c r="J454" s="30" t="n"/>
      <c r="K454" s="18" t="n"/>
      <c r="L454" s="18" t="n"/>
      <c r="M454" s="17" t="n"/>
    </row>
    <row r="455">
      <c r="A455" s="12" t="inlineStr">
        <is>
          <t>2026-10-14</t>
        </is>
      </c>
      <c r="B455" s="22" t="n">
        <v>7</v>
      </c>
      <c r="C455" s="12" t="inlineStr">
        <is>
          <t>KENN</t>
        </is>
      </c>
      <c r="D455" s="12" t="inlineStr">
        <is>
          <t>MOST</t>
        </is>
      </c>
      <c r="E455" s="22" t="n">
        <v>0</v>
      </c>
      <c r="F455" s="22" t="n">
        <v>0</v>
      </c>
      <c r="G455" s="12" t="inlineStr">
        <is>
          <t>10/14 - 7:30 PM EDT</t>
        </is>
      </c>
      <c r="H455" s="12" t="inlineStr"/>
      <c r="I455" s="23" t="n"/>
      <c r="J455" s="29" t="n"/>
      <c r="K455" s="13" t="n"/>
      <c r="L455" s="13" t="n"/>
      <c r="M455" s="12" t="n"/>
    </row>
    <row r="456">
      <c r="A456" s="17" t="inlineStr">
        <is>
          <t>2026-10-15</t>
        </is>
      </c>
      <c r="B456" s="25" t="n">
        <v>7</v>
      </c>
      <c r="C456" s="17" t="inlineStr">
        <is>
          <t>WKU</t>
        </is>
      </c>
      <c r="D456" s="17" t="inlineStr">
        <is>
          <t>SHSU</t>
        </is>
      </c>
      <c r="E456" s="25" t="n">
        <v>0</v>
      </c>
      <c r="F456" s="25" t="n">
        <v>0</v>
      </c>
      <c r="G456" s="17" t="inlineStr">
        <is>
          <t>10/14 - 8:00 PM EDT</t>
        </is>
      </c>
      <c r="H456" s="17" t="inlineStr"/>
      <c r="I456" s="26" t="n"/>
      <c r="J456" s="30" t="n"/>
      <c r="K456" s="18" t="n"/>
      <c r="L456" s="18" t="n"/>
      <c r="M456" s="17" t="n"/>
    </row>
    <row r="457">
      <c r="A457" s="12" t="inlineStr">
        <is>
          <t>2026-10-15</t>
        </is>
      </c>
      <c r="B457" s="22" t="n">
        <v>7</v>
      </c>
      <c r="C457" s="12" t="inlineStr">
        <is>
          <t>ECU</t>
        </is>
      </c>
      <c r="D457" s="12" t="inlineStr">
        <is>
          <t>UAB</t>
        </is>
      </c>
      <c r="E457" s="22" t="n">
        <v>0</v>
      </c>
      <c r="F457" s="22" t="n">
        <v>0</v>
      </c>
      <c r="G457" s="12" t="inlineStr">
        <is>
          <t>10/15 - 7:30 PM EDT</t>
        </is>
      </c>
      <c r="H457" s="12" t="inlineStr"/>
      <c r="I457" s="23" t="n"/>
      <c r="J457" s="29" t="n"/>
      <c r="K457" s="13" t="n"/>
      <c r="L457" s="13" t="n"/>
      <c r="M457" s="12" t="n"/>
    </row>
    <row r="458">
      <c r="A458" s="17" t="inlineStr">
        <is>
          <t>2026-10-15</t>
        </is>
      </c>
      <c r="B458" s="25" t="n">
        <v>7</v>
      </c>
      <c r="C458" s="17" t="inlineStr">
        <is>
          <t>GASO</t>
        </is>
      </c>
      <c r="D458" s="17" t="inlineStr">
        <is>
          <t>ODU</t>
        </is>
      </c>
      <c r="E458" s="25" t="n">
        <v>0</v>
      </c>
      <c r="F458" s="25" t="n">
        <v>0</v>
      </c>
      <c r="G458" s="17" t="inlineStr">
        <is>
          <t>10/15 - 7:30 PM EDT</t>
        </is>
      </c>
      <c r="H458" s="17" t="inlineStr"/>
      <c r="I458" s="26" t="n"/>
      <c r="J458" s="30" t="n"/>
      <c r="K458" s="18" t="n"/>
      <c r="L458" s="18" t="n"/>
      <c r="M458" s="17" t="n"/>
    </row>
    <row r="459">
      <c r="A459" s="12" t="inlineStr">
        <is>
          <t>2026-10-16</t>
        </is>
      </c>
      <c r="B459" s="22" t="n">
        <v>7</v>
      </c>
      <c r="C459" s="12" t="inlineStr">
        <is>
          <t>CSU</t>
        </is>
      </c>
      <c r="D459" s="12" t="inlineStr">
        <is>
          <t>TXST</t>
        </is>
      </c>
      <c r="E459" s="22" t="n">
        <v>0</v>
      </c>
      <c r="F459" s="22" t="n">
        <v>0</v>
      </c>
      <c r="G459" s="12" t="inlineStr">
        <is>
          <t>10/15 - 8:00 PM EDT</t>
        </is>
      </c>
      <c r="H459" s="12" t="inlineStr"/>
      <c r="I459" s="23" t="n"/>
      <c r="J459" s="29" t="n"/>
      <c r="K459" s="13" t="n"/>
      <c r="L459" s="13" t="n"/>
      <c r="M459" s="12" t="n"/>
    </row>
    <row r="460">
      <c r="A460" s="17" t="inlineStr">
        <is>
          <t>2026-10-16</t>
        </is>
      </c>
      <c r="B460" s="25" t="n">
        <v>7</v>
      </c>
      <c r="C460" s="17" t="inlineStr">
        <is>
          <t>MEM</t>
        </is>
      </c>
      <c r="D460" s="17" t="inlineStr">
        <is>
          <t>TULN</t>
        </is>
      </c>
      <c r="E460" s="25" t="n">
        <v>0</v>
      </c>
      <c r="F460" s="25" t="n">
        <v>0</v>
      </c>
      <c r="G460" s="17" t="inlineStr">
        <is>
          <t>10/16 - 7:30 PM EDT</t>
        </is>
      </c>
      <c r="H460" s="17" t="inlineStr"/>
      <c r="I460" s="26" t="n"/>
      <c r="J460" s="30" t="n"/>
      <c r="K460" s="18" t="n"/>
      <c r="L460" s="18" t="n"/>
      <c r="M460" s="17" t="n"/>
    </row>
    <row r="461">
      <c r="A461" s="12" t="inlineStr">
        <is>
          <t>2026-10-17</t>
        </is>
      </c>
      <c r="B461" s="22" t="n">
        <v>7</v>
      </c>
      <c r="C461" s="12" t="inlineStr">
        <is>
          <t>WASH</t>
        </is>
      </c>
      <c r="D461" s="12" t="inlineStr">
        <is>
          <t>PUR</t>
        </is>
      </c>
      <c r="E461" s="22" t="n">
        <v>0</v>
      </c>
      <c r="F461" s="22" t="n">
        <v>0</v>
      </c>
      <c r="G461" s="12" t="inlineStr">
        <is>
          <t>10/16 - 8:00 PM EDT</t>
        </is>
      </c>
      <c r="H461" s="12" t="inlineStr"/>
      <c r="I461" s="23" t="n"/>
      <c r="J461" s="29" t="n"/>
      <c r="K461" s="13" t="n"/>
      <c r="L461" s="13" t="n"/>
      <c r="M461" s="12" t="n"/>
    </row>
    <row r="462">
      <c r="A462" s="17" t="inlineStr">
        <is>
          <t>2026-10-17</t>
        </is>
      </c>
      <c r="B462" s="25" t="n">
        <v>7</v>
      </c>
      <c r="C462" s="17" t="inlineStr">
        <is>
          <t>APP</t>
        </is>
      </c>
      <c r="D462" s="17" t="inlineStr">
        <is>
          <t>CCU</t>
        </is>
      </c>
      <c r="E462" s="25" t="n">
        <v>0</v>
      </c>
      <c r="F462" s="25" t="n">
        <v>0</v>
      </c>
      <c r="G462" s="17" t="inlineStr">
        <is>
          <t>10/16 - 8:00 PM EDT</t>
        </is>
      </c>
      <c r="H462" s="17" t="inlineStr"/>
      <c r="I462" s="26" t="n"/>
      <c r="J462" s="30" t="n"/>
      <c r="K462" s="18" t="n"/>
      <c r="L462" s="18" t="n"/>
      <c r="M462" s="17" t="n"/>
    </row>
    <row r="463">
      <c r="A463" s="12" t="inlineStr">
        <is>
          <t>2026-10-17</t>
        </is>
      </c>
      <c r="B463" s="22" t="n">
        <v>7</v>
      </c>
      <c r="C463" s="12" t="inlineStr">
        <is>
          <t>AUB</t>
        </is>
      </c>
      <c r="D463" s="12" t="inlineStr">
        <is>
          <t>UGA</t>
        </is>
      </c>
      <c r="E463" s="22" t="n">
        <v>0</v>
      </c>
      <c r="F463" s="22" t="n">
        <v>0</v>
      </c>
      <c r="G463" s="12" t="inlineStr">
        <is>
          <t>TBD</t>
        </is>
      </c>
      <c r="H463" s="12" t="inlineStr"/>
      <c r="I463" s="23" t="n"/>
      <c r="J463" s="29" t="n"/>
      <c r="K463" s="13" t="n"/>
      <c r="L463" s="13" t="n"/>
      <c r="M463" s="12" t="n"/>
    </row>
    <row r="464">
      <c r="A464" s="17" t="inlineStr">
        <is>
          <t>2026-10-17</t>
        </is>
      </c>
      <c r="B464" s="25" t="n">
        <v>7</v>
      </c>
      <c r="C464" s="17" t="inlineStr">
        <is>
          <t>MSST</t>
        </is>
      </c>
      <c r="D464" s="17" t="inlineStr">
        <is>
          <t>LSU</t>
        </is>
      </c>
      <c r="E464" s="25" t="n">
        <v>0</v>
      </c>
      <c r="F464" s="25" t="n">
        <v>0</v>
      </c>
      <c r="G464" s="17" t="inlineStr">
        <is>
          <t>TBD</t>
        </is>
      </c>
      <c r="H464" s="17" t="inlineStr"/>
      <c r="I464" s="26" t="n"/>
      <c r="J464" s="30" t="n"/>
      <c r="K464" s="18" t="n"/>
      <c r="L464" s="18" t="n"/>
      <c r="M464" s="17" t="n"/>
    </row>
    <row r="465">
      <c r="A465" s="12" t="inlineStr">
        <is>
          <t>2026-10-17</t>
        </is>
      </c>
      <c r="B465" s="22" t="n">
        <v>7</v>
      </c>
      <c r="C465" s="12" t="inlineStr">
        <is>
          <t>MIZ</t>
        </is>
      </c>
      <c r="D465" s="12" t="inlineStr">
        <is>
          <t>MISS</t>
        </is>
      </c>
      <c r="E465" s="22" t="n">
        <v>0</v>
      </c>
      <c r="F465" s="22" t="n">
        <v>0</v>
      </c>
      <c r="G465" s="12" t="inlineStr">
        <is>
          <t>TBD</t>
        </is>
      </c>
      <c r="H465" s="12" t="inlineStr"/>
      <c r="I465" s="23" t="n"/>
      <c r="J465" s="29" t="n"/>
      <c r="K465" s="13" t="n"/>
      <c r="L465" s="13" t="n"/>
      <c r="M465" s="12" t="n"/>
    </row>
    <row r="466">
      <c r="A466" s="17" t="inlineStr">
        <is>
          <t>2026-10-17</t>
        </is>
      </c>
      <c r="B466" s="25" t="n">
        <v>7</v>
      </c>
      <c r="C466" s="17" t="inlineStr">
        <is>
          <t>UK</t>
        </is>
      </c>
      <c r="D466" s="17" t="inlineStr">
        <is>
          <t>OU</t>
        </is>
      </c>
      <c r="E466" s="25" t="n">
        <v>0</v>
      </c>
      <c r="F466" s="25" t="n">
        <v>0</v>
      </c>
      <c r="G466" s="17" t="inlineStr">
        <is>
          <t>TBD</t>
        </is>
      </c>
      <c r="H466" s="17" t="inlineStr"/>
      <c r="I466" s="26" t="n"/>
      <c r="J466" s="30" t="n"/>
      <c r="K466" s="18" t="n"/>
      <c r="L466" s="18" t="n"/>
      <c r="M466" s="17" t="n"/>
    </row>
    <row r="467">
      <c r="A467" s="12" t="inlineStr">
        <is>
          <t>2026-10-17</t>
        </is>
      </c>
      <c r="B467" s="22" t="n">
        <v>7</v>
      </c>
      <c r="C467" s="12" t="inlineStr">
        <is>
          <t>ALA</t>
        </is>
      </c>
      <c r="D467" s="12" t="inlineStr">
        <is>
          <t>TENN</t>
        </is>
      </c>
      <c r="E467" s="22" t="n">
        <v>0</v>
      </c>
      <c r="F467" s="22" t="n">
        <v>0</v>
      </c>
      <c r="G467" s="12" t="inlineStr">
        <is>
          <t>TBD</t>
        </is>
      </c>
      <c r="H467" s="12" t="inlineStr"/>
      <c r="I467" s="23" t="n"/>
      <c r="J467" s="29" t="n"/>
      <c r="K467" s="13" t="n"/>
      <c r="L467" s="13" t="n"/>
      <c r="M467" s="12" t="n"/>
    </row>
    <row r="468">
      <c r="A468" s="17" t="inlineStr">
        <is>
          <t>2026-10-17</t>
        </is>
      </c>
      <c r="B468" s="25" t="n">
        <v>7</v>
      </c>
      <c r="C468" s="17" t="inlineStr">
        <is>
          <t>FLA</t>
        </is>
      </c>
      <c r="D468" s="17" t="inlineStr">
        <is>
          <t>TEX</t>
        </is>
      </c>
      <c r="E468" s="25" t="n">
        <v>0</v>
      </c>
      <c r="F468" s="25" t="n">
        <v>0</v>
      </c>
      <c r="G468" s="17" t="inlineStr">
        <is>
          <t>TBD</t>
        </is>
      </c>
      <c r="H468" s="17" t="inlineStr"/>
      <c r="I468" s="26" t="n"/>
      <c r="J468" s="30" t="n"/>
      <c r="K468" s="18" t="n"/>
      <c r="L468" s="18" t="n"/>
      <c r="M468" s="17" t="n"/>
    </row>
    <row r="469">
      <c r="A469" s="12" t="inlineStr">
        <is>
          <t>2026-10-17</t>
        </is>
      </c>
      <c r="B469" s="22" t="n">
        <v>7</v>
      </c>
      <c r="C469" s="12" t="inlineStr">
        <is>
          <t>ARK</t>
        </is>
      </c>
      <c r="D469" s="12" t="inlineStr">
        <is>
          <t>VAN</t>
        </is>
      </c>
      <c r="E469" s="22" t="n">
        <v>0</v>
      </c>
      <c r="F469" s="22" t="n">
        <v>0</v>
      </c>
      <c r="G469" s="12" t="inlineStr">
        <is>
          <t>TBD</t>
        </is>
      </c>
      <c r="H469" s="12" t="inlineStr"/>
      <c r="I469" s="23" t="n"/>
      <c r="J469" s="29" t="n"/>
      <c r="K469" s="13" t="n"/>
      <c r="L469" s="13" t="n"/>
      <c r="M469" s="12" t="n"/>
    </row>
    <row r="470">
      <c r="A470" s="17" t="inlineStr">
        <is>
          <t>2026-10-17</t>
        </is>
      </c>
      <c r="B470" s="25" t="n">
        <v>7</v>
      </c>
      <c r="C470" s="17" t="inlineStr">
        <is>
          <t>ND</t>
        </is>
      </c>
      <c r="D470" s="17" t="inlineStr">
        <is>
          <t>BYU</t>
        </is>
      </c>
      <c r="E470" s="25" t="n">
        <v>0</v>
      </c>
      <c r="F470" s="25" t="n">
        <v>0</v>
      </c>
      <c r="G470" s="17" t="inlineStr">
        <is>
          <t>TBD</t>
        </is>
      </c>
      <c r="H470" s="17" t="inlineStr"/>
      <c r="I470" s="26" t="n"/>
      <c r="J470" s="30" t="n"/>
      <c r="K470" s="18" t="n"/>
      <c r="L470" s="18" t="n"/>
      <c r="M470" s="17" t="n"/>
    </row>
    <row r="471">
      <c r="A471" s="12" t="inlineStr">
        <is>
          <t>2026-10-17</t>
        </is>
      </c>
      <c r="B471" s="22" t="n">
        <v>7</v>
      </c>
      <c r="C471" s="12" t="inlineStr">
        <is>
          <t>ASU</t>
        </is>
      </c>
      <c r="D471" s="12" t="inlineStr">
        <is>
          <t>TTU</t>
        </is>
      </c>
      <c r="E471" s="22" t="n">
        <v>0</v>
      </c>
      <c r="F471" s="22" t="n">
        <v>0</v>
      </c>
      <c r="G471" s="12" t="inlineStr">
        <is>
          <t>TBD</t>
        </is>
      </c>
      <c r="H471" s="12" t="inlineStr"/>
      <c r="I471" s="23" t="n"/>
      <c r="J471" s="29" t="n"/>
      <c r="K471" s="13" t="n"/>
      <c r="L471" s="13" t="n"/>
      <c r="M471" s="12" t="n"/>
    </row>
    <row r="472">
      <c r="A472" s="17" t="inlineStr">
        <is>
          <t>2026-10-17</t>
        </is>
      </c>
      <c r="B472" s="25" t="n">
        <v>7</v>
      </c>
      <c r="C472" s="17" t="inlineStr">
        <is>
          <t>CIN</t>
        </is>
      </c>
      <c r="D472" s="17" t="inlineStr">
        <is>
          <t>WVU</t>
        </is>
      </c>
      <c r="E472" s="25" t="n">
        <v>0</v>
      </c>
      <c r="F472" s="25" t="n">
        <v>0</v>
      </c>
      <c r="G472" s="17" t="inlineStr">
        <is>
          <t>TBD</t>
        </is>
      </c>
      <c r="H472" s="17" t="inlineStr"/>
      <c r="I472" s="26" t="n"/>
      <c r="J472" s="30" t="n"/>
      <c r="K472" s="18" t="n"/>
      <c r="L472" s="18" t="n"/>
      <c r="M472" s="17" t="n"/>
    </row>
    <row r="473">
      <c r="A473" s="12" t="inlineStr">
        <is>
          <t>2026-10-17</t>
        </is>
      </c>
      <c r="B473" s="22" t="n">
        <v>7</v>
      </c>
      <c r="C473" s="12" t="inlineStr">
        <is>
          <t>KU</t>
        </is>
      </c>
      <c r="D473" s="12" t="inlineStr">
        <is>
          <t>KSU</t>
        </is>
      </c>
      <c r="E473" s="22" t="n">
        <v>0</v>
      </c>
      <c r="F473" s="22" t="n">
        <v>0</v>
      </c>
      <c r="G473" s="12" t="inlineStr">
        <is>
          <t>TBD</t>
        </is>
      </c>
      <c r="H473" s="12" t="inlineStr"/>
      <c r="I473" s="23" t="n"/>
      <c r="J473" s="29" t="n"/>
      <c r="K473" s="13" t="n"/>
      <c r="L473" s="13" t="n"/>
      <c r="M473" s="12" t="n"/>
    </row>
    <row r="474">
      <c r="A474" s="17" t="inlineStr">
        <is>
          <t>2026-10-17</t>
        </is>
      </c>
      <c r="B474" s="25" t="n">
        <v>7</v>
      </c>
      <c r="C474" s="17" t="inlineStr">
        <is>
          <t>OKST</t>
        </is>
      </c>
      <c r="D474" s="17" t="inlineStr">
        <is>
          <t>HOU</t>
        </is>
      </c>
      <c r="E474" s="25" t="n">
        <v>0</v>
      </c>
      <c r="F474" s="25" t="n">
        <v>0</v>
      </c>
      <c r="G474" s="17" t="inlineStr">
        <is>
          <t>TBD</t>
        </is>
      </c>
      <c r="H474" s="17" t="inlineStr"/>
      <c r="I474" s="26" t="n"/>
      <c r="J474" s="30" t="n"/>
      <c r="K474" s="18" t="n"/>
      <c r="L474" s="18" t="n"/>
      <c r="M474" s="17" t="n"/>
    </row>
    <row r="475">
      <c r="A475" s="12" t="inlineStr">
        <is>
          <t>2026-10-17</t>
        </is>
      </c>
      <c r="B475" s="22" t="n">
        <v>7</v>
      </c>
      <c r="C475" s="12" t="inlineStr">
        <is>
          <t>TCU</t>
        </is>
      </c>
      <c r="D475" s="12" t="inlineStr">
        <is>
          <t>BAY</t>
        </is>
      </c>
      <c r="E475" s="22" t="n">
        <v>0</v>
      </c>
      <c r="F475" s="22" t="n">
        <v>0</v>
      </c>
      <c r="G475" s="12" t="inlineStr">
        <is>
          <t>TBD</t>
        </is>
      </c>
      <c r="H475" s="12" t="inlineStr"/>
      <c r="I475" s="23" t="n"/>
      <c r="J475" s="29" t="n"/>
      <c r="K475" s="13" t="n"/>
      <c r="L475" s="13" t="n"/>
      <c r="M475" s="12" t="n"/>
    </row>
    <row r="476">
      <c r="A476" s="17" t="inlineStr">
        <is>
          <t>2026-10-17</t>
        </is>
      </c>
      <c r="B476" s="25" t="n">
        <v>7</v>
      </c>
      <c r="C476" s="17" t="inlineStr">
        <is>
          <t>UTAH</t>
        </is>
      </c>
      <c r="D476" s="17" t="inlineStr">
        <is>
          <t>COLO</t>
        </is>
      </c>
      <c r="E476" s="25" t="n">
        <v>0</v>
      </c>
      <c r="F476" s="25" t="n">
        <v>0</v>
      </c>
      <c r="G476" s="17" t="inlineStr">
        <is>
          <t>TBD</t>
        </is>
      </c>
      <c r="H476" s="17" t="inlineStr"/>
      <c r="I476" s="26" t="n"/>
      <c r="J476" s="30" t="n"/>
      <c r="K476" s="18" t="n"/>
      <c r="L476" s="18" t="n"/>
      <c r="M476" s="17" t="n"/>
    </row>
    <row r="477">
      <c r="A477" s="12" t="inlineStr">
        <is>
          <t>2026-10-17</t>
        </is>
      </c>
      <c r="B477" s="22" t="n">
        <v>7</v>
      </c>
      <c r="C477" s="12" t="inlineStr">
        <is>
          <t>CHSO</t>
        </is>
      </c>
      <c r="D477" s="12" t="inlineStr">
        <is>
          <t>CLEM</t>
        </is>
      </c>
      <c r="E477" s="22" t="n">
        <v>0</v>
      </c>
      <c r="F477" s="22" t="n">
        <v>0</v>
      </c>
      <c r="G477" s="12" t="inlineStr">
        <is>
          <t>TBD</t>
        </is>
      </c>
      <c r="H477" s="12" t="inlineStr"/>
      <c r="I477" s="23" t="n"/>
      <c r="J477" s="29" t="n"/>
      <c r="K477" s="13" t="n"/>
      <c r="L477" s="13" t="n"/>
      <c r="M477" s="12" t="n"/>
    </row>
    <row r="478">
      <c r="A478" s="17" t="inlineStr">
        <is>
          <t>2026-10-17</t>
        </is>
      </c>
      <c r="B478" s="25" t="n">
        <v>7</v>
      </c>
      <c r="C478" s="17" t="inlineStr">
        <is>
          <t>FSU</t>
        </is>
      </c>
      <c r="D478" s="17" t="inlineStr">
        <is>
          <t>MIA</t>
        </is>
      </c>
      <c r="E478" s="25" t="n">
        <v>0</v>
      </c>
      <c r="F478" s="25" t="n">
        <v>0</v>
      </c>
      <c r="G478" s="17" t="inlineStr">
        <is>
          <t>TBD</t>
        </is>
      </c>
      <c r="H478" s="17" t="inlineStr"/>
      <c r="I478" s="26" t="n"/>
      <c r="J478" s="30" t="n"/>
      <c r="K478" s="18" t="n"/>
      <c r="L478" s="18" t="n"/>
      <c r="M478" s="17" t="n"/>
    </row>
    <row r="479">
      <c r="A479" s="12" t="inlineStr">
        <is>
          <t>2026-10-17</t>
        </is>
      </c>
      <c r="B479" s="22" t="n">
        <v>7</v>
      </c>
      <c r="C479" s="12" t="inlineStr">
        <is>
          <t>GT</t>
        </is>
      </c>
      <c r="D479" s="12" t="inlineStr">
        <is>
          <t>VT</t>
        </is>
      </c>
      <c r="E479" s="22" t="n">
        <v>0</v>
      </c>
      <c r="F479" s="22" t="n">
        <v>0</v>
      </c>
      <c r="G479" s="12" t="inlineStr">
        <is>
          <t>TBD</t>
        </is>
      </c>
      <c r="H479" s="12" t="inlineStr"/>
      <c r="I479" s="23" t="n"/>
      <c r="J479" s="29" t="n"/>
      <c r="K479" s="13" t="n"/>
      <c r="L479" s="13" t="n"/>
      <c r="M479" s="12" t="n"/>
    </row>
    <row r="480">
      <c r="A480" s="17" t="inlineStr">
        <is>
          <t>2026-10-17</t>
        </is>
      </c>
      <c r="B480" s="25" t="n">
        <v>7</v>
      </c>
      <c r="C480" s="17" t="inlineStr">
        <is>
          <t>LOU</t>
        </is>
      </c>
      <c r="D480" s="17" t="inlineStr">
        <is>
          <t>SYR</t>
        </is>
      </c>
      <c r="E480" s="25" t="n">
        <v>0</v>
      </c>
      <c r="F480" s="25" t="n">
        <v>0</v>
      </c>
      <c r="G480" s="17" t="inlineStr">
        <is>
          <t>TBD</t>
        </is>
      </c>
      <c r="H480" s="17" t="inlineStr"/>
      <c r="I480" s="26" t="n"/>
      <c r="J480" s="30" t="n"/>
      <c r="K480" s="18" t="n"/>
      <c r="L480" s="18" t="n"/>
      <c r="M480" s="17" t="n"/>
    </row>
    <row r="481">
      <c r="A481" s="12" t="inlineStr">
        <is>
          <t>2026-10-17</t>
        </is>
      </c>
      <c r="B481" s="22" t="n">
        <v>7</v>
      </c>
      <c r="C481" s="12" t="inlineStr">
        <is>
          <t>UNC</t>
        </is>
      </c>
      <c r="D481" s="12" t="inlineStr">
        <is>
          <t>DUKE</t>
        </is>
      </c>
      <c r="E481" s="22" t="n">
        <v>0</v>
      </c>
      <c r="F481" s="22" t="n">
        <v>0</v>
      </c>
      <c r="G481" s="12" t="inlineStr">
        <is>
          <t>TBD</t>
        </is>
      </c>
      <c r="H481" s="12" t="inlineStr"/>
      <c r="I481" s="23" t="n"/>
      <c r="J481" s="29" t="n"/>
      <c r="K481" s="13" t="n"/>
      <c r="L481" s="13" t="n"/>
      <c r="M481" s="12" t="n"/>
    </row>
    <row r="482">
      <c r="A482" s="17" t="inlineStr">
        <is>
          <t>2026-10-17</t>
        </is>
      </c>
      <c r="B482" s="25" t="n">
        <v>7</v>
      </c>
      <c r="C482" s="17" t="inlineStr">
        <is>
          <t>PITT</t>
        </is>
      </c>
      <c r="D482" s="17" t="inlineStr">
        <is>
          <t>BC</t>
        </is>
      </c>
      <c r="E482" s="25" t="n">
        <v>0</v>
      </c>
      <c r="F482" s="25" t="n">
        <v>0</v>
      </c>
      <c r="G482" s="17" t="inlineStr">
        <is>
          <t>TBD</t>
        </is>
      </c>
      <c r="H482" s="17" t="inlineStr"/>
      <c r="I482" s="26" t="n"/>
      <c r="J482" s="30" t="n"/>
      <c r="K482" s="18" t="n"/>
      <c r="L482" s="18" t="n"/>
      <c r="M482" s="17" t="n"/>
    </row>
    <row r="483">
      <c r="A483" s="12" t="inlineStr">
        <is>
          <t>2026-10-17</t>
        </is>
      </c>
      <c r="B483" s="22" t="n">
        <v>7</v>
      </c>
      <c r="C483" s="12" t="inlineStr">
        <is>
          <t>UVA</t>
        </is>
      </c>
      <c r="D483" s="12" t="inlineStr">
        <is>
          <t>SMU</t>
        </is>
      </c>
      <c r="E483" s="22" t="n">
        <v>0</v>
      </c>
      <c r="F483" s="22" t="n">
        <v>0</v>
      </c>
      <c r="G483" s="12" t="inlineStr">
        <is>
          <t>TBD</t>
        </is>
      </c>
      <c r="H483" s="12" t="inlineStr"/>
      <c r="I483" s="23" t="n"/>
      <c r="J483" s="29" t="n"/>
      <c r="K483" s="13" t="n"/>
      <c r="L483" s="13" t="n"/>
      <c r="M483" s="12" t="n"/>
    </row>
    <row r="484">
      <c r="A484" s="17" t="inlineStr">
        <is>
          <t>2026-10-17</t>
        </is>
      </c>
      <c r="B484" s="25" t="n">
        <v>7</v>
      </c>
      <c r="C484" s="17" t="inlineStr">
        <is>
          <t>WAKE</t>
        </is>
      </c>
      <c r="D484" s="17" t="inlineStr">
        <is>
          <t>CAL</t>
        </is>
      </c>
      <c r="E484" s="25" t="n">
        <v>0</v>
      </c>
      <c r="F484" s="25" t="n">
        <v>0</v>
      </c>
      <c r="G484" s="17" t="inlineStr">
        <is>
          <t>TBD</t>
        </is>
      </c>
      <c r="H484" s="17" t="inlineStr"/>
      <c r="I484" s="26" t="n"/>
      <c r="J484" s="30" t="n"/>
      <c r="K484" s="18" t="n"/>
      <c r="L484" s="18" t="n"/>
      <c r="M484" s="17" t="n"/>
    </row>
    <row r="485">
      <c r="A485" s="12" t="inlineStr">
        <is>
          <t>2026-10-17</t>
        </is>
      </c>
      <c r="B485" s="22" t="n">
        <v>7</v>
      </c>
      <c r="C485" s="12" t="inlineStr">
        <is>
          <t>OSU</t>
        </is>
      </c>
      <c r="D485" s="12" t="inlineStr">
        <is>
          <t>IU</t>
        </is>
      </c>
      <c r="E485" s="22" t="n">
        <v>0</v>
      </c>
      <c r="F485" s="22" t="n">
        <v>0</v>
      </c>
      <c r="G485" s="12" t="inlineStr">
        <is>
          <t>TBD</t>
        </is>
      </c>
      <c r="H485" s="12" t="inlineStr"/>
      <c r="I485" s="23" t="n"/>
      <c r="J485" s="29" t="n"/>
      <c r="K485" s="13" t="n"/>
      <c r="L485" s="13" t="n"/>
      <c r="M485" s="12" t="n"/>
    </row>
    <row r="486">
      <c r="A486" s="17" t="inlineStr">
        <is>
          <t>2026-10-17</t>
        </is>
      </c>
      <c r="B486" s="25" t="n">
        <v>7</v>
      </c>
      <c r="C486" s="17" t="inlineStr">
        <is>
          <t>RUTG</t>
        </is>
      </c>
      <c r="D486" s="17" t="inlineStr">
        <is>
          <t>MD</t>
        </is>
      </c>
      <c r="E486" s="25" t="n">
        <v>0</v>
      </c>
      <c r="F486" s="25" t="n">
        <v>0</v>
      </c>
      <c r="G486" s="17" t="inlineStr">
        <is>
          <t>TBD</t>
        </is>
      </c>
      <c r="H486" s="17" t="inlineStr"/>
      <c r="I486" s="26" t="n"/>
      <c r="J486" s="30" t="n"/>
      <c r="K486" s="18" t="n"/>
      <c r="L486" s="18" t="n"/>
      <c r="M486" s="17" t="n"/>
    </row>
    <row r="487">
      <c r="A487" s="12" t="inlineStr">
        <is>
          <t>2026-10-17</t>
        </is>
      </c>
      <c r="B487" s="22" t="n">
        <v>7</v>
      </c>
      <c r="C487" s="12" t="inlineStr">
        <is>
          <t>PSU</t>
        </is>
      </c>
      <c r="D487" s="12" t="inlineStr">
        <is>
          <t>MICH</t>
        </is>
      </c>
      <c r="E487" s="22" t="n">
        <v>0</v>
      </c>
      <c r="F487" s="22" t="n">
        <v>0</v>
      </c>
      <c r="G487" s="12" t="inlineStr">
        <is>
          <t>TBD</t>
        </is>
      </c>
      <c r="H487" s="12" t="inlineStr"/>
      <c r="I487" s="23" t="n"/>
      <c r="J487" s="29" t="n"/>
      <c r="K487" s="13" t="n"/>
      <c r="L487" s="13" t="n"/>
      <c r="M487" s="12" t="n"/>
    </row>
    <row r="488">
      <c r="A488" s="17" t="inlineStr">
        <is>
          <t>2026-10-17</t>
        </is>
      </c>
      <c r="B488" s="25" t="n">
        <v>7</v>
      </c>
      <c r="C488" s="17" t="inlineStr">
        <is>
          <t>NU</t>
        </is>
      </c>
      <c r="D488" s="17" t="inlineStr">
        <is>
          <t>MSU</t>
        </is>
      </c>
      <c r="E488" s="25" t="n">
        <v>0</v>
      </c>
      <c r="F488" s="25" t="n">
        <v>0</v>
      </c>
      <c r="G488" s="17" t="inlineStr">
        <is>
          <t>TBD</t>
        </is>
      </c>
      <c r="H488" s="17" t="inlineStr"/>
      <c r="I488" s="26" t="n"/>
      <c r="J488" s="30" t="n"/>
      <c r="K488" s="18" t="n"/>
      <c r="L488" s="18" t="n"/>
      <c r="M488" s="17" t="n"/>
    </row>
    <row r="489">
      <c r="A489" s="12" t="inlineStr">
        <is>
          <t>2026-10-17</t>
        </is>
      </c>
      <c r="B489" s="22" t="n">
        <v>7</v>
      </c>
      <c r="C489" s="12" t="inlineStr">
        <is>
          <t>NEB</t>
        </is>
      </c>
      <c r="D489" s="12" t="inlineStr">
        <is>
          <t>ORE</t>
        </is>
      </c>
      <c r="E489" s="22" t="n">
        <v>0</v>
      </c>
      <c r="F489" s="22" t="n">
        <v>0</v>
      </c>
      <c r="G489" s="12" t="inlineStr">
        <is>
          <t>TBD</t>
        </is>
      </c>
      <c r="H489" s="12" t="inlineStr"/>
      <c r="I489" s="23" t="n"/>
      <c r="J489" s="29" t="n"/>
      <c r="K489" s="13" t="n"/>
      <c r="L489" s="13" t="n"/>
      <c r="M489" s="12" t="n"/>
    </row>
    <row r="490">
      <c r="A490" s="17" t="inlineStr">
        <is>
          <t>2026-10-17</t>
        </is>
      </c>
      <c r="B490" s="25" t="n">
        <v>7</v>
      </c>
      <c r="C490" s="17" t="inlineStr">
        <is>
          <t>WIS</t>
        </is>
      </c>
      <c r="D490" s="17" t="inlineStr">
        <is>
          <t>UCLA</t>
        </is>
      </c>
      <c r="E490" s="25" t="n">
        <v>0</v>
      </c>
      <c r="F490" s="25" t="n">
        <v>0</v>
      </c>
      <c r="G490" s="17" t="inlineStr">
        <is>
          <t>TBD</t>
        </is>
      </c>
      <c r="H490" s="17" t="inlineStr"/>
      <c r="I490" s="26" t="n"/>
      <c r="J490" s="30" t="n"/>
      <c r="K490" s="18" t="n"/>
      <c r="L490" s="18" t="n"/>
      <c r="M490" s="17" t="n"/>
    </row>
    <row r="491">
      <c r="A491" s="12" t="inlineStr">
        <is>
          <t>2026-10-17</t>
        </is>
      </c>
      <c r="B491" s="22" t="n">
        <v>7</v>
      </c>
      <c r="C491" s="12" t="inlineStr">
        <is>
          <t>CLT</t>
        </is>
      </c>
      <c r="D491" s="12" t="inlineStr">
        <is>
          <t>TEM</t>
        </is>
      </c>
      <c r="E491" s="22" t="n">
        <v>0</v>
      </c>
      <c r="F491" s="22" t="n">
        <v>0</v>
      </c>
      <c r="G491" s="12" t="inlineStr">
        <is>
          <t>TBD</t>
        </is>
      </c>
      <c r="H491" s="12" t="inlineStr"/>
      <c r="I491" s="23" t="n"/>
      <c r="J491" s="29" t="n"/>
      <c r="K491" s="13" t="n"/>
      <c r="L491" s="13" t="n"/>
      <c r="M491" s="12" t="n"/>
    </row>
    <row r="492">
      <c r="A492" s="17" t="inlineStr">
        <is>
          <t>2026-10-17</t>
        </is>
      </c>
      <c r="B492" s="25" t="n">
        <v>7</v>
      </c>
      <c r="C492" s="17" t="inlineStr">
        <is>
          <t>NAVY</t>
        </is>
      </c>
      <c r="D492" s="17" t="inlineStr">
        <is>
          <t>UTSA</t>
        </is>
      </c>
      <c r="E492" s="25" t="n">
        <v>0</v>
      </c>
      <c r="F492" s="25" t="n">
        <v>0</v>
      </c>
      <c r="G492" s="17" t="inlineStr">
        <is>
          <t>TBD</t>
        </is>
      </c>
      <c r="H492" s="17" t="inlineStr"/>
      <c r="I492" s="26" t="n"/>
      <c r="J492" s="30" t="n"/>
      <c r="K492" s="18" t="n"/>
      <c r="L492" s="18" t="n"/>
      <c r="M492" s="17" t="n"/>
    </row>
    <row r="493">
      <c r="A493" s="12" t="inlineStr">
        <is>
          <t>2026-10-17</t>
        </is>
      </c>
      <c r="B493" s="22" t="n">
        <v>7</v>
      </c>
      <c r="C493" s="12" t="inlineStr">
        <is>
          <t>TLSA</t>
        </is>
      </c>
      <c r="D493" s="12" t="inlineStr">
        <is>
          <t>RICE</t>
        </is>
      </c>
      <c r="E493" s="22" t="n">
        <v>0</v>
      </c>
      <c r="F493" s="22" t="n">
        <v>0</v>
      </c>
      <c r="G493" s="12" t="inlineStr">
        <is>
          <t>TBD</t>
        </is>
      </c>
      <c r="H493" s="12" t="inlineStr"/>
      <c r="I493" s="23" t="n"/>
      <c r="J493" s="29" t="n"/>
      <c r="K493" s="13" t="n"/>
      <c r="L493" s="13" t="n"/>
      <c r="M493" s="12" t="n"/>
    </row>
    <row r="494">
      <c r="A494" s="17" t="inlineStr">
        <is>
          <t>2026-10-17</t>
        </is>
      </c>
      <c r="B494" s="25" t="n">
        <v>7</v>
      </c>
      <c r="C494" s="17" t="inlineStr">
        <is>
          <t>KENT</t>
        </is>
      </c>
      <c r="D494" s="17" t="inlineStr">
        <is>
          <t>USF</t>
        </is>
      </c>
      <c r="E494" s="25" t="n">
        <v>0</v>
      </c>
      <c r="F494" s="25" t="n">
        <v>0</v>
      </c>
      <c r="G494" s="17" t="inlineStr">
        <is>
          <t>TBD</t>
        </is>
      </c>
      <c r="H494" s="17" t="inlineStr"/>
      <c r="I494" s="26" t="n"/>
      <c r="J494" s="30" t="n"/>
      <c r="K494" s="18" t="n"/>
      <c r="L494" s="18" t="n"/>
      <c r="M494" s="17" t="n"/>
    </row>
    <row r="495">
      <c r="A495" s="12" t="inlineStr">
        <is>
          <t>2026-10-17</t>
        </is>
      </c>
      <c r="B495" s="22" t="n">
        <v>7</v>
      </c>
      <c r="C495" s="12" t="inlineStr">
        <is>
          <t>UNM</t>
        </is>
      </c>
      <c r="D495" s="12" t="inlineStr">
        <is>
          <t>HAW</t>
        </is>
      </c>
      <c r="E495" s="22" t="n">
        <v>0</v>
      </c>
      <c r="F495" s="22" t="n">
        <v>0</v>
      </c>
      <c r="G495" s="12" t="inlineStr">
        <is>
          <t>TBD</t>
        </is>
      </c>
      <c r="H495" s="12" t="inlineStr"/>
      <c r="I495" s="23" t="n"/>
      <c r="J495" s="29" t="n"/>
      <c r="K495" s="13" t="n"/>
      <c r="L495" s="13" t="n"/>
      <c r="M495" s="12" t="n"/>
    </row>
    <row r="496">
      <c r="A496" s="17" t="inlineStr">
        <is>
          <t>2026-10-17</t>
        </is>
      </c>
      <c r="B496" s="25" t="n">
        <v>7</v>
      </c>
      <c r="C496" s="17" t="inlineStr">
        <is>
          <t>BALL</t>
        </is>
      </c>
      <c r="D496" s="17" t="inlineStr">
        <is>
          <t>BGSU</t>
        </is>
      </c>
      <c r="E496" s="25" t="n">
        <v>0</v>
      </c>
      <c r="F496" s="25" t="n">
        <v>0</v>
      </c>
      <c r="G496" s="17" t="inlineStr">
        <is>
          <t>TBD</t>
        </is>
      </c>
      <c r="H496" s="17" t="inlineStr"/>
      <c r="I496" s="26" t="n"/>
      <c r="J496" s="30" t="n"/>
      <c r="K496" s="18" t="n"/>
      <c r="L496" s="18" t="n"/>
      <c r="M496" s="17" t="n"/>
    </row>
    <row r="497">
      <c r="A497" s="12" t="inlineStr">
        <is>
          <t>2026-10-17</t>
        </is>
      </c>
      <c r="B497" s="22" t="n">
        <v>7</v>
      </c>
      <c r="C497" s="12" t="inlineStr">
        <is>
          <t>MASS</t>
        </is>
      </c>
      <c r="D497" s="12" t="inlineStr">
        <is>
          <t>BUFF</t>
        </is>
      </c>
      <c r="E497" s="22" t="n">
        <v>0</v>
      </c>
      <c r="F497" s="22" t="n">
        <v>0</v>
      </c>
      <c r="G497" s="12" t="inlineStr">
        <is>
          <t>TBD</t>
        </is>
      </c>
      <c r="H497" s="12" t="inlineStr"/>
      <c r="I497" s="23" t="n"/>
      <c r="J497" s="29" t="n"/>
      <c r="K497" s="13" t="n"/>
      <c r="L497" s="13" t="n"/>
      <c r="M497" s="12" t="n"/>
    </row>
    <row r="498">
      <c r="A498" s="17" t="inlineStr">
        <is>
          <t>2026-10-17</t>
        </is>
      </c>
      <c r="B498" s="25" t="n">
        <v>7</v>
      </c>
      <c r="C498" s="17" t="inlineStr">
        <is>
          <t>WMU</t>
        </is>
      </c>
      <c r="D498" s="17" t="inlineStr">
        <is>
          <t>CMU</t>
        </is>
      </c>
      <c r="E498" s="25" t="n">
        <v>0</v>
      </c>
      <c r="F498" s="25" t="n">
        <v>0</v>
      </c>
      <c r="G498" s="17" t="inlineStr">
        <is>
          <t>TBD</t>
        </is>
      </c>
      <c r="H498" s="17" t="inlineStr"/>
      <c r="I498" s="26" t="n"/>
      <c r="J498" s="30" t="n"/>
      <c r="K498" s="18" t="n"/>
      <c r="L498" s="18" t="n"/>
      <c r="M498" s="17" t="n"/>
    </row>
    <row r="499">
      <c r="A499" s="12" t="inlineStr">
        <is>
          <t>2026-10-17</t>
        </is>
      </c>
      <c r="B499" s="22" t="n">
        <v>7</v>
      </c>
      <c r="C499" s="12" t="inlineStr">
        <is>
          <t>TOL</t>
        </is>
      </c>
      <c r="D499" s="12" t="inlineStr">
        <is>
          <t>EMU</t>
        </is>
      </c>
      <c r="E499" s="22" t="n">
        <v>0</v>
      </c>
      <c r="F499" s="22" t="n">
        <v>0</v>
      </c>
      <c r="G499" s="12" t="inlineStr">
        <is>
          <t>TBD</t>
        </is>
      </c>
      <c r="H499" s="12" t="inlineStr"/>
      <c r="I499" s="23" t="n"/>
      <c r="J499" s="29" t="n"/>
      <c r="K499" s="13" t="n"/>
      <c r="L499" s="13" t="n"/>
      <c r="M499" s="12" t="n"/>
    </row>
    <row r="500">
      <c r="A500" s="17" t="inlineStr">
        <is>
          <t>2026-10-17</t>
        </is>
      </c>
      <c r="B500" s="25" t="n">
        <v>7</v>
      </c>
      <c r="C500" s="17" t="inlineStr">
        <is>
          <t>OHIO</t>
        </is>
      </c>
      <c r="D500" s="17" t="inlineStr">
        <is>
          <t>SAC</t>
        </is>
      </c>
      <c r="E500" s="25" t="n">
        <v>0</v>
      </c>
      <c r="F500" s="25" t="n">
        <v>0</v>
      </c>
      <c r="G500" s="17" t="inlineStr">
        <is>
          <t>TBD</t>
        </is>
      </c>
      <c r="H500" s="17" t="inlineStr"/>
      <c r="I500" s="26" t="n"/>
      <c r="J500" s="30" t="n"/>
      <c r="K500" s="18" t="n"/>
      <c r="L500" s="18" t="n"/>
      <c r="M500" s="17" t="n"/>
    </row>
    <row r="501">
      <c r="A501" s="12" t="inlineStr">
        <is>
          <t>2026-10-17</t>
        </is>
      </c>
      <c r="B501" s="22" t="n">
        <v>7</v>
      </c>
      <c r="C501" s="12" t="inlineStr">
        <is>
          <t>AKR</t>
        </is>
      </c>
      <c r="D501" s="12" t="inlineStr">
        <is>
          <t>M-OH</t>
        </is>
      </c>
      <c r="E501" s="22" t="n">
        <v>0</v>
      </c>
      <c r="F501" s="22" t="n">
        <v>0</v>
      </c>
      <c r="G501" s="12" t="inlineStr">
        <is>
          <t>TBD</t>
        </is>
      </c>
      <c r="H501" s="12" t="inlineStr"/>
      <c r="I501" s="23" t="n"/>
      <c r="J501" s="29" t="n"/>
      <c r="K501" s="13" t="n"/>
      <c r="L501" s="13" t="n"/>
      <c r="M501" s="12" t="n"/>
    </row>
    <row r="502">
      <c r="A502" s="17" t="inlineStr">
        <is>
          <t>2026-10-17</t>
        </is>
      </c>
      <c r="B502" s="25" t="n">
        <v>7</v>
      </c>
      <c r="C502" s="17" t="inlineStr">
        <is>
          <t>ARST</t>
        </is>
      </c>
      <c r="D502" s="17" t="inlineStr">
        <is>
          <t>USM</t>
        </is>
      </c>
      <c r="E502" s="25" t="n">
        <v>0</v>
      </c>
      <c r="F502" s="25" t="n">
        <v>0</v>
      </c>
      <c r="G502" s="17" t="inlineStr">
        <is>
          <t>TBD</t>
        </is>
      </c>
      <c r="H502" s="17" t="inlineStr"/>
      <c r="I502" s="26" t="n"/>
      <c r="J502" s="30" t="n"/>
      <c r="K502" s="18" t="n"/>
      <c r="L502" s="18" t="n"/>
      <c r="M502" s="17" t="n"/>
    </row>
    <row r="503">
      <c r="A503" s="12" t="inlineStr">
        <is>
          <t>2026-10-17</t>
        </is>
      </c>
      <c r="B503" s="22" t="n">
        <v>7</v>
      </c>
      <c r="C503" s="12" t="inlineStr">
        <is>
          <t>GAST</t>
        </is>
      </c>
      <c r="D503" s="12" t="inlineStr">
        <is>
          <t>JMU</t>
        </is>
      </c>
      <c r="E503" s="22" t="n">
        <v>0</v>
      </c>
      <c r="F503" s="22" t="n">
        <v>0</v>
      </c>
      <c r="G503" s="12" t="inlineStr">
        <is>
          <t>TBD</t>
        </is>
      </c>
      <c r="H503" s="12" t="inlineStr"/>
      <c r="I503" s="23" t="n"/>
      <c r="J503" s="29" t="n"/>
      <c r="K503" s="13" t="n"/>
      <c r="L503" s="13" t="n"/>
      <c r="M503" s="12" t="n"/>
    </row>
    <row r="504">
      <c r="A504" s="17" t="inlineStr">
        <is>
          <t>2026-10-17</t>
        </is>
      </c>
      <c r="B504" s="25" t="n">
        <v>7</v>
      </c>
      <c r="C504" s="17" t="inlineStr">
        <is>
          <t>TROY</t>
        </is>
      </c>
      <c r="D504" s="17" t="inlineStr">
        <is>
          <t>UL</t>
        </is>
      </c>
      <c r="E504" s="25" t="n">
        <v>0</v>
      </c>
      <c r="F504" s="25" t="n">
        <v>0</v>
      </c>
      <c r="G504" s="17" t="inlineStr">
        <is>
          <t>TBD</t>
        </is>
      </c>
      <c r="H504" s="17" t="inlineStr"/>
      <c r="I504" s="26" t="n"/>
      <c r="J504" s="30" t="n"/>
      <c r="K504" s="18" t="n"/>
      <c r="L504" s="18" t="n"/>
      <c r="M504" s="17" t="n"/>
    </row>
    <row r="505">
      <c r="A505" s="12" t="inlineStr">
        <is>
          <t>2026-10-17</t>
        </is>
      </c>
      <c r="B505" s="22" t="n">
        <v>7</v>
      </c>
      <c r="C505" s="12" t="inlineStr">
        <is>
          <t>LT</t>
        </is>
      </c>
      <c r="D505" s="12" t="inlineStr">
        <is>
          <t>ULM</t>
        </is>
      </c>
      <c r="E505" s="22" t="n">
        <v>0</v>
      </c>
      <c r="F505" s="22" t="n">
        <v>0</v>
      </c>
      <c r="G505" s="12" t="inlineStr">
        <is>
          <t>TBD</t>
        </is>
      </c>
      <c r="H505" s="12" t="inlineStr"/>
      <c r="I505" s="23" t="n"/>
      <c r="J505" s="29" t="n"/>
      <c r="K505" s="13" t="n"/>
      <c r="L505" s="13" t="n"/>
      <c r="M505" s="12" t="n"/>
    </row>
    <row r="506">
      <c r="A506" s="17" t="inlineStr">
        <is>
          <t>2026-10-17</t>
        </is>
      </c>
      <c r="B506" s="25" t="n">
        <v>7</v>
      </c>
      <c r="C506" s="17" t="inlineStr">
        <is>
          <t>FAU</t>
        </is>
      </c>
      <c r="D506" s="17" t="inlineStr">
        <is>
          <t>ARMY</t>
        </is>
      </c>
      <c r="E506" s="25" t="n">
        <v>0</v>
      </c>
      <c r="F506" s="25" t="n">
        <v>0</v>
      </c>
      <c r="G506" s="17" t="inlineStr">
        <is>
          <t>10/17 - 12:00 PM EDT</t>
        </is>
      </c>
      <c r="H506" s="17" t="inlineStr"/>
      <c r="I506" s="26" t="n"/>
      <c r="J506" s="30" t="n"/>
      <c r="K506" s="18" t="n"/>
      <c r="L506" s="18" t="n"/>
      <c r="M506" s="17" t="n"/>
    </row>
    <row r="507">
      <c r="A507" s="12" t="inlineStr">
        <is>
          <t>2026-10-17</t>
        </is>
      </c>
      <c r="B507" s="22" t="n">
        <v>7</v>
      </c>
      <c r="C507" s="12" t="inlineStr">
        <is>
          <t>CIT</t>
        </is>
      </c>
      <c r="D507" s="12" t="inlineStr">
        <is>
          <t>TA&amp;M</t>
        </is>
      </c>
      <c r="E507" s="22" t="n">
        <v>0</v>
      </c>
      <c r="F507" s="22" t="n">
        <v>0</v>
      </c>
      <c r="G507" s="12" t="inlineStr">
        <is>
          <t>10/17 - 1:00 PM EDT</t>
        </is>
      </c>
      <c r="H507" s="12" t="inlineStr"/>
      <c r="I507" s="23" t="n"/>
      <c r="J507" s="29" t="n"/>
      <c r="K507" s="13" t="n"/>
      <c r="L507" s="13" t="n"/>
      <c r="M507" s="12" t="n"/>
    </row>
    <row r="508">
      <c r="A508" s="17" t="inlineStr">
        <is>
          <t>2026-10-17</t>
        </is>
      </c>
      <c r="B508" s="25" t="n">
        <v>7</v>
      </c>
      <c r="C508" s="17" t="inlineStr">
        <is>
          <t>NIU</t>
        </is>
      </c>
      <c r="D508" s="17" t="inlineStr">
        <is>
          <t>WYO</t>
        </is>
      </c>
      <c r="E508" s="25" t="n">
        <v>0</v>
      </c>
      <c r="F508" s="25" t="n">
        <v>0</v>
      </c>
      <c r="G508" s="17" t="inlineStr">
        <is>
          <t>10/17 - 3:30 PM EDT</t>
        </is>
      </c>
      <c r="H508" s="17" t="inlineStr"/>
      <c r="I508" s="26" t="n"/>
      <c r="J508" s="30" t="n"/>
      <c r="K508" s="18" t="n"/>
      <c r="L508" s="18" t="n"/>
      <c r="M508" s="17" t="n"/>
    </row>
    <row r="509">
      <c r="A509" s="12" t="inlineStr">
        <is>
          <t>2026-10-17</t>
        </is>
      </c>
      <c r="B509" s="22" t="n">
        <v>7</v>
      </c>
      <c r="C509" s="12" t="inlineStr">
        <is>
          <t>UNLV</t>
        </is>
      </c>
      <c r="D509" s="12" t="inlineStr">
        <is>
          <t>AFA</t>
        </is>
      </c>
      <c r="E509" s="22" t="n">
        <v>0</v>
      </c>
      <c r="F509" s="22" t="n">
        <v>0</v>
      </c>
      <c r="G509" s="12" t="inlineStr">
        <is>
          <t>10/17 - 3:30 PM EDT</t>
        </is>
      </c>
      <c r="H509" s="12" t="inlineStr"/>
      <c r="I509" s="23" t="n"/>
      <c r="J509" s="29" t="n"/>
      <c r="K509" s="13" t="n"/>
      <c r="L509" s="13" t="n"/>
      <c r="M509" s="12" t="n"/>
    </row>
    <row r="510">
      <c r="A510" s="17" t="inlineStr">
        <is>
          <t>2026-10-17</t>
        </is>
      </c>
      <c r="B510" s="25" t="n">
        <v>7</v>
      </c>
      <c r="C510" s="17" t="inlineStr">
        <is>
          <t>WSU</t>
        </is>
      </c>
      <c r="D510" s="17" t="inlineStr">
        <is>
          <t>ORST</t>
        </is>
      </c>
      <c r="E510" s="25" t="n">
        <v>0</v>
      </c>
      <c r="F510" s="25" t="n">
        <v>0</v>
      </c>
      <c r="G510" s="17" t="inlineStr">
        <is>
          <t>10/17 - 6:00 PM EDT</t>
        </is>
      </c>
      <c r="H510" s="17" t="inlineStr"/>
      <c r="I510" s="26" t="n"/>
      <c r="J510" s="30" t="n"/>
      <c r="K510" s="18" t="n"/>
      <c r="L510" s="18" t="n"/>
      <c r="M510" s="17" t="n"/>
    </row>
    <row r="511">
      <c r="A511" s="12" t="inlineStr">
        <is>
          <t>2026-10-17</t>
        </is>
      </c>
      <c r="B511" s="22" t="n">
        <v>7</v>
      </c>
      <c r="C511" s="12" t="inlineStr">
        <is>
          <t>NEV</t>
        </is>
      </c>
      <c r="D511" s="12" t="inlineStr">
        <is>
          <t>NDSU</t>
        </is>
      </c>
      <c r="E511" s="22" t="n">
        <v>0</v>
      </c>
      <c r="F511" s="22" t="n">
        <v>0</v>
      </c>
      <c r="G511" s="12" t="inlineStr">
        <is>
          <t>10/17 - 7:00 PM EDT</t>
        </is>
      </c>
      <c r="H511" s="12" t="inlineStr"/>
      <c r="I511" s="23" t="n"/>
      <c r="J511" s="29" t="n"/>
      <c r="K511" s="13" t="n"/>
      <c r="L511" s="13" t="n"/>
      <c r="M511" s="12" t="n"/>
    </row>
    <row r="512">
      <c r="A512" s="17" t="inlineStr">
        <is>
          <t>2026-10-17</t>
        </is>
      </c>
      <c r="B512" s="25" t="n">
        <v>7</v>
      </c>
      <c r="C512" s="17" t="inlineStr">
        <is>
          <t>ELON</t>
        </is>
      </c>
      <c r="D512" s="17" t="inlineStr">
        <is>
          <t>STAN</t>
        </is>
      </c>
      <c r="E512" s="25" t="n">
        <v>0</v>
      </c>
      <c r="F512" s="25" t="n">
        <v>0</v>
      </c>
      <c r="G512" s="17" t="inlineStr">
        <is>
          <t>10/17 - 7:30 PM EDT</t>
        </is>
      </c>
      <c r="H512" s="17" t="inlineStr"/>
      <c r="I512" s="26" t="n"/>
      <c r="J512" s="30" t="n"/>
      <c r="K512" s="18" t="n"/>
      <c r="L512" s="18" t="n"/>
      <c r="M512" s="17" t="n"/>
    </row>
    <row r="513">
      <c r="A513" s="12" t="inlineStr">
        <is>
          <t>2026-10-18</t>
        </is>
      </c>
      <c r="B513" s="22" t="n">
        <v>7</v>
      </c>
      <c r="C513" s="12" t="inlineStr">
        <is>
          <t>SJSU</t>
        </is>
      </c>
      <c r="D513" s="12" t="inlineStr">
        <is>
          <t>UTEP</t>
        </is>
      </c>
      <c r="E513" s="22" t="n">
        <v>0</v>
      </c>
      <c r="F513" s="22" t="n">
        <v>0</v>
      </c>
      <c r="G513" s="12" t="inlineStr">
        <is>
          <t>10/17 - 9:00 PM EDT</t>
        </is>
      </c>
      <c r="H513" s="12" t="inlineStr"/>
      <c r="I513" s="23" t="n"/>
      <c r="J513" s="29" t="n"/>
      <c r="K513" s="13" t="n"/>
      <c r="L513" s="13" t="n"/>
      <c r="M513" s="12" t="n"/>
    </row>
    <row r="514">
      <c r="A514" s="17" t="inlineStr">
        <is>
          <t>2026-10-18</t>
        </is>
      </c>
      <c r="B514" s="25" t="n">
        <v>7</v>
      </c>
      <c r="C514" s="17" t="inlineStr">
        <is>
          <t>FRES</t>
        </is>
      </c>
      <c r="D514" s="17" t="inlineStr">
        <is>
          <t>SDSU</t>
        </is>
      </c>
      <c r="E514" s="25" t="n">
        <v>0</v>
      </c>
      <c r="F514" s="25" t="n">
        <v>0</v>
      </c>
      <c r="G514" s="17" t="inlineStr">
        <is>
          <t>10/17 - 10:30 PM EDT</t>
        </is>
      </c>
      <c r="H514" s="17" t="inlineStr"/>
      <c r="I514" s="26" t="n"/>
      <c r="J514" s="30" t="n"/>
      <c r="K514" s="18" t="n"/>
      <c r="L514" s="18" t="n"/>
      <c r="M514" s="17" t="n"/>
    </row>
    <row r="515">
      <c r="A515" s="12" t="inlineStr">
        <is>
          <t>2026-10-20</t>
        </is>
      </c>
      <c r="B515" s="22" t="n">
        <v>8</v>
      </c>
      <c r="C515" s="12" t="inlineStr">
        <is>
          <t>MTSU</t>
        </is>
      </c>
      <c r="D515" s="12" t="inlineStr">
        <is>
          <t>FIU</t>
        </is>
      </c>
      <c r="E515" s="22" t="n">
        <v>0</v>
      </c>
      <c r="F515" s="22" t="n">
        <v>0</v>
      </c>
      <c r="G515" s="12" t="inlineStr">
        <is>
          <t>10/20 - 7:00 PM EDT</t>
        </is>
      </c>
      <c r="H515" s="12" t="inlineStr"/>
      <c r="I515" s="23" t="n"/>
      <c r="J515" s="29" t="n"/>
      <c r="K515" s="13" t="n"/>
      <c r="L515" s="13" t="n"/>
      <c r="M515" s="12" t="n"/>
    </row>
    <row r="516">
      <c r="A516" s="17" t="inlineStr">
        <is>
          <t>2026-10-20</t>
        </is>
      </c>
      <c r="B516" s="25" t="n">
        <v>8</v>
      </c>
      <c r="C516" s="17" t="inlineStr">
        <is>
          <t>MOST</t>
        </is>
      </c>
      <c r="D516" s="17" t="inlineStr">
        <is>
          <t>DEL</t>
        </is>
      </c>
      <c r="E516" s="25" t="n">
        <v>0</v>
      </c>
      <c r="F516" s="25" t="n">
        <v>0</v>
      </c>
      <c r="G516" s="17" t="inlineStr">
        <is>
          <t>10/20 - 7:00 PM EDT</t>
        </is>
      </c>
      <c r="H516" s="17" t="inlineStr"/>
      <c r="I516" s="26" t="n"/>
      <c r="J516" s="30" t="n"/>
      <c r="K516" s="18" t="n"/>
      <c r="L516" s="18" t="n"/>
      <c r="M516" s="17" t="n"/>
    </row>
    <row r="517">
      <c r="A517" s="12" t="inlineStr">
        <is>
          <t>2026-10-20</t>
        </is>
      </c>
      <c r="B517" s="22" t="n">
        <v>8</v>
      </c>
      <c r="C517" s="12" t="inlineStr">
        <is>
          <t>USA</t>
        </is>
      </c>
      <c r="D517" s="12" t="inlineStr">
        <is>
          <t>MRSH</t>
        </is>
      </c>
      <c r="E517" s="22" t="n">
        <v>0</v>
      </c>
      <c r="F517" s="22" t="n">
        <v>0</v>
      </c>
      <c r="G517" s="12" t="inlineStr">
        <is>
          <t>10/20 - 7:30 PM EDT</t>
        </is>
      </c>
      <c r="H517" s="12" t="inlineStr"/>
      <c r="I517" s="23" t="n"/>
      <c r="J517" s="29" t="n"/>
      <c r="K517" s="13" t="n"/>
      <c r="L517" s="13" t="n"/>
      <c r="M517" s="12" t="n"/>
    </row>
    <row r="518">
      <c r="A518" s="17" t="inlineStr">
        <is>
          <t>2026-10-22</t>
        </is>
      </c>
      <c r="B518" s="25" t="n">
        <v>8</v>
      </c>
      <c r="C518" s="17" t="inlineStr">
        <is>
          <t>NMSU</t>
        </is>
      </c>
      <c r="D518" s="17" t="inlineStr">
        <is>
          <t>SHSU</t>
        </is>
      </c>
      <c r="E518" s="25" t="n">
        <v>0</v>
      </c>
      <c r="F518" s="25" t="n">
        <v>0</v>
      </c>
      <c r="G518" s="17" t="inlineStr">
        <is>
          <t>10/21 - 8:00 PM EDT</t>
        </is>
      </c>
      <c r="H518" s="17" t="inlineStr"/>
      <c r="I518" s="26" t="n"/>
      <c r="J518" s="30" t="n"/>
      <c r="K518" s="18" t="n"/>
      <c r="L518" s="18" t="n"/>
      <c r="M518" s="17" t="n"/>
    </row>
    <row r="519">
      <c r="A519" s="12" t="inlineStr">
        <is>
          <t>2026-10-22</t>
        </is>
      </c>
      <c r="B519" s="22" t="n">
        <v>8</v>
      </c>
      <c r="C519" s="12" t="inlineStr">
        <is>
          <t>JMU</t>
        </is>
      </c>
      <c r="D519" s="12" t="inlineStr">
        <is>
          <t>APP</t>
        </is>
      </c>
      <c r="E519" s="22" t="n">
        <v>0</v>
      </c>
      <c r="F519" s="22" t="n">
        <v>0</v>
      </c>
      <c r="G519" s="12" t="inlineStr">
        <is>
          <t>10/22 - 7:00 PM EDT</t>
        </is>
      </c>
      <c r="H519" s="12" t="inlineStr"/>
      <c r="I519" s="23" t="n"/>
      <c r="J519" s="29" t="n"/>
      <c r="K519" s="13" t="n"/>
      <c r="L519" s="13" t="n"/>
      <c r="M519" s="12" t="n"/>
    </row>
    <row r="520">
      <c r="A520" s="17" t="inlineStr">
        <is>
          <t>2026-10-22</t>
        </is>
      </c>
      <c r="B520" s="25" t="n">
        <v>8</v>
      </c>
      <c r="C520" s="17" t="inlineStr">
        <is>
          <t>LIB</t>
        </is>
      </c>
      <c r="D520" s="17" t="inlineStr">
        <is>
          <t>KENN</t>
        </is>
      </c>
      <c r="E520" s="25" t="n">
        <v>0</v>
      </c>
      <c r="F520" s="25" t="n">
        <v>0</v>
      </c>
      <c r="G520" s="17" t="inlineStr">
        <is>
          <t>10/22 - 7:00 PM EDT</t>
        </is>
      </c>
      <c r="H520" s="17" t="inlineStr"/>
      <c r="I520" s="26" t="n"/>
      <c r="J520" s="30" t="n"/>
      <c r="K520" s="18" t="n"/>
      <c r="L520" s="18" t="n"/>
      <c r="M520" s="17" t="n"/>
    </row>
    <row r="521">
      <c r="A521" s="12" t="inlineStr">
        <is>
          <t>2026-10-22</t>
        </is>
      </c>
      <c r="B521" s="22" t="n">
        <v>8</v>
      </c>
      <c r="C521" s="12" t="inlineStr">
        <is>
          <t>ECU</t>
        </is>
      </c>
      <c r="D521" s="12" t="inlineStr">
        <is>
          <t>MEM</t>
        </is>
      </c>
      <c r="E521" s="22" t="n">
        <v>0</v>
      </c>
      <c r="F521" s="22" t="n">
        <v>0</v>
      </c>
      <c r="G521" s="12" t="inlineStr">
        <is>
          <t>10/22 - 7:30 PM EDT</t>
        </is>
      </c>
      <c r="H521" s="12" t="inlineStr"/>
      <c r="I521" s="23" t="n"/>
      <c r="J521" s="29" t="n"/>
      <c r="K521" s="13" t="n"/>
      <c r="L521" s="13" t="n"/>
      <c r="M521" s="12" t="n"/>
    </row>
    <row r="522">
      <c r="A522" s="17" t="inlineStr">
        <is>
          <t>2026-10-23</t>
        </is>
      </c>
      <c r="B522" s="25" t="n">
        <v>8</v>
      </c>
      <c r="C522" s="17" t="inlineStr">
        <is>
          <t>DUKE</t>
        </is>
      </c>
      <c r="D522" s="17" t="inlineStr">
        <is>
          <t>UVA</t>
        </is>
      </c>
      <c r="E522" s="25" t="n">
        <v>0</v>
      </c>
      <c r="F522" s="25" t="n">
        <v>0</v>
      </c>
      <c r="G522" s="17" t="inlineStr">
        <is>
          <t>10/23 - 7:00 PM EDT</t>
        </is>
      </c>
      <c r="H522" s="17" t="inlineStr"/>
      <c r="I522" s="26" t="n"/>
      <c r="J522" s="30" t="n"/>
      <c r="K522" s="18" t="n"/>
      <c r="L522" s="18" t="n"/>
      <c r="M522" s="17" t="n"/>
    </row>
    <row r="523">
      <c r="A523" s="12" t="inlineStr">
        <is>
          <t>2026-10-23</t>
        </is>
      </c>
      <c r="B523" s="22" t="n">
        <v>8</v>
      </c>
      <c r="C523" s="12" t="inlineStr">
        <is>
          <t>MASS</t>
        </is>
      </c>
      <c r="D523" s="12" t="inlineStr">
        <is>
          <t>CONN</t>
        </is>
      </c>
      <c r="E523" s="22" t="n">
        <v>0</v>
      </c>
      <c r="F523" s="22" t="n">
        <v>0</v>
      </c>
      <c r="G523" s="12" t="inlineStr">
        <is>
          <t>10/23 - 7:00 PM EDT</t>
        </is>
      </c>
      <c r="H523" s="12" t="inlineStr"/>
      <c r="I523" s="23" t="n"/>
      <c r="J523" s="29" t="n"/>
      <c r="K523" s="13" t="n"/>
      <c r="L523" s="13" t="n"/>
      <c r="M523" s="12" t="n"/>
    </row>
    <row r="524">
      <c r="A524" s="17" t="inlineStr">
        <is>
          <t>2026-10-24</t>
        </is>
      </c>
      <c r="B524" s="25" t="n">
        <v>8</v>
      </c>
      <c r="C524" s="17" t="inlineStr">
        <is>
          <t>ARMY</t>
        </is>
      </c>
      <c r="D524" s="17" t="inlineStr">
        <is>
          <t>TLSA</t>
        </is>
      </c>
      <c r="E524" s="25" t="n">
        <v>0</v>
      </c>
      <c r="F524" s="25" t="n">
        <v>0</v>
      </c>
      <c r="G524" s="17" t="inlineStr">
        <is>
          <t>10/23 - 8:30 PM EDT</t>
        </is>
      </c>
      <c r="H524" s="17" t="inlineStr"/>
      <c r="I524" s="26" t="n"/>
      <c r="J524" s="30" t="n"/>
      <c r="K524" s="18" t="n"/>
      <c r="L524" s="18" t="n"/>
      <c r="M524" s="17" t="n"/>
    </row>
    <row r="525">
      <c r="A525" s="12" t="inlineStr">
        <is>
          <t>2026-10-24</t>
        </is>
      </c>
      <c r="B525" s="22" t="n">
        <v>8</v>
      </c>
      <c r="C525" s="12" t="inlineStr">
        <is>
          <t>AFA</t>
        </is>
      </c>
      <c r="D525" s="12" t="inlineStr">
        <is>
          <t>WYO</t>
        </is>
      </c>
      <c r="E525" s="22" t="n">
        <v>0</v>
      </c>
      <c r="F525" s="22" t="n">
        <v>0</v>
      </c>
      <c r="G525" s="12" t="inlineStr">
        <is>
          <t>10/23 - 9:00 PM EDT</t>
        </is>
      </c>
      <c r="H525" s="12" t="inlineStr"/>
      <c r="I525" s="23" t="n"/>
      <c r="J525" s="29" t="n"/>
      <c r="K525" s="13" t="n"/>
      <c r="L525" s="13" t="n"/>
      <c r="M525" s="12" t="n"/>
    </row>
    <row r="526">
      <c r="A526" s="17" t="inlineStr">
        <is>
          <t>2026-10-24</t>
        </is>
      </c>
      <c r="B526" s="25" t="n">
        <v>8</v>
      </c>
      <c r="C526" s="17" t="inlineStr">
        <is>
          <t>NCSU</t>
        </is>
      </c>
      <c r="D526" s="17" t="inlineStr">
        <is>
          <t>STAN</t>
        </is>
      </c>
      <c r="E526" s="25" t="n">
        <v>0</v>
      </c>
      <c r="F526" s="25" t="n">
        <v>0</v>
      </c>
      <c r="G526" s="17" t="inlineStr">
        <is>
          <t>10/23 - 10:30 PM EDT</t>
        </is>
      </c>
      <c r="H526" s="17" t="inlineStr"/>
      <c r="I526" s="26" t="n"/>
      <c r="J526" s="30" t="n"/>
      <c r="K526" s="18" t="n"/>
      <c r="L526" s="18" t="n"/>
      <c r="M526" s="17" t="n"/>
    </row>
    <row r="527">
      <c r="A527" s="12" t="inlineStr">
        <is>
          <t>2026-10-24</t>
        </is>
      </c>
      <c r="B527" s="22" t="n">
        <v>8</v>
      </c>
      <c r="C527" s="12" t="inlineStr">
        <is>
          <t>TA&amp;M</t>
        </is>
      </c>
      <c r="D527" s="12" t="inlineStr">
        <is>
          <t>ALA</t>
        </is>
      </c>
      <c r="E527" s="22" t="n">
        <v>0</v>
      </c>
      <c r="F527" s="22" t="n">
        <v>0</v>
      </c>
      <c r="G527" s="12" t="inlineStr">
        <is>
          <t>TBD</t>
        </is>
      </c>
      <c r="H527" s="12" t="inlineStr"/>
      <c r="I527" s="23" t="n"/>
      <c r="J527" s="29" t="n"/>
      <c r="K527" s="13" t="n"/>
      <c r="L527" s="13" t="n"/>
      <c r="M527" s="12" t="n"/>
    </row>
    <row r="528">
      <c r="A528" s="17" t="inlineStr">
        <is>
          <t>2026-10-24</t>
        </is>
      </c>
      <c r="B528" s="25" t="n">
        <v>8</v>
      </c>
      <c r="C528" s="17" t="inlineStr">
        <is>
          <t>VAN</t>
        </is>
      </c>
      <c r="D528" s="17" t="inlineStr">
        <is>
          <t>UK</t>
        </is>
      </c>
      <c r="E528" s="25" t="n">
        <v>0</v>
      </c>
      <c r="F528" s="25" t="n">
        <v>0</v>
      </c>
      <c r="G528" s="17" t="inlineStr">
        <is>
          <t>TBD</t>
        </is>
      </c>
      <c r="H528" s="17" t="inlineStr"/>
      <c r="I528" s="26" t="n"/>
      <c r="J528" s="30" t="n"/>
      <c r="K528" s="18" t="n"/>
      <c r="L528" s="18" t="n"/>
      <c r="M528" s="17" t="n"/>
    </row>
    <row r="529">
      <c r="A529" s="12" t="inlineStr">
        <is>
          <t>2026-10-24</t>
        </is>
      </c>
      <c r="B529" s="22" t="n">
        <v>8</v>
      </c>
      <c r="C529" s="12" t="inlineStr">
        <is>
          <t>OU</t>
        </is>
      </c>
      <c r="D529" s="12" t="inlineStr">
        <is>
          <t>MSST</t>
        </is>
      </c>
      <c r="E529" s="22" t="n">
        <v>0</v>
      </c>
      <c r="F529" s="22" t="n">
        <v>0</v>
      </c>
      <c r="G529" s="12" t="inlineStr">
        <is>
          <t>TBD</t>
        </is>
      </c>
      <c r="H529" s="12" t="inlineStr"/>
      <c r="I529" s="23" t="n"/>
      <c r="J529" s="29" t="n"/>
      <c r="K529" s="13" t="n"/>
      <c r="L529" s="13" t="n"/>
      <c r="M529" s="12" t="n"/>
    </row>
    <row r="530">
      <c r="A530" s="17" t="inlineStr">
        <is>
          <t>2026-10-24</t>
        </is>
      </c>
      <c r="B530" s="25" t="n">
        <v>8</v>
      </c>
      <c r="C530" s="17" t="inlineStr">
        <is>
          <t>TENN</t>
        </is>
      </c>
      <c r="D530" s="17" t="inlineStr">
        <is>
          <t>SC</t>
        </is>
      </c>
      <c r="E530" s="25" t="n">
        <v>0</v>
      </c>
      <c r="F530" s="25" t="n">
        <v>0</v>
      </c>
      <c r="G530" s="17" t="inlineStr">
        <is>
          <t>TBD</t>
        </is>
      </c>
      <c r="H530" s="17" t="inlineStr"/>
      <c r="I530" s="26" t="n"/>
      <c r="J530" s="30" t="n"/>
      <c r="K530" s="18" t="n"/>
      <c r="L530" s="18" t="n"/>
      <c r="M530" s="17" t="n"/>
    </row>
    <row r="531">
      <c r="A531" s="12" t="inlineStr">
        <is>
          <t>2026-10-24</t>
        </is>
      </c>
      <c r="B531" s="22" t="n">
        <v>8</v>
      </c>
      <c r="C531" s="12" t="inlineStr">
        <is>
          <t>MISS</t>
        </is>
      </c>
      <c r="D531" s="12" t="inlineStr">
        <is>
          <t>TEX</t>
        </is>
      </c>
      <c r="E531" s="22" t="n">
        <v>0</v>
      </c>
      <c r="F531" s="22" t="n">
        <v>0</v>
      </c>
      <c r="G531" s="12" t="inlineStr">
        <is>
          <t>TBD</t>
        </is>
      </c>
      <c r="H531" s="12" t="inlineStr"/>
      <c r="I531" s="23" t="n"/>
      <c r="J531" s="29" t="n"/>
      <c r="K531" s="13" t="n"/>
      <c r="L531" s="13" t="n"/>
      <c r="M531" s="12" t="n"/>
    </row>
    <row r="532">
      <c r="A532" s="17" t="inlineStr">
        <is>
          <t>2026-10-24</t>
        </is>
      </c>
      <c r="B532" s="25" t="n">
        <v>8</v>
      </c>
      <c r="C532" s="17" t="inlineStr">
        <is>
          <t>BAY</t>
        </is>
      </c>
      <c r="D532" s="17" t="inlineStr">
        <is>
          <t>KU</t>
        </is>
      </c>
      <c r="E532" s="25" t="n">
        <v>0</v>
      </c>
      <c r="F532" s="25" t="n">
        <v>0</v>
      </c>
      <c r="G532" s="17" t="inlineStr">
        <is>
          <t>TBD</t>
        </is>
      </c>
      <c r="H532" s="17" t="inlineStr"/>
      <c r="I532" s="26" t="n"/>
      <c r="J532" s="30" t="n"/>
      <c r="K532" s="18" t="n"/>
      <c r="L532" s="18" t="n"/>
      <c r="M532" s="17" t="n"/>
    </row>
    <row r="533">
      <c r="A533" s="12" t="inlineStr">
        <is>
          <t>2026-10-24</t>
        </is>
      </c>
      <c r="B533" s="22" t="n">
        <v>8</v>
      </c>
      <c r="C533" s="12" t="inlineStr">
        <is>
          <t>BYU</t>
        </is>
      </c>
      <c r="D533" s="12" t="inlineStr">
        <is>
          <t>UCF</t>
        </is>
      </c>
      <c r="E533" s="22" t="n">
        <v>0</v>
      </c>
      <c r="F533" s="22" t="n">
        <v>0</v>
      </c>
      <c r="G533" s="12" t="inlineStr">
        <is>
          <t>TBD</t>
        </is>
      </c>
      <c r="H533" s="12" t="inlineStr"/>
      <c r="I533" s="23" t="n"/>
      <c r="J533" s="29" t="n"/>
      <c r="K533" s="13" t="n"/>
      <c r="L533" s="13" t="n"/>
      <c r="M533" s="12" t="n"/>
    </row>
    <row r="534">
      <c r="A534" s="17" t="inlineStr">
        <is>
          <t>2026-10-24</t>
        </is>
      </c>
      <c r="B534" s="25" t="n">
        <v>8</v>
      </c>
      <c r="C534" s="17" t="inlineStr">
        <is>
          <t>COLO</t>
        </is>
      </c>
      <c r="D534" s="17" t="inlineStr">
        <is>
          <t>OKST</t>
        </is>
      </c>
      <c r="E534" s="25" t="n">
        <v>0</v>
      </c>
      <c r="F534" s="25" t="n">
        <v>0</v>
      </c>
      <c r="G534" s="17" t="inlineStr">
        <is>
          <t>TBD</t>
        </is>
      </c>
      <c r="H534" s="17" t="inlineStr"/>
      <c r="I534" s="26" t="n"/>
      <c r="J534" s="30" t="n"/>
      <c r="K534" s="18" t="n"/>
      <c r="L534" s="18" t="n"/>
      <c r="M534" s="17" t="n"/>
    </row>
    <row r="535">
      <c r="A535" s="12" t="inlineStr">
        <is>
          <t>2026-10-24</t>
        </is>
      </c>
      <c r="B535" s="22" t="n">
        <v>8</v>
      </c>
      <c r="C535" s="12" t="inlineStr">
        <is>
          <t>HOU</t>
        </is>
      </c>
      <c r="D535" s="12" t="inlineStr">
        <is>
          <t>UTAH</t>
        </is>
      </c>
      <c r="E535" s="22" t="n">
        <v>0</v>
      </c>
      <c r="F535" s="22" t="n">
        <v>0</v>
      </c>
      <c r="G535" s="12" t="inlineStr">
        <is>
          <t>TBD</t>
        </is>
      </c>
      <c r="H535" s="12" t="inlineStr"/>
      <c r="I535" s="23" t="n"/>
      <c r="J535" s="29" t="n"/>
      <c r="K535" s="13" t="n"/>
      <c r="L535" s="13" t="n"/>
      <c r="M535" s="12" t="n"/>
    </row>
    <row r="536">
      <c r="A536" s="17" t="inlineStr">
        <is>
          <t>2026-10-24</t>
        </is>
      </c>
      <c r="B536" s="25" t="n">
        <v>8</v>
      </c>
      <c r="C536" s="17" t="inlineStr">
        <is>
          <t>ISU</t>
        </is>
      </c>
      <c r="D536" s="17" t="inlineStr">
        <is>
          <t>ARIZ</t>
        </is>
      </c>
      <c r="E536" s="25" t="n">
        <v>0</v>
      </c>
      <c r="F536" s="25" t="n">
        <v>0</v>
      </c>
      <c r="G536" s="17" t="inlineStr">
        <is>
          <t>TBD</t>
        </is>
      </c>
      <c r="H536" s="17" t="inlineStr"/>
      <c r="I536" s="26" t="n"/>
      <c r="J536" s="30" t="n"/>
      <c r="K536" s="18" t="n"/>
      <c r="L536" s="18" t="n"/>
      <c r="M536" s="17" t="n"/>
    </row>
    <row r="537">
      <c r="A537" s="12" t="inlineStr">
        <is>
          <t>2026-10-24</t>
        </is>
      </c>
      <c r="B537" s="22" t="n">
        <v>8</v>
      </c>
      <c r="C537" s="12" t="inlineStr">
        <is>
          <t>KSU</t>
        </is>
      </c>
      <c r="D537" s="12" t="inlineStr">
        <is>
          <t>ASU</t>
        </is>
      </c>
      <c r="E537" s="22" t="n">
        <v>0</v>
      </c>
      <c r="F537" s="22" t="n">
        <v>0</v>
      </c>
      <c r="G537" s="12" t="inlineStr">
        <is>
          <t>TBD</t>
        </is>
      </c>
      <c r="H537" s="12" t="inlineStr"/>
      <c r="I537" s="23" t="n"/>
      <c r="J537" s="29" t="n"/>
      <c r="K537" s="13" t="n"/>
      <c r="L537" s="13" t="n"/>
      <c r="M537" s="12" t="n"/>
    </row>
    <row r="538">
      <c r="A538" s="17" t="inlineStr">
        <is>
          <t>2026-10-24</t>
        </is>
      </c>
      <c r="B538" s="25" t="n">
        <v>8</v>
      </c>
      <c r="C538" s="17" t="inlineStr">
        <is>
          <t>TTU</t>
        </is>
      </c>
      <c r="D538" s="17" t="inlineStr">
        <is>
          <t>CIN</t>
        </is>
      </c>
      <c r="E538" s="25" t="n">
        <v>0</v>
      </c>
      <c r="F538" s="25" t="n">
        <v>0</v>
      </c>
      <c r="G538" s="17" t="inlineStr">
        <is>
          <t>TBD</t>
        </is>
      </c>
      <c r="H538" s="17" t="inlineStr"/>
      <c r="I538" s="26" t="n"/>
      <c r="J538" s="30" t="n"/>
      <c r="K538" s="18" t="n"/>
      <c r="L538" s="18" t="n"/>
      <c r="M538" s="17" t="n"/>
    </row>
    <row r="539">
      <c r="A539" s="12" t="inlineStr">
        <is>
          <t>2026-10-24</t>
        </is>
      </c>
      <c r="B539" s="22" t="n">
        <v>8</v>
      </c>
      <c r="C539" s="12" t="inlineStr">
        <is>
          <t>WVU</t>
        </is>
      </c>
      <c r="D539" s="12" t="inlineStr">
        <is>
          <t>TCU</t>
        </is>
      </c>
      <c r="E539" s="22" t="n">
        <v>0</v>
      </c>
      <c r="F539" s="22" t="n">
        <v>0</v>
      </c>
      <c r="G539" s="12" t="inlineStr">
        <is>
          <t>TBD</t>
        </is>
      </c>
      <c r="H539" s="12" t="inlineStr"/>
      <c r="I539" s="23" t="n"/>
      <c r="J539" s="29" t="n"/>
      <c r="K539" s="13" t="n"/>
      <c r="L539" s="13" t="n"/>
      <c r="M539" s="12" t="n"/>
    </row>
    <row r="540">
      <c r="A540" s="17" t="inlineStr">
        <is>
          <t>2026-10-24</t>
        </is>
      </c>
      <c r="B540" s="25" t="n">
        <v>8</v>
      </c>
      <c r="C540" s="17" t="inlineStr">
        <is>
          <t>CAL</t>
        </is>
      </c>
      <c r="D540" s="17" t="inlineStr">
        <is>
          <t>SMU</t>
        </is>
      </c>
      <c r="E540" s="25" t="n">
        <v>0</v>
      </c>
      <c r="F540" s="25" t="n">
        <v>0</v>
      </c>
      <c r="G540" s="17" t="inlineStr">
        <is>
          <t>TBD</t>
        </is>
      </c>
      <c r="H540" s="17" t="inlineStr"/>
      <c r="I540" s="26" t="n"/>
      <c r="J540" s="30" t="n"/>
      <c r="K540" s="18" t="n"/>
      <c r="L540" s="18" t="n"/>
      <c r="M540" s="17" t="n"/>
    </row>
    <row r="541">
      <c r="A541" s="12" t="inlineStr">
        <is>
          <t>2026-10-24</t>
        </is>
      </c>
      <c r="B541" s="22" t="n">
        <v>8</v>
      </c>
      <c r="C541" s="12" t="inlineStr">
        <is>
          <t>BC</t>
        </is>
      </c>
      <c r="D541" s="12" t="inlineStr">
        <is>
          <t>GT</t>
        </is>
      </c>
      <c r="E541" s="22" t="n">
        <v>0</v>
      </c>
      <c r="F541" s="22" t="n">
        <v>0</v>
      </c>
      <c r="G541" s="12" t="inlineStr">
        <is>
          <t>TBD</t>
        </is>
      </c>
      <c r="H541" s="12" t="inlineStr"/>
      <c r="I541" s="23" t="n"/>
      <c r="J541" s="29" t="n"/>
      <c r="K541" s="13" t="n"/>
      <c r="L541" s="13" t="n"/>
      <c r="M541" s="12" t="n"/>
    </row>
    <row r="542">
      <c r="A542" s="17" t="inlineStr">
        <is>
          <t>2026-10-24</t>
        </is>
      </c>
      <c r="B542" s="25" t="n">
        <v>8</v>
      </c>
      <c r="C542" s="17" t="inlineStr">
        <is>
          <t>PITT</t>
        </is>
      </c>
      <c r="D542" s="17" t="inlineStr">
        <is>
          <t>MIA</t>
        </is>
      </c>
      <c r="E542" s="25" t="n">
        <v>0</v>
      </c>
      <c r="F542" s="25" t="n">
        <v>0</v>
      </c>
      <c r="G542" s="17" t="inlineStr">
        <is>
          <t>TBD</t>
        </is>
      </c>
      <c r="H542" s="17" t="inlineStr"/>
      <c r="I542" s="26" t="n"/>
      <c r="J542" s="30" t="n"/>
      <c r="K542" s="18" t="n"/>
      <c r="L542" s="18" t="n"/>
      <c r="M542" s="17" t="n"/>
    </row>
    <row r="543">
      <c r="A543" s="12" t="inlineStr">
        <is>
          <t>2026-10-24</t>
        </is>
      </c>
      <c r="B543" s="22" t="n">
        <v>8</v>
      </c>
      <c r="C543" s="12" t="inlineStr">
        <is>
          <t>SYR</t>
        </is>
      </c>
      <c r="D543" s="12" t="inlineStr">
        <is>
          <t>UNC</t>
        </is>
      </c>
      <c r="E543" s="22" t="n">
        <v>0</v>
      </c>
      <c r="F543" s="22" t="n">
        <v>0</v>
      </c>
      <c r="G543" s="12" t="inlineStr">
        <is>
          <t>TBD</t>
        </is>
      </c>
      <c r="H543" s="12" t="inlineStr"/>
      <c r="I543" s="23" t="n"/>
      <c r="J543" s="29" t="n"/>
      <c r="K543" s="13" t="n"/>
      <c r="L543" s="13" t="n"/>
      <c r="M543" s="12" t="n"/>
    </row>
    <row r="544">
      <c r="A544" s="17" t="inlineStr">
        <is>
          <t>2026-10-24</t>
        </is>
      </c>
      <c r="B544" s="25" t="n">
        <v>8</v>
      </c>
      <c r="C544" s="17" t="inlineStr">
        <is>
          <t>VT</t>
        </is>
      </c>
      <c r="D544" s="17" t="inlineStr">
        <is>
          <t>CLEM</t>
        </is>
      </c>
      <c r="E544" s="25" t="n">
        <v>0</v>
      </c>
      <c r="F544" s="25" t="n">
        <v>0</v>
      </c>
      <c r="G544" s="17" t="inlineStr">
        <is>
          <t>TBD</t>
        </is>
      </c>
      <c r="H544" s="17" t="inlineStr"/>
      <c r="I544" s="26" t="n"/>
      <c r="J544" s="30" t="n"/>
      <c r="K544" s="18" t="n"/>
      <c r="L544" s="18" t="n"/>
      <c r="M544" s="17" t="n"/>
    </row>
    <row r="545">
      <c r="A545" s="12" t="inlineStr">
        <is>
          <t>2026-10-24</t>
        </is>
      </c>
      <c r="B545" s="22" t="n">
        <v>8</v>
      </c>
      <c r="C545" s="12" t="inlineStr">
        <is>
          <t>ORE</t>
        </is>
      </c>
      <c r="D545" s="12" t="inlineStr">
        <is>
          <t>ILL</t>
        </is>
      </c>
      <c r="E545" s="22" t="n">
        <v>0</v>
      </c>
      <c r="F545" s="22" t="n">
        <v>0</v>
      </c>
      <c r="G545" s="12" t="inlineStr">
        <is>
          <t>TBD</t>
        </is>
      </c>
      <c r="H545" s="12" t="inlineStr"/>
      <c r="I545" s="23" t="n"/>
      <c r="J545" s="29" t="n"/>
      <c r="K545" s="13" t="n"/>
      <c r="L545" s="13" t="n"/>
      <c r="M545" s="12" t="n"/>
    </row>
    <row r="546">
      <c r="A546" s="17" t="inlineStr">
        <is>
          <t>2026-10-24</t>
        </is>
      </c>
      <c r="B546" s="25" t="n">
        <v>8</v>
      </c>
      <c r="C546" s="17" t="inlineStr">
        <is>
          <t>IU</t>
        </is>
      </c>
      <c r="D546" s="17" t="inlineStr">
        <is>
          <t>MICH</t>
        </is>
      </c>
      <c r="E546" s="25" t="n">
        <v>0</v>
      </c>
      <c r="F546" s="25" t="n">
        <v>0</v>
      </c>
      <c r="G546" s="17" t="inlineStr">
        <is>
          <t>TBD</t>
        </is>
      </c>
      <c r="H546" s="17" t="inlineStr"/>
      <c r="I546" s="26" t="n"/>
      <c r="J546" s="30" t="n"/>
      <c r="K546" s="18" t="n"/>
      <c r="L546" s="18" t="n"/>
      <c r="M546" s="17" t="n"/>
    </row>
    <row r="547">
      <c r="A547" s="12" t="inlineStr">
        <is>
          <t>2026-10-24</t>
        </is>
      </c>
      <c r="B547" s="22" t="n">
        <v>8</v>
      </c>
      <c r="C547" s="12" t="inlineStr">
        <is>
          <t>IOWA</t>
        </is>
      </c>
      <c r="D547" s="12" t="inlineStr">
        <is>
          <t>MINN</t>
        </is>
      </c>
      <c r="E547" s="22" t="n">
        <v>0</v>
      </c>
      <c r="F547" s="22" t="n">
        <v>0</v>
      </c>
      <c r="G547" s="12" t="inlineStr">
        <is>
          <t>TBD</t>
        </is>
      </c>
      <c r="H547" s="12" t="inlineStr"/>
      <c r="I547" s="23" t="n"/>
      <c r="J547" s="29" t="n"/>
      <c r="K547" s="13" t="n"/>
      <c r="L547" s="13" t="n"/>
      <c r="M547" s="12" t="n"/>
    </row>
    <row r="548">
      <c r="A548" s="17" t="inlineStr">
        <is>
          <t>2026-10-24</t>
        </is>
      </c>
      <c r="B548" s="25" t="n">
        <v>8</v>
      </c>
      <c r="C548" s="17" t="inlineStr">
        <is>
          <t>RUTG</t>
        </is>
      </c>
      <c r="D548" s="17" t="inlineStr">
        <is>
          <t>NU</t>
        </is>
      </c>
      <c r="E548" s="25" t="n">
        <v>0</v>
      </c>
      <c r="F548" s="25" t="n">
        <v>0</v>
      </c>
      <c r="G548" s="17" t="inlineStr">
        <is>
          <t>TBD</t>
        </is>
      </c>
      <c r="H548" s="17" t="inlineStr"/>
      <c r="I548" s="26" t="n"/>
      <c r="J548" s="30" t="n"/>
      <c r="K548" s="18" t="n"/>
      <c r="L548" s="18" t="n"/>
      <c r="M548" s="17" t="n"/>
    </row>
    <row r="549">
      <c r="A549" s="12" t="inlineStr">
        <is>
          <t>2026-10-24</t>
        </is>
      </c>
      <c r="B549" s="22" t="n">
        <v>8</v>
      </c>
      <c r="C549" s="12" t="inlineStr">
        <is>
          <t>MSU</t>
        </is>
      </c>
      <c r="D549" s="12" t="inlineStr">
        <is>
          <t>UCLA</t>
        </is>
      </c>
      <c r="E549" s="22" t="n">
        <v>0</v>
      </c>
      <c r="F549" s="22" t="n">
        <v>0</v>
      </c>
      <c r="G549" s="12" t="inlineStr">
        <is>
          <t>TBD</t>
        </is>
      </c>
      <c r="H549" s="12" t="inlineStr"/>
      <c r="I549" s="23" t="n"/>
      <c r="J549" s="29" t="n"/>
      <c r="K549" s="13" t="n"/>
      <c r="L549" s="13" t="n"/>
      <c r="M549" s="12" t="n"/>
    </row>
    <row r="550">
      <c r="A550" s="17" t="inlineStr">
        <is>
          <t>2026-10-24</t>
        </is>
      </c>
      <c r="B550" s="25" t="n">
        <v>8</v>
      </c>
      <c r="C550" s="17" t="inlineStr">
        <is>
          <t>USC</t>
        </is>
      </c>
      <c r="D550" s="17" t="inlineStr">
        <is>
          <t>WIS</t>
        </is>
      </c>
      <c r="E550" s="25" t="n">
        <v>0</v>
      </c>
      <c r="F550" s="25" t="n">
        <v>0</v>
      </c>
      <c r="G550" s="17" t="inlineStr">
        <is>
          <t>TBD</t>
        </is>
      </c>
      <c r="H550" s="17" t="inlineStr"/>
      <c r="I550" s="26" t="n"/>
      <c r="J550" s="30" t="n"/>
      <c r="K550" s="18" t="n"/>
      <c r="L550" s="18" t="n"/>
      <c r="M550" s="17" t="n"/>
    </row>
    <row r="551">
      <c r="A551" s="12" t="inlineStr">
        <is>
          <t>2026-10-24</t>
        </is>
      </c>
      <c r="B551" s="22" t="n">
        <v>8</v>
      </c>
      <c r="C551" s="12" t="inlineStr">
        <is>
          <t>RICE</t>
        </is>
      </c>
      <c r="D551" s="12" t="inlineStr">
        <is>
          <t>FAU</t>
        </is>
      </c>
      <c r="E551" s="22" t="n">
        <v>0</v>
      </c>
      <c r="F551" s="22" t="n">
        <v>0</v>
      </c>
      <c r="G551" s="12" t="inlineStr">
        <is>
          <t>TBD</t>
        </is>
      </c>
      <c r="H551" s="12" t="inlineStr"/>
      <c r="I551" s="23" t="n"/>
      <c r="J551" s="29" t="n"/>
      <c r="K551" s="13" t="n"/>
      <c r="L551" s="13" t="n"/>
      <c r="M551" s="12" t="n"/>
    </row>
    <row r="552">
      <c r="A552" s="17" t="inlineStr">
        <is>
          <t>2026-10-24</t>
        </is>
      </c>
      <c r="B552" s="25" t="n">
        <v>8</v>
      </c>
      <c r="C552" s="17" t="inlineStr">
        <is>
          <t>UTSA</t>
        </is>
      </c>
      <c r="D552" s="17" t="inlineStr">
        <is>
          <t>TULN</t>
        </is>
      </c>
      <c r="E552" s="25" t="n">
        <v>0</v>
      </c>
      <c r="F552" s="25" t="n">
        <v>0</v>
      </c>
      <c r="G552" s="17" t="inlineStr">
        <is>
          <t>TBD</t>
        </is>
      </c>
      <c r="H552" s="17" t="inlineStr"/>
      <c r="I552" s="26" t="n"/>
      <c r="J552" s="30" t="n"/>
      <c r="K552" s="18" t="n"/>
      <c r="L552" s="18" t="n"/>
      <c r="M552" s="17" t="n"/>
    </row>
    <row r="553">
      <c r="A553" s="12" t="inlineStr">
        <is>
          <t>2026-10-24</t>
        </is>
      </c>
      <c r="B553" s="22" t="n">
        <v>8</v>
      </c>
      <c r="C553" s="12" t="inlineStr">
        <is>
          <t>HAW</t>
        </is>
      </c>
      <c r="D553" s="12" t="inlineStr">
        <is>
          <t>NIU</t>
        </is>
      </c>
      <c r="E553" s="22" t="n">
        <v>0</v>
      </c>
      <c r="F553" s="22" t="n">
        <v>0</v>
      </c>
      <c r="G553" s="12" t="inlineStr">
        <is>
          <t>TBD</t>
        </is>
      </c>
      <c r="H553" s="12" t="inlineStr"/>
      <c r="I553" s="23" t="n"/>
      <c r="J553" s="29" t="n"/>
      <c r="K553" s="13" t="n"/>
      <c r="L553" s="13" t="n"/>
      <c r="M553" s="12" t="n"/>
    </row>
    <row r="554">
      <c r="A554" s="17" t="inlineStr">
        <is>
          <t>2026-10-24</t>
        </is>
      </c>
      <c r="B554" s="25" t="n">
        <v>8</v>
      </c>
      <c r="C554" s="17" t="inlineStr">
        <is>
          <t>AKR</t>
        </is>
      </c>
      <c r="D554" s="17" t="inlineStr">
        <is>
          <t>KENT</t>
        </is>
      </c>
      <c r="E554" s="25" t="n">
        <v>0</v>
      </c>
      <c r="F554" s="25" t="n">
        <v>0</v>
      </c>
      <c r="G554" s="17" t="inlineStr">
        <is>
          <t>TBD</t>
        </is>
      </c>
      <c r="H554" s="17" t="inlineStr"/>
      <c r="I554" s="26" t="n"/>
      <c r="J554" s="30" t="n"/>
      <c r="K554" s="18" t="n"/>
      <c r="L554" s="18" t="n"/>
      <c r="M554" s="17" t="n"/>
    </row>
    <row r="555">
      <c r="A555" s="12" t="inlineStr">
        <is>
          <t>2026-10-24</t>
        </is>
      </c>
      <c r="B555" s="22" t="n">
        <v>8</v>
      </c>
      <c r="C555" s="12" t="inlineStr">
        <is>
          <t>SAC</t>
        </is>
      </c>
      <c r="D555" s="12" t="inlineStr">
        <is>
          <t>BALL</t>
        </is>
      </c>
      <c r="E555" s="22" t="n">
        <v>0</v>
      </c>
      <c r="F555" s="22" t="n">
        <v>0</v>
      </c>
      <c r="G555" s="12" t="inlineStr">
        <is>
          <t>TBD</t>
        </is>
      </c>
      <c r="H555" s="12" t="inlineStr"/>
      <c r="I555" s="23" t="n"/>
      <c r="J555" s="29" t="n"/>
      <c r="K555" s="13" t="n"/>
      <c r="L555" s="13" t="n"/>
      <c r="M555" s="12" t="n"/>
    </row>
    <row r="556">
      <c r="A556" s="17" t="inlineStr">
        <is>
          <t>2026-10-24</t>
        </is>
      </c>
      <c r="B556" s="25" t="n">
        <v>8</v>
      </c>
      <c r="C556" s="17" t="inlineStr">
        <is>
          <t>BGSU</t>
        </is>
      </c>
      <c r="D556" s="17" t="inlineStr">
        <is>
          <t>BUFF</t>
        </is>
      </c>
      <c r="E556" s="25" t="n">
        <v>0</v>
      </c>
      <c r="F556" s="25" t="n">
        <v>0</v>
      </c>
      <c r="G556" s="17" t="inlineStr">
        <is>
          <t>TBD</t>
        </is>
      </c>
      <c r="H556" s="17" t="inlineStr"/>
      <c r="I556" s="26" t="n"/>
      <c r="J556" s="30" t="n"/>
      <c r="K556" s="18" t="n"/>
      <c r="L556" s="18" t="n"/>
      <c r="M556" s="17" t="n"/>
    </row>
    <row r="557">
      <c r="A557" s="12" t="inlineStr">
        <is>
          <t>2026-10-24</t>
        </is>
      </c>
      <c r="B557" s="22" t="n">
        <v>8</v>
      </c>
      <c r="C557" s="12" t="inlineStr">
        <is>
          <t>EMU</t>
        </is>
      </c>
      <c r="D557" s="12" t="inlineStr">
        <is>
          <t>OHIO</t>
        </is>
      </c>
      <c r="E557" s="22" t="n">
        <v>0</v>
      </c>
      <c r="F557" s="22" t="n">
        <v>0</v>
      </c>
      <c r="G557" s="12" t="inlineStr">
        <is>
          <t>TBD</t>
        </is>
      </c>
      <c r="H557" s="12" t="inlineStr"/>
      <c r="I557" s="23" t="n"/>
      <c r="J557" s="29" t="n"/>
      <c r="K557" s="13" t="n"/>
      <c r="L557" s="13" t="n"/>
      <c r="M557" s="12" t="n"/>
    </row>
    <row r="558">
      <c r="A558" s="17" t="inlineStr">
        <is>
          <t>2026-10-24</t>
        </is>
      </c>
      <c r="B558" s="25" t="n">
        <v>8</v>
      </c>
      <c r="C558" s="17" t="inlineStr">
        <is>
          <t>WMU</t>
        </is>
      </c>
      <c r="D558" s="17" t="inlineStr">
        <is>
          <t>TOL</t>
        </is>
      </c>
      <c r="E558" s="25" t="n">
        <v>0</v>
      </c>
      <c r="F558" s="25" t="n">
        <v>0</v>
      </c>
      <c r="G558" s="17" t="inlineStr">
        <is>
          <t>TBD</t>
        </is>
      </c>
      <c r="H558" s="17" t="inlineStr"/>
      <c r="I558" s="26" t="n"/>
      <c r="J558" s="30" t="n"/>
      <c r="K558" s="18" t="n"/>
      <c r="L558" s="18" t="n"/>
      <c r="M558" s="17" t="n"/>
    </row>
    <row r="559">
      <c r="A559" s="12" t="inlineStr">
        <is>
          <t>2026-10-24</t>
        </is>
      </c>
      <c r="B559" s="22" t="n">
        <v>8</v>
      </c>
      <c r="C559" s="12" t="inlineStr">
        <is>
          <t>M-OH</t>
        </is>
      </c>
      <c r="D559" s="12" t="inlineStr">
        <is>
          <t>CMU</t>
        </is>
      </c>
      <c r="E559" s="22" t="n">
        <v>0</v>
      </c>
      <c r="F559" s="22" t="n">
        <v>0</v>
      </c>
      <c r="G559" s="12" t="inlineStr">
        <is>
          <t>TBD</t>
        </is>
      </c>
      <c r="H559" s="12" t="inlineStr"/>
      <c r="I559" s="23" t="n"/>
      <c r="J559" s="29" t="n"/>
      <c r="K559" s="13" t="n"/>
      <c r="L559" s="13" t="n"/>
      <c r="M559" s="12" t="n"/>
    </row>
    <row r="560">
      <c r="A560" s="17" t="inlineStr">
        <is>
          <t>2026-10-24</t>
        </is>
      </c>
      <c r="B560" s="25" t="n">
        <v>8</v>
      </c>
      <c r="C560" s="17" t="inlineStr">
        <is>
          <t>UL</t>
        </is>
      </c>
      <c r="D560" s="17" t="inlineStr">
        <is>
          <t>USM</t>
        </is>
      </c>
      <c r="E560" s="25" t="n">
        <v>0</v>
      </c>
      <c r="F560" s="25" t="n">
        <v>0</v>
      </c>
      <c r="G560" s="17" t="inlineStr">
        <is>
          <t>TBD</t>
        </is>
      </c>
      <c r="H560" s="17" t="inlineStr"/>
      <c r="I560" s="26" t="n"/>
      <c r="J560" s="30" t="n"/>
      <c r="K560" s="18" t="n"/>
      <c r="L560" s="18" t="n"/>
      <c r="M560" s="17" t="n"/>
    </row>
    <row r="561">
      <c r="A561" s="12" t="inlineStr">
        <is>
          <t>2026-10-24</t>
        </is>
      </c>
      <c r="B561" s="22" t="n">
        <v>8</v>
      </c>
      <c r="C561" s="12" t="inlineStr">
        <is>
          <t>ODU</t>
        </is>
      </c>
      <c r="D561" s="12" t="inlineStr">
        <is>
          <t>LT</t>
        </is>
      </c>
      <c r="E561" s="22" t="n">
        <v>0</v>
      </c>
      <c r="F561" s="22" t="n">
        <v>0</v>
      </c>
      <c r="G561" s="12" t="inlineStr">
        <is>
          <t>TBD</t>
        </is>
      </c>
      <c r="H561" s="12" t="inlineStr"/>
      <c r="I561" s="23" t="n"/>
      <c r="J561" s="29" t="n"/>
      <c r="K561" s="13" t="n"/>
      <c r="L561" s="13" t="n"/>
      <c r="M561" s="12" t="n"/>
    </row>
    <row r="562">
      <c r="A562" s="17" t="inlineStr">
        <is>
          <t>2026-10-24</t>
        </is>
      </c>
      <c r="B562" s="25" t="n">
        <v>8</v>
      </c>
      <c r="C562" s="17" t="inlineStr">
        <is>
          <t>ULM</t>
        </is>
      </c>
      <c r="D562" s="17" t="inlineStr">
        <is>
          <t>TROY</t>
        </is>
      </c>
      <c r="E562" s="25" t="n">
        <v>0</v>
      </c>
      <c r="F562" s="25" t="n">
        <v>0</v>
      </c>
      <c r="G562" s="17" t="inlineStr">
        <is>
          <t>TBD</t>
        </is>
      </c>
      <c r="H562" s="17" t="inlineStr"/>
      <c r="I562" s="26" t="n"/>
      <c r="J562" s="30" t="n"/>
      <c r="K562" s="18" t="n"/>
      <c r="L562" s="18" t="n"/>
      <c r="M562" s="17" t="n"/>
    </row>
    <row r="563">
      <c r="A563" s="12" t="inlineStr">
        <is>
          <t>2026-10-24</t>
        </is>
      </c>
      <c r="B563" s="22" t="n">
        <v>8</v>
      </c>
      <c r="C563" s="12" t="inlineStr">
        <is>
          <t>LSU</t>
        </is>
      </c>
      <c r="D563" s="12" t="inlineStr">
        <is>
          <t>AUB</t>
        </is>
      </c>
      <c r="E563" s="22" t="n">
        <v>0</v>
      </c>
      <c r="F563" s="22" t="n">
        <v>0</v>
      </c>
      <c r="G563" s="12" t="inlineStr">
        <is>
          <t>10/24 - 12:00 PM EDT</t>
        </is>
      </c>
      <c r="H563" s="12" t="inlineStr"/>
      <c r="I563" s="23" t="n"/>
      <c r="J563" s="29" t="n"/>
      <c r="K563" s="13" t="n"/>
      <c r="L563" s="13" t="n"/>
      <c r="M563" s="12" t="n"/>
    </row>
    <row r="564">
      <c r="A564" s="17" t="inlineStr">
        <is>
          <t>2026-10-24</t>
        </is>
      </c>
      <c r="B564" s="25" t="n">
        <v>8</v>
      </c>
      <c r="C564" s="17" t="inlineStr">
        <is>
          <t>UNT</t>
        </is>
      </c>
      <c r="D564" s="17" t="inlineStr">
        <is>
          <t>NAVY</t>
        </is>
      </c>
      <c r="E564" s="25" t="n">
        <v>0</v>
      </c>
      <c r="F564" s="25" t="n">
        <v>0</v>
      </c>
      <c r="G564" s="17" t="inlineStr">
        <is>
          <t>10/24 - 3:30 PM EDT</t>
        </is>
      </c>
      <c r="H564" s="17" t="inlineStr"/>
      <c r="I564" s="26" t="n"/>
      <c r="J564" s="30" t="n"/>
      <c r="K564" s="18" t="n"/>
      <c r="L564" s="18" t="n"/>
      <c r="M564" s="17" t="n"/>
    </row>
    <row r="565">
      <c r="A565" s="12" t="inlineStr">
        <is>
          <t>2026-10-24</t>
        </is>
      </c>
      <c r="B565" s="22" t="n">
        <v>8</v>
      </c>
      <c r="C565" s="12" t="inlineStr">
        <is>
          <t>SJSU</t>
        </is>
      </c>
      <c r="D565" s="12" t="inlineStr">
        <is>
          <t>NEV</t>
        </is>
      </c>
      <c r="E565" s="22" t="n">
        <v>0</v>
      </c>
      <c r="F565" s="22" t="n">
        <v>0</v>
      </c>
      <c r="G565" s="12" t="inlineStr">
        <is>
          <t>10/24 - 5:00 PM EDT</t>
        </is>
      </c>
      <c r="H565" s="12" t="inlineStr"/>
      <c r="I565" s="23" t="n"/>
      <c r="J565" s="29" t="n"/>
      <c r="K565" s="13" t="n"/>
      <c r="L565" s="13" t="n"/>
      <c r="M565" s="12" t="n"/>
    </row>
    <row r="566">
      <c r="A566" s="17" t="inlineStr">
        <is>
          <t>2026-10-24</t>
        </is>
      </c>
      <c r="B566" s="25" t="n">
        <v>8</v>
      </c>
      <c r="C566" s="17" t="inlineStr">
        <is>
          <t>BOIS</t>
        </is>
      </c>
      <c r="D566" s="17" t="inlineStr">
        <is>
          <t>WSU</t>
        </is>
      </c>
      <c r="E566" s="25" t="n">
        <v>0</v>
      </c>
      <c r="F566" s="25" t="n">
        <v>0</v>
      </c>
      <c r="G566" s="17" t="inlineStr">
        <is>
          <t>10/24 - 6:00 PM EDT</t>
        </is>
      </c>
      <c r="H566" s="17" t="inlineStr"/>
      <c r="I566" s="26" t="n"/>
      <c r="J566" s="30" t="n"/>
      <c r="K566" s="18" t="n"/>
      <c r="L566" s="18" t="n"/>
      <c r="M566" s="17" t="n"/>
    </row>
    <row r="567">
      <c r="A567" s="12" t="inlineStr">
        <is>
          <t>2026-10-24</t>
        </is>
      </c>
      <c r="B567" s="22" t="n">
        <v>8</v>
      </c>
      <c r="C567" s="12" t="inlineStr">
        <is>
          <t>SDSU</t>
        </is>
      </c>
      <c r="D567" s="12" t="inlineStr">
        <is>
          <t>CSU</t>
        </is>
      </c>
      <c r="E567" s="22" t="n">
        <v>0</v>
      </c>
      <c r="F567" s="22" t="n">
        <v>0</v>
      </c>
      <c r="G567" s="12" t="inlineStr">
        <is>
          <t>10/24 - 6:30 PM EDT</t>
        </is>
      </c>
      <c r="H567" s="12" t="inlineStr"/>
      <c r="I567" s="23" t="n"/>
      <c r="J567" s="29" t="n"/>
      <c r="K567" s="13" t="n"/>
      <c r="L567" s="13" t="n"/>
      <c r="M567" s="12" t="n"/>
    </row>
    <row r="568">
      <c r="A568" s="17" t="inlineStr">
        <is>
          <t>2026-10-24</t>
        </is>
      </c>
      <c r="B568" s="25" t="n">
        <v>8</v>
      </c>
      <c r="C568" s="17" t="inlineStr">
        <is>
          <t>GAST</t>
        </is>
      </c>
      <c r="D568" s="17" t="inlineStr">
        <is>
          <t>ARST</t>
        </is>
      </c>
      <c r="E568" s="25" t="n">
        <v>0</v>
      </c>
      <c r="F568" s="25" t="n">
        <v>0</v>
      </c>
      <c r="G568" s="17" t="inlineStr">
        <is>
          <t>10/24 - 7:00 PM EDT</t>
        </is>
      </c>
      <c r="H568" s="17" t="inlineStr"/>
      <c r="I568" s="26" t="n"/>
      <c r="J568" s="30" t="n"/>
      <c r="K568" s="18" t="n"/>
      <c r="L568" s="18" t="n"/>
      <c r="M568" s="17" t="n"/>
    </row>
    <row r="569">
      <c r="A569" s="12" t="inlineStr">
        <is>
          <t>2026-10-24</t>
        </is>
      </c>
      <c r="B569" s="22" t="n">
        <v>8</v>
      </c>
      <c r="C569" s="12" t="inlineStr">
        <is>
          <t>USU</t>
        </is>
      </c>
      <c r="D569" s="12" t="inlineStr">
        <is>
          <t>TXST</t>
        </is>
      </c>
      <c r="E569" s="22" t="n">
        <v>0</v>
      </c>
      <c r="F569" s="22" t="n">
        <v>0</v>
      </c>
      <c r="G569" s="12" t="inlineStr">
        <is>
          <t>10/24 - 7:30 PM EDT</t>
        </is>
      </c>
      <c r="H569" s="12" t="inlineStr"/>
      <c r="I569" s="23" t="n"/>
      <c r="J569" s="29" t="n"/>
      <c r="K569" s="13" t="n"/>
      <c r="L569" s="13" t="n"/>
      <c r="M569" s="12" t="n"/>
    </row>
    <row r="570">
      <c r="A570" s="17" t="inlineStr">
        <is>
          <t>2026-10-25</t>
        </is>
      </c>
      <c r="B570" s="25" t="n">
        <v>8</v>
      </c>
      <c r="C570" s="17" t="inlineStr">
        <is>
          <t>NDSU</t>
        </is>
      </c>
      <c r="D570" s="17" t="inlineStr">
        <is>
          <t>UNM</t>
        </is>
      </c>
      <c r="E570" s="25" t="n">
        <v>0</v>
      </c>
      <c r="F570" s="25" t="n">
        <v>0</v>
      </c>
      <c r="G570" s="17" t="inlineStr">
        <is>
          <t>10/24 - 10:00 PM EDT</t>
        </is>
      </c>
      <c r="H570" s="17" t="inlineStr"/>
      <c r="I570" s="26" t="n"/>
      <c r="J570" s="30" t="n"/>
      <c r="K570" s="18" t="n"/>
      <c r="L570" s="18" t="n"/>
      <c r="M570" s="17" t="n"/>
    </row>
    <row r="571">
      <c r="A571" s="12" t="inlineStr">
        <is>
          <t>2026-10-27</t>
        </is>
      </c>
      <c r="B571" s="22" t="n">
        <v>9</v>
      </c>
      <c r="C571" s="12" t="inlineStr">
        <is>
          <t>DEL</t>
        </is>
      </c>
      <c r="D571" s="12" t="inlineStr">
        <is>
          <t>WKU</t>
        </is>
      </c>
      <c r="E571" s="22" t="n">
        <v>0</v>
      </c>
      <c r="F571" s="22" t="n">
        <v>0</v>
      </c>
      <c r="G571" s="12" t="inlineStr">
        <is>
          <t>10/27 - 7:00 PM EDT</t>
        </is>
      </c>
      <c r="H571" s="12" t="inlineStr"/>
      <c r="I571" s="23" t="n"/>
      <c r="J571" s="29" t="n"/>
      <c r="K571" s="13" t="n"/>
      <c r="L571" s="13" t="n"/>
      <c r="M571" s="12" t="n"/>
    </row>
    <row r="572">
      <c r="A572" s="17" t="inlineStr">
        <is>
          <t>2026-10-28</t>
        </is>
      </c>
      <c r="B572" s="25" t="n">
        <v>9</v>
      </c>
      <c r="C572" s="17" t="inlineStr">
        <is>
          <t>SHSU</t>
        </is>
      </c>
      <c r="D572" s="17" t="inlineStr">
        <is>
          <t>MOST</t>
        </is>
      </c>
      <c r="E572" s="25" t="n">
        <v>0</v>
      </c>
      <c r="F572" s="25" t="n">
        <v>0</v>
      </c>
      <c r="G572" s="17" t="inlineStr">
        <is>
          <t>10/27 - 8:00 PM EDT</t>
        </is>
      </c>
      <c r="H572" s="17" t="inlineStr"/>
      <c r="I572" s="26" t="n"/>
      <c r="J572" s="30" t="n"/>
      <c r="K572" s="18" t="n"/>
      <c r="L572" s="18" t="n"/>
      <c r="M572" s="17" t="n"/>
    </row>
    <row r="573">
      <c r="A573" s="12" t="inlineStr">
        <is>
          <t>2026-10-28</t>
        </is>
      </c>
      <c r="B573" s="22" t="n">
        <v>9</v>
      </c>
      <c r="C573" s="12" t="inlineStr">
        <is>
          <t>KENN</t>
        </is>
      </c>
      <c r="D573" s="12" t="inlineStr">
        <is>
          <t>MTSU</t>
        </is>
      </c>
      <c r="E573" s="22" t="n">
        <v>0</v>
      </c>
      <c r="F573" s="22" t="n">
        <v>0</v>
      </c>
      <c r="G573" s="12" t="inlineStr">
        <is>
          <t>10/28 - 7:00 PM EDT</t>
        </is>
      </c>
      <c r="H573" s="12" t="inlineStr"/>
      <c r="I573" s="23" t="n"/>
      <c r="J573" s="29" t="n"/>
      <c r="K573" s="13" t="n"/>
      <c r="L573" s="13" t="n"/>
      <c r="M573" s="12" t="n"/>
    </row>
    <row r="574">
      <c r="A574" s="17" t="inlineStr">
        <is>
          <t>2026-10-29</t>
        </is>
      </c>
      <c r="B574" s="25" t="n">
        <v>9</v>
      </c>
      <c r="C574" s="17" t="inlineStr">
        <is>
          <t>JVST</t>
        </is>
      </c>
      <c r="D574" s="17" t="inlineStr">
        <is>
          <t>NMSU</t>
        </is>
      </c>
      <c r="E574" s="25" t="n">
        <v>0</v>
      </c>
      <c r="F574" s="25" t="n">
        <v>0</v>
      </c>
      <c r="G574" s="17" t="inlineStr">
        <is>
          <t>10/28 - 8:00 PM EDT</t>
        </is>
      </c>
      <c r="H574" s="17" t="inlineStr"/>
      <c r="I574" s="26" t="n"/>
      <c r="J574" s="30" t="n"/>
      <c r="K574" s="18" t="n"/>
      <c r="L574" s="18" t="n"/>
      <c r="M574" s="17" t="n"/>
    </row>
    <row r="575">
      <c r="A575" s="12" t="inlineStr">
        <is>
          <t>2026-10-29</t>
        </is>
      </c>
      <c r="B575" s="22" t="n">
        <v>9</v>
      </c>
      <c r="C575" s="12" t="inlineStr">
        <is>
          <t>FAU</t>
        </is>
      </c>
      <c r="D575" s="12" t="inlineStr">
        <is>
          <t>UNT</t>
        </is>
      </c>
      <c r="E575" s="22" t="n">
        <v>0</v>
      </c>
      <c r="F575" s="22" t="n">
        <v>0</v>
      </c>
      <c r="G575" s="12" t="inlineStr">
        <is>
          <t>10/29 - 7:30 PM EDT</t>
        </is>
      </c>
      <c r="H575" s="12" t="inlineStr"/>
      <c r="I575" s="23" t="n"/>
      <c r="J575" s="29" t="n"/>
      <c r="K575" s="13" t="n"/>
      <c r="L575" s="13" t="n"/>
      <c r="M575" s="12" t="n"/>
    </row>
    <row r="576">
      <c r="A576" s="17" t="inlineStr">
        <is>
          <t>2026-10-29</t>
        </is>
      </c>
      <c r="B576" s="25" t="n">
        <v>9</v>
      </c>
      <c r="C576" s="17" t="inlineStr">
        <is>
          <t>TROY</t>
        </is>
      </c>
      <c r="D576" s="17" t="inlineStr">
        <is>
          <t>JMU</t>
        </is>
      </c>
      <c r="E576" s="25" t="n">
        <v>0</v>
      </c>
      <c r="F576" s="25" t="n">
        <v>0</v>
      </c>
      <c r="G576" s="17" t="inlineStr">
        <is>
          <t>10/29 - 7:30 PM EDT</t>
        </is>
      </c>
      <c r="H576" s="17" t="inlineStr"/>
      <c r="I576" s="26" t="n"/>
      <c r="J576" s="30" t="n"/>
      <c r="K576" s="18" t="n"/>
      <c r="L576" s="18" t="n"/>
      <c r="M576" s="17" t="n"/>
    </row>
    <row r="577">
      <c r="A577" s="12" t="inlineStr">
        <is>
          <t>2026-10-30</t>
        </is>
      </c>
      <c r="B577" s="22" t="n">
        <v>9</v>
      </c>
      <c r="C577" s="12" t="inlineStr">
        <is>
          <t>TULN</t>
        </is>
      </c>
      <c r="D577" s="12" t="inlineStr">
        <is>
          <t>CLT</t>
        </is>
      </c>
      <c r="E577" s="22" t="n">
        <v>0</v>
      </c>
      <c r="F577" s="22" t="n">
        <v>0</v>
      </c>
      <c r="G577" s="12" t="inlineStr">
        <is>
          <t>10/30 - 7:00 PM EDT</t>
        </is>
      </c>
      <c r="H577" s="12" t="inlineStr"/>
      <c r="I577" s="23" t="n"/>
      <c r="J577" s="29" t="n"/>
      <c r="K577" s="13" t="n"/>
      <c r="L577" s="13" t="n"/>
      <c r="M577" s="12" t="n"/>
    </row>
    <row r="578">
      <c r="A578" s="17" t="inlineStr">
        <is>
          <t>2026-10-30</t>
        </is>
      </c>
      <c r="B578" s="25" t="n">
        <v>9</v>
      </c>
      <c r="C578" s="17" t="inlineStr">
        <is>
          <t>BAY</t>
        </is>
      </c>
      <c r="D578" s="17" t="inlineStr">
        <is>
          <t>UCF</t>
        </is>
      </c>
      <c r="E578" s="25" t="n">
        <v>0</v>
      </c>
      <c r="F578" s="25" t="n">
        <v>0</v>
      </c>
      <c r="G578" s="17" t="inlineStr">
        <is>
          <t>10/30 - 7:30 PM EDT</t>
        </is>
      </c>
      <c r="H578" s="17" t="inlineStr"/>
      <c r="I578" s="26" t="n"/>
      <c r="J578" s="30" t="n"/>
      <c r="K578" s="18" t="n"/>
      <c r="L578" s="18" t="n"/>
      <c r="M578" s="17" t="n"/>
    </row>
    <row r="579">
      <c r="A579" s="12" t="inlineStr">
        <is>
          <t>2026-10-31</t>
        </is>
      </c>
      <c r="B579" s="22" t="n">
        <v>9</v>
      </c>
      <c r="C579" s="12" t="inlineStr">
        <is>
          <t>KENT</t>
        </is>
      </c>
      <c r="D579" s="12" t="inlineStr">
        <is>
          <t>SAC</t>
        </is>
      </c>
      <c r="E579" s="22" t="n">
        <v>0</v>
      </c>
      <c r="F579" s="22" t="n">
        <v>0</v>
      </c>
      <c r="G579" s="12" t="inlineStr">
        <is>
          <t>10/30 - 10:30 PM EDT</t>
        </is>
      </c>
      <c r="H579" s="12" t="inlineStr"/>
      <c r="I579" s="23" t="n"/>
      <c r="J579" s="29" t="n"/>
      <c r="K579" s="13" t="n"/>
      <c r="L579" s="13" t="n"/>
      <c r="M579" s="12" t="n"/>
    </row>
    <row r="580">
      <c r="A580" s="17" t="inlineStr">
        <is>
          <t>2026-10-31</t>
        </is>
      </c>
      <c r="B580" s="25" t="n">
        <v>9</v>
      </c>
      <c r="C580" s="17" t="inlineStr">
        <is>
          <t>MIZ</t>
        </is>
      </c>
      <c r="D580" s="17" t="inlineStr">
        <is>
          <t>ARK</t>
        </is>
      </c>
      <c r="E580" s="25" t="n">
        <v>0</v>
      </c>
      <c r="F580" s="25" t="n">
        <v>0</v>
      </c>
      <c r="G580" s="17" t="inlineStr">
        <is>
          <t>TBD</t>
        </is>
      </c>
      <c r="H580" s="17" t="inlineStr"/>
      <c r="I580" s="26" t="n"/>
      <c r="J580" s="30" t="n"/>
      <c r="K580" s="18" t="n"/>
      <c r="L580" s="18" t="n"/>
      <c r="M580" s="17" t="n"/>
    </row>
    <row r="581">
      <c r="A581" s="12" t="inlineStr">
        <is>
          <t>2026-10-31</t>
        </is>
      </c>
      <c r="B581" s="22" t="n">
        <v>9</v>
      </c>
      <c r="C581" s="12" t="inlineStr">
        <is>
          <t>AUB</t>
        </is>
      </c>
      <c r="D581" s="12" t="inlineStr">
        <is>
          <t>MISS</t>
        </is>
      </c>
      <c r="E581" s="22" t="n">
        <v>0</v>
      </c>
      <c r="F581" s="22" t="n">
        <v>0</v>
      </c>
      <c r="G581" s="12" t="inlineStr">
        <is>
          <t>TBD</t>
        </is>
      </c>
      <c r="H581" s="12" t="inlineStr"/>
      <c r="I581" s="23" t="n"/>
      <c r="J581" s="29" t="n"/>
      <c r="K581" s="13" t="n"/>
      <c r="L581" s="13" t="n"/>
      <c r="M581" s="12" t="n"/>
    </row>
    <row r="582">
      <c r="A582" s="17" t="inlineStr">
        <is>
          <t>2026-10-31</t>
        </is>
      </c>
      <c r="B582" s="25" t="n">
        <v>9</v>
      </c>
      <c r="C582" s="17" t="inlineStr">
        <is>
          <t>SC</t>
        </is>
      </c>
      <c r="D582" s="17" t="inlineStr">
        <is>
          <t>OU</t>
        </is>
      </c>
      <c r="E582" s="25" t="n">
        <v>0</v>
      </c>
      <c r="F582" s="25" t="n">
        <v>0</v>
      </c>
      <c r="G582" s="17" t="inlineStr">
        <is>
          <t>TBD</t>
        </is>
      </c>
      <c r="H582" s="17" t="inlineStr"/>
      <c r="I582" s="26" t="n"/>
      <c r="J582" s="30" t="n"/>
      <c r="K582" s="18" t="n"/>
      <c r="L582" s="18" t="n"/>
      <c r="M582" s="17" t="n"/>
    </row>
    <row r="583">
      <c r="A583" s="12" t="inlineStr">
        <is>
          <t>2026-10-31</t>
        </is>
      </c>
      <c r="B583" s="22" t="n">
        <v>9</v>
      </c>
      <c r="C583" s="12" t="inlineStr">
        <is>
          <t>MSST</t>
        </is>
      </c>
      <c r="D583" s="12" t="inlineStr">
        <is>
          <t>TEX</t>
        </is>
      </c>
      <c r="E583" s="22" t="n">
        <v>0</v>
      </c>
      <c r="F583" s="22" t="n">
        <v>0</v>
      </c>
      <c r="G583" s="12" t="inlineStr">
        <is>
          <t>TBD</t>
        </is>
      </c>
      <c r="H583" s="12" t="inlineStr"/>
      <c r="I583" s="23" t="n"/>
      <c r="J583" s="29" t="n"/>
      <c r="K583" s="13" t="n"/>
      <c r="L583" s="13" t="n"/>
      <c r="M583" s="12" t="n"/>
    </row>
    <row r="584">
      <c r="A584" s="17" t="inlineStr">
        <is>
          <t>2026-10-31</t>
        </is>
      </c>
      <c r="B584" s="25" t="n">
        <v>9</v>
      </c>
      <c r="C584" s="17" t="inlineStr">
        <is>
          <t>ARIZ</t>
        </is>
      </c>
      <c r="D584" s="17" t="inlineStr">
        <is>
          <t>TTU</t>
        </is>
      </c>
      <c r="E584" s="25" t="n">
        <v>0</v>
      </c>
      <c r="F584" s="25" t="n">
        <v>0</v>
      </c>
      <c r="G584" s="17" t="inlineStr">
        <is>
          <t>TBD</t>
        </is>
      </c>
      <c r="H584" s="17" t="inlineStr"/>
      <c r="I584" s="26" t="n"/>
      <c r="J584" s="30" t="n"/>
      <c r="K584" s="18" t="n"/>
      <c r="L584" s="18" t="n"/>
      <c r="M584" s="17" t="n"/>
    </row>
    <row r="585">
      <c r="A585" s="12" t="inlineStr">
        <is>
          <t>2026-10-31</t>
        </is>
      </c>
      <c r="B585" s="22" t="n">
        <v>9</v>
      </c>
      <c r="C585" s="12" t="inlineStr">
        <is>
          <t>ASU</t>
        </is>
      </c>
      <c r="D585" s="12" t="inlineStr">
        <is>
          <t>BYU</t>
        </is>
      </c>
      <c r="E585" s="22" t="n">
        <v>0</v>
      </c>
      <c r="F585" s="22" t="n">
        <v>0</v>
      </c>
      <c r="G585" s="12" t="inlineStr">
        <is>
          <t>TBD</t>
        </is>
      </c>
      <c r="H585" s="12" t="inlineStr"/>
      <c r="I585" s="23" t="n"/>
      <c r="J585" s="29" t="n"/>
      <c r="K585" s="13" t="n"/>
      <c r="L585" s="13" t="n"/>
      <c r="M585" s="12" t="n"/>
    </row>
    <row r="586">
      <c r="A586" s="17" t="inlineStr">
        <is>
          <t>2026-10-31</t>
        </is>
      </c>
      <c r="B586" s="25" t="n">
        <v>9</v>
      </c>
      <c r="C586" s="17" t="inlineStr">
        <is>
          <t>KU</t>
        </is>
      </c>
      <c r="D586" s="17" t="inlineStr">
        <is>
          <t>TCU</t>
        </is>
      </c>
      <c r="E586" s="25" t="n">
        <v>0</v>
      </c>
      <c r="F586" s="25" t="n">
        <v>0</v>
      </c>
      <c r="G586" s="17" t="inlineStr">
        <is>
          <t>TBD</t>
        </is>
      </c>
      <c r="H586" s="17" t="inlineStr"/>
      <c r="I586" s="26" t="n"/>
      <c r="J586" s="30" t="n"/>
      <c r="K586" s="18" t="n"/>
      <c r="L586" s="18" t="n"/>
      <c r="M586" s="17" t="n"/>
    </row>
    <row r="587">
      <c r="A587" s="12" t="inlineStr">
        <is>
          <t>2026-10-31</t>
        </is>
      </c>
      <c r="B587" s="22" t="n">
        <v>9</v>
      </c>
      <c r="C587" s="12" t="inlineStr">
        <is>
          <t>KSU</t>
        </is>
      </c>
      <c r="D587" s="12" t="inlineStr">
        <is>
          <t>COLO</t>
        </is>
      </c>
      <c r="E587" s="22" t="n">
        <v>0</v>
      </c>
      <c r="F587" s="22" t="n">
        <v>0</v>
      </c>
      <c r="G587" s="12" t="inlineStr">
        <is>
          <t>TBD</t>
        </is>
      </c>
      <c r="H587" s="12" t="inlineStr"/>
      <c r="I587" s="23" t="n"/>
      <c r="J587" s="29" t="n"/>
      <c r="K587" s="13" t="n"/>
      <c r="L587" s="13" t="n"/>
      <c r="M587" s="12" t="n"/>
    </row>
    <row r="588">
      <c r="A588" s="17" t="inlineStr">
        <is>
          <t>2026-10-31</t>
        </is>
      </c>
      <c r="B588" s="25" t="n">
        <v>9</v>
      </c>
      <c r="C588" s="17" t="inlineStr">
        <is>
          <t>OKST</t>
        </is>
      </c>
      <c r="D588" s="17" t="inlineStr">
        <is>
          <t>ISU</t>
        </is>
      </c>
      <c r="E588" s="25" t="n">
        <v>0</v>
      </c>
      <c r="F588" s="25" t="n">
        <v>0</v>
      </c>
      <c r="G588" s="17" t="inlineStr">
        <is>
          <t>TBD</t>
        </is>
      </c>
      <c r="H588" s="17" t="inlineStr"/>
      <c r="I588" s="26" t="n"/>
      <c r="J588" s="30" t="n"/>
      <c r="K588" s="18" t="n"/>
      <c r="L588" s="18" t="n"/>
      <c r="M588" s="17" t="n"/>
    </row>
    <row r="589">
      <c r="A589" s="12" t="inlineStr">
        <is>
          <t>2026-10-31</t>
        </is>
      </c>
      <c r="B589" s="22" t="n">
        <v>9</v>
      </c>
      <c r="C589" s="12" t="inlineStr">
        <is>
          <t>UTAH</t>
        </is>
      </c>
      <c r="D589" s="12" t="inlineStr">
        <is>
          <t>CIN</t>
        </is>
      </c>
      <c r="E589" s="22" t="n">
        <v>0</v>
      </c>
      <c r="F589" s="22" t="n">
        <v>0</v>
      </c>
      <c r="G589" s="12" t="inlineStr">
        <is>
          <t>TBD</t>
        </is>
      </c>
      <c r="H589" s="12" t="inlineStr"/>
      <c r="I589" s="23" t="n"/>
      <c r="J589" s="29" t="n"/>
      <c r="K589" s="13" t="n"/>
      <c r="L589" s="13" t="n"/>
      <c r="M589" s="12" t="n"/>
    </row>
    <row r="590">
      <c r="A590" s="17" t="inlineStr">
        <is>
          <t>2026-10-31</t>
        </is>
      </c>
      <c r="B590" s="25" t="n">
        <v>9</v>
      </c>
      <c r="C590" s="17" t="inlineStr">
        <is>
          <t>CAL</t>
        </is>
      </c>
      <c r="D590" s="17" t="inlineStr">
        <is>
          <t>NCSU</t>
        </is>
      </c>
      <c r="E590" s="25" t="n">
        <v>0</v>
      </c>
      <c r="F590" s="25" t="n">
        <v>0</v>
      </c>
      <c r="G590" s="17" t="inlineStr">
        <is>
          <t>TBD</t>
        </is>
      </c>
      <c r="H590" s="17" t="inlineStr"/>
      <c r="I590" s="26" t="n"/>
      <c r="J590" s="30" t="n"/>
      <c r="K590" s="18" t="n"/>
      <c r="L590" s="18" t="n"/>
      <c r="M590" s="17" t="n"/>
    </row>
    <row r="591">
      <c r="A591" s="12" t="inlineStr">
        <is>
          <t>2026-10-31</t>
        </is>
      </c>
      <c r="B591" s="22" t="n">
        <v>9</v>
      </c>
      <c r="C591" s="12" t="inlineStr">
        <is>
          <t>SMU</t>
        </is>
      </c>
      <c r="D591" s="12" t="inlineStr">
        <is>
          <t>SYR</t>
        </is>
      </c>
      <c r="E591" s="22" t="n">
        <v>0</v>
      </c>
      <c r="F591" s="22" t="n">
        <v>0</v>
      </c>
      <c r="G591" s="12" t="inlineStr">
        <is>
          <t>TBD</t>
        </is>
      </c>
      <c r="H591" s="12" t="inlineStr"/>
      <c r="I591" s="23" t="n"/>
      <c r="J591" s="29" t="n"/>
      <c r="K591" s="13" t="n"/>
      <c r="L591" s="13" t="n"/>
      <c r="M591" s="12" t="n"/>
    </row>
    <row r="592">
      <c r="A592" s="17" t="inlineStr">
        <is>
          <t>2026-10-31</t>
        </is>
      </c>
      <c r="B592" s="25" t="n">
        <v>9</v>
      </c>
      <c r="C592" s="17" t="inlineStr">
        <is>
          <t>BC</t>
        </is>
      </c>
      <c r="D592" s="17" t="inlineStr">
        <is>
          <t>DUKE</t>
        </is>
      </c>
      <c r="E592" s="25" t="n">
        <v>0</v>
      </c>
      <c r="F592" s="25" t="n">
        <v>0</v>
      </c>
      <c r="G592" s="17" t="inlineStr">
        <is>
          <t>TBD</t>
        </is>
      </c>
      <c r="H592" s="17" t="inlineStr"/>
      <c r="I592" s="26" t="n"/>
      <c r="J592" s="30" t="n"/>
      <c r="K592" s="18" t="n"/>
      <c r="L592" s="18" t="n"/>
      <c r="M592" s="17" t="n"/>
    </row>
    <row r="593">
      <c r="A593" s="12" t="inlineStr">
        <is>
          <t>2026-10-31</t>
        </is>
      </c>
      <c r="B593" s="22" t="n">
        <v>9</v>
      </c>
      <c r="C593" s="12" t="inlineStr">
        <is>
          <t>CLEM</t>
        </is>
      </c>
      <c r="D593" s="12" t="inlineStr">
        <is>
          <t>FSU</t>
        </is>
      </c>
      <c r="E593" s="22" t="n">
        <v>0</v>
      </c>
      <c r="F593" s="22" t="n">
        <v>0</v>
      </c>
      <c r="G593" s="12" t="inlineStr">
        <is>
          <t>TBD</t>
        </is>
      </c>
      <c r="H593" s="12" t="inlineStr"/>
      <c r="I593" s="23" t="n"/>
      <c r="J593" s="29" t="n"/>
      <c r="K593" s="13" t="n"/>
      <c r="L593" s="13" t="n"/>
      <c r="M593" s="12" t="n"/>
    </row>
    <row r="594">
      <c r="A594" s="17" t="inlineStr">
        <is>
          <t>2026-10-31</t>
        </is>
      </c>
      <c r="B594" s="25" t="n">
        <v>9</v>
      </c>
      <c r="C594" s="17" t="inlineStr">
        <is>
          <t>GT</t>
        </is>
      </c>
      <c r="D594" s="17" t="inlineStr">
        <is>
          <t>PITT</t>
        </is>
      </c>
      <c r="E594" s="25" t="n">
        <v>0</v>
      </c>
      <c r="F594" s="25" t="n">
        <v>0</v>
      </c>
      <c r="G594" s="17" t="inlineStr">
        <is>
          <t>TBD</t>
        </is>
      </c>
      <c r="H594" s="17" t="inlineStr"/>
      <c r="I594" s="26" t="n"/>
      <c r="J594" s="30" t="n"/>
      <c r="K594" s="18" t="n"/>
      <c r="L594" s="18" t="n"/>
      <c r="M594" s="17" t="n"/>
    </row>
    <row r="595">
      <c r="A595" s="12" t="inlineStr">
        <is>
          <t>2026-10-31</t>
        </is>
      </c>
      <c r="B595" s="22" t="n">
        <v>9</v>
      </c>
      <c r="C595" s="12" t="inlineStr">
        <is>
          <t>MIA</t>
        </is>
      </c>
      <c r="D595" s="12" t="inlineStr">
        <is>
          <t>UNC</t>
        </is>
      </c>
      <c r="E595" s="22" t="n">
        <v>0</v>
      </c>
      <c r="F595" s="22" t="n">
        <v>0</v>
      </c>
      <c r="G595" s="12" t="inlineStr">
        <is>
          <t>TBD</t>
        </is>
      </c>
      <c r="H595" s="12" t="inlineStr"/>
      <c r="I595" s="23" t="n"/>
      <c r="J595" s="29" t="n"/>
      <c r="K595" s="13" t="n"/>
      <c r="L595" s="13" t="n"/>
      <c r="M595" s="12" t="n"/>
    </row>
    <row r="596">
      <c r="A596" s="17" t="inlineStr">
        <is>
          <t>2026-10-31</t>
        </is>
      </c>
      <c r="B596" s="25" t="n">
        <v>9</v>
      </c>
      <c r="C596" s="17" t="inlineStr">
        <is>
          <t>STAN</t>
        </is>
      </c>
      <c r="D596" s="17" t="inlineStr">
        <is>
          <t>LOU</t>
        </is>
      </c>
      <c r="E596" s="25" t="n">
        <v>0</v>
      </c>
      <c r="F596" s="25" t="n">
        <v>0</v>
      </c>
      <c r="G596" s="17" t="inlineStr">
        <is>
          <t>TBD</t>
        </is>
      </c>
      <c r="H596" s="17" t="inlineStr"/>
      <c r="I596" s="26" t="n"/>
      <c r="J596" s="30" t="n"/>
      <c r="K596" s="18" t="n"/>
      <c r="L596" s="18" t="n"/>
      <c r="M596" s="17" t="n"/>
    </row>
    <row r="597">
      <c r="A597" s="12" t="inlineStr">
        <is>
          <t>2026-10-31</t>
        </is>
      </c>
      <c r="B597" s="22" t="n">
        <v>9</v>
      </c>
      <c r="C597" s="12" t="inlineStr">
        <is>
          <t>UVA</t>
        </is>
      </c>
      <c r="D597" s="12" t="inlineStr">
        <is>
          <t>WAKE</t>
        </is>
      </c>
      <c r="E597" s="22" t="n">
        <v>0</v>
      </c>
      <c r="F597" s="22" t="n">
        <v>0</v>
      </c>
      <c r="G597" s="12" t="inlineStr">
        <is>
          <t>TBD</t>
        </is>
      </c>
      <c r="H597" s="12" t="inlineStr"/>
      <c r="I597" s="23" t="n"/>
      <c r="J597" s="29" t="n"/>
      <c r="K597" s="13" t="n"/>
      <c r="L597" s="13" t="n"/>
      <c r="M597" s="12" t="n"/>
    </row>
    <row r="598">
      <c r="A598" s="17" t="inlineStr">
        <is>
          <t>2026-10-31</t>
        </is>
      </c>
      <c r="B598" s="25" t="n">
        <v>9</v>
      </c>
      <c r="C598" s="17" t="inlineStr">
        <is>
          <t>MINN</t>
        </is>
      </c>
      <c r="D598" s="17" t="inlineStr">
        <is>
          <t>IU</t>
        </is>
      </c>
      <c r="E598" s="25" t="n">
        <v>0</v>
      </c>
      <c r="F598" s="25" t="n">
        <v>0</v>
      </c>
      <c r="G598" s="17" t="inlineStr">
        <is>
          <t>TBD</t>
        </is>
      </c>
      <c r="H598" s="17" t="inlineStr"/>
      <c r="I598" s="26" t="n"/>
      <c r="J598" s="30" t="n"/>
      <c r="K598" s="18" t="n"/>
      <c r="L598" s="18" t="n"/>
      <c r="M598" s="17" t="n"/>
    </row>
    <row r="599">
      <c r="A599" s="12" t="inlineStr">
        <is>
          <t>2026-10-31</t>
        </is>
      </c>
      <c r="B599" s="22" t="n">
        <v>9</v>
      </c>
      <c r="C599" s="12" t="inlineStr">
        <is>
          <t>WIS</t>
        </is>
      </c>
      <c r="D599" s="12" t="inlineStr">
        <is>
          <t>IOWA</t>
        </is>
      </c>
      <c r="E599" s="22" t="n">
        <v>0</v>
      </c>
      <c r="F599" s="22" t="n">
        <v>0</v>
      </c>
      <c r="G599" s="12" t="inlineStr">
        <is>
          <t>TBD</t>
        </is>
      </c>
      <c r="H599" s="12" t="inlineStr"/>
      <c r="I599" s="23" t="n"/>
      <c r="J599" s="29" t="n"/>
      <c r="K599" s="13" t="n"/>
      <c r="L599" s="13" t="n"/>
      <c r="M599" s="12" t="n"/>
    </row>
    <row r="600">
      <c r="A600" s="17" t="inlineStr">
        <is>
          <t>2026-10-31</t>
        </is>
      </c>
      <c r="B600" s="25" t="n">
        <v>9</v>
      </c>
      <c r="C600" s="17" t="inlineStr">
        <is>
          <t>ILL</t>
        </is>
      </c>
      <c r="D600" s="17" t="inlineStr">
        <is>
          <t>MD</t>
        </is>
      </c>
      <c r="E600" s="25" t="n">
        <v>0</v>
      </c>
      <c r="F600" s="25" t="n">
        <v>0</v>
      </c>
      <c r="G600" s="17" t="inlineStr">
        <is>
          <t>TBD</t>
        </is>
      </c>
      <c r="H600" s="17" t="inlineStr"/>
      <c r="I600" s="26" t="n"/>
      <c r="J600" s="30" t="n"/>
      <c r="K600" s="18" t="n"/>
      <c r="L600" s="18" t="n"/>
      <c r="M600" s="17" t="n"/>
    </row>
    <row r="601">
      <c r="A601" s="12" t="inlineStr">
        <is>
          <t>2026-10-31</t>
        </is>
      </c>
      <c r="B601" s="22" t="n">
        <v>9</v>
      </c>
      <c r="C601" s="12" t="inlineStr">
        <is>
          <t>WASH</t>
        </is>
      </c>
      <c r="D601" s="12" t="inlineStr">
        <is>
          <t>NEB</t>
        </is>
      </c>
      <c r="E601" s="22" t="n">
        <v>0</v>
      </c>
      <c r="F601" s="22" t="n">
        <v>0</v>
      </c>
      <c r="G601" s="12" t="inlineStr">
        <is>
          <t>TBD</t>
        </is>
      </c>
      <c r="H601" s="12" t="inlineStr"/>
      <c r="I601" s="23" t="n"/>
      <c r="J601" s="29" t="n"/>
      <c r="K601" s="13" t="n"/>
      <c r="L601" s="13" t="n"/>
      <c r="M601" s="12" t="n"/>
    </row>
    <row r="602">
      <c r="A602" s="17" t="inlineStr">
        <is>
          <t>2026-10-31</t>
        </is>
      </c>
      <c r="B602" s="25" t="n">
        <v>9</v>
      </c>
      <c r="C602" s="17" t="inlineStr">
        <is>
          <t>NU</t>
        </is>
      </c>
      <c r="D602" s="17" t="inlineStr">
        <is>
          <t>ORE</t>
        </is>
      </c>
      <c r="E602" s="25" t="n">
        <v>0</v>
      </c>
      <c r="F602" s="25" t="n">
        <v>0</v>
      </c>
      <c r="G602" s="17" t="inlineStr">
        <is>
          <t>TBD</t>
        </is>
      </c>
      <c r="H602" s="17" t="inlineStr"/>
      <c r="I602" s="26" t="n"/>
      <c r="J602" s="30" t="n"/>
      <c r="K602" s="18" t="n"/>
      <c r="L602" s="18" t="n"/>
      <c r="M602" s="17" t="n"/>
    </row>
    <row r="603">
      <c r="A603" s="12" t="inlineStr">
        <is>
          <t>2026-10-31</t>
        </is>
      </c>
      <c r="B603" s="22" t="n">
        <v>9</v>
      </c>
      <c r="C603" s="12" t="inlineStr">
        <is>
          <t>PUR</t>
        </is>
      </c>
      <c r="D603" s="12" t="inlineStr">
        <is>
          <t>PSU</t>
        </is>
      </c>
      <c r="E603" s="22" t="n">
        <v>0</v>
      </c>
      <c r="F603" s="22" t="n">
        <v>0</v>
      </c>
      <c r="G603" s="12" t="inlineStr">
        <is>
          <t>TBD</t>
        </is>
      </c>
      <c r="H603" s="12" t="inlineStr"/>
      <c r="I603" s="23" t="n"/>
      <c r="J603" s="29" t="n"/>
      <c r="K603" s="13" t="n"/>
      <c r="L603" s="13" t="n"/>
      <c r="M603" s="12" t="n"/>
    </row>
    <row r="604">
      <c r="A604" s="17" t="inlineStr">
        <is>
          <t>2026-10-31</t>
        </is>
      </c>
      <c r="B604" s="25" t="n">
        <v>9</v>
      </c>
      <c r="C604" s="17" t="inlineStr">
        <is>
          <t>MICH</t>
        </is>
      </c>
      <c r="D604" s="17" t="inlineStr">
        <is>
          <t>RUTG</t>
        </is>
      </c>
      <c r="E604" s="25" t="n">
        <v>0</v>
      </c>
      <c r="F604" s="25" t="n">
        <v>0</v>
      </c>
      <c r="G604" s="17" t="inlineStr">
        <is>
          <t>TBD</t>
        </is>
      </c>
      <c r="H604" s="17" t="inlineStr"/>
      <c r="I604" s="26" t="n"/>
      <c r="J604" s="30" t="n"/>
      <c r="K604" s="18" t="n"/>
      <c r="L604" s="18" t="n"/>
      <c r="M604" s="17" t="n"/>
    </row>
    <row r="605">
      <c r="A605" s="12" t="inlineStr">
        <is>
          <t>2026-10-31</t>
        </is>
      </c>
      <c r="B605" s="22" t="n">
        <v>9</v>
      </c>
      <c r="C605" s="12" t="inlineStr">
        <is>
          <t>NEV</t>
        </is>
      </c>
      <c r="D605" s="12" t="inlineStr">
        <is>
          <t>UCLA</t>
        </is>
      </c>
      <c r="E605" s="22" t="n">
        <v>0</v>
      </c>
      <c r="F605" s="22" t="n">
        <v>0</v>
      </c>
      <c r="G605" s="12" t="inlineStr">
        <is>
          <t>TBD</t>
        </is>
      </c>
      <c r="H605" s="12" t="inlineStr"/>
      <c r="I605" s="23" t="n"/>
      <c r="J605" s="29" t="n"/>
      <c r="K605" s="13" t="n"/>
      <c r="L605" s="13" t="n"/>
      <c r="M605" s="12" t="n"/>
    </row>
    <row r="606">
      <c r="A606" s="17" t="inlineStr">
        <is>
          <t>2026-10-31</t>
        </is>
      </c>
      <c r="B606" s="25" t="n">
        <v>9</v>
      </c>
      <c r="C606" s="17" t="inlineStr">
        <is>
          <t>OSU</t>
        </is>
      </c>
      <c r="D606" s="17" t="inlineStr">
        <is>
          <t>USC</t>
        </is>
      </c>
      <c r="E606" s="25" t="n">
        <v>0</v>
      </c>
      <c r="F606" s="25" t="n">
        <v>0</v>
      </c>
      <c r="G606" s="17" t="inlineStr">
        <is>
          <t>TBD</t>
        </is>
      </c>
      <c r="H606" s="17" t="inlineStr"/>
      <c r="I606" s="26" t="n"/>
      <c r="J606" s="30" t="n"/>
      <c r="K606" s="18" t="n"/>
      <c r="L606" s="18" t="n"/>
      <c r="M606" s="17" t="n"/>
    </row>
    <row r="607">
      <c r="A607" s="12" t="inlineStr">
        <is>
          <t>2026-10-31</t>
        </is>
      </c>
      <c r="B607" s="22" t="n">
        <v>9</v>
      </c>
      <c r="C607" s="12" t="inlineStr">
        <is>
          <t>ORST</t>
        </is>
      </c>
      <c r="D607" s="12" t="inlineStr">
        <is>
          <t>FRES</t>
        </is>
      </c>
      <c r="E607" s="22" t="n">
        <v>0</v>
      </c>
      <c r="F607" s="22" t="n">
        <v>0</v>
      </c>
      <c r="G607" s="12" t="inlineStr">
        <is>
          <t>TBD</t>
        </is>
      </c>
      <c r="H607" s="12" t="inlineStr"/>
      <c r="I607" s="23" t="n"/>
      <c r="J607" s="29" t="n"/>
      <c r="K607" s="13" t="n"/>
      <c r="L607" s="13" t="n"/>
      <c r="M607" s="12" t="n"/>
    </row>
    <row r="608">
      <c r="A608" s="17" t="inlineStr">
        <is>
          <t>2026-10-31</t>
        </is>
      </c>
      <c r="B608" s="25" t="n">
        <v>9</v>
      </c>
      <c r="C608" s="17" t="inlineStr">
        <is>
          <t>ARMY</t>
        </is>
      </c>
      <c r="D608" s="17" t="inlineStr">
        <is>
          <t>MEM</t>
        </is>
      </c>
      <c r="E608" s="25" t="n">
        <v>0</v>
      </c>
      <c r="F608" s="25" t="n">
        <v>0</v>
      </c>
      <c r="G608" s="17" t="inlineStr">
        <is>
          <t>TBD</t>
        </is>
      </c>
      <c r="H608" s="17" t="inlineStr"/>
      <c r="I608" s="26" t="n"/>
      <c r="J608" s="30" t="n"/>
      <c r="K608" s="18" t="n"/>
      <c r="L608" s="18" t="n"/>
      <c r="M608" s="17" t="n"/>
    </row>
    <row r="609">
      <c r="A609" s="12" t="inlineStr">
        <is>
          <t>2026-10-31</t>
        </is>
      </c>
      <c r="B609" s="22" t="n">
        <v>9</v>
      </c>
      <c r="C609" s="12" t="inlineStr">
        <is>
          <t>TEM</t>
        </is>
      </c>
      <c r="D609" s="12" t="inlineStr">
        <is>
          <t>ECU</t>
        </is>
      </c>
      <c r="E609" s="22" t="n">
        <v>0</v>
      </c>
      <c r="F609" s="22" t="n">
        <v>0</v>
      </c>
      <c r="G609" s="12" t="inlineStr">
        <is>
          <t>TBD</t>
        </is>
      </c>
      <c r="H609" s="12" t="inlineStr"/>
      <c r="I609" s="23" t="n"/>
      <c r="J609" s="29" t="n"/>
      <c r="K609" s="13" t="n"/>
      <c r="L609" s="13" t="n"/>
      <c r="M609" s="12" t="n"/>
    </row>
    <row r="610">
      <c r="A610" s="17" t="inlineStr">
        <is>
          <t>2026-10-31</t>
        </is>
      </c>
      <c r="B610" s="25" t="n">
        <v>9</v>
      </c>
      <c r="C610" s="17" t="inlineStr">
        <is>
          <t>UAB</t>
        </is>
      </c>
      <c r="D610" s="17" t="inlineStr">
        <is>
          <t>USF</t>
        </is>
      </c>
      <c r="E610" s="25" t="n">
        <v>0</v>
      </c>
      <c r="F610" s="25" t="n">
        <v>0</v>
      </c>
      <c r="G610" s="17" t="inlineStr">
        <is>
          <t>TBD</t>
        </is>
      </c>
      <c r="H610" s="17" t="inlineStr"/>
      <c r="I610" s="26" t="n"/>
      <c r="J610" s="30" t="n"/>
      <c r="K610" s="18" t="n"/>
      <c r="L610" s="18" t="n"/>
      <c r="M610" s="17" t="n"/>
    </row>
    <row r="611">
      <c r="A611" s="12" t="inlineStr">
        <is>
          <t>2026-10-31</t>
        </is>
      </c>
      <c r="B611" s="22" t="n">
        <v>9</v>
      </c>
      <c r="C611" s="12" t="inlineStr">
        <is>
          <t>UNM</t>
        </is>
      </c>
      <c r="D611" s="12" t="inlineStr">
        <is>
          <t>SJSU</t>
        </is>
      </c>
      <c r="E611" s="22" t="n">
        <v>0</v>
      </c>
      <c r="F611" s="22" t="n">
        <v>0</v>
      </c>
      <c r="G611" s="12" t="inlineStr">
        <is>
          <t>TBD</t>
        </is>
      </c>
      <c r="H611" s="12" t="inlineStr"/>
      <c r="I611" s="23" t="n"/>
      <c r="J611" s="29" t="n"/>
      <c r="K611" s="13" t="n"/>
      <c r="L611" s="13" t="n"/>
      <c r="M611" s="12" t="n"/>
    </row>
    <row r="612">
      <c r="A612" s="17" t="inlineStr">
        <is>
          <t>2026-10-31</t>
        </is>
      </c>
      <c r="B612" s="25" t="n">
        <v>9</v>
      </c>
      <c r="C612" s="17" t="inlineStr">
        <is>
          <t>APP</t>
        </is>
      </c>
      <c r="D612" s="17" t="inlineStr">
        <is>
          <t>GASO</t>
        </is>
      </c>
      <c r="E612" s="25" t="n">
        <v>0</v>
      </c>
      <c r="F612" s="25" t="n">
        <v>0</v>
      </c>
      <c r="G612" s="17" t="inlineStr">
        <is>
          <t>TBD</t>
        </is>
      </c>
      <c r="H612" s="17" t="inlineStr"/>
      <c r="I612" s="26" t="n"/>
      <c r="J612" s="30" t="n"/>
      <c r="K612" s="18" t="n"/>
      <c r="L612" s="18" t="n"/>
      <c r="M612" s="17" t="n"/>
    </row>
    <row r="613">
      <c r="A613" s="12" t="inlineStr">
        <is>
          <t>2026-10-31</t>
        </is>
      </c>
      <c r="B613" s="22" t="n">
        <v>9</v>
      </c>
      <c r="C613" s="12" t="inlineStr">
        <is>
          <t>CCU</t>
        </is>
      </c>
      <c r="D613" s="12" t="inlineStr">
        <is>
          <t>GAST</t>
        </is>
      </c>
      <c r="E613" s="22" t="n">
        <v>0</v>
      </c>
      <c r="F613" s="22" t="n">
        <v>0</v>
      </c>
      <c r="G613" s="12" t="inlineStr">
        <is>
          <t>TBD</t>
        </is>
      </c>
      <c r="H613" s="12" t="inlineStr"/>
      <c r="I613" s="23" t="n"/>
      <c r="J613" s="29" t="n"/>
      <c r="K613" s="13" t="n"/>
      <c r="L613" s="13" t="n"/>
      <c r="M613" s="12" t="n"/>
    </row>
    <row r="614">
      <c r="A614" s="17" t="inlineStr">
        <is>
          <t>2026-10-31</t>
        </is>
      </c>
      <c r="B614" s="25" t="n">
        <v>9</v>
      </c>
      <c r="C614" s="17" t="inlineStr">
        <is>
          <t>USM</t>
        </is>
      </c>
      <c r="D614" s="17" t="inlineStr">
        <is>
          <t>ULM</t>
        </is>
      </c>
      <c r="E614" s="25" t="n">
        <v>0</v>
      </c>
      <c r="F614" s="25" t="n">
        <v>0</v>
      </c>
      <c r="G614" s="17" t="inlineStr">
        <is>
          <t>TBD</t>
        </is>
      </c>
      <c r="H614" s="17" t="inlineStr"/>
      <c r="I614" s="26" t="n"/>
      <c r="J614" s="30" t="n"/>
      <c r="K614" s="18" t="n"/>
      <c r="L614" s="18" t="n"/>
      <c r="M614" s="17" t="n"/>
    </row>
    <row r="615">
      <c r="A615" s="12" t="inlineStr">
        <is>
          <t>2026-10-31</t>
        </is>
      </c>
      <c r="B615" s="22" t="n">
        <v>9</v>
      </c>
      <c r="C615" s="12" t="inlineStr">
        <is>
          <t>MRSH</t>
        </is>
      </c>
      <c r="D615" s="12" t="inlineStr">
        <is>
          <t>ODU</t>
        </is>
      </c>
      <c r="E615" s="22" t="n">
        <v>0</v>
      </c>
      <c r="F615" s="22" t="n">
        <v>0</v>
      </c>
      <c r="G615" s="12" t="inlineStr">
        <is>
          <t>TBD</t>
        </is>
      </c>
      <c r="H615" s="12" t="inlineStr"/>
      <c r="I615" s="23" t="n"/>
      <c r="J615" s="29" t="n"/>
      <c r="K615" s="13" t="n"/>
      <c r="L615" s="13" t="n"/>
      <c r="M615" s="12" t="n"/>
    </row>
    <row r="616">
      <c r="A616" s="17" t="inlineStr">
        <is>
          <t>2026-10-31</t>
        </is>
      </c>
      <c r="B616" s="25" t="n">
        <v>9</v>
      </c>
      <c r="C616" s="17" t="inlineStr">
        <is>
          <t>LT</t>
        </is>
      </c>
      <c r="D616" s="17" t="inlineStr">
        <is>
          <t>USA</t>
        </is>
      </c>
      <c r="E616" s="25" t="n">
        <v>0</v>
      </c>
      <c r="F616" s="25" t="n">
        <v>0</v>
      </c>
      <c r="G616" s="17" t="inlineStr">
        <is>
          <t>TBD</t>
        </is>
      </c>
      <c r="H616" s="17" t="inlineStr"/>
      <c r="I616" s="26" t="n"/>
      <c r="J616" s="30" t="n"/>
      <c r="K616" s="18" t="n"/>
      <c r="L616" s="18" t="n"/>
      <c r="M616" s="17" t="n"/>
    </row>
    <row r="617">
      <c r="A617" s="12" t="inlineStr">
        <is>
          <t>2026-10-31</t>
        </is>
      </c>
      <c r="B617" s="22" t="n">
        <v>9</v>
      </c>
      <c r="C617" s="12" t="inlineStr">
        <is>
          <t>ND</t>
        </is>
      </c>
      <c r="D617" s="12" t="inlineStr">
        <is>
          <t>NAVY</t>
        </is>
      </c>
      <c r="E617" s="22" t="n">
        <v>0</v>
      </c>
      <c r="F617" s="22" t="n">
        <v>0</v>
      </c>
      <c r="G617" s="12" t="inlineStr">
        <is>
          <t>10/31 - 12:00 PM EDT</t>
        </is>
      </c>
      <c r="H617" s="12" t="inlineStr">
        <is>
          <t>Y</t>
        </is>
      </c>
      <c r="I617" s="23" t="n"/>
      <c r="J617" s="29" t="n"/>
      <c r="K617" s="13" t="n"/>
      <c r="L617" s="13" t="n"/>
      <c r="M617" s="12" t="n"/>
    </row>
    <row r="618">
      <c r="A618" s="17" t="inlineStr">
        <is>
          <t>2026-10-31</t>
        </is>
      </c>
      <c r="B618" s="25" t="n">
        <v>9</v>
      </c>
      <c r="C618" s="17" t="inlineStr">
        <is>
          <t>BGSU</t>
        </is>
      </c>
      <c r="D618" s="17" t="inlineStr">
        <is>
          <t>WMU</t>
        </is>
      </c>
      <c r="E618" s="25" t="n">
        <v>0</v>
      </c>
      <c r="F618" s="25" t="n">
        <v>0</v>
      </c>
      <c r="G618" s="17" t="inlineStr">
        <is>
          <t>10/31 - 12:00 PM EDT</t>
        </is>
      </c>
      <c r="H618" s="17" t="inlineStr"/>
      <c r="I618" s="26" t="n"/>
      <c r="J618" s="30" t="n"/>
      <c r="K618" s="18" t="n"/>
      <c r="L618" s="18" t="n"/>
      <c r="M618" s="17" t="n"/>
    </row>
    <row r="619">
      <c r="A619" s="12" t="inlineStr">
        <is>
          <t>2026-10-31</t>
        </is>
      </c>
      <c r="B619" s="22" t="n">
        <v>9</v>
      </c>
      <c r="C619" s="12" t="inlineStr">
        <is>
          <t>CONN</t>
        </is>
      </c>
      <c r="D619" s="12" t="inlineStr">
        <is>
          <t>AFA</t>
        </is>
      </c>
      <c r="E619" s="22" t="n">
        <v>0</v>
      </c>
      <c r="F619" s="22" t="n">
        <v>0</v>
      </c>
      <c r="G619" s="12" t="inlineStr">
        <is>
          <t>10/31 - 3:00 PM EDT</t>
        </is>
      </c>
      <c r="H619" s="12" t="inlineStr"/>
      <c r="I619" s="23" t="n"/>
      <c r="J619" s="29" t="n"/>
      <c r="K619" s="13" t="n"/>
      <c r="L619" s="13" t="n"/>
      <c r="M619" s="12" t="n"/>
    </row>
    <row r="620">
      <c r="A620" s="17" t="inlineStr">
        <is>
          <t>2026-10-31</t>
        </is>
      </c>
      <c r="B620" s="25" t="n">
        <v>9</v>
      </c>
      <c r="C620" s="17" t="inlineStr">
        <is>
          <t>FLA</t>
        </is>
      </c>
      <c r="D620" s="17" t="inlineStr">
        <is>
          <t>UGA</t>
        </is>
      </c>
      <c r="E620" s="25" t="n">
        <v>0</v>
      </c>
      <c r="F620" s="25" t="n">
        <v>0</v>
      </c>
      <c r="G620" s="17" t="inlineStr">
        <is>
          <t>10/31 - 3:30 PM EDT</t>
        </is>
      </c>
      <c r="H620" s="17" t="inlineStr">
        <is>
          <t>Y</t>
        </is>
      </c>
      <c r="I620" s="26" t="n"/>
      <c r="J620" s="30" t="n"/>
      <c r="K620" s="18" t="n"/>
      <c r="L620" s="18" t="n"/>
      <c r="M620" s="17" t="n"/>
    </row>
    <row r="621">
      <c r="A621" s="12" t="inlineStr">
        <is>
          <t>2026-10-31</t>
        </is>
      </c>
      <c r="B621" s="22" t="n">
        <v>9</v>
      </c>
      <c r="C621" s="12" t="inlineStr">
        <is>
          <t>CSU</t>
        </is>
      </c>
      <c r="D621" s="12" t="inlineStr">
        <is>
          <t>USU</t>
        </is>
      </c>
      <c r="E621" s="22" t="n">
        <v>0</v>
      </c>
      <c r="F621" s="22" t="n">
        <v>0</v>
      </c>
      <c r="G621" s="12" t="inlineStr">
        <is>
          <t>10/31 - 3:30 PM EDT</t>
        </is>
      </c>
      <c r="H621" s="12" t="inlineStr"/>
      <c r="I621" s="23" t="n"/>
      <c r="J621" s="29" t="n"/>
      <c r="K621" s="13" t="n"/>
      <c r="L621" s="13" t="n"/>
      <c r="M621" s="12" t="n"/>
    </row>
    <row r="622">
      <c r="A622" s="17" t="inlineStr">
        <is>
          <t>2026-10-31</t>
        </is>
      </c>
      <c r="B622" s="25" t="n">
        <v>9</v>
      </c>
      <c r="C622" s="17" t="inlineStr">
        <is>
          <t>UTEP</t>
        </is>
      </c>
      <c r="D622" s="17" t="inlineStr">
        <is>
          <t>NDSU</t>
        </is>
      </c>
      <c r="E622" s="25" t="n">
        <v>0</v>
      </c>
      <c r="F622" s="25" t="n">
        <v>0</v>
      </c>
      <c r="G622" s="17" t="inlineStr">
        <is>
          <t>10/31 - 3:30 PM EDT</t>
        </is>
      </c>
      <c r="H622" s="17" t="inlineStr"/>
      <c r="I622" s="26" t="n"/>
      <c r="J622" s="30" t="n"/>
      <c r="K622" s="18" t="n"/>
      <c r="L622" s="18" t="n"/>
      <c r="M622" s="17" t="n"/>
    </row>
    <row r="623">
      <c r="A623" s="12" t="inlineStr">
        <is>
          <t>2026-10-31</t>
        </is>
      </c>
      <c r="B623" s="22" t="n">
        <v>9</v>
      </c>
      <c r="C623" s="12" t="inlineStr">
        <is>
          <t>FIU</t>
        </is>
      </c>
      <c r="D623" s="12" t="inlineStr">
        <is>
          <t>LIB</t>
        </is>
      </c>
      <c r="E623" s="22" t="n">
        <v>0</v>
      </c>
      <c r="F623" s="22" t="n">
        <v>0</v>
      </c>
      <c r="G623" s="12" t="inlineStr">
        <is>
          <t>10/31 - 3:30 PM EDT</t>
        </is>
      </c>
      <c r="H623" s="12" t="inlineStr"/>
      <c r="I623" s="23" t="n"/>
      <c r="J623" s="29" t="n"/>
      <c r="K623" s="13" t="n"/>
      <c r="L623" s="13" t="n"/>
      <c r="M623" s="12" t="n"/>
    </row>
    <row r="624">
      <c r="A624" s="17" t="inlineStr">
        <is>
          <t>2026-10-31</t>
        </is>
      </c>
      <c r="B624" s="25" t="n">
        <v>9</v>
      </c>
      <c r="C624" s="17" t="inlineStr">
        <is>
          <t>WSU</t>
        </is>
      </c>
      <c r="D624" s="17" t="inlineStr">
        <is>
          <t>SDSU</t>
        </is>
      </c>
      <c r="E624" s="25" t="n">
        <v>0</v>
      </c>
      <c r="F624" s="25" t="n">
        <v>0</v>
      </c>
      <c r="G624" s="17" t="inlineStr">
        <is>
          <t>10/31 - 7:00 PM EDT</t>
        </is>
      </c>
      <c r="H624" s="17" t="inlineStr"/>
      <c r="I624" s="26" t="n"/>
      <c r="J624" s="30" t="n"/>
      <c r="K624" s="18" t="n"/>
      <c r="L624" s="18" t="n"/>
      <c r="M624" s="17" t="n"/>
    </row>
    <row r="625">
      <c r="A625" s="12" t="inlineStr">
        <is>
          <t>2026-11-01</t>
        </is>
      </c>
      <c r="B625" s="22" t="n">
        <v>9</v>
      </c>
      <c r="C625" s="12" t="inlineStr">
        <is>
          <t>TXST</t>
        </is>
      </c>
      <c r="D625" s="12" t="inlineStr">
        <is>
          <t>BOIS</t>
        </is>
      </c>
      <c r="E625" s="22" t="n">
        <v>0</v>
      </c>
      <c r="F625" s="22" t="n">
        <v>0</v>
      </c>
      <c r="G625" s="12" t="inlineStr">
        <is>
          <t>10/31 - 10:00 PM EDT</t>
        </is>
      </c>
      <c r="H625" s="12" t="inlineStr"/>
      <c r="I625" s="23" t="n"/>
      <c r="J625" s="29" t="n"/>
      <c r="K625" s="13" t="n"/>
      <c r="L625" s="13" t="n"/>
      <c r="M625" s="12" t="n"/>
    </row>
    <row r="626">
      <c r="A626" s="17" t="inlineStr">
        <is>
          <t>2026-11-01</t>
        </is>
      </c>
      <c r="B626" s="25" t="n">
        <v>9</v>
      </c>
      <c r="C626" s="17" t="inlineStr">
        <is>
          <t>NIU</t>
        </is>
      </c>
      <c r="D626" s="17" t="inlineStr">
        <is>
          <t>UNLV</t>
        </is>
      </c>
      <c r="E626" s="25" t="n">
        <v>0</v>
      </c>
      <c r="F626" s="25" t="n">
        <v>0</v>
      </c>
      <c r="G626" s="17" t="inlineStr">
        <is>
          <t>10/31 - 10:30 PM EDT</t>
        </is>
      </c>
      <c r="H626" s="17" t="inlineStr"/>
      <c r="I626" s="26" t="n"/>
      <c r="J626" s="30" t="n"/>
      <c r="K626" s="18" t="n"/>
      <c r="L626" s="18" t="n"/>
      <c r="M626" s="17" t="n"/>
    </row>
    <row r="627">
      <c r="A627" s="12" t="inlineStr">
        <is>
          <t>2026-11-04</t>
        </is>
      </c>
      <c r="B627" s="22" t="n">
        <v>10</v>
      </c>
      <c r="C627" s="12" t="inlineStr">
        <is>
          <t>OHIO</t>
        </is>
      </c>
      <c r="D627" s="12" t="inlineStr">
        <is>
          <t>AKR</t>
        </is>
      </c>
      <c r="E627" s="22" t="n">
        <v>0</v>
      </c>
      <c r="F627" s="22" t="n">
        <v>0</v>
      </c>
      <c r="G627" s="12" t="inlineStr">
        <is>
          <t>11/3 - 7:00 PM EST</t>
        </is>
      </c>
      <c r="H627" s="12" t="inlineStr"/>
      <c r="I627" s="23" t="n"/>
      <c r="J627" s="29" t="n"/>
      <c r="K627" s="13" t="n"/>
      <c r="L627" s="13" t="n"/>
      <c r="M627" s="12" t="n"/>
    </row>
    <row r="628">
      <c r="A628" s="17" t="inlineStr">
        <is>
          <t>2026-11-04</t>
        </is>
      </c>
      <c r="B628" s="25" t="n">
        <v>10</v>
      </c>
      <c r="C628" s="17" t="inlineStr">
        <is>
          <t>BUFF</t>
        </is>
      </c>
      <c r="D628" s="17" t="inlineStr">
        <is>
          <t>M-OH</t>
        </is>
      </c>
      <c r="E628" s="25" t="n">
        <v>0</v>
      </c>
      <c r="F628" s="25" t="n">
        <v>0</v>
      </c>
      <c r="G628" s="17" t="inlineStr">
        <is>
          <t>11/3 - 7:00 PM EST</t>
        </is>
      </c>
      <c r="H628" s="17" t="inlineStr"/>
      <c r="I628" s="26" t="n"/>
      <c r="J628" s="30" t="n"/>
      <c r="K628" s="18" t="n"/>
      <c r="L628" s="18" t="n"/>
      <c r="M628" s="17" t="n"/>
    </row>
    <row r="629">
      <c r="A629" s="12" t="inlineStr">
        <is>
          <t>2026-11-04</t>
        </is>
      </c>
      <c r="B629" s="22" t="n">
        <v>10</v>
      </c>
      <c r="C629" s="12" t="inlineStr">
        <is>
          <t>BALL</t>
        </is>
      </c>
      <c r="D629" s="12" t="inlineStr">
        <is>
          <t>MASS</t>
        </is>
      </c>
      <c r="E629" s="22" t="n">
        <v>0</v>
      </c>
      <c r="F629" s="22" t="n">
        <v>0</v>
      </c>
      <c r="G629" s="12" t="inlineStr">
        <is>
          <t>TBD</t>
        </is>
      </c>
      <c r="H629" s="12" t="inlineStr"/>
      <c r="I629" s="23" t="n"/>
      <c r="J629" s="29" t="n"/>
      <c r="K629" s="13" t="n"/>
      <c r="L629" s="13" t="n"/>
      <c r="M629" s="12" t="n"/>
    </row>
    <row r="630">
      <c r="A630" s="17" t="inlineStr">
        <is>
          <t>2026-11-04</t>
        </is>
      </c>
      <c r="B630" s="25" t="n">
        <v>10</v>
      </c>
      <c r="C630" s="17" t="inlineStr">
        <is>
          <t>CMU</t>
        </is>
      </c>
      <c r="D630" s="17" t="inlineStr">
        <is>
          <t>EMU</t>
        </is>
      </c>
      <c r="E630" s="25" t="n">
        <v>0</v>
      </c>
      <c r="F630" s="25" t="n">
        <v>0</v>
      </c>
      <c r="G630" s="17" t="inlineStr">
        <is>
          <t>TBD</t>
        </is>
      </c>
      <c r="H630" s="17" t="inlineStr">
        <is>
          <t>Y</t>
        </is>
      </c>
      <c r="I630" s="26" t="n"/>
      <c r="J630" s="30" t="n"/>
      <c r="K630" s="18" t="n"/>
      <c r="L630" s="18" t="n"/>
      <c r="M630" s="17" t="n"/>
    </row>
    <row r="631">
      <c r="A631" s="12" t="inlineStr">
        <is>
          <t>2026-11-04</t>
        </is>
      </c>
      <c r="B631" s="22" t="n">
        <v>10</v>
      </c>
      <c r="C631" s="12" t="inlineStr">
        <is>
          <t>TOL</t>
        </is>
      </c>
      <c r="D631" s="12" t="inlineStr">
        <is>
          <t>SAC</t>
        </is>
      </c>
      <c r="E631" s="22" t="n">
        <v>0</v>
      </c>
      <c r="F631" s="22" t="n">
        <v>0</v>
      </c>
      <c r="G631" s="12" t="inlineStr">
        <is>
          <t>TBD</t>
        </is>
      </c>
      <c r="H631" s="12" t="inlineStr"/>
      <c r="I631" s="23" t="n"/>
      <c r="J631" s="29" t="n"/>
      <c r="K631" s="13" t="n"/>
      <c r="L631" s="13" t="n"/>
      <c r="M631" s="12" t="n"/>
    </row>
    <row r="632">
      <c r="A632" s="17" t="inlineStr">
        <is>
          <t>2026-11-06</t>
        </is>
      </c>
      <c r="B632" s="25" t="n">
        <v>10</v>
      </c>
      <c r="C632" s="17" t="inlineStr">
        <is>
          <t>UTSA</t>
        </is>
      </c>
      <c r="D632" s="17" t="inlineStr">
        <is>
          <t>FAU</t>
        </is>
      </c>
      <c r="E632" s="25" t="n">
        <v>0</v>
      </c>
      <c r="F632" s="25" t="n">
        <v>0</v>
      </c>
      <c r="G632" s="17" t="inlineStr">
        <is>
          <t>11/5 - 8:00 PM EST</t>
        </is>
      </c>
      <c r="H632" s="17" t="inlineStr"/>
      <c r="I632" s="26" t="n"/>
      <c r="J632" s="30" t="n"/>
      <c r="K632" s="18" t="n"/>
      <c r="L632" s="18" t="n"/>
      <c r="M632" s="17" t="n"/>
    </row>
    <row r="633">
      <c r="A633" s="12" t="inlineStr">
        <is>
          <t>2026-11-06</t>
        </is>
      </c>
      <c r="B633" s="22" t="n">
        <v>10</v>
      </c>
      <c r="C633" s="12" t="inlineStr">
        <is>
          <t>JMU</t>
        </is>
      </c>
      <c r="D633" s="12" t="inlineStr">
        <is>
          <t>USM</t>
        </is>
      </c>
      <c r="E633" s="22" t="n">
        <v>0</v>
      </c>
      <c r="F633" s="22" t="n">
        <v>0</v>
      </c>
      <c r="G633" s="12" t="inlineStr">
        <is>
          <t>11/5 - 8:00 PM EST</t>
        </is>
      </c>
      <c r="H633" s="12" t="inlineStr"/>
      <c r="I633" s="23" t="n"/>
      <c r="J633" s="29" t="n"/>
      <c r="K633" s="13" t="n"/>
      <c r="L633" s="13" t="n"/>
      <c r="M633" s="12" t="n"/>
    </row>
    <row r="634">
      <c r="A634" s="17" t="inlineStr">
        <is>
          <t>2026-11-07</t>
        </is>
      </c>
      <c r="B634" s="25" t="n">
        <v>10</v>
      </c>
      <c r="C634" s="17" t="inlineStr">
        <is>
          <t>VT</t>
        </is>
      </c>
      <c r="D634" s="17" t="inlineStr">
        <is>
          <t>SMU</t>
        </is>
      </c>
      <c r="E634" s="25" t="n">
        <v>0</v>
      </c>
      <c r="F634" s="25" t="n">
        <v>0</v>
      </c>
      <c r="G634" s="17" t="inlineStr">
        <is>
          <t>11/6 - 7:00 PM EST</t>
        </is>
      </c>
      <c r="H634" s="17" t="inlineStr"/>
      <c r="I634" s="26" t="n"/>
      <c r="J634" s="30" t="n"/>
      <c r="K634" s="18" t="n"/>
      <c r="L634" s="18" t="n"/>
      <c r="M634" s="17" t="n"/>
    </row>
    <row r="635">
      <c r="A635" s="12" t="inlineStr">
        <is>
          <t>2026-11-07</t>
        </is>
      </c>
      <c r="B635" s="22" t="n">
        <v>10</v>
      </c>
      <c r="C635" s="12" t="inlineStr">
        <is>
          <t>USF</t>
        </is>
      </c>
      <c r="D635" s="12" t="inlineStr">
        <is>
          <t>ECU</t>
        </is>
      </c>
      <c r="E635" s="22" t="n">
        <v>0</v>
      </c>
      <c r="F635" s="22" t="n">
        <v>0</v>
      </c>
      <c r="G635" s="12" t="inlineStr">
        <is>
          <t>11/6 - 7:30 PM EST</t>
        </is>
      </c>
      <c r="H635" s="12" t="inlineStr"/>
      <c r="I635" s="23" t="n"/>
      <c r="J635" s="29" t="n"/>
      <c r="K635" s="13" t="n"/>
      <c r="L635" s="13" t="n"/>
      <c r="M635" s="12" t="n"/>
    </row>
    <row r="636">
      <c r="A636" s="17" t="inlineStr">
        <is>
          <t>2026-11-07</t>
        </is>
      </c>
      <c r="B636" s="25" t="n">
        <v>10</v>
      </c>
      <c r="C636" s="17" t="inlineStr">
        <is>
          <t>NEB</t>
        </is>
      </c>
      <c r="D636" s="17" t="inlineStr">
        <is>
          <t>ILL</t>
        </is>
      </c>
      <c r="E636" s="25" t="n">
        <v>0</v>
      </c>
      <c r="F636" s="25" t="n">
        <v>0</v>
      </c>
      <c r="G636" s="17" t="inlineStr">
        <is>
          <t>11/6 - 8:00 PM EST</t>
        </is>
      </c>
      <c r="H636" s="17" t="inlineStr"/>
      <c r="I636" s="26" t="n"/>
      <c r="J636" s="30" t="n"/>
      <c r="K636" s="18" t="n"/>
      <c r="L636" s="18" t="n"/>
      <c r="M636" s="17" t="n"/>
    </row>
    <row r="637">
      <c r="A637" s="12" t="inlineStr">
        <is>
          <t>2026-11-07</t>
        </is>
      </c>
      <c r="B637" s="22" t="n">
        <v>10</v>
      </c>
      <c r="C637" s="12" t="inlineStr">
        <is>
          <t>UNM</t>
        </is>
      </c>
      <c r="D637" s="12" t="inlineStr">
        <is>
          <t>NEV</t>
        </is>
      </c>
      <c r="E637" s="22" t="n">
        <v>0</v>
      </c>
      <c r="F637" s="22" t="n">
        <v>0</v>
      </c>
      <c r="G637" s="12" t="inlineStr">
        <is>
          <t>11/6 - 9:00 PM EST</t>
        </is>
      </c>
      <c r="H637" s="12" t="inlineStr"/>
      <c r="I637" s="23" t="n"/>
      <c r="J637" s="29" t="n"/>
      <c r="K637" s="13" t="n"/>
      <c r="L637" s="13" t="n"/>
      <c r="M637" s="12" t="n"/>
    </row>
    <row r="638">
      <c r="A638" s="17" t="inlineStr">
        <is>
          <t>2026-11-07</t>
        </is>
      </c>
      <c r="B638" s="25" t="n">
        <v>10</v>
      </c>
      <c r="C638" s="17" t="inlineStr">
        <is>
          <t>TCU</t>
        </is>
      </c>
      <c r="D638" s="17" t="inlineStr">
        <is>
          <t>ARIZ</t>
        </is>
      </c>
      <c r="E638" s="25" t="n">
        <v>0</v>
      </c>
      <c r="F638" s="25" t="n">
        <v>0</v>
      </c>
      <c r="G638" s="17" t="inlineStr">
        <is>
          <t>11/6 - 10:15 PM EST</t>
        </is>
      </c>
      <c r="H638" s="17" t="inlineStr"/>
      <c r="I638" s="26" t="n"/>
      <c r="J638" s="30" t="n"/>
      <c r="K638" s="18" t="n"/>
      <c r="L638" s="18" t="n"/>
      <c r="M638" s="17" t="n"/>
    </row>
    <row r="639">
      <c r="A639" s="12" t="inlineStr">
        <is>
          <t>2026-11-07</t>
        </is>
      </c>
      <c r="B639" s="22" t="n">
        <v>10</v>
      </c>
      <c r="C639" s="12" t="inlineStr">
        <is>
          <t>ARK</t>
        </is>
      </c>
      <c r="D639" s="12" t="inlineStr">
        <is>
          <t>AUB</t>
        </is>
      </c>
      <c r="E639" s="22" t="n">
        <v>0</v>
      </c>
      <c r="F639" s="22" t="n">
        <v>0</v>
      </c>
      <c r="G639" s="12" t="inlineStr">
        <is>
          <t>TBD</t>
        </is>
      </c>
      <c r="H639" s="12" t="inlineStr"/>
      <c r="I639" s="23" t="n"/>
      <c r="J639" s="29" t="n"/>
      <c r="K639" s="13" t="n"/>
      <c r="L639" s="13" t="n"/>
      <c r="M639" s="12" t="n"/>
    </row>
    <row r="640">
      <c r="A640" s="17" t="inlineStr">
        <is>
          <t>2026-11-07</t>
        </is>
      </c>
      <c r="B640" s="25" t="n">
        <v>10</v>
      </c>
      <c r="C640" s="17" t="inlineStr">
        <is>
          <t>OU</t>
        </is>
      </c>
      <c r="D640" s="17" t="inlineStr">
        <is>
          <t>FLA</t>
        </is>
      </c>
      <c r="E640" s="25" t="n">
        <v>0</v>
      </c>
      <c r="F640" s="25" t="n">
        <v>0</v>
      </c>
      <c r="G640" s="17" t="inlineStr">
        <is>
          <t>TBD</t>
        </is>
      </c>
      <c r="H640" s="17" t="inlineStr"/>
      <c r="I640" s="26" t="n"/>
      <c r="J640" s="30" t="n"/>
      <c r="K640" s="18" t="n"/>
      <c r="L640" s="18" t="n"/>
      <c r="M640" s="17" t="n"/>
    </row>
    <row r="641">
      <c r="A641" s="12" t="inlineStr">
        <is>
          <t>2026-11-07</t>
        </is>
      </c>
      <c r="B641" s="22" t="n">
        <v>10</v>
      </c>
      <c r="C641" s="12" t="inlineStr">
        <is>
          <t>ALA</t>
        </is>
      </c>
      <c r="D641" s="12" t="inlineStr">
        <is>
          <t>LSU</t>
        </is>
      </c>
      <c r="E641" s="22" t="n">
        <v>0</v>
      </c>
      <c r="F641" s="22" t="n">
        <v>0</v>
      </c>
      <c r="G641" s="12" t="inlineStr">
        <is>
          <t>TBD</t>
        </is>
      </c>
      <c r="H641" s="12" t="inlineStr"/>
      <c r="I641" s="23" t="n"/>
      <c r="J641" s="29" t="n"/>
      <c r="K641" s="13" t="n"/>
      <c r="L641" s="13" t="n"/>
      <c r="M641" s="12" t="n"/>
    </row>
    <row r="642">
      <c r="A642" s="17" t="inlineStr">
        <is>
          <t>2026-11-07</t>
        </is>
      </c>
      <c r="B642" s="25" t="n">
        <v>10</v>
      </c>
      <c r="C642" s="17" t="inlineStr">
        <is>
          <t>UGA</t>
        </is>
      </c>
      <c r="D642" s="17" t="inlineStr">
        <is>
          <t>MISS</t>
        </is>
      </c>
      <c r="E642" s="25" t="n">
        <v>0</v>
      </c>
      <c r="F642" s="25" t="n">
        <v>0</v>
      </c>
      <c r="G642" s="17" t="inlineStr">
        <is>
          <t>TBD</t>
        </is>
      </c>
      <c r="H642" s="17" t="inlineStr"/>
      <c r="I642" s="26" t="n"/>
      <c r="J642" s="30" t="n"/>
      <c r="K642" s="18" t="n"/>
      <c r="L642" s="18" t="n"/>
      <c r="M642" s="17" t="n"/>
    </row>
    <row r="643">
      <c r="A643" s="12" t="inlineStr">
        <is>
          <t>2026-11-07</t>
        </is>
      </c>
      <c r="B643" s="22" t="n">
        <v>10</v>
      </c>
      <c r="C643" s="12" t="inlineStr">
        <is>
          <t>VAN</t>
        </is>
      </c>
      <c r="D643" s="12" t="inlineStr">
        <is>
          <t>MSST</t>
        </is>
      </c>
      <c r="E643" s="22" t="n">
        <v>0</v>
      </c>
      <c r="F643" s="22" t="n">
        <v>0</v>
      </c>
      <c r="G643" s="12" t="inlineStr">
        <is>
          <t>TBD</t>
        </is>
      </c>
      <c r="H643" s="12" t="inlineStr"/>
      <c r="I643" s="23" t="n"/>
      <c r="J643" s="29" t="n"/>
      <c r="K643" s="13" t="n"/>
      <c r="L643" s="13" t="n"/>
      <c r="M643" s="12" t="n"/>
    </row>
    <row r="644">
      <c r="A644" s="17" t="inlineStr">
        <is>
          <t>2026-11-07</t>
        </is>
      </c>
      <c r="B644" s="25" t="n">
        <v>10</v>
      </c>
      <c r="C644" s="17" t="inlineStr">
        <is>
          <t>TEX</t>
        </is>
      </c>
      <c r="D644" s="17" t="inlineStr">
        <is>
          <t>MIZ</t>
        </is>
      </c>
      <c r="E644" s="25" t="n">
        <v>0</v>
      </c>
      <c r="F644" s="25" t="n">
        <v>0</v>
      </c>
      <c r="G644" s="17" t="inlineStr">
        <is>
          <t>TBD</t>
        </is>
      </c>
      <c r="H644" s="17" t="inlineStr"/>
      <c r="I644" s="26" t="n"/>
      <c r="J644" s="30" t="n"/>
      <c r="K644" s="18" t="n"/>
      <c r="L644" s="18" t="n"/>
      <c r="M644" s="17" t="n"/>
    </row>
    <row r="645">
      <c r="A645" s="12" t="inlineStr">
        <is>
          <t>2026-11-07</t>
        </is>
      </c>
      <c r="B645" s="22" t="n">
        <v>10</v>
      </c>
      <c r="C645" s="12" t="inlineStr">
        <is>
          <t>TA&amp;M</t>
        </is>
      </c>
      <c r="D645" s="12" t="inlineStr">
        <is>
          <t>SC</t>
        </is>
      </c>
      <c r="E645" s="22" t="n">
        <v>0</v>
      </c>
      <c r="F645" s="22" t="n">
        <v>0</v>
      </c>
      <c r="G645" s="12" t="inlineStr">
        <is>
          <t>TBD</t>
        </is>
      </c>
      <c r="H645" s="12" t="inlineStr"/>
      <c r="I645" s="23" t="n"/>
      <c r="J645" s="29" t="n"/>
      <c r="K645" s="13" t="n"/>
      <c r="L645" s="13" t="n"/>
      <c r="M645" s="12" t="n"/>
    </row>
    <row r="646">
      <c r="A646" s="17" t="inlineStr">
        <is>
          <t>2026-11-07</t>
        </is>
      </c>
      <c r="B646" s="25" t="n">
        <v>10</v>
      </c>
      <c r="C646" s="17" t="inlineStr">
        <is>
          <t>UK</t>
        </is>
      </c>
      <c r="D646" s="17" t="inlineStr">
        <is>
          <t>TENN</t>
        </is>
      </c>
      <c r="E646" s="25" t="n">
        <v>0</v>
      </c>
      <c r="F646" s="25" t="n">
        <v>0</v>
      </c>
      <c r="G646" s="17" t="inlineStr">
        <is>
          <t>TBD</t>
        </is>
      </c>
      <c r="H646" s="17" t="inlineStr"/>
      <c r="I646" s="26" t="n"/>
      <c r="J646" s="30" t="n"/>
      <c r="K646" s="18" t="n"/>
      <c r="L646" s="18" t="n"/>
      <c r="M646" s="17" t="n"/>
    </row>
    <row r="647">
      <c r="A647" s="12" t="inlineStr">
        <is>
          <t>2026-11-07</t>
        </is>
      </c>
      <c r="B647" s="22" t="n">
        <v>10</v>
      </c>
      <c r="C647" s="12" t="inlineStr">
        <is>
          <t>BYU</t>
        </is>
      </c>
      <c r="D647" s="12" t="inlineStr">
        <is>
          <t>UTAH</t>
        </is>
      </c>
      <c r="E647" s="22" t="n">
        <v>0</v>
      </c>
      <c r="F647" s="22" t="n">
        <v>0</v>
      </c>
      <c r="G647" s="12" t="inlineStr">
        <is>
          <t>TBD</t>
        </is>
      </c>
      <c r="H647" s="12" t="inlineStr"/>
      <c r="I647" s="23" t="n"/>
      <c r="J647" s="29" t="n"/>
      <c r="K647" s="13" t="n"/>
      <c r="L647" s="13" t="n"/>
      <c r="M647" s="12" t="n"/>
    </row>
    <row r="648">
      <c r="A648" s="17" t="inlineStr">
        <is>
          <t>2026-11-07</t>
        </is>
      </c>
      <c r="B648" s="25" t="n">
        <v>10</v>
      </c>
      <c r="C648" s="17" t="inlineStr">
        <is>
          <t>UCF</t>
        </is>
      </c>
      <c r="D648" s="17" t="inlineStr">
        <is>
          <t>KU</t>
        </is>
      </c>
      <c r="E648" s="25" t="n">
        <v>0</v>
      </c>
      <c r="F648" s="25" t="n">
        <v>0</v>
      </c>
      <c r="G648" s="17" t="inlineStr">
        <is>
          <t>TBD</t>
        </is>
      </c>
      <c r="H648" s="17" t="inlineStr"/>
      <c r="I648" s="26" t="n"/>
      <c r="J648" s="30" t="n"/>
      <c r="K648" s="18" t="n"/>
      <c r="L648" s="18" t="n"/>
      <c r="M648" s="17" t="n"/>
    </row>
    <row r="649">
      <c r="A649" s="12" t="inlineStr">
        <is>
          <t>2026-11-07</t>
        </is>
      </c>
      <c r="B649" s="22" t="n">
        <v>10</v>
      </c>
      <c r="C649" s="12" t="inlineStr">
        <is>
          <t>CIN</t>
        </is>
      </c>
      <c r="D649" s="12" t="inlineStr">
        <is>
          <t>HOU</t>
        </is>
      </c>
      <c r="E649" s="22" t="n">
        <v>0</v>
      </c>
      <c r="F649" s="22" t="n">
        <v>0</v>
      </c>
      <c r="G649" s="12" t="inlineStr">
        <is>
          <t>TBD</t>
        </is>
      </c>
      <c r="H649" s="12" t="inlineStr"/>
      <c r="I649" s="23" t="n"/>
      <c r="J649" s="29" t="n"/>
      <c r="K649" s="13" t="n"/>
      <c r="L649" s="13" t="n"/>
      <c r="M649" s="12" t="n"/>
    </row>
    <row r="650">
      <c r="A650" s="17" t="inlineStr">
        <is>
          <t>2026-11-07</t>
        </is>
      </c>
      <c r="B650" s="25" t="n">
        <v>10</v>
      </c>
      <c r="C650" s="17" t="inlineStr">
        <is>
          <t>COLO</t>
        </is>
      </c>
      <c r="D650" s="17" t="inlineStr">
        <is>
          <t>ASU</t>
        </is>
      </c>
      <c r="E650" s="25" t="n">
        <v>0</v>
      </c>
      <c r="F650" s="25" t="n">
        <v>0</v>
      </c>
      <c r="G650" s="17" t="inlineStr">
        <is>
          <t>TBD</t>
        </is>
      </c>
      <c r="H650" s="17" t="inlineStr"/>
      <c r="I650" s="26" t="n"/>
      <c r="J650" s="30" t="n"/>
      <c r="K650" s="18" t="n"/>
      <c r="L650" s="18" t="n"/>
      <c r="M650" s="17" t="n"/>
    </row>
    <row r="651">
      <c r="A651" s="12" t="inlineStr">
        <is>
          <t>2026-11-07</t>
        </is>
      </c>
      <c r="B651" s="22" t="n">
        <v>10</v>
      </c>
      <c r="C651" s="12" t="inlineStr">
        <is>
          <t>ISU</t>
        </is>
      </c>
      <c r="D651" s="12" t="inlineStr">
        <is>
          <t>BAY</t>
        </is>
      </c>
      <c r="E651" s="22" t="n">
        <v>0</v>
      </c>
      <c r="F651" s="22" t="n">
        <v>0</v>
      </c>
      <c r="G651" s="12" t="inlineStr">
        <is>
          <t>TBD</t>
        </is>
      </c>
      <c r="H651" s="12" t="inlineStr"/>
      <c r="I651" s="23" t="n"/>
      <c r="J651" s="29" t="n"/>
      <c r="K651" s="13" t="n"/>
      <c r="L651" s="13" t="n"/>
      <c r="M651" s="12" t="n"/>
    </row>
    <row r="652">
      <c r="A652" s="17" t="inlineStr">
        <is>
          <t>2026-11-07</t>
        </is>
      </c>
      <c r="B652" s="25" t="n">
        <v>10</v>
      </c>
      <c r="C652" s="17" t="inlineStr">
        <is>
          <t>OKST</t>
        </is>
      </c>
      <c r="D652" s="17" t="inlineStr">
        <is>
          <t>KSU</t>
        </is>
      </c>
      <c r="E652" s="25" t="n">
        <v>0</v>
      </c>
      <c r="F652" s="25" t="n">
        <v>0</v>
      </c>
      <c r="G652" s="17" t="inlineStr">
        <is>
          <t>TBD</t>
        </is>
      </c>
      <c r="H652" s="17" t="inlineStr"/>
      <c r="I652" s="26" t="n"/>
      <c r="J652" s="30" t="n"/>
      <c r="K652" s="18" t="n"/>
      <c r="L652" s="18" t="n"/>
      <c r="M652" s="17" t="n"/>
    </row>
    <row r="653">
      <c r="A653" s="12" t="inlineStr">
        <is>
          <t>2026-11-07</t>
        </is>
      </c>
      <c r="B653" s="22" t="n">
        <v>10</v>
      </c>
      <c r="C653" s="12" t="inlineStr">
        <is>
          <t>WVU</t>
        </is>
      </c>
      <c r="D653" s="12" t="inlineStr">
        <is>
          <t>TTU</t>
        </is>
      </c>
      <c r="E653" s="22" t="n">
        <v>0</v>
      </c>
      <c r="F653" s="22" t="n">
        <v>0</v>
      </c>
      <c r="G653" s="12" t="inlineStr">
        <is>
          <t>TBD</t>
        </is>
      </c>
      <c r="H653" s="12" t="inlineStr"/>
      <c r="I653" s="23" t="n"/>
      <c r="J653" s="29" t="n"/>
      <c r="K653" s="13" t="n"/>
      <c r="L653" s="13" t="n"/>
      <c r="M653" s="12" t="n"/>
    </row>
    <row r="654">
      <c r="A654" s="17" t="inlineStr">
        <is>
          <t>2026-11-07</t>
        </is>
      </c>
      <c r="B654" s="25" t="n">
        <v>10</v>
      </c>
      <c r="C654" s="17" t="inlineStr">
        <is>
          <t>CLEM</t>
        </is>
      </c>
      <c r="D654" s="17" t="inlineStr">
        <is>
          <t>SYR</t>
        </is>
      </c>
      <c r="E654" s="25" t="n">
        <v>0</v>
      </c>
      <c r="F654" s="25" t="n">
        <v>0</v>
      </c>
      <c r="G654" s="17" t="inlineStr">
        <is>
          <t>TBD</t>
        </is>
      </c>
      <c r="H654" s="17" t="inlineStr"/>
      <c r="I654" s="26" t="n"/>
      <c r="J654" s="30" t="n"/>
      <c r="K654" s="18" t="n"/>
      <c r="L654" s="18" t="n"/>
      <c r="M654" s="17" t="n"/>
    </row>
    <row r="655">
      <c r="A655" s="12" t="inlineStr">
        <is>
          <t>2026-11-07</t>
        </is>
      </c>
      <c r="B655" s="22" t="n">
        <v>10</v>
      </c>
      <c r="C655" s="12" t="inlineStr">
        <is>
          <t>DUKE</t>
        </is>
      </c>
      <c r="D655" s="12" t="inlineStr">
        <is>
          <t>NCSU</t>
        </is>
      </c>
      <c r="E655" s="22" t="n">
        <v>0</v>
      </c>
      <c r="F655" s="22" t="n">
        <v>0</v>
      </c>
      <c r="G655" s="12" t="inlineStr">
        <is>
          <t>TBD</t>
        </is>
      </c>
      <c r="H655" s="12" t="inlineStr"/>
      <c r="I655" s="23" t="n"/>
      <c r="J655" s="29" t="n"/>
      <c r="K655" s="13" t="n"/>
      <c r="L655" s="13" t="n"/>
      <c r="M655" s="12" t="n"/>
    </row>
    <row r="656">
      <c r="A656" s="17" t="inlineStr">
        <is>
          <t>2026-11-07</t>
        </is>
      </c>
      <c r="B656" s="25" t="n">
        <v>10</v>
      </c>
      <c r="C656" s="17" t="inlineStr">
        <is>
          <t>LOU</t>
        </is>
      </c>
      <c r="D656" s="17" t="inlineStr">
        <is>
          <t>GT</t>
        </is>
      </c>
      <c r="E656" s="25" t="n">
        <v>0</v>
      </c>
      <c r="F656" s="25" t="n">
        <v>0</v>
      </c>
      <c r="G656" s="17" t="inlineStr">
        <is>
          <t>TBD</t>
        </is>
      </c>
      <c r="H656" s="17" t="inlineStr"/>
      <c r="I656" s="26" t="n"/>
      <c r="J656" s="30" t="n"/>
      <c r="K656" s="18" t="n"/>
      <c r="L656" s="18" t="n"/>
      <c r="M656" s="17" t="n"/>
    </row>
    <row r="657">
      <c r="A657" s="12" t="inlineStr">
        <is>
          <t>2026-11-07</t>
        </is>
      </c>
      <c r="B657" s="22" t="n">
        <v>10</v>
      </c>
      <c r="C657" s="12" t="inlineStr">
        <is>
          <t>FSU</t>
        </is>
      </c>
      <c r="D657" s="12" t="inlineStr">
        <is>
          <t>BC</t>
        </is>
      </c>
      <c r="E657" s="22" t="n">
        <v>0</v>
      </c>
      <c r="F657" s="22" t="n">
        <v>0</v>
      </c>
      <c r="G657" s="12" t="inlineStr">
        <is>
          <t>TBD</t>
        </is>
      </c>
      <c r="H657" s="12" t="inlineStr"/>
      <c r="I657" s="23" t="n"/>
      <c r="J657" s="29" t="n"/>
      <c r="K657" s="13" t="n"/>
      <c r="L657" s="13" t="n"/>
      <c r="M657" s="12" t="n"/>
    </row>
    <row r="658">
      <c r="A658" s="17" t="inlineStr">
        <is>
          <t>2026-11-07</t>
        </is>
      </c>
      <c r="B658" s="25" t="n">
        <v>10</v>
      </c>
      <c r="C658" s="17" t="inlineStr">
        <is>
          <t>MSU</t>
        </is>
      </c>
      <c r="D658" s="17" t="inlineStr">
        <is>
          <t>MICH</t>
        </is>
      </c>
      <c r="E658" s="25" t="n">
        <v>0</v>
      </c>
      <c r="F658" s="25" t="n">
        <v>0</v>
      </c>
      <c r="G658" s="17" t="inlineStr">
        <is>
          <t>TBD</t>
        </is>
      </c>
      <c r="H658" s="17" t="inlineStr"/>
      <c r="I658" s="26" t="n"/>
      <c r="J658" s="30" t="n"/>
      <c r="K658" s="18" t="n"/>
      <c r="L658" s="18" t="n"/>
      <c r="M658" s="17" t="n"/>
    </row>
    <row r="659">
      <c r="A659" s="12" t="inlineStr">
        <is>
          <t>2026-11-07</t>
        </is>
      </c>
      <c r="B659" s="22" t="n">
        <v>10</v>
      </c>
      <c r="C659" s="12" t="inlineStr">
        <is>
          <t>UCLA</t>
        </is>
      </c>
      <c r="D659" s="12" t="inlineStr">
        <is>
          <t>MINN</t>
        </is>
      </c>
      <c r="E659" s="22" t="n">
        <v>0</v>
      </c>
      <c r="F659" s="22" t="n">
        <v>0</v>
      </c>
      <c r="G659" s="12" t="inlineStr">
        <is>
          <t>TBD</t>
        </is>
      </c>
      <c r="H659" s="12" t="inlineStr"/>
      <c r="I659" s="23" t="n"/>
      <c r="J659" s="29" t="n"/>
      <c r="K659" s="13" t="n"/>
      <c r="L659" s="13" t="n"/>
      <c r="M659" s="12" t="n"/>
    </row>
    <row r="660">
      <c r="A660" s="17" t="inlineStr">
        <is>
          <t>2026-11-07</t>
        </is>
      </c>
      <c r="B660" s="25" t="n">
        <v>10</v>
      </c>
      <c r="C660" s="17" t="inlineStr">
        <is>
          <t>IOWA</t>
        </is>
      </c>
      <c r="D660" s="17" t="inlineStr">
        <is>
          <t>NU</t>
        </is>
      </c>
      <c r="E660" s="25" t="n">
        <v>0</v>
      </c>
      <c r="F660" s="25" t="n">
        <v>0</v>
      </c>
      <c r="G660" s="17" t="inlineStr">
        <is>
          <t>TBD</t>
        </is>
      </c>
      <c r="H660" s="17" t="inlineStr"/>
      <c r="I660" s="26" t="n"/>
      <c r="J660" s="30" t="n"/>
      <c r="K660" s="18" t="n"/>
      <c r="L660" s="18" t="n"/>
      <c r="M660" s="17" t="n"/>
    </row>
    <row r="661">
      <c r="A661" s="12" t="inlineStr">
        <is>
          <t>2026-11-07</t>
        </is>
      </c>
      <c r="B661" s="22" t="n">
        <v>10</v>
      </c>
      <c r="C661" s="12" t="inlineStr">
        <is>
          <t>ORE</t>
        </is>
      </c>
      <c r="D661" s="12" t="inlineStr">
        <is>
          <t>OSU</t>
        </is>
      </c>
      <c r="E661" s="22" t="n">
        <v>0</v>
      </c>
      <c r="F661" s="22" t="n">
        <v>0</v>
      </c>
      <c r="G661" s="12" t="inlineStr">
        <is>
          <t>TBD</t>
        </is>
      </c>
      <c r="H661" s="12" t="inlineStr"/>
      <c r="I661" s="23" t="n"/>
      <c r="J661" s="29" t="n"/>
      <c r="K661" s="13" t="n"/>
      <c r="L661" s="13" t="n"/>
      <c r="M661" s="12" t="n"/>
    </row>
    <row r="662">
      <c r="A662" s="17" t="inlineStr">
        <is>
          <t>2026-11-07</t>
        </is>
      </c>
      <c r="B662" s="25" t="n">
        <v>10</v>
      </c>
      <c r="C662" s="17" t="inlineStr">
        <is>
          <t>MD</t>
        </is>
      </c>
      <c r="D662" s="17" t="inlineStr">
        <is>
          <t>PUR</t>
        </is>
      </c>
      <c r="E662" s="25" t="n">
        <v>0</v>
      </c>
      <c r="F662" s="25" t="n">
        <v>0</v>
      </c>
      <c r="G662" s="17" t="inlineStr">
        <is>
          <t>TBD</t>
        </is>
      </c>
      <c r="H662" s="17" t="inlineStr"/>
      <c r="I662" s="26" t="n"/>
      <c r="J662" s="30" t="n"/>
      <c r="K662" s="18" t="n"/>
      <c r="L662" s="18" t="n"/>
      <c r="M662" s="17" t="n"/>
    </row>
    <row r="663">
      <c r="A663" s="12" t="inlineStr">
        <is>
          <t>2026-11-07</t>
        </is>
      </c>
      <c r="B663" s="22" t="n">
        <v>10</v>
      </c>
      <c r="C663" s="12" t="inlineStr">
        <is>
          <t>PSU</t>
        </is>
      </c>
      <c r="D663" s="12" t="inlineStr">
        <is>
          <t>WASH</t>
        </is>
      </c>
      <c r="E663" s="22" t="n">
        <v>0</v>
      </c>
      <c r="F663" s="22" t="n">
        <v>0</v>
      </c>
      <c r="G663" s="12" t="inlineStr">
        <is>
          <t>TBD</t>
        </is>
      </c>
      <c r="H663" s="12" t="inlineStr"/>
      <c r="I663" s="23" t="n"/>
      <c r="J663" s="29" t="n"/>
      <c r="K663" s="13" t="n"/>
      <c r="L663" s="13" t="n"/>
      <c r="M663" s="12" t="n"/>
    </row>
    <row r="664">
      <c r="A664" s="17" t="inlineStr">
        <is>
          <t>2026-11-07</t>
        </is>
      </c>
      <c r="B664" s="25" t="n">
        <v>10</v>
      </c>
      <c r="C664" s="17" t="inlineStr">
        <is>
          <t>RUTG</t>
        </is>
      </c>
      <c r="D664" s="17" t="inlineStr">
        <is>
          <t>WIS</t>
        </is>
      </c>
      <c r="E664" s="25" t="n">
        <v>0</v>
      </c>
      <c r="F664" s="25" t="n">
        <v>0</v>
      </c>
      <c r="G664" s="17" t="inlineStr">
        <is>
          <t>TBD</t>
        </is>
      </c>
      <c r="H664" s="17" t="inlineStr"/>
      <c r="I664" s="26" t="n"/>
      <c r="J664" s="30" t="n"/>
      <c r="K664" s="18" t="n"/>
      <c r="L664" s="18" t="n"/>
      <c r="M664" s="17" t="n"/>
    </row>
    <row r="665">
      <c r="A665" s="12" t="inlineStr">
        <is>
          <t>2026-11-07</t>
        </is>
      </c>
      <c r="B665" s="22" t="n">
        <v>10</v>
      </c>
      <c r="C665" s="12" t="inlineStr">
        <is>
          <t>CLT</t>
        </is>
      </c>
      <c r="D665" s="12" t="inlineStr">
        <is>
          <t>UAB</t>
        </is>
      </c>
      <c r="E665" s="22" t="n">
        <v>0</v>
      </c>
      <c r="F665" s="22" t="n">
        <v>0</v>
      </c>
      <c r="G665" s="12" t="inlineStr">
        <is>
          <t>TBD</t>
        </is>
      </c>
      <c r="H665" s="12" t="inlineStr"/>
      <c r="I665" s="23" t="n"/>
      <c r="J665" s="29" t="n"/>
      <c r="K665" s="13" t="n"/>
      <c r="L665" s="13" t="n"/>
      <c r="M665" s="12" t="n"/>
    </row>
    <row r="666">
      <c r="A666" s="17" t="inlineStr">
        <is>
          <t>2026-11-07</t>
        </is>
      </c>
      <c r="B666" s="25" t="n">
        <v>10</v>
      </c>
      <c r="C666" s="17" t="inlineStr">
        <is>
          <t>RICE</t>
        </is>
      </c>
      <c r="D666" s="17" t="inlineStr">
        <is>
          <t>UNT</t>
        </is>
      </c>
      <c r="E666" s="25" t="n">
        <v>0</v>
      </c>
      <c r="F666" s="25" t="n">
        <v>0</v>
      </c>
      <c r="G666" s="17" t="inlineStr">
        <is>
          <t>TBD</t>
        </is>
      </c>
      <c r="H666" s="17" t="inlineStr"/>
      <c r="I666" s="26" t="n"/>
      <c r="J666" s="30" t="n"/>
      <c r="K666" s="18" t="n"/>
      <c r="L666" s="18" t="n"/>
      <c r="M666" s="17" t="n"/>
    </row>
    <row r="667">
      <c r="A667" s="12" t="inlineStr">
        <is>
          <t>2026-11-07</t>
        </is>
      </c>
      <c r="B667" s="22" t="n">
        <v>10</v>
      </c>
      <c r="C667" s="12" t="inlineStr">
        <is>
          <t>TLSA</t>
        </is>
      </c>
      <c r="D667" s="12" t="inlineStr">
        <is>
          <t>TULN</t>
        </is>
      </c>
      <c r="E667" s="22" t="n">
        <v>0</v>
      </c>
      <c r="F667" s="22" t="n">
        <v>0</v>
      </c>
      <c r="G667" s="12" t="inlineStr">
        <is>
          <t>TBD</t>
        </is>
      </c>
      <c r="H667" s="12" t="inlineStr"/>
      <c r="I667" s="23" t="n"/>
      <c r="J667" s="29" t="n"/>
      <c r="K667" s="13" t="n"/>
      <c r="L667" s="13" t="n"/>
      <c r="M667" s="12" t="n"/>
    </row>
    <row r="668">
      <c r="A668" s="17" t="inlineStr">
        <is>
          <t>2026-11-07</t>
        </is>
      </c>
      <c r="B668" s="25" t="n">
        <v>10</v>
      </c>
      <c r="C668" s="17" t="inlineStr">
        <is>
          <t>HAW</t>
        </is>
      </c>
      <c r="D668" s="17" t="inlineStr">
        <is>
          <t>UTEP</t>
        </is>
      </c>
      <c r="E668" s="25" t="n">
        <v>0</v>
      </c>
      <c r="F668" s="25" t="n">
        <v>0</v>
      </c>
      <c r="G668" s="17" t="inlineStr">
        <is>
          <t>TBD</t>
        </is>
      </c>
      <c r="H668" s="17" t="inlineStr"/>
      <c r="I668" s="26" t="n"/>
      <c r="J668" s="30" t="n"/>
      <c r="K668" s="18" t="n"/>
      <c r="L668" s="18" t="n"/>
      <c r="M668" s="17" t="n"/>
    </row>
    <row r="669">
      <c r="A669" s="12" t="inlineStr">
        <is>
          <t>2026-11-07</t>
        </is>
      </c>
      <c r="B669" s="22" t="n">
        <v>10</v>
      </c>
      <c r="C669" s="12" t="inlineStr">
        <is>
          <t>NIU</t>
        </is>
      </c>
      <c r="D669" s="12" t="inlineStr">
        <is>
          <t>SJSU</t>
        </is>
      </c>
      <c r="E669" s="22" t="n">
        <v>0</v>
      </c>
      <c r="F669" s="22" t="n">
        <v>0</v>
      </c>
      <c r="G669" s="12" t="inlineStr">
        <is>
          <t>TBD</t>
        </is>
      </c>
      <c r="H669" s="12" t="inlineStr"/>
      <c r="I669" s="23" t="n"/>
      <c r="J669" s="29" t="n"/>
      <c r="K669" s="13" t="n"/>
      <c r="L669" s="13" t="n"/>
      <c r="M669" s="12" t="n"/>
    </row>
    <row r="670">
      <c r="A670" s="17" t="inlineStr">
        <is>
          <t>2026-11-07</t>
        </is>
      </c>
      <c r="B670" s="25" t="n">
        <v>10</v>
      </c>
      <c r="C670" s="17" t="inlineStr">
        <is>
          <t>GAST</t>
        </is>
      </c>
      <c r="D670" s="17" t="inlineStr">
        <is>
          <t>APP</t>
        </is>
      </c>
      <c r="E670" s="25" t="n">
        <v>0</v>
      </c>
      <c r="F670" s="25" t="n">
        <v>0</v>
      </c>
      <c r="G670" s="17" t="inlineStr">
        <is>
          <t>TBD</t>
        </is>
      </c>
      <c r="H670" s="17" t="inlineStr"/>
      <c r="I670" s="26" t="n"/>
      <c r="J670" s="30" t="n"/>
      <c r="K670" s="18" t="n"/>
      <c r="L670" s="18" t="n"/>
      <c r="M670" s="17" t="n"/>
    </row>
    <row r="671">
      <c r="A671" s="12" t="inlineStr">
        <is>
          <t>2026-11-07</t>
        </is>
      </c>
      <c r="B671" s="22" t="n">
        <v>10</v>
      </c>
      <c r="C671" s="12" t="inlineStr">
        <is>
          <t>ODU</t>
        </is>
      </c>
      <c r="D671" s="12" t="inlineStr">
        <is>
          <t>CCU</t>
        </is>
      </c>
      <c r="E671" s="22" t="n">
        <v>0</v>
      </c>
      <c r="F671" s="22" t="n">
        <v>0</v>
      </c>
      <c r="G671" s="12" t="inlineStr">
        <is>
          <t>TBD</t>
        </is>
      </c>
      <c r="H671" s="12" t="inlineStr"/>
      <c r="I671" s="23" t="n"/>
      <c r="J671" s="29" t="n"/>
      <c r="K671" s="13" t="n"/>
      <c r="L671" s="13" t="n"/>
      <c r="M671" s="12" t="n"/>
    </row>
    <row r="672">
      <c r="A672" s="17" t="inlineStr">
        <is>
          <t>2026-11-07</t>
        </is>
      </c>
      <c r="B672" s="25" t="n">
        <v>10</v>
      </c>
      <c r="C672" s="17" t="inlineStr">
        <is>
          <t>MRSH</t>
        </is>
      </c>
      <c r="D672" s="17" t="inlineStr">
        <is>
          <t>GASO</t>
        </is>
      </c>
      <c r="E672" s="25" t="n">
        <v>0</v>
      </c>
      <c r="F672" s="25" t="n">
        <v>0</v>
      </c>
      <c r="G672" s="17" t="inlineStr">
        <is>
          <t>TBD</t>
        </is>
      </c>
      <c r="H672" s="17" t="inlineStr"/>
      <c r="I672" s="26" t="n"/>
      <c r="J672" s="30" t="n"/>
      <c r="K672" s="18" t="n"/>
      <c r="L672" s="18" t="n"/>
      <c r="M672" s="17" t="n"/>
    </row>
    <row r="673">
      <c r="A673" s="12" t="inlineStr">
        <is>
          <t>2026-11-07</t>
        </is>
      </c>
      <c r="B673" s="22" t="n">
        <v>10</v>
      </c>
      <c r="C673" s="12" t="inlineStr">
        <is>
          <t>USA</t>
        </is>
      </c>
      <c r="D673" s="12" t="inlineStr">
        <is>
          <t>UL</t>
        </is>
      </c>
      <c r="E673" s="22" t="n">
        <v>0</v>
      </c>
      <c r="F673" s="22" t="n">
        <v>0</v>
      </c>
      <c r="G673" s="12" t="inlineStr">
        <is>
          <t>TBD</t>
        </is>
      </c>
      <c r="H673" s="12" t="inlineStr"/>
      <c r="I673" s="23" t="n"/>
      <c r="J673" s="29" t="n"/>
      <c r="K673" s="13" t="n"/>
      <c r="L673" s="13" t="n"/>
      <c r="M673" s="12" t="n"/>
    </row>
    <row r="674">
      <c r="A674" s="17" t="inlineStr">
        <is>
          <t>2026-11-07</t>
        </is>
      </c>
      <c r="B674" s="25" t="n">
        <v>10</v>
      </c>
      <c r="C674" s="17" t="inlineStr">
        <is>
          <t>LT</t>
        </is>
      </c>
      <c r="D674" s="17" t="inlineStr">
        <is>
          <t>TROY</t>
        </is>
      </c>
      <c r="E674" s="25" t="n">
        <v>0</v>
      </c>
      <c r="F674" s="25" t="n">
        <v>0</v>
      </c>
      <c r="G674" s="17" t="inlineStr">
        <is>
          <t>TBD</t>
        </is>
      </c>
      <c r="H674" s="17" t="inlineStr"/>
      <c r="I674" s="26" t="n"/>
      <c r="J674" s="30" t="n"/>
      <c r="K674" s="18" t="n"/>
      <c r="L674" s="18" t="n"/>
      <c r="M674" s="17" t="n"/>
    </row>
    <row r="675">
      <c r="A675" s="12" t="inlineStr">
        <is>
          <t>2026-11-07</t>
        </is>
      </c>
      <c r="B675" s="22" t="n">
        <v>10</v>
      </c>
      <c r="C675" s="12" t="inlineStr">
        <is>
          <t>MRMK</t>
        </is>
      </c>
      <c r="D675" s="12" t="inlineStr">
        <is>
          <t>WAKE</t>
        </is>
      </c>
      <c r="E675" s="22" t="n">
        <v>0</v>
      </c>
      <c r="F675" s="22" t="n">
        <v>0</v>
      </c>
      <c r="G675" s="12" t="inlineStr">
        <is>
          <t>11/7 - 12:00 PM EST</t>
        </is>
      </c>
      <c r="H675" s="12" t="inlineStr"/>
      <c r="I675" s="23" t="n"/>
      <c r="J675" s="29" t="n"/>
      <c r="K675" s="13" t="n"/>
      <c r="L675" s="13" t="n"/>
      <c r="M675" s="12" t="n"/>
    </row>
    <row r="676">
      <c r="A676" s="17" t="inlineStr">
        <is>
          <t>2026-11-07</t>
        </is>
      </c>
      <c r="B676" s="25" t="n">
        <v>10</v>
      </c>
      <c r="C676" s="17" t="inlineStr">
        <is>
          <t>UNC</t>
        </is>
      </c>
      <c r="D676" s="17" t="inlineStr">
        <is>
          <t>CONN</t>
        </is>
      </c>
      <c r="E676" s="25" t="n">
        <v>0</v>
      </c>
      <c r="F676" s="25" t="n">
        <v>0</v>
      </c>
      <c r="G676" s="17" t="inlineStr">
        <is>
          <t>11/7 - 12:00 PM EST</t>
        </is>
      </c>
      <c r="H676" s="17" t="inlineStr"/>
      <c r="I676" s="26" t="n"/>
      <c r="J676" s="30" t="n"/>
      <c r="K676" s="18" t="n"/>
      <c r="L676" s="18" t="n"/>
      <c r="M676" s="17" t="n"/>
    </row>
    <row r="677">
      <c r="A677" s="12" t="inlineStr">
        <is>
          <t>2026-11-07</t>
        </is>
      </c>
      <c r="B677" s="22" t="n">
        <v>10</v>
      </c>
      <c r="C677" s="12" t="inlineStr">
        <is>
          <t>ULM</t>
        </is>
      </c>
      <c r="D677" s="12" t="inlineStr">
        <is>
          <t>ARST</t>
        </is>
      </c>
      <c r="E677" s="22" t="n">
        <v>0</v>
      </c>
      <c r="F677" s="22" t="n">
        <v>0</v>
      </c>
      <c r="G677" s="12" t="inlineStr">
        <is>
          <t>11/7 - 3:00 PM EST</t>
        </is>
      </c>
      <c r="H677" s="12" t="inlineStr"/>
      <c r="I677" s="23" t="n"/>
      <c r="J677" s="29" t="n"/>
      <c r="K677" s="13" t="n"/>
      <c r="L677" s="13" t="n"/>
      <c r="M677" s="12" t="n"/>
    </row>
    <row r="678">
      <c r="A678" s="17" t="inlineStr">
        <is>
          <t>2026-11-07</t>
        </is>
      </c>
      <c r="B678" s="25" t="n">
        <v>10</v>
      </c>
      <c r="C678" s="17" t="inlineStr">
        <is>
          <t>DEL</t>
        </is>
      </c>
      <c r="D678" s="17" t="inlineStr">
        <is>
          <t>KENN</t>
        </is>
      </c>
      <c r="E678" s="25" t="n">
        <v>0</v>
      </c>
      <c r="F678" s="25" t="n">
        <v>0</v>
      </c>
      <c r="G678" s="17" t="inlineStr">
        <is>
          <t>11/7 - 3:00 PM EST</t>
        </is>
      </c>
      <c r="H678" s="17" t="inlineStr"/>
      <c r="I678" s="26" t="n"/>
      <c r="J678" s="30" t="n"/>
      <c r="K678" s="18" t="n"/>
      <c r="L678" s="18" t="n"/>
      <c r="M678" s="17" t="n"/>
    </row>
    <row r="679">
      <c r="A679" s="12" t="inlineStr">
        <is>
          <t>2026-11-07</t>
        </is>
      </c>
      <c r="B679" s="22" t="n">
        <v>10</v>
      </c>
      <c r="C679" s="12" t="inlineStr">
        <is>
          <t>TEM</t>
        </is>
      </c>
      <c r="D679" s="12" t="inlineStr">
        <is>
          <t>NAVY</t>
        </is>
      </c>
      <c r="E679" s="22" t="n">
        <v>0</v>
      </c>
      <c r="F679" s="22" t="n">
        <v>0</v>
      </c>
      <c r="G679" s="12" t="inlineStr">
        <is>
          <t>11/7 - 3:30 PM EST</t>
        </is>
      </c>
      <c r="H679" s="12" t="inlineStr"/>
      <c r="I679" s="23" t="n"/>
      <c r="J679" s="29" t="n"/>
      <c r="K679" s="13" t="n"/>
      <c r="L679" s="13" t="n"/>
      <c r="M679" s="12" t="n"/>
    </row>
    <row r="680">
      <c r="A680" s="17" t="inlineStr">
        <is>
          <t>2026-11-07</t>
        </is>
      </c>
      <c r="B680" s="25" t="n">
        <v>10</v>
      </c>
      <c r="C680" s="17" t="inlineStr">
        <is>
          <t>WKU</t>
        </is>
      </c>
      <c r="D680" s="17" t="inlineStr">
        <is>
          <t>MTSU</t>
        </is>
      </c>
      <c r="E680" s="25" t="n">
        <v>0</v>
      </c>
      <c r="F680" s="25" t="n">
        <v>0</v>
      </c>
      <c r="G680" s="17" t="inlineStr">
        <is>
          <t>11/7 - 3:30 PM EST</t>
        </is>
      </c>
      <c r="H680" s="17" t="inlineStr"/>
      <c r="I680" s="26" t="n"/>
      <c r="J680" s="30" t="n"/>
      <c r="K680" s="18" t="n"/>
      <c r="L680" s="18" t="n"/>
      <c r="M680" s="17" t="n"/>
    </row>
    <row r="681">
      <c r="A681" s="12" t="inlineStr">
        <is>
          <t>2026-11-07</t>
        </is>
      </c>
      <c r="B681" s="22" t="n">
        <v>10</v>
      </c>
      <c r="C681" s="12" t="inlineStr">
        <is>
          <t>MOST</t>
        </is>
      </c>
      <c r="D681" s="12" t="inlineStr">
        <is>
          <t>FIU</t>
        </is>
      </c>
      <c r="E681" s="22" t="n">
        <v>0</v>
      </c>
      <c r="F681" s="22" t="n">
        <v>0</v>
      </c>
      <c r="G681" s="12" t="inlineStr">
        <is>
          <t>11/7 - 4:00 PM EST</t>
        </is>
      </c>
      <c r="H681" s="12" t="inlineStr"/>
      <c r="I681" s="23" t="n"/>
      <c r="J681" s="29" t="n"/>
      <c r="K681" s="13" t="n"/>
      <c r="L681" s="13" t="n"/>
      <c r="M681" s="12" t="n"/>
    </row>
    <row r="682">
      <c r="A682" s="17" t="inlineStr">
        <is>
          <t>2026-11-07</t>
        </is>
      </c>
      <c r="B682" s="25" t="n">
        <v>10</v>
      </c>
      <c r="C682" s="17" t="inlineStr">
        <is>
          <t>LIB</t>
        </is>
      </c>
      <c r="D682" s="17" t="inlineStr">
        <is>
          <t>NMSU</t>
        </is>
      </c>
      <c r="E682" s="25" t="n">
        <v>0</v>
      </c>
      <c r="F682" s="25" t="n">
        <v>0</v>
      </c>
      <c r="G682" s="17" t="inlineStr">
        <is>
          <t>11/7 - 5:00 PM EST</t>
        </is>
      </c>
      <c r="H682" s="17" t="inlineStr"/>
      <c r="I682" s="26" t="n"/>
      <c r="J682" s="30" t="n"/>
      <c r="K682" s="18" t="n"/>
      <c r="L682" s="18" t="n"/>
      <c r="M682" s="17" t="n"/>
    </row>
    <row r="683">
      <c r="A683" s="12" t="inlineStr">
        <is>
          <t>2026-11-07</t>
        </is>
      </c>
      <c r="B683" s="22" t="n">
        <v>10</v>
      </c>
      <c r="C683" s="12" t="inlineStr">
        <is>
          <t>BOIS</t>
        </is>
      </c>
      <c r="D683" s="12" t="inlineStr">
        <is>
          <t>CSU</t>
        </is>
      </c>
      <c r="E683" s="22" t="n">
        <v>0</v>
      </c>
      <c r="F683" s="22" t="n">
        <v>0</v>
      </c>
      <c r="G683" s="12" t="inlineStr">
        <is>
          <t>11/7 - 6:00 PM EST</t>
        </is>
      </c>
      <c r="H683" s="12" t="inlineStr"/>
      <c r="I683" s="23" t="n"/>
      <c r="J683" s="29" t="n"/>
      <c r="K683" s="13" t="n"/>
      <c r="L683" s="13" t="n"/>
      <c r="M683" s="12" t="n"/>
    </row>
    <row r="684">
      <c r="A684" s="17" t="inlineStr">
        <is>
          <t>2026-11-08</t>
        </is>
      </c>
      <c r="B684" s="25" t="n">
        <v>10</v>
      </c>
      <c r="C684" s="17" t="inlineStr">
        <is>
          <t>SHSU</t>
        </is>
      </c>
      <c r="D684" s="17" t="inlineStr">
        <is>
          <t>JVST</t>
        </is>
      </c>
      <c r="E684" s="25" t="n">
        <v>0</v>
      </c>
      <c r="F684" s="25" t="n">
        <v>0</v>
      </c>
      <c r="G684" s="17" t="inlineStr">
        <is>
          <t>11/7 - 7:00 PM EST</t>
        </is>
      </c>
      <c r="H684" s="17" t="inlineStr"/>
      <c r="I684" s="26" t="n"/>
      <c r="J684" s="30" t="n"/>
      <c r="K684" s="18" t="n"/>
      <c r="L684" s="18" t="n"/>
      <c r="M684" s="17" t="n"/>
    </row>
    <row r="685">
      <c r="A685" s="12" t="inlineStr">
        <is>
          <t>2026-11-08</t>
        </is>
      </c>
      <c r="B685" s="22" t="n">
        <v>10</v>
      </c>
      <c r="C685" s="12" t="inlineStr">
        <is>
          <t>MIA</t>
        </is>
      </c>
      <c r="D685" s="12" t="inlineStr">
        <is>
          <t>ND</t>
        </is>
      </c>
      <c r="E685" s="22" t="n">
        <v>0</v>
      </c>
      <c r="F685" s="22" t="n">
        <v>0</v>
      </c>
      <c r="G685" s="12" t="inlineStr">
        <is>
          <t>11/7 - 7:30 PM EST</t>
        </is>
      </c>
      <c r="H685" s="12" t="inlineStr"/>
      <c r="I685" s="23" t="n"/>
      <c r="J685" s="29" t="n"/>
      <c r="K685" s="13" t="n"/>
      <c r="L685" s="13" t="n"/>
      <c r="M685" s="12" t="n"/>
    </row>
    <row r="686">
      <c r="A686" s="17" t="inlineStr">
        <is>
          <t>2026-11-08</t>
        </is>
      </c>
      <c r="B686" s="25" t="n">
        <v>10</v>
      </c>
      <c r="C686" s="17" t="inlineStr">
        <is>
          <t>AFA</t>
        </is>
      </c>
      <c r="D686" s="17" t="inlineStr">
        <is>
          <t>ARMY</t>
        </is>
      </c>
      <c r="E686" s="25" t="n">
        <v>0</v>
      </c>
      <c r="F686" s="25" t="n">
        <v>0</v>
      </c>
      <c r="G686" s="17" t="inlineStr">
        <is>
          <t>11/7 - 7:30 PM EST</t>
        </is>
      </c>
      <c r="H686" s="17" t="inlineStr"/>
      <c r="I686" s="26" t="n"/>
      <c r="J686" s="30" t="n"/>
      <c r="K686" s="18" t="n"/>
      <c r="L686" s="18" t="n"/>
      <c r="M686" s="17" t="n"/>
    </row>
    <row r="687">
      <c r="A687" s="12" t="inlineStr">
        <is>
          <t>2026-11-08</t>
        </is>
      </c>
      <c r="B687" s="22" t="n">
        <v>10</v>
      </c>
      <c r="C687" s="12" t="inlineStr">
        <is>
          <t>FRES</t>
        </is>
      </c>
      <c r="D687" s="12" t="inlineStr">
        <is>
          <t>USU</t>
        </is>
      </c>
      <c r="E687" s="22" t="n">
        <v>0</v>
      </c>
      <c r="F687" s="22" t="n">
        <v>0</v>
      </c>
      <c r="G687" s="12" t="inlineStr">
        <is>
          <t>11/7 - 9:30 PM EST</t>
        </is>
      </c>
      <c r="H687" s="12" t="inlineStr"/>
      <c r="I687" s="23" t="n"/>
      <c r="J687" s="29" t="n"/>
      <c r="K687" s="13" t="n"/>
      <c r="L687" s="13" t="n"/>
      <c r="M687" s="12" t="n"/>
    </row>
    <row r="688">
      <c r="A688" s="17" t="inlineStr">
        <is>
          <t>2026-11-08</t>
        </is>
      </c>
      <c r="B688" s="25" t="n">
        <v>10</v>
      </c>
      <c r="C688" s="17" t="inlineStr">
        <is>
          <t>TXST</t>
        </is>
      </c>
      <c r="D688" s="17" t="inlineStr">
        <is>
          <t>ORST</t>
        </is>
      </c>
      <c r="E688" s="25" t="n">
        <v>0</v>
      </c>
      <c r="F688" s="25" t="n">
        <v>0</v>
      </c>
      <c r="G688" s="17" t="inlineStr">
        <is>
          <t>11/7 - 10:30 PM EST</t>
        </is>
      </c>
      <c r="H688" s="17" t="inlineStr"/>
      <c r="I688" s="26" t="n"/>
      <c r="J688" s="30" t="n"/>
      <c r="K688" s="18" t="n"/>
      <c r="L688" s="18" t="n"/>
      <c r="M688" s="17" t="n"/>
    </row>
    <row r="689">
      <c r="A689" s="12" t="inlineStr">
        <is>
          <t>2026-11-08</t>
        </is>
      </c>
      <c r="B689" s="22" t="n">
        <v>10</v>
      </c>
      <c r="C689" s="12" t="inlineStr">
        <is>
          <t>WYO</t>
        </is>
      </c>
      <c r="D689" s="12" t="inlineStr">
        <is>
          <t>UNLV</t>
        </is>
      </c>
      <c r="E689" s="22" t="n">
        <v>0</v>
      </c>
      <c r="F689" s="22" t="n">
        <v>0</v>
      </c>
      <c r="G689" s="12" t="inlineStr">
        <is>
          <t>11/7 - 10:30 PM EST</t>
        </is>
      </c>
      <c r="H689" s="12" t="inlineStr"/>
      <c r="I689" s="23" t="n"/>
      <c r="J689" s="29" t="n"/>
      <c r="K689" s="13" t="n"/>
      <c r="L689" s="13" t="n"/>
      <c r="M689" s="12" t="n"/>
    </row>
    <row r="690">
      <c r="A690" s="17" t="inlineStr">
        <is>
          <t>2026-11-11</t>
        </is>
      </c>
      <c r="B690" s="25" t="n">
        <v>11</v>
      </c>
      <c r="C690" s="17" t="inlineStr">
        <is>
          <t>WMU</t>
        </is>
      </c>
      <c r="D690" s="17" t="inlineStr">
        <is>
          <t>AKR</t>
        </is>
      </c>
      <c r="E690" s="25" t="n">
        <v>0</v>
      </c>
      <c r="F690" s="25" t="n">
        <v>0</v>
      </c>
      <c r="G690" s="17" t="inlineStr">
        <is>
          <t>11/10 - 7:00 PM EST</t>
        </is>
      </c>
      <c r="H690" s="17" t="inlineStr"/>
      <c r="I690" s="26" t="n"/>
      <c r="J690" s="30" t="n"/>
      <c r="K690" s="18" t="n"/>
      <c r="L690" s="18" t="n"/>
      <c r="M690" s="17" t="n"/>
    </row>
    <row r="691">
      <c r="A691" s="12" t="inlineStr">
        <is>
          <t>2026-11-11</t>
        </is>
      </c>
      <c r="B691" s="22" t="n">
        <v>11</v>
      </c>
      <c r="C691" s="12" t="inlineStr">
        <is>
          <t>KENT</t>
        </is>
      </c>
      <c r="D691" s="12" t="inlineStr">
        <is>
          <t>BGSU</t>
        </is>
      </c>
      <c r="E691" s="22" t="n">
        <v>0</v>
      </c>
      <c r="F691" s="22" t="n">
        <v>0</v>
      </c>
      <c r="G691" s="12" t="inlineStr">
        <is>
          <t>11/10 - 7:00 PM EST</t>
        </is>
      </c>
      <c r="H691" s="12" t="inlineStr"/>
      <c r="I691" s="23" t="n"/>
      <c r="J691" s="29" t="n"/>
      <c r="K691" s="13" t="n"/>
      <c r="L691" s="13" t="n"/>
      <c r="M691" s="12" t="n"/>
    </row>
    <row r="692">
      <c r="A692" s="17" t="inlineStr">
        <is>
          <t>2026-11-11</t>
        </is>
      </c>
      <c r="B692" s="25" t="n">
        <v>11</v>
      </c>
      <c r="C692" s="17" t="inlineStr">
        <is>
          <t>OHIO</t>
        </is>
      </c>
      <c r="D692" s="17" t="inlineStr">
        <is>
          <t>M-OH</t>
        </is>
      </c>
      <c r="E692" s="25" t="n">
        <v>0</v>
      </c>
      <c r="F692" s="25" t="n">
        <v>0</v>
      </c>
      <c r="G692" s="17" t="inlineStr">
        <is>
          <t>11/10 - 7:00 PM EST</t>
        </is>
      </c>
      <c r="H692" s="17" t="inlineStr"/>
      <c r="I692" s="26" t="n"/>
      <c r="J692" s="30" t="n"/>
      <c r="K692" s="18" t="n"/>
      <c r="L692" s="18" t="n"/>
      <c r="M692" s="17" t="n"/>
    </row>
    <row r="693">
      <c r="A693" s="12" t="inlineStr">
        <is>
          <t>2026-11-11</t>
        </is>
      </c>
      <c r="B693" s="22" t="n">
        <v>11</v>
      </c>
      <c r="C693" s="12" t="inlineStr">
        <is>
          <t>BUFF</t>
        </is>
      </c>
      <c r="D693" s="12" t="inlineStr">
        <is>
          <t>BALL</t>
        </is>
      </c>
      <c r="E693" s="22" t="n">
        <v>0</v>
      </c>
      <c r="F693" s="22" t="n">
        <v>0</v>
      </c>
      <c r="G693" s="12" t="inlineStr">
        <is>
          <t>TBD</t>
        </is>
      </c>
      <c r="H693" s="12" t="inlineStr"/>
      <c r="I693" s="23" t="n"/>
      <c r="J693" s="29" t="n"/>
      <c r="K693" s="13" t="n"/>
      <c r="L693" s="13" t="n"/>
      <c r="M693" s="12" t="n"/>
    </row>
    <row r="694">
      <c r="A694" s="17" t="inlineStr">
        <is>
          <t>2026-11-11</t>
        </is>
      </c>
      <c r="B694" s="25" t="n">
        <v>11</v>
      </c>
      <c r="C694" s="17" t="inlineStr">
        <is>
          <t>SAC</t>
        </is>
      </c>
      <c r="D694" s="17" t="inlineStr">
        <is>
          <t>CMU</t>
        </is>
      </c>
      <c r="E694" s="25" t="n">
        <v>0</v>
      </c>
      <c r="F694" s="25" t="n">
        <v>0</v>
      </c>
      <c r="G694" s="17" t="inlineStr">
        <is>
          <t>TBD</t>
        </is>
      </c>
      <c r="H694" s="17" t="inlineStr"/>
      <c r="I694" s="26" t="n"/>
      <c r="J694" s="30" t="n"/>
      <c r="K694" s="18" t="n"/>
      <c r="L694" s="18" t="n"/>
      <c r="M694" s="17" t="n"/>
    </row>
    <row r="695">
      <c r="A695" s="12" t="inlineStr">
        <is>
          <t>2026-11-11</t>
        </is>
      </c>
      <c r="B695" s="22" t="n">
        <v>11</v>
      </c>
      <c r="C695" s="12" t="inlineStr">
        <is>
          <t>MASS</t>
        </is>
      </c>
      <c r="D695" s="12" t="inlineStr">
        <is>
          <t>TOL</t>
        </is>
      </c>
      <c r="E695" s="22" t="n">
        <v>0</v>
      </c>
      <c r="F695" s="22" t="n">
        <v>0</v>
      </c>
      <c r="G695" s="12" t="inlineStr">
        <is>
          <t>TBD</t>
        </is>
      </c>
      <c r="H695" s="12" t="inlineStr"/>
      <c r="I695" s="23" t="n"/>
      <c r="J695" s="29" t="n"/>
      <c r="K695" s="13" t="n"/>
      <c r="L695" s="13" t="n"/>
      <c r="M695" s="12" t="n"/>
    </row>
    <row r="696">
      <c r="A696" s="17" t="inlineStr">
        <is>
          <t>2026-11-13</t>
        </is>
      </c>
      <c r="B696" s="25" t="n">
        <v>11</v>
      </c>
      <c r="C696" s="17" t="inlineStr">
        <is>
          <t>MEM</t>
        </is>
      </c>
      <c r="D696" s="17" t="inlineStr">
        <is>
          <t>USF</t>
        </is>
      </c>
      <c r="E696" s="25" t="n">
        <v>0</v>
      </c>
      <c r="F696" s="25" t="n">
        <v>0</v>
      </c>
      <c r="G696" s="17" t="inlineStr">
        <is>
          <t>11/12 - 8:00 PM EST</t>
        </is>
      </c>
      <c r="H696" s="17" t="inlineStr"/>
      <c r="I696" s="26" t="n"/>
      <c r="J696" s="30" t="n"/>
      <c r="K696" s="18" t="n"/>
      <c r="L696" s="18" t="n"/>
      <c r="M696" s="17" t="n"/>
    </row>
    <row r="697">
      <c r="A697" s="12" t="inlineStr">
        <is>
          <t>2026-11-13</t>
        </is>
      </c>
      <c r="B697" s="22" t="n">
        <v>11</v>
      </c>
      <c r="C697" s="12" t="inlineStr">
        <is>
          <t>UL</t>
        </is>
      </c>
      <c r="D697" s="12" t="inlineStr">
        <is>
          <t>ULM</t>
        </is>
      </c>
      <c r="E697" s="22" t="n">
        <v>0</v>
      </c>
      <c r="F697" s="22" t="n">
        <v>0</v>
      </c>
      <c r="G697" s="12" t="inlineStr">
        <is>
          <t>11/12 - 9:00 PM EST</t>
        </is>
      </c>
      <c r="H697" s="12" t="inlineStr"/>
      <c r="I697" s="23" t="n"/>
      <c r="J697" s="29" t="n"/>
      <c r="K697" s="13" t="n"/>
      <c r="L697" s="13" t="n"/>
      <c r="M697" s="12" t="n"/>
    </row>
    <row r="698">
      <c r="A698" s="17" t="inlineStr">
        <is>
          <t>2026-11-14</t>
        </is>
      </c>
      <c r="B698" s="25" t="n">
        <v>11</v>
      </c>
      <c r="C698" s="17" t="inlineStr">
        <is>
          <t>FSU</t>
        </is>
      </c>
      <c r="D698" s="17" t="inlineStr">
        <is>
          <t>PITT</t>
        </is>
      </c>
      <c r="E698" s="25" t="n">
        <v>0</v>
      </c>
      <c r="F698" s="25" t="n">
        <v>0</v>
      </c>
      <c r="G698" s="17" t="inlineStr">
        <is>
          <t>11/13 - 7:00 PM EST</t>
        </is>
      </c>
      <c r="H698" s="17" t="inlineStr"/>
      <c r="I698" s="26" t="n"/>
      <c r="J698" s="30" t="n"/>
      <c r="K698" s="18" t="n"/>
      <c r="L698" s="18" t="n"/>
      <c r="M698" s="17" t="n"/>
    </row>
    <row r="699">
      <c r="A699" s="12" t="inlineStr">
        <is>
          <t>2026-11-14</t>
        </is>
      </c>
      <c r="B699" s="22" t="n">
        <v>11</v>
      </c>
      <c r="C699" s="12" t="inlineStr">
        <is>
          <t>ILL</t>
        </is>
      </c>
      <c r="D699" s="12" t="inlineStr">
        <is>
          <t>UCLA</t>
        </is>
      </c>
      <c r="E699" s="22" t="n">
        <v>0</v>
      </c>
      <c r="F699" s="22" t="n">
        <v>0</v>
      </c>
      <c r="G699" s="12" t="inlineStr">
        <is>
          <t>11/13 - 9:00 PM EST</t>
        </is>
      </c>
      <c r="H699" s="12" t="inlineStr"/>
      <c r="I699" s="23" t="n"/>
      <c r="J699" s="29" t="n"/>
      <c r="K699" s="13" t="n"/>
      <c r="L699" s="13" t="n"/>
      <c r="M699" s="12" t="n"/>
    </row>
    <row r="700">
      <c r="A700" s="17" t="inlineStr">
        <is>
          <t>2026-11-14</t>
        </is>
      </c>
      <c r="B700" s="25" t="n">
        <v>11</v>
      </c>
      <c r="C700" s="17" t="inlineStr">
        <is>
          <t>HOU</t>
        </is>
      </c>
      <c r="D700" s="17" t="inlineStr">
        <is>
          <t>COLO</t>
        </is>
      </c>
      <c r="E700" s="25" t="n">
        <v>0</v>
      </c>
      <c r="F700" s="25" t="n">
        <v>0</v>
      </c>
      <c r="G700" s="17" t="inlineStr">
        <is>
          <t>11/13 - 10:15 PM EST</t>
        </is>
      </c>
      <c r="H700" s="17" t="inlineStr"/>
      <c r="I700" s="26" t="n"/>
      <c r="J700" s="30" t="n"/>
      <c r="K700" s="18" t="n"/>
      <c r="L700" s="18" t="n"/>
      <c r="M700" s="17" t="n"/>
    </row>
    <row r="701">
      <c r="A701" s="12" t="inlineStr">
        <is>
          <t>2026-11-14</t>
        </is>
      </c>
      <c r="B701" s="22" t="n">
        <v>11</v>
      </c>
      <c r="C701" s="12" t="inlineStr">
        <is>
          <t>ASU</t>
        </is>
      </c>
      <c r="D701" s="12" t="inlineStr">
        <is>
          <t>UCF</t>
        </is>
      </c>
      <c r="E701" s="22" t="n">
        <v>0</v>
      </c>
      <c r="F701" s="22" t="n">
        <v>0</v>
      </c>
      <c r="G701" s="12" t="inlineStr">
        <is>
          <t>TBD</t>
        </is>
      </c>
      <c r="H701" s="12" t="inlineStr"/>
      <c r="I701" s="23" t="n"/>
      <c r="J701" s="29" t="n"/>
      <c r="K701" s="13" t="n"/>
      <c r="L701" s="13" t="n"/>
      <c r="M701" s="12" t="n"/>
    </row>
    <row r="702">
      <c r="A702" s="17" t="inlineStr">
        <is>
          <t>2026-11-14</t>
        </is>
      </c>
      <c r="B702" s="25" t="n">
        <v>11</v>
      </c>
      <c r="C702" s="17" t="inlineStr">
        <is>
          <t>BAY</t>
        </is>
      </c>
      <c r="D702" s="17" t="inlineStr">
        <is>
          <t>BYU</t>
        </is>
      </c>
      <c r="E702" s="25" t="n">
        <v>0</v>
      </c>
      <c r="F702" s="25" t="n">
        <v>0</v>
      </c>
      <c r="G702" s="17" t="inlineStr">
        <is>
          <t>TBD</t>
        </is>
      </c>
      <c r="H702" s="17" t="inlineStr"/>
      <c r="I702" s="26" t="n"/>
      <c r="J702" s="30" t="n"/>
      <c r="K702" s="18" t="n"/>
      <c r="L702" s="18" t="n"/>
      <c r="M702" s="17" t="n"/>
    </row>
    <row r="703">
      <c r="A703" s="12" t="inlineStr">
        <is>
          <t>2026-11-14</t>
        </is>
      </c>
      <c r="B703" s="22" t="n">
        <v>11</v>
      </c>
      <c r="C703" s="12" t="inlineStr">
        <is>
          <t>CIN</t>
        </is>
      </c>
      <c r="D703" s="12" t="inlineStr">
        <is>
          <t>ISU</t>
        </is>
      </c>
      <c r="E703" s="22" t="n">
        <v>0</v>
      </c>
      <c r="F703" s="22" t="n">
        <v>0</v>
      </c>
      <c r="G703" s="12" t="inlineStr">
        <is>
          <t>TBD</t>
        </is>
      </c>
      <c r="H703" s="12" t="inlineStr"/>
      <c r="I703" s="23" t="n"/>
      <c r="J703" s="29" t="n"/>
      <c r="K703" s="13" t="n"/>
      <c r="L703" s="13" t="n"/>
      <c r="M703" s="12" t="n"/>
    </row>
    <row r="704">
      <c r="A704" s="17" t="inlineStr">
        <is>
          <t>2026-11-14</t>
        </is>
      </c>
      <c r="B704" s="25" t="n">
        <v>11</v>
      </c>
      <c r="C704" s="17" t="inlineStr">
        <is>
          <t>KU</t>
        </is>
      </c>
      <c r="D704" s="17" t="inlineStr">
        <is>
          <t>WVU</t>
        </is>
      </c>
      <c r="E704" s="25" t="n">
        <v>0</v>
      </c>
      <c r="F704" s="25" t="n">
        <v>0</v>
      </c>
      <c r="G704" s="17" t="inlineStr">
        <is>
          <t>TBD</t>
        </is>
      </c>
      <c r="H704" s="17" t="inlineStr"/>
      <c r="I704" s="26" t="n"/>
      <c r="J704" s="30" t="n"/>
      <c r="K704" s="18" t="n"/>
      <c r="L704" s="18" t="n"/>
      <c r="M704" s="17" t="n"/>
    </row>
    <row r="705">
      <c r="A705" s="12" t="inlineStr">
        <is>
          <t>2026-11-14</t>
        </is>
      </c>
      <c r="B705" s="22" t="n">
        <v>11</v>
      </c>
      <c r="C705" s="12" t="inlineStr">
        <is>
          <t>KSU</t>
        </is>
      </c>
      <c r="D705" s="12" t="inlineStr">
        <is>
          <t>TCU</t>
        </is>
      </c>
      <c r="E705" s="22" t="n">
        <v>0</v>
      </c>
      <c r="F705" s="22" t="n">
        <v>0</v>
      </c>
      <c r="G705" s="12" t="inlineStr">
        <is>
          <t>TBD</t>
        </is>
      </c>
      <c r="H705" s="12" t="inlineStr"/>
      <c r="I705" s="23" t="n"/>
      <c r="J705" s="29" t="n"/>
      <c r="K705" s="13" t="n"/>
      <c r="L705" s="13" t="n"/>
      <c r="M705" s="12" t="n"/>
    </row>
    <row r="706">
      <c r="A706" s="17" t="inlineStr">
        <is>
          <t>2026-11-14</t>
        </is>
      </c>
      <c r="B706" s="25" t="n">
        <v>11</v>
      </c>
      <c r="C706" s="17" t="inlineStr">
        <is>
          <t>TTU</t>
        </is>
      </c>
      <c r="D706" s="17" t="inlineStr">
        <is>
          <t>OKST</t>
        </is>
      </c>
      <c r="E706" s="25" t="n">
        <v>0</v>
      </c>
      <c r="F706" s="25" t="n">
        <v>0</v>
      </c>
      <c r="G706" s="17" t="inlineStr">
        <is>
          <t>TBD</t>
        </is>
      </c>
      <c r="H706" s="17" t="inlineStr"/>
      <c r="I706" s="26" t="n"/>
      <c r="J706" s="30" t="n"/>
      <c r="K706" s="18" t="n"/>
      <c r="L706" s="18" t="n"/>
      <c r="M706" s="17" t="n"/>
    </row>
    <row r="707">
      <c r="A707" s="12" t="inlineStr">
        <is>
          <t>2026-11-14</t>
        </is>
      </c>
      <c r="B707" s="22" t="n">
        <v>11</v>
      </c>
      <c r="C707" s="12" t="inlineStr">
        <is>
          <t>UTAH</t>
        </is>
      </c>
      <c r="D707" s="12" t="inlineStr">
        <is>
          <t>ARIZ</t>
        </is>
      </c>
      <c r="E707" s="22" t="n">
        <v>0</v>
      </c>
      <c r="F707" s="22" t="n">
        <v>0</v>
      </c>
      <c r="G707" s="12" t="inlineStr">
        <is>
          <t>TBD</t>
        </is>
      </c>
      <c r="H707" s="12" t="inlineStr"/>
      <c r="I707" s="23" t="n"/>
      <c r="J707" s="29" t="n"/>
      <c r="K707" s="13" t="n"/>
      <c r="L707" s="13" t="n"/>
      <c r="M707" s="12" t="n"/>
    </row>
    <row r="708">
      <c r="A708" s="17" t="inlineStr">
        <is>
          <t>2026-11-14</t>
        </is>
      </c>
      <c r="B708" s="25" t="n">
        <v>11</v>
      </c>
      <c r="C708" s="17" t="inlineStr">
        <is>
          <t>SC</t>
        </is>
      </c>
      <c r="D708" s="17" t="inlineStr">
        <is>
          <t>ARK</t>
        </is>
      </c>
      <c r="E708" s="25" t="n">
        <v>0</v>
      </c>
      <c r="F708" s="25" t="n">
        <v>0</v>
      </c>
      <c r="G708" s="17" t="inlineStr">
        <is>
          <t>TBD</t>
        </is>
      </c>
      <c r="H708" s="17" t="inlineStr"/>
      <c r="I708" s="26" t="n"/>
      <c r="J708" s="30" t="n"/>
      <c r="K708" s="18" t="n"/>
      <c r="L708" s="18" t="n"/>
      <c r="M708" s="17" t="n"/>
    </row>
    <row r="709">
      <c r="A709" s="12" t="inlineStr">
        <is>
          <t>2026-11-14</t>
        </is>
      </c>
      <c r="B709" s="22" t="n">
        <v>11</v>
      </c>
      <c r="C709" s="12" t="inlineStr">
        <is>
          <t>MIZ</t>
        </is>
      </c>
      <c r="D709" s="12" t="inlineStr">
        <is>
          <t>UGA</t>
        </is>
      </c>
      <c r="E709" s="22" t="n">
        <v>0</v>
      </c>
      <c r="F709" s="22" t="n">
        <v>0</v>
      </c>
      <c r="G709" s="12" t="inlineStr">
        <is>
          <t>TBD</t>
        </is>
      </c>
      <c r="H709" s="12" t="inlineStr"/>
      <c r="I709" s="23" t="n"/>
      <c r="J709" s="29" t="n"/>
      <c r="K709" s="13" t="n"/>
      <c r="L709" s="13" t="n"/>
      <c r="M709" s="12" t="n"/>
    </row>
    <row r="710">
      <c r="A710" s="17" t="inlineStr">
        <is>
          <t>2026-11-14</t>
        </is>
      </c>
      <c r="B710" s="25" t="n">
        <v>11</v>
      </c>
      <c r="C710" s="17" t="inlineStr">
        <is>
          <t>FLA</t>
        </is>
      </c>
      <c r="D710" s="17" t="inlineStr">
        <is>
          <t>UK</t>
        </is>
      </c>
      <c r="E710" s="25" t="n">
        <v>0</v>
      </c>
      <c r="F710" s="25" t="n">
        <v>0</v>
      </c>
      <c r="G710" s="17" t="inlineStr">
        <is>
          <t>TBD</t>
        </is>
      </c>
      <c r="H710" s="17" t="inlineStr"/>
      <c r="I710" s="26" t="n"/>
      <c r="J710" s="30" t="n"/>
      <c r="K710" s="18" t="n"/>
      <c r="L710" s="18" t="n"/>
      <c r="M710" s="17" t="n"/>
    </row>
    <row r="711">
      <c r="A711" s="12" t="inlineStr">
        <is>
          <t>2026-11-14</t>
        </is>
      </c>
      <c r="B711" s="22" t="n">
        <v>11</v>
      </c>
      <c r="C711" s="12" t="inlineStr">
        <is>
          <t>TEX</t>
        </is>
      </c>
      <c r="D711" s="12" t="inlineStr">
        <is>
          <t>LSU</t>
        </is>
      </c>
      <c r="E711" s="22" t="n">
        <v>0</v>
      </c>
      <c r="F711" s="22" t="n">
        <v>0</v>
      </c>
      <c r="G711" s="12" t="inlineStr">
        <is>
          <t>TBD</t>
        </is>
      </c>
      <c r="H711" s="12" t="inlineStr"/>
      <c r="I711" s="23" t="n"/>
      <c r="J711" s="29" t="n"/>
      <c r="K711" s="13" t="n"/>
      <c r="L711" s="13" t="n"/>
      <c r="M711" s="12" t="n"/>
    </row>
    <row r="712">
      <c r="A712" s="17" t="inlineStr">
        <is>
          <t>2026-11-14</t>
        </is>
      </c>
      <c r="B712" s="25" t="n">
        <v>11</v>
      </c>
      <c r="C712" s="17" t="inlineStr">
        <is>
          <t>AUB</t>
        </is>
      </c>
      <c r="D712" s="17" t="inlineStr">
        <is>
          <t>MSST</t>
        </is>
      </c>
      <c r="E712" s="25" t="n">
        <v>0</v>
      </c>
      <c r="F712" s="25" t="n">
        <v>0</v>
      </c>
      <c r="G712" s="17" t="inlineStr">
        <is>
          <t>TBD</t>
        </is>
      </c>
      <c r="H712" s="17" t="inlineStr"/>
      <c r="I712" s="26" t="n"/>
      <c r="J712" s="30" t="n"/>
      <c r="K712" s="18" t="n"/>
      <c r="L712" s="18" t="n"/>
      <c r="M712" s="17" t="n"/>
    </row>
    <row r="713">
      <c r="A713" s="12" t="inlineStr">
        <is>
          <t>2026-11-14</t>
        </is>
      </c>
      <c r="B713" s="22" t="n">
        <v>11</v>
      </c>
      <c r="C713" s="12" t="inlineStr">
        <is>
          <t>MISS</t>
        </is>
      </c>
      <c r="D713" s="12" t="inlineStr">
        <is>
          <t>OU</t>
        </is>
      </c>
      <c r="E713" s="22" t="n">
        <v>0</v>
      </c>
      <c r="F713" s="22" t="n">
        <v>0</v>
      </c>
      <c r="G713" s="12" t="inlineStr">
        <is>
          <t>TBD</t>
        </is>
      </c>
      <c r="H713" s="12" t="inlineStr"/>
      <c r="I713" s="23" t="n"/>
      <c r="J713" s="29" t="n"/>
      <c r="K713" s="13" t="n"/>
      <c r="L713" s="13" t="n"/>
      <c r="M713" s="12" t="n"/>
    </row>
    <row r="714">
      <c r="A714" s="17" t="inlineStr">
        <is>
          <t>2026-11-14</t>
        </is>
      </c>
      <c r="B714" s="25" t="n">
        <v>11</v>
      </c>
      <c r="C714" s="17" t="inlineStr">
        <is>
          <t>TENN</t>
        </is>
      </c>
      <c r="D714" s="17" t="inlineStr">
        <is>
          <t>TA&amp;M</t>
        </is>
      </c>
      <c r="E714" s="25" t="n">
        <v>0</v>
      </c>
      <c r="F714" s="25" t="n">
        <v>0</v>
      </c>
      <c r="G714" s="17" t="inlineStr">
        <is>
          <t>TBD</t>
        </is>
      </c>
      <c r="H714" s="17" t="inlineStr"/>
      <c r="I714" s="26" t="n"/>
      <c r="J714" s="30" t="n"/>
      <c r="K714" s="18" t="n"/>
      <c r="L714" s="18" t="n"/>
      <c r="M714" s="17" t="n"/>
    </row>
    <row r="715">
      <c r="A715" s="12" t="inlineStr">
        <is>
          <t>2026-11-14</t>
        </is>
      </c>
      <c r="B715" s="22" t="n">
        <v>11</v>
      </c>
      <c r="C715" s="12" t="inlineStr">
        <is>
          <t>ALA</t>
        </is>
      </c>
      <c r="D715" s="12" t="inlineStr">
        <is>
          <t>VAN</t>
        </is>
      </c>
      <c r="E715" s="22" t="n">
        <v>0</v>
      </c>
      <c r="F715" s="22" t="n">
        <v>0</v>
      </c>
      <c r="G715" s="12" t="inlineStr">
        <is>
          <t>TBD</t>
        </is>
      </c>
      <c r="H715" s="12" t="inlineStr"/>
      <c r="I715" s="23" t="n"/>
      <c r="J715" s="29" t="n"/>
      <c r="K715" s="13" t="n"/>
      <c r="L715" s="13" t="n"/>
      <c r="M715" s="12" t="n"/>
    </row>
    <row r="716">
      <c r="A716" s="17" t="inlineStr">
        <is>
          <t>2026-11-14</t>
        </is>
      </c>
      <c r="B716" s="25" t="n">
        <v>11</v>
      </c>
      <c r="C716" s="17" t="inlineStr">
        <is>
          <t>CAL</t>
        </is>
      </c>
      <c r="D716" s="17" t="inlineStr">
        <is>
          <t>UVA</t>
        </is>
      </c>
      <c r="E716" s="25" t="n">
        <v>0</v>
      </c>
      <c r="F716" s="25" t="n">
        <v>0</v>
      </c>
      <c r="G716" s="17" t="inlineStr">
        <is>
          <t>TBD</t>
        </is>
      </c>
      <c r="H716" s="17" t="inlineStr"/>
      <c r="I716" s="26" t="n"/>
      <c r="J716" s="30" t="n"/>
      <c r="K716" s="18" t="n"/>
      <c r="L716" s="18" t="n"/>
      <c r="M716" s="17" t="n"/>
    </row>
    <row r="717">
      <c r="A717" s="12" t="inlineStr">
        <is>
          <t>2026-11-14</t>
        </is>
      </c>
      <c r="B717" s="22" t="n">
        <v>11</v>
      </c>
      <c r="C717" s="12" t="inlineStr">
        <is>
          <t>DUKE</t>
        </is>
      </c>
      <c r="D717" s="12" t="inlineStr">
        <is>
          <t>MIA</t>
        </is>
      </c>
      <c r="E717" s="22" t="n">
        <v>0</v>
      </c>
      <c r="F717" s="22" t="n">
        <v>0</v>
      </c>
      <c r="G717" s="12" t="inlineStr">
        <is>
          <t>TBD</t>
        </is>
      </c>
      <c r="H717" s="12" t="inlineStr"/>
      <c r="I717" s="23" t="n"/>
      <c r="J717" s="29" t="n"/>
      <c r="K717" s="13" t="n"/>
      <c r="L717" s="13" t="n"/>
      <c r="M717" s="12" t="n"/>
    </row>
    <row r="718">
      <c r="A718" s="17" t="inlineStr">
        <is>
          <t>2026-11-14</t>
        </is>
      </c>
      <c r="B718" s="25" t="n">
        <v>11</v>
      </c>
      <c r="C718" s="17" t="inlineStr">
        <is>
          <t>GT</t>
        </is>
      </c>
      <c r="D718" s="17" t="inlineStr">
        <is>
          <t>CLEM</t>
        </is>
      </c>
      <c r="E718" s="25" t="n">
        <v>0</v>
      </c>
      <c r="F718" s="25" t="n">
        <v>0</v>
      </c>
      <c r="G718" s="17" t="inlineStr">
        <is>
          <t>TBD</t>
        </is>
      </c>
      <c r="H718" s="17" t="inlineStr"/>
      <c r="I718" s="26" t="n"/>
      <c r="J718" s="30" t="n"/>
      <c r="K718" s="18" t="n"/>
      <c r="L718" s="18" t="n"/>
      <c r="M718" s="17" t="n"/>
    </row>
    <row r="719">
      <c r="A719" s="12" t="inlineStr">
        <is>
          <t>2026-11-14</t>
        </is>
      </c>
      <c r="B719" s="22" t="n">
        <v>11</v>
      </c>
      <c r="C719" s="12" t="inlineStr">
        <is>
          <t>LOU</t>
        </is>
      </c>
      <c r="D719" s="12" t="inlineStr">
        <is>
          <t>UNC</t>
        </is>
      </c>
      <c r="E719" s="22" t="n">
        <v>0</v>
      </c>
      <c r="F719" s="22" t="n">
        <v>0</v>
      </c>
      <c r="G719" s="12" t="inlineStr">
        <is>
          <t>TBD</t>
        </is>
      </c>
      <c r="H719" s="12" t="inlineStr"/>
      <c r="I719" s="23" t="n"/>
      <c r="J719" s="29" t="n"/>
      <c r="K719" s="13" t="n"/>
      <c r="L719" s="13" t="n"/>
      <c r="M719" s="12" t="n"/>
    </row>
    <row r="720">
      <c r="A720" s="17" t="inlineStr">
        <is>
          <t>2026-11-14</t>
        </is>
      </c>
      <c r="B720" s="25" t="n">
        <v>11</v>
      </c>
      <c r="C720" s="17" t="inlineStr">
        <is>
          <t>STAN</t>
        </is>
      </c>
      <c r="D720" s="17" t="inlineStr">
        <is>
          <t>VT</t>
        </is>
      </c>
      <c r="E720" s="25" t="n">
        <v>0</v>
      </c>
      <c r="F720" s="25" t="n">
        <v>0</v>
      </c>
      <c r="G720" s="17" t="inlineStr">
        <is>
          <t>TBD</t>
        </is>
      </c>
      <c r="H720" s="17" t="inlineStr"/>
      <c r="I720" s="26" t="n"/>
      <c r="J720" s="30" t="n"/>
      <c r="K720" s="18" t="n"/>
      <c r="L720" s="18" t="n"/>
      <c r="M720" s="17" t="n"/>
    </row>
    <row r="721">
      <c r="A721" s="12" t="inlineStr">
        <is>
          <t>2026-11-14</t>
        </is>
      </c>
      <c r="B721" s="22" t="n">
        <v>11</v>
      </c>
      <c r="C721" s="12" t="inlineStr">
        <is>
          <t>SYR</t>
        </is>
      </c>
      <c r="D721" s="12" t="inlineStr">
        <is>
          <t>NCSU</t>
        </is>
      </c>
      <c r="E721" s="22" t="n">
        <v>0</v>
      </c>
      <c r="F721" s="22" t="n">
        <v>0</v>
      </c>
      <c r="G721" s="12" t="inlineStr">
        <is>
          <t>TBD</t>
        </is>
      </c>
      <c r="H721" s="12" t="inlineStr"/>
      <c r="I721" s="23" t="n"/>
      <c r="J721" s="29" t="n"/>
      <c r="K721" s="13" t="n"/>
      <c r="L721" s="13" t="n"/>
      <c r="M721" s="12" t="n"/>
    </row>
    <row r="722">
      <c r="A722" s="17" t="inlineStr">
        <is>
          <t>2026-11-14</t>
        </is>
      </c>
      <c r="B722" s="25" t="n">
        <v>11</v>
      </c>
      <c r="C722" s="17" t="inlineStr">
        <is>
          <t>WAKE</t>
        </is>
      </c>
      <c r="D722" s="17" t="inlineStr">
        <is>
          <t>SMU</t>
        </is>
      </c>
      <c r="E722" s="25" t="n">
        <v>0</v>
      </c>
      <c r="F722" s="25" t="n">
        <v>0</v>
      </c>
      <c r="G722" s="17" t="inlineStr">
        <is>
          <t>TBD</t>
        </is>
      </c>
      <c r="H722" s="17" t="inlineStr"/>
      <c r="I722" s="26" t="n"/>
      <c r="J722" s="30" t="n"/>
      <c r="K722" s="18" t="n"/>
      <c r="L722" s="18" t="n"/>
      <c r="M722" s="17" t="n"/>
    </row>
    <row r="723">
      <c r="A723" s="12" t="inlineStr">
        <is>
          <t>2026-11-14</t>
        </is>
      </c>
      <c r="B723" s="22" t="n">
        <v>11</v>
      </c>
      <c r="C723" s="12" t="inlineStr">
        <is>
          <t>USC</t>
        </is>
      </c>
      <c r="D723" s="12" t="inlineStr">
        <is>
          <t>IU</t>
        </is>
      </c>
      <c r="E723" s="22" t="n">
        <v>0</v>
      </c>
      <c r="F723" s="22" t="n">
        <v>0</v>
      </c>
      <c r="G723" s="12" t="inlineStr">
        <is>
          <t>TBD</t>
        </is>
      </c>
      <c r="H723" s="12" t="inlineStr"/>
      <c r="I723" s="23" t="n"/>
      <c r="J723" s="29" t="n"/>
      <c r="K723" s="13" t="n"/>
      <c r="L723" s="13" t="n"/>
      <c r="M723" s="12" t="n"/>
    </row>
    <row r="724">
      <c r="A724" s="17" t="inlineStr">
        <is>
          <t>2026-11-14</t>
        </is>
      </c>
      <c r="B724" s="25" t="n">
        <v>11</v>
      </c>
      <c r="C724" s="17" t="inlineStr">
        <is>
          <t>PUR</t>
        </is>
      </c>
      <c r="D724" s="17" t="inlineStr">
        <is>
          <t>IOWA</t>
        </is>
      </c>
      <c r="E724" s="25" t="n">
        <v>0</v>
      </c>
      <c r="F724" s="25" t="n">
        <v>0</v>
      </c>
      <c r="G724" s="17" t="inlineStr">
        <is>
          <t>TBD</t>
        </is>
      </c>
      <c r="H724" s="17" t="inlineStr"/>
      <c r="I724" s="26" t="n"/>
      <c r="J724" s="30" t="n"/>
      <c r="K724" s="18" t="n"/>
      <c r="L724" s="18" t="n"/>
      <c r="M724" s="17" t="n"/>
    </row>
    <row r="725">
      <c r="A725" s="12" t="inlineStr">
        <is>
          <t>2026-11-14</t>
        </is>
      </c>
      <c r="B725" s="22" t="n">
        <v>11</v>
      </c>
      <c r="C725" s="12" t="inlineStr">
        <is>
          <t>WIS</t>
        </is>
      </c>
      <c r="D725" s="12" t="inlineStr">
        <is>
          <t>MD</t>
        </is>
      </c>
      <c r="E725" s="22" t="n">
        <v>0</v>
      </c>
      <c r="F725" s="22" t="n">
        <v>0</v>
      </c>
      <c r="G725" s="12" t="inlineStr">
        <is>
          <t>TBD</t>
        </is>
      </c>
      <c r="H725" s="12" t="inlineStr"/>
      <c r="I725" s="23" t="n"/>
      <c r="J725" s="29" t="n"/>
      <c r="K725" s="13" t="n"/>
      <c r="L725" s="13" t="n"/>
      <c r="M725" s="12" t="n"/>
    </row>
    <row r="726">
      <c r="A726" s="17" t="inlineStr">
        <is>
          <t>2026-11-14</t>
        </is>
      </c>
      <c r="B726" s="25" t="n">
        <v>11</v>
      </c>
      <c r="C726" s="17" t="inlineStr">
        <is>
          <t>WASH</t>
        </is>
      </c>
      <c r="D726" s="17" t="inlineStr">
        <is>
          <t>MSU</t>
        </is>
      </c>
      <c r="E726" s="25" t="n">
        <v>0</v>
      </c>
      <c r="F726" s="25" t="n">
        <v>0</v>
      </c>
      <c r="G726" s="17" t="inlineStr">
        <is>
          <t>TBD</t>
        </is>
      </c>
      <c r="H726" s="17" t="inlineStr"/>
      <c r="I726" s="26" t="n"/>
      <c r="J726" s="30" t="n"/>
      <c r="K726" s="18" t="n"/>
      <c r="L726" s="18" t="n"/>
      <c r="M726" s="17" t="n"/>
    </row>
    <row r="727">
      <c r="A727" s="12" t="inlineStr">
        <is>
          <t>2026-11-14</t>
        </is>
      </c>
      <c r="B727" s="22" t="n">
        <v>11</v>
      </c>
      <c r="C727" s="12" t="inlineStr">
        <is>
          <t>NU</t>
        </is>
      </c>
      <c r="D727" s="12" t="inlineStr">
        <is>
          <t>OSU</t>
        </is>
      </c>
      <c r="E727" s="22" t="n">
        <v>0</v>
      </c>
      <c r="F727" s="22" t="n">
        <v>0</v>
      </c>
      <c r="G727" s="12" t="inlineStr">
        <is>
          <t>TBD</t>
        </is>
      </c>
      <c r="H727" s="12" t="inlineStr"/>
      <c r="I727" s="23" t="n"/>
      <c r="J727" s="29" t="n"/>
      <c r="K727" s="13" t="n"/>
      <c r="L727" s="13" t="n"/>
      <c r="M727" s="12" t="n"/>
    </row>
    <row r="728">
      <c r="A728" s="17" t="inlineStr">
        <is>
          <t>2026-11-14</t>
        </is>
      </c>
      <c r="B728" s="25" t="n">
        <v>11</v>
      </c>
      <c r="C728" s="17" t="inlineStr">
        <is>
          <t>MICH</t>
        </is>
      </c>
      <c r="D728" s="17" t="inlineStr">
        <is>
          <t>ORE</t>
        </is>
      </c>
      <c r="E728" s="25" t="n">
        <v>0</v>
      </c>
      <c r="F728" s="25" t="n">
        <v>0</v>
      </c>
      <c r="G728" s="17" t="inlineStr">
        <is>
          <t>TBD</t>
        </is>
      </c>
      <c r="H728" s="17" t="inlineStr"/>
      <c r="I728" s="26" t="n"/>
      <c r="J728" s="30" t="n"/>
      <c r="K728" s="18" t="n"/>
      <c r="L728" s="18" t="n"/>
      <c r="M728" s="17" t="n"/>
    </row>
    <row r="729">
      <c r="A729" s="12" t="inlineStr">
        <is>
          <t>2026-11-14</t>
        </is>
      </c>
      <c r="B729" s="22" t="n">
        <v>11</v>
      </c>
      <c r="C729" s="12" t="inlineStr">
        <is>
          <t>MINN</t>
        </is>
      </c>
      <c r="D729" s="12" t="inlineStr">
        <is>
          <t>PSU</t>
        </is>
      </c>
      <c r="E729" s="22" t="n">
        <v>0</v>
      </c>
      <c r="F729" s="22" t="n">
        <v>0</v>
      </c>
      <c r="G729" s="12" t="inlineStr">
        <is>
          <t>TBD</t>
        </is>
      </c>
      <c r="H729" s="12" t="inlineStr"/>
      <c r="I729" s="23" t="n"/>
      <c r="J729" s="29" t="n"/>
      <c r="K729" s="13" t="n"/>
      <c r="L729" s="13" t="n"/>
      <c r="M729" s="12" t="n"/>
    </row>
    <row r="730">
      <c r="A730" s="17" t="inlineStr">
        <is>
          <t>2026-11-14</t>
        </is>
      </c>
      <c r="B730" s="25" t="n">
        <v>11</v>
      </c>
      <c r="C730" s="17" t="inlineStr">
        <is>
          <t>NEB</t>
        </is>
      </c>
      <c r="D730" s="17" t="inlineStr">
        <is>
          <t>RUTG</t>
        </is>
      </c>
      <c r="E730" s="25" t="n">
        <v>0</v>
      </c>
      <c r="F730" s="25" t="n">
        <v>0</v>
      </c>
      <c r="G730" s="17" t="inlineStr">
        <is>
          <t>TBD</t>
        </is>
      </c>
      <c r="H730" s="17" t="inlineStr"/>
      <c r="I730" s="26" t="n"/>
      <c r="J730" s="30" t="n"/>
      <c r="K730" s="18" t="n"/>
      <c r="L730" s="18" t="n"/>
      <c r="M730" s="17" t="n"/>
    </row>
    <row r="731">
      <c r="A731" s="12" t="inlineStr">
        <is>
          <t>2026-11-14</t>
        </is>
      </c>
      <c r="B731" s="22" t="n">
        <v>11</v>
      </c>
      <c r="C731" s="12" t="inlineStr">
        <is>
          <t>ECU</t>
        </is>
      </c>
      <c r="D731" s="12" t="inlineStr">
        <is>
          <t>CLT</t>
        </is>
      </c>
      <c r="E731" s="22" t="n">
        <v>0</v>
      </c>
      <c r="F731" s="22" t="n">
        <v>0</v>
      </c>
      <c r="G731" s="12" t="inlineStr">
        <is>
          <t>TBD</t>
        </is>
      </c>
      <c r="H731" s="12" t="inlineStr"/>
      <c r="I731" s="23" t="n"/>
      <c r="J731" s="29" t="n"/>
      <c r="K731" s="13" t="n"/>
      <c r="L731" s="13" t="n"/>
      <c r="M731" s="12" t="n"/>
    </row>
    <row r="732">
      <c r="A732" s="17" t="inlineStr">
        <is>
          <t>2026-11-14</t>
        </is>
      </c>
      <c r="B732" s="25" t="n">
        <v>11</v>
      </c>
      <c r="C732" s="17" t="inlineStr">
        <is>
          <t>FAU</t>
        </is>
      </c>
      <c r="D732" s="17" t="inlineStr">
        <is>
          <t>TLSA</t>
        </is>
      </c>
      <c r="E732" s="25" t="n">
        <v>0</v>
      </c>
      <c r="F732" s="25" t="n">
        <v>0</v>
      </c>
      <c r="G732" s="17" t="inlineStr">
        <is>
          <t>TBD</t>
        </is>
      </c>
      <c r="H732" s="17" t="inlineStr"/>
      <c r="I732" s="26" t="n"/>
      <c r="J732" s="30" t="n"/>
      <c r="K732" s="18" t="n"/>
      <c r="L732" s="18" t="n"/>
      <c r="M732" s="17" t="n"/>
    </row>
    <row r="733">
      <c r="A733" s="12" t="inlineStr">
        <is>
          <t>2026-11-14</t>
        </is>
      </c>
      <c r="B733" s="22" t="n">
        <v>11</v>
      </c>
      <c r="C733" s="12" t="inlineStr">
        <is>
          <t>UNT</t>
        </is>
      </c>
      <c r="D733" s="12" t="inlineStr">
        <is>
          <t>UTSA</t>
        </is>
      </c>
      <c r="E733" s="22" t="n">
        <v>0</v>
      </c>
      <c r="F733" s="22" t="n">
        <v>0</v>
      </c>
      <c r="G733" s="12" t="inlineStr">
        <is>
          <t>TBD</t>
        </is>
      </c>
      <c r="H733" s="12" t="inlineStr"/>
      <c r="I733" s="23" t="n"/>
      <c r="J733" s="29" t="n"/>
      <c r="K733" s="13" t="n"/>
      <c r="L733" s="13" t="n"/>
      <c r="M733" s="12" t="n"/>
    </row>
    <row r="734">
      <c r="A734" s="17" t="inlineStr">
        <is>
          <t>2026-11-14</t>
        </is>
      </c>
      <c r="B734" s="25" t="n">
        <v>11</v>
      </c>
      <c r="C734" s="17" t="inlineStr">
        <is>
          <t>TULN</t>
        </is>
      </c>
      <c r="D734" s="17" t="inlineStr">
        <is>
          <t>RICE</t>
        </is>
      </c>
      <c r="E734" s="25" t="n">
        <v>0</v>
      </c>
      <c r="F734" s="25" t="n">
        <v>0</v>
      </c>
      <c r="G734" s="17" t="inlineStr">
        <is>
          <t>TBD</t>
        </is>
      </c>
      <c r="H734" s="17" t="inlineStr"/>
      <c r="I734" s="26" t="n"/>
      <c r="J734" s="30" t="n"/>
      <c r="K734" s="18" t="n"/>
      <c r="L734" s="18" t="n"/>
      <c r="M734" s="17" t="n"/>
    </row>
    <row r="735">
      <c r="A735" s="12" t="inlineStr">
        <is>
          <t>2026-11-14</t>
        </is>
      </c>
      <c r="B735" s="22" t="n">
        <v>11</v>
      </c>
      <c r="C735" s="12" t="inlineStr">
        <is>
          <t>UAB</t>
        </is>
      </c>
      <c r="D735" s="12" t="inlineStr">
        <is>
          <t>TEM</t>
        </is>
      </c>
      <c r="E735" s="22" t="n">
        <v>0</v>
      </c>
      <c r="F735" s="22" t="n">
        <v>0</v>
      </c>
      <c r="G735" s="12" t="inlineStr">
        <is>
          <t>TBD</t>
        </is>
      </c>
      <c r="H735" s="12" t="inlineStr"/>
      <c r="I735" s="23" t="n"/>
      <c r="J735" s="29" t="n"/>
      <c r="K735" s="13" t="n"/>
      <c r="L735" s="13" t="n"/>
      <c r="M735" s="12" t="n"/>
    </row>
    <row r="736">
      <c r="A736" s="17" t="inlineStr">
        <is>
          <t>2026-11-14</t>
        </is>
      </c>
      <c r="B736" s="25" t="n">
        <v>11</v>
      </c>
      <c r="C736" s="17" t="inlineStr">
        <is>
          <t>NEV</t>
        </is>
      </c>
      <c r="D736" s="17" t="inlineStr">
        <is>
          <t>NIU</t>
        </is>
      </c>
      <c r="E736" s="25" t="n">
        <v>0</v>
      </c>
      <c r="F736" s="25" t="n">
        <v>0</v>
      </c>
      <c r="G736" s="17" t="inlineStr">
        <is>
          <t>TBD</t>
        </is>
      </c>
      <c r="H736" s="17" t="inlineStr"/>
      <c r="I736" s="26" t="n"/>
      <c r="J736" s="30" t="n"/>
      <c r="K736" s="18" t="n"/>
      <c r="L736" s="18" t="n"/>
      <c r="M736" s="17" t="n"/>
    </row>
    <row r="737">
      <c r="A737" s="12" t="inlineStr">
        <is>
          <t>2026-11-14</t>
        </is>
      </c>
      <c r="B737" s="22" t="n">
        <v>11</v>
      </c>
      <c r="C737" s="12" t="inlineStr">
        <is>
          <t>WYO</t>
        </is>
      </c>
      <c r="D737" s="12" t="inlineStr">
        <is>
          <t>UTEP</t>
        </is>
      </c>
      <c r="E737" s="22" t="n">
        <v>0</v>
      </c>
      <c r="F737" s="22" t="n">
        <v>0</v>
      </c>
      <c r="G737" s="12" t="inlineStr">
        <is>
          <t>TBD</t>
        </is>
      </c>
      <c r="H737" s="12" t="inlineStr"/>
      <c r="I737" s="23" t="n"/>
      <c r="J737" s="29" t="n"/>
      <c r="K737" s="13" t="n"/>
      <c r="L737" s="13" t="n"/>
      <c r="M737" s="12" t="n"/>
    </row>
    <row r="738">
      <c r="A738" s="17" t="inlineStr">
        <is>
          <t>2026-11-14</t>
        </is>
      </c>
      <c r="B738" s="25" t="n">
        <v>11</v>
      </c>
      <c r="C738" s="17" t="inlineStr">
        <is>
          <t>APP</t>
        </is>
      </c>
      <c r="D738" s="17" t="inlineStr">
        <is>
          <t>MRSH</t>
        </is>
      </c>
      <c r="E738" s="25" t="n">
        <v>0</v>
      </c>
      <c r="F738" s="25" t="n">
        <v>0</v>
      </c>
      <c r="G738" s="17" t="inlineStr">
        <is>
          <t>TBD</t>
        </is>
      </c>
      <c r="H738" s="17" t="inlineStr"/>
      <c r="I738" s="26" t="n"/>
      <c r="J738" s="30" t="n"/>
      <c r="K738" s="18" t="n"/>
      <c r="L738" s="18" t="n"/>
      <c r="M738" s="17" t="n"/>
    </row>
    <row r="739">
      <c r="A739" s="12" t="inlineStr">
        <is>
          <t>2026-11-14</t>
        </is>
      </c>
      <c r="B739" s="22" t="n">
        <v>11</v>
      </c>
      <c r="C739" s="12" t="inlineStr">
        <is>
          <t>ARST</t>
        </is>
      </c>
      <c r="D739" s="12" t="inlineStr">
        <is>
          <t>CCU</t>
        </is>
      </c>
      <c r="E739" s="22" t="n">
        <v>0</v>
      </c>
      <c r="F739" s="22" t="n">
        <v>0</v>
      </c>
      <c r="G739" s="12" t="inlineStr">
        <is>
          <t>TBD</t>
        </is>
      </c>
      <c r="H739" s="12" t="inlineStr"/>
      <c r="I739" s="23" t="n"/>
      <c r="J739" s="29" t="n"/>
      <c r="K739" s="13" t="n"/>
      <c r="L739" s="13" t="n"/>
      <c r="M739" s="12" t="n"/>
    </row>
    <row r="740">
      <c r="A740" s="17" t="inlineStr">
        <is>
          <t>2026-11-14</t>
        </is>
      </c>
      <c r="B740" s="25" t="n">
        <v>11</v>
      </c>
      <c r="C740" s="17" t="inlineStr">
        <is>
          <t>GASO</t>
        </is>
      </c>
      <c r="D740" s="17" t="inlineStr">
        <is>
          <t>GAST</t>
        </is>
      </c>
      <c r="E740" s="25" t="n">
        <v>0</v>
      </c>
      <c r="F740" s="25" t="n">
        <v>0</v>
      </c>
      <c r="G740" s="17" t="inlineStr">
        <is>
          <t>TBD</t>
        </is>
      </c>
      <c r="H740" s="17" t="inlineStr"/>
      <c r="I740" s="26" t="n"/>
      <c r="J740" s="30" t="n"/>
      <c r="K740" s="18" t="n"/>
      <c r="L740" s="18" t="n"/>
      <c r="M740" s="17" t="n"/>
    </row>
    <row r="741">
      <c r="A741" s="12" t="inlineStr">
        <is>
          <t>2026-11-14</t>
        </is>
      </c>
      <c r="B741" s="22" t="n">
        <v>11</v>
      </c>
      <c r="C741" s="12" t="inlineStr">
        <is>
          <t>USM</t>
        </is>
      </c>
      <c r="D741" s="12" t="inlineStr">
        <is>
          <t>LT</t>
        </is>
      </c>
      <c r="E741" s="22" t="n">
        <v>0</v>
      </c>
      <c r="F741" s="22" t="n">
        <v>0</v>
      </c>
      <c r="G741" s="12" t="inlineStr">
        <is>
          <t>TBD</t>
        </is>
      </c>
      <c r="H741" s="12" t="inlineStr"/>
      <c r="I741" s="23" t="n"/>
      <c r="J741" s="29" t="n"/>
      <c r="K741" s="13" t="n"/>
      <c r="L741" s="13" t="n"/>
      <c r="M741" s="12" t="n"/>
    </row>
    <row r="742">
      <c r="A742" s="17" t="inlineStr">
        <is>
          <t>2026-11-14</t>
        </is>
      </c>
      <c r="B742" s="25" t="n">
        <v>11</v>
      </c>
      <c r="C742" s="17" t="inlineStr">
        <is>
          <t>TROY</t>
        </is>
      </c>
      <c r="D742" s="17" t="inlineStr">
        <is>
          <t>USA</t>
        </is>
      </c>
      <c r="E742" s="25" t="n">
        <v>0</v>
      </c>
      <c r="F742" s="25" t="n">
        <v>0</v>
      </c>
      <c r="G742" s="17" t="inlineStr">
        <is>
          <t>TBD</t>
        </is>
      </c>
      <c r="H742" s="17" t="inlineStr"/>
      <c r="I742" s="26" t="n"/>
      <c r="J742" s="30" t="n"/>
      <c r="K742" s="18" t="n"/>
      <c r="L742" s="18" t="n"/>
      <c r="M742" s="17" t="n"/>
    </row>
    <row r="743">
      <c r="A743" s="12" t="inlineStr">
        <is>
          <t>2026-11-14</t>
        </is>
      </c>
      <c r="B743" s="22" t="n">
        <v>11</v>
      </c>
      <c r="C743" s="12" t="inlineStr">
        <is>
          <t>JMU</t>
        </is>
      </c>
      <c r="D743" s="12" t="inlineStr">
        <is>
          <t>CONN</t>
        </is>
      </c>
      <c r="E743" s="22" t="n">
        <v>0</v>
      </c>
      <c r="F743" s="22" t="n">
        <v>0</v>
      </c>
      <c r="G743" s="12" t="inlineStr">
        <is>
          <t>11/14 - 12:00 PM EST</t>
        </is>
      </c>
      <c r="H743" s="12" t="inlineStr"/>
      <c r="I743" s="23" t="n"/>
      <c r="J743" s="29" t="n"/>
      <c r="K743" s="13" t="n"/>
      <c r="L743" s="13" t="n"/>
      <c r="M743" s="12" t="n"/>
    </row>
    <row r="744">
      <c r="A744" s="17" t="inlineStr">
        <is>
          <t>2026-11-14</t>
        </is>
      </c>
      <c r="B744" s="25" t="n">
        <v>11</v>
      </c>
      <c r="C744" s="17" t="inlineStr">
        <is>
          <t>KENN</t>
        </is>
      </c>
      <c r="D744" s="17" t="inlineStr">
        <is>
          <t>SHSU</t>
        </is>
      </c>
      <c r="E744" s="25" t="n">
        <v>0</v>
      </c>
      <c r="F744" s="25" t="n">
        <v>0</v>
      </c>
      <c r="G744" s="17" t="inlineStr">
        <is>
          <t>11/14 - 2:00 PM EST</t>
        </is>
      </c>
      <c r="H744" s="17" t="inlineStr"/>
      <c r="I744" s="26" t="n"/>
      <c r="J744" s="30" t="n"/>
      <c r="K744" s="18" t="n"/>
      <c r="L744" s="18" t="n"/>
      <c r="M744" s="17" t="n"/>
    </row>
    <row r="745">
      <c r="A745" s="12" t="inlineStr">
        <is>
          <t>2026-11-14</t>
        </is>
      </c>
      <c r="B745" s="22" t="n">
        <v>11</v>
      </c>
      <c r="C745" s="12" t="inlineStr">
        <is>
          <t>NMSU</t>
        </is>
      </c>
      <c r="D745" s="12" t="inlineStr">
        <is>
          <t>MOST</t>
        </is>
      </c>
      <c r="E745" s="22" t="n">
        <v>0</v>
      </c>
      <c r="F745" s="22" t="n">
        <v>0</v>
      </c>
      <c r="G745" s="12" t="inlineStr">
        <is>
          <t>11/14 - 3:00 PM EST</t>
        </is>
      </c>
      <c r="H745" s="12" t="inlineStr"/>
      <c r="I745" s="23" t="n"/>
      <c r="J745" s="29" t="n"/>
      <c r="K745" s="13" t="n"/>
      <c r="L745" s="13" t="n"/>
      <c r="M745" s="12" t="n"/>
    </row>
    <row r="746">
      <c r="A746" s="17" t="inlineStr">
        <is>
          <t>2026-11-14</t>
        </is>
      </c>
      <c r="B746" s="25" t="n">
        <v>11</v>
      </c>
      <c r="C746" s="17" t="inlineStr">
        <is>
          <t>FIU</t>
        </is>
      </c>
      <c r="D746" s="17" t="inlineStr">
        <is>
          <t>DEL</t>
        </is>
      </c>
      <c r="E746" s="25" t="n">
        <v>0</v>
      </c>
      <c r="F746" s="25" t="n">
        <v>0</v>
      </c>
      <c r="G746" s="17" t="inlineStr">
        <is>
          <t>11/14 - 3:00 PM EST</t>
        </is>
      </c>
      <c r="H746" s="17" t="inlineStr"/>
      <c r="I746" s="26" t="n"/>
      <c r="J746" s="30" t="n"/>
      <c r="K746" s="18" t="n"/>
      <c r="L746" s="18" t="n"/>
      <c r="M746" s="17" t="n"/>
    </row>
    <row r="747">
      <c r="A747" s="12" t="inlineStr">
        <is>
          <t>2026-11-14</t>
        </is>
      </c>
      <c r="B747" s="22" t="n">
        <v>11</v>
      </c>
      <c r="C747" s="12" t="inlineStr">
        <is>
          <t>BC</t>
        </is>
      </c>
      <c r="D747" s="12" t="inlineStr">
        <is>
          <t>ND</t>
        </is>
      </c>
      <c r="E747" s="22" t="n">
        <v>0</v>
      </c>
      <c r="F747" s="22" t="n">
        <v>0</v>
      </c>
      <c r="G747" s="12" t="inlineStr">
        <is>
          <t>11/14 - 3:30 PM EST</t>
        </is>
      </c>
      <c r="H747" s="12" t="inlineStr"/>
      <c r="I747" s="23" t="n"/>
      <c r="J747" s="29" t="n"/>
      <c r="K747" s="13" t="n"/>
      <c r="L747" s="13" t="n"/>
      <c r="M747" s="12" t="n"/>
    </row>
    <row r="748">
      <c r="A748" s="17" t="inlineStr">
        <is>
          <t>2026-11-14</t>
        </is>
      </c>
      <c r="B748" s="25" t="n">
        <v>11</v>
      </c>
      <c r="C748" s="17" t="inlineStr">
        <is>
          <t>JVST</t>
        </is>
      </c>
      <c r="D748" s="17" t="inlineStr">
        <is>
          <t>WKU</t>
        </is>
      </c>
      <c r="E748" s="25" t="n">
        <v>0</v>
      </c>
      <c r="F748" s="25" t="n">
        <v>0</v>
      </c>
      <c r="G748" s="17" t="inlineStr">
        <is>
          <t>11/14 - 3:30 PM EST</t>
        </is>
      </c>
      <c r="H748" s="17" t="inlineStr"/>
      <c r="I748" s="26" t="n"/>
      <c r="J748" s="30" t="n"/>
      <c r="K748" s="18" t="n"/>
      <c r="L748" s="18" t="n"/>
      <c r="M748" s="17" t="n"/>
    </row>
    <row r="749">
      <c r="A749" s="12" t="inlineStr">
        <is>
          <t>2026-11-14</t>
        </is>
      </c>
      <c r="B749" s="22" t="n">
        <v>11</v>
      </c>
      <c r="C749" s="12" t="inlineStr">
        <is>
          <t>MTSU</t>
        </is>
      </c>
      <c r="D749" s="12" t="inlineStr">
        <is>
          <t>LIB</t>
        </is>
      </c>
      <c r="E749" s="22" t="n">
        <v>0</v>
      </c>
      <c r="F749" s="22" t="n">
        <v>0</v>
      </c>
      <c r="G749" s="12" t="inlineStr">
        <is>
          <t>11/14 - 3:30 PM EST</t>
        </is>
      </c>
      <c r="H749" s="12" t="inlineStr"/>
      <c r="I749" s="23" t="n"/>
      <c r="J749" s="29" t="n"/>
      <c r="K749" s="13" t="n"/>
      <c r="L749" s="13" t="n"/>
      <c r="M749" s="12" t="n"/>
    </row>
    <row r="750">
      <c r="A750" s="17" t="inlineStr">
        <is>
          <t>2026-11-14</t>
        </is>
      </c>
      <c r="B750" s="25" t="n">
        <v>11</v>
      </c>
      <c r="C750" s="17" t="inlineStr">
        <is>
          <t>FRES</t>
        </is>
      </c>
      <c r="D750" s="17" t="inlineStr">
        <is>
          <t>TXST</t>
        </is>
      </c>
      <c r="E750" s="25" t="n">
        <v>0</v>
      </c>
      <c r="F750" s="25" t="n">
        <v>0</v>
      </c>
      <c r="G750" s="17" t="inlineStr">
        <is>
          <t>11/14 - 4:00 PM EST</t>
        </is>
      </c>
      <c r="H750" s="17" t="inlineStr"/>
      <c r="I750" s="26" t="n"/>
      <c r="J750" s="30" t="n"/>
      <c r="K750" s="18" t="n"/>
      <c r="L750" s="18" t="n"/>
      <c r="M750" s="17" t="n"/>
    </row>
    <row r="751">
      <c r="A751" s="12" t="inlineStr">
        <is>
          <t>2026-11-14</t>
        </is>
      </c>
      <c r="B751" s="22" t="n">
        <v>11</v>
      </c>
      <c r="C751" s="12" t="inlineStr">
        <is>
          <t>ORST</t>
        </is>
      </c>
      <c r="D751" s="12" t="inlineStr">
        <is>
          <t>BOIS</t>
        </is>
      </c>
      <c r="E751" s="22" t="n">
        <v>0</v>
      </c>
      <c r="F751" s="22" t="n">
        <v>0</v>
      </c>
      <c r="G751" s="12" t="inlineStr">
        <is>
          <t>11/14 - 6:00 PM EST</t>
        </is>
      </c>
      <c r="H751" s="12" t="inlineStr"/>
      <c r="I751" s="23" t="n"/>
      <c r="J751" s="29" t="n"/>
      <c r="K751" s="13" t="n"/>
      <c r="L751" s="13" t="n"/>
      <c r="M751" s="12" t="n"/>
    </row>
    <row r="752">
      <c r="A752" s="17" t="inlineStr">
        <is>
          <t>2026-11-15</t>
        </is>
      </c>
      <c r="B752" s="25" t="n">
        <v>11</v>
      </c>
      <c r="C752" s="17" t="inlineStr">
        <is>
          <t>SJSU</t>
        </is>
      </c>
      <c r="D752" s="17" t="inlineStr">
        <is>
          <t>AFA</t>
        </is>
      </c>
      <c r="E752" s="25" t="n">
        <v>0</v>
      </c>
      <c r="F752" s="25" t="n">
        <v>0</v>
      </c>
      <c r="G752" s="17" t="inlineStr">
        <is>
          <t>11/14 - 7:00 PM EST</t>
        </is>
      </c>
      <c r="H752" s="17" t="inlineStr"/>
      <c r="I752" s="26" t="n"/>
      <c r="J752" s="30" t="n"/>
      <c r="K752" s="18" t="n"/>
      <c r="L752" s="18" t="n"/>
      <c r="M752" s="17" t="n"/>
    </row>
    <row r="753">
      <c r="A753" s="12" t="inlineStr">
        <is>
          <t>2026-11-15</t>
        </is>
      </c>
      <c r="B753" s="22" t="n">
        <v>11</v>
      </c>
      <c r="C753" s="12" t="inlineStr">
        <is>
          <t>UNLV</t>
        </is>
      </c>
      <c r="D753" s="12" t="inlineStr">
        <is>
          <t>UNM</t>
        </is>
      </c>
      <c r="E753" s="22" t="n">
        <v>0</v>
      </c>
      <c r="F753" s="22" t="n">
        <v>0</v>
      </c>
      <c r="G753" s="12" t="inlineStr">
        <is>
          <t>11/14 - 7:30 PM EST</t>
        </is>
      </c>
      <c r="H753" s="12" t="inlineStr"/>
      <c r="I753" s="23" t="n"/>
      <c r="J753" s="29" t="n"/>
      <c r="K753" s="13" t="n"/>
      <c r="L753" s="13" t="n"/>
      <c r="M753" s="12" t="n"/>
    </row>
    <row r="754">
      <c r="A754" s="17" t="inlineStr">
        <is>
          <t>2026-11-15</t>
        </is>
      </c>
      <c r="B754" s="25" t="n">
        <v>11</v>
      </c>
      <c r="C754" s="17" t="inlineStr">
        <is>
          <t>USU</t>
        </is>
      </c>
      <c r="D754" s="17" t="inlineStr">
        <is>
          <t>SDSU</t>
        </is>
      </c>
      <c r="E754" s="25" t="n">
        <v>0</v>
      </c>
      <c r="F754" s="25" t="n">
        <v>0</v>
      </c>
      <c r="G754" s="17" t="inlineStr">
        <is>
          <t>11/14 - 9:30 PM EST</t>
        </is>
      </c>
      <c r="H754" s="17" t="inlineStr"/>
      <c r="I754" s="26" t="n"/>
      <c r="J754" s="30" t="n"/>
      <c r="K754" s="18" t="n"/>
      <c r="L754" s="18" t="n"/>
      <c r="M754" s="17" t="n"/>
    </row>
    <row r="755">
      <c r="A755" s="12" t="inlineStr">
        <is>
          <t>2026-11-15</t>
        </is>
      </c>
      <c r="B755" s="22" t="n">
        <v>11</v>
      </c>
      <c r="C755" s="12" t="inlineStr">
        <is>
          <t>CSU</t>
        </is>
      </c>
      <c r="D755" s="12" t="inlineStr">
        <is>
          <t>WSU</t>
        </is>
      </c>
      <c r="E755" s="22" t="n">
        <v>0</v>
      </c>
      <c r="F755" s="22" t="n">
        <v>0</v>
      </c>
      <c r="G755" s="12" t="inlineStr">
        <is>
          <t>11/14 - 10:30 PM EST</t>
        </is>
      </c>
      <c r="H755" s="12" t="inlineStr"/>
      <c r="I755" s="23" t="n"/>
      <c r="J755" s="29" t="n"/>
      <c r="K755" s="13" t="n"/>
      <c r="L755" s="13" t="n"/>
      <c r="M755" s="12" t="n"/>
    </row>
    <row r="756">
      <c r="A756" s="17" t="inlineStr">
        <is>
          <t>2026-11-15</t>
        </is>
      </c>
      <c r="B756" s="25" t="n">
        <v>11</v>
      </c>
      <c r="C756" s="17" t="inlineStr">
        <is>
          <t>NDSU</t>
        </is>
      </c>
      <c r="D756" s="17" t="inlineStr">
        <is>
          <t>HAW</t>
        </is>
      </c>
      <c r="E756" s="25" t="n">
        <v>0</v>
      </c>
      <c r="F756" s="25" t="n">
        <v>0</v>
      </c>
      <c r="G756" s="17" t="inlineStr">
        <is>
          <t>11/14 - 11:59 PM EST</t>
        </is>
      </c>
      <c r="H756" s="17" t="inlineStr"/>
      <c r="I756" s="26" t="n"/>
      <c r="J756" s="30" t="n"/>
      <c r="K756" s="18" t="n"/>
      <c r="L756" s="18" t="n"/>
      <c r="M756" s="17" t="n"/>
    </row>
    <row r="757">
      <c r="A757" s="12" t="inlineStr">
        <is>
          <t>2026-11-18</t>
        </is>
      </c>
      <c r="B757" s="22" t="n">
        <v>12</v>
      </c>
      <c r="C757" s="12" t="inlineStr">
        <is>
          <t>BALL</t>
        </is>
      </c>
      <c r="D757" s="12" t="inlineStr">
        <is>
          <t>OHIO</t>
        </is>
      </c>
      <c r="E757" s="22" t="n">
        <v>0</v>
      </c>
      <c r="F757" s="22" t="n">
        <v>0</v>
      </c>
      <c r="G757" s="12" t="inlineStr">
        <is>
          <t>11/17 - 7:00 PM EST</t>
        </is>
      </c>
      <c r="H757" s="12" t="inlineStr"/>
      <c r="I757" s="23" t="n"/>
      <c r="J757" s="29" t="n"/>
      <c r="K757" s="13" t="n"/>
      <c r="L757" s="13" t="n"/>
      <c r="M757" s="12" t="n"/>
    </row>
    <row r="758">
      <c r="A758" s="17" t="inlineStr">
        <is>
          <t>2026-11-18</t>
        </is>
      </c>
      <c r="B758" s="25" t="n">
        <v>12</v>
      </c>
      <c r="C758" s="17" t="inlineStr">
        <is>
          <t>EMU</t>
        </is>
      </c>
      <c r="D758" s="17" t="inlineStr">
        <is>
          <t>WMU</t>
        </is>
      </c>
      <c r="E758" s="25" t="n">
        <v>0</v>
      </c>
      <c r="F758" s="25" t="n">
        <v>0</v>
      </c>
      <c r="G758" s="17" t="inlineStr">
        <is>
          <t>11/17 - 7:00 PM EST</t>
        </is>
      </c>
      <c r="H758" s="17" t="inlineStr"/>
      <c r="I758" s="26" t="n"/>
      <c r="J758" s="30" t="n"/>
      <c r="K758" s="18" t="n"/>
      <c r="L758" s="18" t="n"/>
      <c r="M758" s="17" t="n"/>
    </row>
    <row r="759">
      <c r="A759" s="12" t="inlineStr">
        <is>
          <t>2026-11-18</t>
        </is>
      </c>
      <c r="B759" s="22" t="n">
        <v>12</v>
      </c>
      <c r="C759" s="12" t="inlineStr">
        <is>
          <t>M-OH</t>
        </is>
      </c>
      <c r="D759" s="12" t="inlineStr">
        <is>
          <t>KENT</t>
        </is>
      </c>
      <c r="E759" s="22" t="n">
        <v>0</v>
      </c>
      <c r="F759" s="22" t="n">
        <v>0</v>
      </c>
      <c r="G759" s="12" t="inlineStr">
        <is>
          <t>11/17 - 7:00 PM EST</t>
        </is>
      </c>
      <c r="H759" s="12" t="inlineStr"/>
      <c r="I759" s="23" t="n"/>
      <c r="J759" s="29" t="n"/>
      <c r="K759" s="13" t="n"/>
      <c r="L759" s="13" t="n"/>
      <c r="M759" s="12" t="n"/>
    </row>
    <row r="760">
      <c r="A760" s="17" t="inlineStr">
        <is>
          <t>2026-11-18</t>
        </is>
      </c>
      <c r="B760" s="25" t="n">
        <v>12</v>
      </c>
      <c r="C760" s="17" t="inlineStr">
        <is>
          <t>AKR</t>
        </is>
      </c>
      <c r="D760" s="17" t="inlineStr">
        <is>
          <t>MASS</t>
        </is>
      </c>
      <c r="E760" s="25" t="n">
        <v>0</v>
      </c>
      <c r="F760" s="25" t="n">
        <v>0</v>
      </c>
      <c r="G760" s="17" t="inlineStr">
        <is>
          <t>TBD</t>
        </is>
      </c>
      <c r="H760" s="17" t="inlineStr"/>
      <c r="I760" s="26" t="n"/>
      <c r="J760" s="30" t="n"/>
      <c r="K760" s="18" t="n"/>
      <c r="L760" s="18" t="n"/>
      <c r="M760" s="17" t="n"/>
    </row>
    <row r="761">
      <c r="A761" s="12" t="inlineStr">
        <is>
          <t>2026-11-18</t>
        </is>
      </c>
      <c r="B761" s="22" t="n">
        <v>12</v>
      </c>
      <c r="C761" s="12" t="inlineStr">
        <is>
          <t>CMU</t>
        </is>
      </c>
      <c r="D761" s="12" t="inlineStr">
        <is>
          <t>BUFF</t>
        </is>
      </c>
      <c r="E761" s="22" t="n">
        <v>0</v>
      </c>
      <c r="F761" s="22" t="n">
        <v>0</v>
      </c>
      <c r="G761" s="12" t="inlineStr">
        <is>
          <t>TBD</t>
        </is>
      </c>
      <c r="H761" s="12" t="inlineStr"/>
      <c r="I761" s="23" t="n"/>
      <c r="J761" s="29" t="n"/>
      <c r="K761" s="13" t="n"/>
      <c r="L761" s="13" t="n"/>
      <c r="M761" s="12" t="n"/>
    </row>
    <row r="762">
      <c r="A762" s="17" t="inlineStr">
        <is>
          <t>2026-11-20</t>
        </is>
      </c>
      <c r="B762" s="25" t="n">
        <v>12</v>
      </c>
      <c r="C762" s="17" t="inlineStr">
        <is>
          <t>RICE</t>
        </is>
      </c>
      <c r="D762" s="17" t="inlineStr">
        <is>
          <t>TEM</t>
        </is>
      </c>
      <c r="E762" s="25" t="n">
        <v>0</v>
      </c>
      <c r="F762" s="25" t="n">
        <v>0</v>
      </c>
      <c r="G762" s="17" t="inlineStr">
        <is>
          <t>11/19 - 7:30 PM EST</t>
        </is>
      </c>
      <c r="H762" s="17" t="inlineStr"/>
      <c r="I762" s="26" t="n"/>
      <c r="J762" s="30" t="n"/>
      <c r="K762" s="18" t="n"/>
      <c r="L762" s="18" t="n"/>
      <c r="M762" s="17" t="n"/>
    </row>
    <row r="763">
      <c r="A763" s="12" t="inlineStr">
        <is>
          <t>2026-11-20</t>
        </is>
      </c>
      <c r="B763" s="22" t="n">
        <v>12</v>
      </c>
      <c r="C763" s="12" t="inlineStr">
        <is>
          <t>ISU</t>
        </is>
      </c>
      <c r="D763" s="12" t="inlineStr">
        <is>
          <t>UCF</t>
        </is>
      </c>
      <c r="E763" s="22" t="n">
        <v>0</v>
      </c>
      <c r="F763" s="22" t="n">
        <v>0</v>
      </c>
      <c r="G763" s="12" t="inlineStr">
        <is>
          <t>11/20 - 6:00 PM EST</t>
        </is>
      </c>
      <c r="H763" s="12" t="inlineStr"/>
      <c r="I763" s="23" t="n"/>
      <c r="J763" s="29" t="n"/>
      <c r="K763" s="13" t="n"/>
      <c r="L763" s="13" t="n"/>
      <c r="M763" s="12" t="n"/>
    </row>
    <row r="764">
      <c r="A764" s="17" t="inlineStr">
        <is>
          <t>2026-11-21</t>
        </is>
      </c>
      <c r="B764" s="25" t="n">
        <v>12</v>
      </c>
      <c r="C764" s="17" t="inlineStr">
        <is>
          <t>CLEM</t>
        </is>
      </c>
      <c r="D764" s="17" t="inlineStr">
        <is>
          <t>DUKE</t>
        </is>
      </c>
      <c r="E764" s="25" t="n">
        <v>0</v>
      </c>
      <c r="F764" s="25" t="n">
        <v>0</v>
      </c>
      <c r="G764" s="17" t="inlineStr">
        <is>
          <t>11/20 - 7:30 PM EST</t>
        </is>
      </c>
      <c r="H764" s="17" t="inlineStr"/>
      <c r="I764" s="26" t="n"/>
      <c r="J764" s="30" t="n"/>
      <c r="K764" s="18" t="n"/>
      <c r="L764" s="18" t="n"/>
      <c r="M764" s="17" t="n"/>
    </row>
    <row r="765">
      <c r="A765" s="12" t="inlineStr">
        <is>
          <t>2026-11-21</t>
        </is>
      </c>
      <c r="B765" s="22" t="n">
        <v>12</v>
      </c>
      <c r="C765" s="12" t="inlineStr">
        <is>
          <t>BGSU</t>
        </is>
      </c>
      <c r="D765" s="12" t="inlineStr">
        <is>
          <t>TOL</t>
        </is>
      </c>
      <c r="E765" s="22" t="n">
        <v>0</v>
      </c>
      <c r="F765" s="22" t="n">
        <v>0</v>
      </c>
      <c r="G765" s="12" t="inlineStr">
        <is>
          <t>11/20 - 7:30 PM EST</t>
        </is>
      </c>
      <c r="H765" s="12" t="inlineStr"/>
      <c r="I765" s="23" t="n"/>
      <c r="J765" s="29" t="n"/>
      <c r="K765" s="13" t="n"/>
      <c r="L765" s="13" t="n"/>
      <c r="M765" s="12" t="n"/>
    </row>
    <row r="766">
      <c r="A766" s="17" t="inlineStr">
        <is>
          <t>2026-11-21</t>
        </is>
      </c>
      <c r="B766" s="25" t="n">
        <v>12</v>
      </c>
      <c r="C766" s="17" t="inlineStr">
        <is>
          <t>ORE</t>
        </is>
      </c>
      <c r="D766" s="17" t="inlineStr">
        <is>
          <t>MSU</t>
        </is>
      </c>
      <c r="E766" s="25" t="n">
        <v>0</v>
      </c>
      <c r="F766" s="25" t="n">
        <v>0</v>
      </c>
      <c r="G766" s="17" t="inlineStr">
        <is>
          <t>11/20 - 8:00 PM EST</t>
        </is>
      </c>
      <c r="H766" s="17" t="inlineStr"/>
      <c r="I766" s="26" t="n"/>
      <c r="J766" s="30" t="n"/>
      <c r="K766" s="18" t="n"/>
      <c r="L766" s="18" t="n"/>
      <c r="M766" s="17" t="n"/>
    </row>
    <row r="767">
      <c r="A767" s="12" t="inlineStr">
        <is>
          <t>2026-11-21</t>
        </is>
      </c>
      <c r="B767" s="22" t="n">
        <v>12</v>
      </c>
      <c r="C767" s="12" t="inlineStr">
        <is>
          <t>UTEP</t>
        </is>
      </c>
      <c r="D767" s="12" t="inlineStr">
        <is>
          <t>AFA</t>
        </is>
      </c>
      <c r="E767" s="22" t="n">
        <v>0</v>
      </c>
      <c r="F767" s="22" t="n">
        <v>0</v>
      </c>
      <c r="G767" s="12" t="inlineStr">
        <is>
          <t>11/20 - 8:00 PM EST</t>
        </is>
      </c>
      <c r="H767" s="12" t="inlineStr"/>
      <c r="I767" s="23" t="n"/>
      <c r="J767" s="29" t="n"/>
      <c r="K767" s="13" t="n"/>
      <c r="L767" s="13" t="n"/>
      <c r="M767" s="12" t="n"/>
    </row>
    <row r="768">
      <c r="A768" s="17" t="inlineStr">
        <is>
          <t>2026-11-21</t>
        </is>
      </c>
      <c r="B768" s="25" t="n">
        <v>12</v>
      </c>
      <c r="C768" s="17" t="inlineStr">
        <is>
          <t>VAN</t>
        </is>
      </c>
      <c r="D768" s="17" t="inlineStr">
        <is>
          <t>FLA</t>
        </is>
      </c>
      <c r="E768" s="25" t="n">
        <v>0</v>
      </c>
      <c r="F768" s="25" t="n">
        <v>0</v>
      </c>
      <c r="G768" s="17" t="inlineStr">
        <is>
          <t>TBD</t>
        </is>
      </c>
      <c r="H768" s="17" t="inlineStr"/>
      <c r="I768" s="26" t="n"/>
      <c r="J768" s="30" t="n"/>
      <c r="K768" s="18" t="n"/>
      <c r="L768" s="18" t="n"/>
      <c r="M768" s="17" t="n"/>
    </row>
    <row r="769">
      <c r="A769" s="12" t="inlineStr">
        <is>
          <t>2026-11-21</t>
        </is>
      </c>
      <c r="B769" s="22" t="n">
        <v>12</v>
      </c>
      <c r="C769" s="12" t="inlineStr">
        <is>
          <t>UK</t>
        </is>
      </c>
      <c r="D769" s="12" t="inlineStr">
        <is>
          <t>MIZ</t>
        </is>
      </c>
      <c r="E769" s="22" t="n">
        <v>0</v>
      </c>
      <c r="F769" s="22" t="n">
        <v>0</v>
      </c>
      <c r="G769" s="12" t="inlineStr">
        <is>
          <t>TBD</t>
        </is>
      </c>
      <c r="H769" s="12" t="inlineStr"/>
      <c r="I769" s="23" t="n"/>
      <c r="J769" s="29" t="n"/>
      <c r="K769" s="13" t="n"/>
      <c r="L769" s="13" t="n"/>
      <c r="M769" s="12" t="n"/>
    </row>
    <row r="770">
      <c r="A770" s="17" t="inlineStr">
        <is>
          <t>2026-11-21</t>
        </is>
      </c>
      <c r="B770" s="25" t="n">
        <v>12</v>
      </c>
      <c r="C770" s="17" t="inlineStr">
        <is>
          <t>TA&amp;M</t>
        </is>
      </c>
      <c r="D770" s="17" t="inlineStr">
        <is>
          <t>OU</t>
        </is>
      </c>
      <c r="E770" s="25" t="n">
        <v>0</v>
      </c>
      <c r="F770" s="25" t="n">
        <v>0</v>
      </c>
      <c r="G770" s="17" t="inlineStr">
        <is>
          <t>TBD</t>
        </is>
      </c>
      <c r="H770" s="17" t="inlineStr"/>
      <c r="I770" s="26" t="n"/>
      <c r="J770" s="30" t="n"/>
      <c r="K770" s="18" t="n"/>
      <c r="L770" s="18" t="n"/>
      <c r="M770" s="17" t="n"/>
    </row>
    <row r="771">
      <c r="A771" s="12" t="inlineStr">
        <is>
          <t>2026-11-21</t>
        </is>
      </c>
      <c r="B771" s="22" t="n">
        <v>12</v>
      </c>
      <c r="C771" s="12" t="inlineStr">
        <is>
          <t>UGA</t>
        </is>
      </c>
      <c r="D771" s="12" t="inlineStr">
        <is>
          <t>SC</t>
        </is>
      </c>
      <c r="E771" s="22" t="n">
        <v>0</v>
      </c>
      <c r="F771" s="22" t="n">
        <v>0</v>
      </c>
      <c r="G771" s="12" t="inlineStr">
        <is>
          <t>TBD</t>
        </is>
      </c>
      <c r="H771" s="12" t="inlineStr"/>
      <c r="I771" s="23" t="n"/>
      <c r="J771" s="29" t="n"/>
      <c r="K771" s="13" t="n"/>
      <c r="L771" s="13" t="n"/>
      <c r="M771" s="12" t="n"/>
    </row>
    <row r="772">
      <c r="A772" s="17" t="inlineStr">
        <is>
          <t>2026-11-21</t>
        </is>
      </c>
      <c r="B772" s="25" t="n">
        <v>12</v>
      </c>
      <c r="C772" s="17" t="inlineStr">
        <is>
          <t>LSU</t>
        </is>
      </c>
      <c r="D772" s="17" t="inlineStr">
        <is>
          <t>TENN</t>
        </is>
      </c>
      <c r="E772" s="25" t="n">
        <v>0</v>
      </c>
      <c r="F772" s="25" t="n">
        <v>0</v>
      </c>
      <c r="G772" s="17" t="inlineStr">
        <is>
          <t>TBD</t>
        </is>
      </c>
      <c r="H772" s="17" t="inlineStr"/>
      <c r="I772" s="26" t="n"/>
      <c r="J772" s="30" t="n"/>
      <c r="K772" s="18" t="n"/>
      <c r="L772" s="18" t="n"/>
      <c r="M772" s="17" t="n"/>
    </row>
    <row r="773">
      <c r="A773" s="12" t="inlineStr">
        <is>
          <t>2026-11-21</t>
        </is>
      </c>
      <c r="B773" s="22" t="n">
        <v>12</v>
      </c>
      <c r="C773" s="12" t="inlineStr">
        <is>
          <t>ARK</t>
        </is>
      </c>
      <c r="D773" s="12" t="inlineStr">
        <is>
          <t>TEX</t>
        </is>
      </c>
      <c r="E773" s="22" t="n">
        <v>0</v>
      </c>
      <c r="F773" s="22" t="n">
        <v>0</v>
      </c>
      <c r="G773" s="12" t="inlineStr">
        <is>
          <t>TBD</t>
        </is>
      </c>
      <c r="H773" s="12" t="inlineStr"/>
      <c r="I773" s="23" t="n"/>
      <c r="J773" s="29" t="n"/>
      <c r="K773" s="13" t="n"/>
      <c r="L773" s="13" t="n"/>
      <c r="M773" s="12" t="n"/>
    </row>
    <row r="774">
      <c r="A774" s="17" t="inlineStr">
        <is>
          <t>2026-11-21</t>
        </is>
      </c>
      <c r="B774" s="25" t="n">
        <v>12</v>
      </c>
      <c r="C774" s="17" t="inlineStr">
        <is>
          <t>ARIZ</t>
        </is>
      </c>
      <c r="D774" s="17" t="inlineStr">
        <is>
          <t>KSU</t>
        </is>
      </c>
      <c r="E774" s="25" t="n">
        <v>0</v>
      </c>
      <c r="F774" s="25" t="n">
        <v>0</v>
      </c>
      <c r="G774" s="17" t="inlineStr">
        <is>
          <t>TBD</t>
        </is>
      </c>
      <c r="H774" s="17" t="inlineStr"/>
      <c r="I774" s="26" t="n"/>
      <c r="J774" s="30" t="n"/>
      <c r="K774" s="18" t="n"/>
      <c r="L774" s="18" t="n"/>
      <c r="M774" s="17" t="n"/>
    </row>
    <row r="775">
      <c r="A775" s="12" t="inlineStr">
        <is>
          <t>2026-11-21</t>
        </is>
      </c>
      <c r="B775" s="22" t="n">
        <v>12</v>
      </c>
      <c r="C775" s="12" t="inlineStr">
        <is>
          <t>BYU</t>
        </is>
      </c>
      <c r="D775" s="12" t="inlineStr">
        <is>
          <t>KU</t>
        </is>
      </c>
      <c r="E775" s="22" t="n">
        <v>0</v>
      </c>
      <c r="F775" s="22" t="n">
        <v>0</v>
      </c>
      <c r="G775" s="12" t="inlineStr">
        <is>
          <t>TBD</t>
        </is>
      </c>
      <c r="H775" s="12" t="inlineStr"/>
      <c r="I775" s="23" t="n"/>
      <c r="J775" s="29" t="n"/>
      <c r="K775" s="13" t="n"/>
      <c r="L775" s="13" t="n"/>
      <c r="M775" s="12" t="n"/>
    </row>
    <row r="776">
      <c r="A776" s="17" t="inlineStr">
        <is>
          <t>2026-11-21</t>
        </is>
      </c>
      <c r="B776" s="25" t="n">
        <v>12</v>
      </c>
      <c r="C776" s="17" t="inlineStr">
        <is>
          <t>COLO</t>
        </is>
      </c>
      <c r="D776" s="17" t="inlineStr">
        <is>
          <t>CIN</t>
        </is>
      </c>
      <c r="E776" s="25" t="n">
        <v>0</v>
      </c>
      <c r="F776" s="25" t="n">
        <v>0</v>
      </c>
      <c r="G776" s="17" t="inlineStr">
        <is>
          <t>TBD</t>
        </is>
      </c>
      <c r="H776" s="17" t="inlineStr"/>
      <c r="I776" s="26" t="n"/>
      <c r="J776" s="30" t="n"/>
      <c r="K776" s="18" t="n"/>
      <c r="L776" s="18" t="n"/>
      <c r="M776" s="17" t="n"/>
    </row>
    <row r="777">
      <c r="A777" s="12" t="inlineStr">
        <is>
          <t>2026-11-21</t>
        </is>
      </c>
      <c r="B777" s="22" t="n">
        <v>12</v>
      </c>
      <c r="C777" s="12" t="inlineStr">
        <is>
          <t>HOU</t>
        </is>
      </c>
      <c r="D777" s="12" t="inlineStr">
        <is>
          <t>WVU</t>
        </is>
      </c>
      <c r="E777" s="22" t="n">
        <v>0</v>
      </c>
      <c r="F777" s="22" t="n">
        <v>0</v>
      </c>
      <c r="G777" s="12" t="inlineStr">
        <is>
          <t>TBD</t>
        </is>
      </c>
      <c r="H777" s="12" t="inlineStr"/>
      <c r="I777" s="23" t="n"/>
      <c r="J777" s="29" t="n"/>
      <c r="K777" s="13" t="n"/>
      <c r="L777" s="13" t="n"/>
      <c r="M777" s="12" t="n"/>
    </row>
    <row r="778">
      <c r="A778" s="17" t="inlineStr">
        <is>
          <t>2026-11-21</t>
        </is>
      </c>
      <c r="B778" s="25" t="n">
        <v>12</v>
      </c>
      <c r="C778" s="17" t="inlineStr">
        <is>
          <t>OKST</t>
        </is>
      </c>
      <c r="D778" s="17" t="inlineStr">
        <is>
          <t>ASU</t>
        </is>
      </c>
      <c r="E778" s="25" t="n">
        <v>0</v>
      </c>
      <c r="F778" s="25" t="n">
        <v>0</v>
      </c>
      <c r="G778" s="17" t="inlineStr">
        <is>
          <t>TBD</t>
        </is>
      </c>
      <c r="H778" s="17" t="inlineStr"/>
      <c r="I778" s="26" t="n"/>
      <c r="J778" s="30" t="n"/>
      <c r="K778" s="18" t="n"/>
      <c r="L778" s="18" t="n"/>
      <c r="M778" s="17" t="n"/>
    </row>
    <row r="779">
      <c r="A779" s="12" t="inlineStr">
        <is>
          <t>2026-11-21</t>
        </is>
      </c>
      <c r="B779" s="22" t="n">
        <v>12</v>
      </c>
      <c r="C779" s="12" t="inlineStr">
        <is>
          <t>TTU</t>
        </is>
      </c>
      <c r="D779" s="12" t="inlineStr">
        <is>
          <t>BAY</t>
        </is>
      </c>
      <c r="E779" s="22" t="n">
        <v>0</v>
      </c>
      <c r="F779" s="22" t="n">
        <v>0</v>
      </c>
      <c r="G779" s="12" t="inlineStr">
        <is>
          <t>TBD</t>
        </is>
      </c>
      <c r="H779" s="12" t="inlineStr"/>
      <c r="I779" s="23" t="n"/>
      <c r="J779" s="29" t="n"/>
      <c r="K779" s="13" t="n"/>
      <c r="L779" s="13" t="n"/>
      <c r="M779" s="12" t="n"/>
    </row>
    <row r="780">
      <c r="A780" s="17" t="inlineStr">
        <is>
          <t>2026-11-21</t>
        </is>
      </c>
      <c r="B780" s="25" t="n">
        <v>12</v>
      </c>
      <c r="C780" s="17" t="inlineStr">
        <is>
          <t>UTAH</t>
        </is>
      </c>
      <c r="D780" s="17" t="inlineStr">
        <is>
          <t>TCU</t>
        </is>
      </c>
      <c r="E780" s="25" t="n">
        <v>0</v>
      </c>
      <c r="F780" s="25" t="n">
        <v>0</v>
      </c>
      <c r="G780" s="17" t="inlineStr">
        <is>
          <t>TBD</t>
        </is>
      </c>
      <c r="H780" s="17" t="inlineStr"/>
      <c r="I780" s="26" t="n"/>
      <c r="J780" s="30" t="n"/>
      <c r="K780" s="18" t="n"/>
      <c r="L780" s="18" t="n"/>
      <c r="M780" s="17" t="n"/>
    </row>
    <row r="781">
      <c r="A781" s="12" t="inlineStr">
        <is>
          <t>2026-11-21</t>
        </is>
      </c>
      <c r="B781" s="22" t="n">
        <v>12</v>
      </c>
      <c r="C781" s="12" t="inlineStr">
        <is>
          <t>VT</t>
        </is>
      </c>
      <c r="D781" s="12" t="inlineStr">
        <is>
          <t>MIA</t>
        </is>
      </c>
      <c r="E781" s="22" t="n">
        <v>0</v>
      </c>
      <c r="F781" s="22" t="n">
        <v>0</v>
      </c>
      <c r="G781" s="12" t="inlineStr">
        <is>
          <t>TBD</t>
        </is>
      </c>
      <c r="H781" s="12" t="inlineStr"/>
      <c r="I781" s="23" t="n"/>
      <c r="J781" s="29" t="n"/>
      <c r="K781" s="13" t="n"/>
      <c r="L781" s="13" t="n"/>
      <c r="M781" s="12" t="n"/>
    </row>
    <row r="782">
      <c r="A782" s="17" t="inlineStr">
        <is>
          <t>2026-11-21</t>
        </is>
      </c>
      <c r="B782" s="25" t="n">
        <v>12</v>
      </c>
      <c r="C782" s="17" t="inlineStr">
        <is>
          <t>NCSU</t>
        </is>
      </c>
      <c r="D782" s="17" t="inlineStr">
        <is>
          <t>FSU</t>
        </is>
      </c>
      <c r="E782" s="25" t="n">
        <v>0</v>
      </c>
      <c r="F782" s="25" t="n">
        <v>0</v>
      </c>
      <c r="G782" s="17" t="inlineStr">
        <is>
          <t>TBD</t>
        </is>
      </c>
      <c r="H782" s="17" t="inlineStr"/>
      <c r="I782" s="26" t="n"/>
      <c r="J782" s="30" t="n"/>
      <c r="K782" s="18" t="n"/>
      <c r="L782" s="18" t="n"/>
      <c r="M782" s="17" t="n"/>
    </row>
    <row r="783">
      <c r="A783" s="12" t="inlineStr">
        <is>
          <t>2026-11-21</t>
        </is>
      </c>
      <c r="B783" s="22" t="n">
        <v>12</v>
      </c>
      <c r="C783" s="12" t="inlineStr">
        <is>
          <t>UNC</t>
        </is>
      </c>
      <c r="D783" s="12" t="inlineStr">
        <is>
          <t>UVA</t>
        </is>
      </c>
      <c r="E783" s="22" t="n">
        <v>0</v>
      </c>
      <c r="F783" s="22" t="n">
        <v>0</v>
      </c>
      <c r="G783" s="12" t="inlineStr">
        <is>
          <t>TBD</t>
        </is>
      </c>
      <c r="H783" s="12" t="inlineStr"/>
      <c r="I783" s="23" t="n"/>
      <c r="J783" s="29" t="n"/>
      <c r="K783" s="13" t="n"/>
      <c r="L783" s="13" t="n"/>
      <c r="M783" s="12" t="n"/>
    </row>
    <row r="784">
      <c r="A784" s="17" t="inlineStr">
        <is>
          <t>2026-11-21</t>
        </is>
      </c>
      <c r="B784" s="25" t="n">
        <v>12</v>
      </c>
      <c r="C784" s="17" t="inlineStr">
        <is>
          <t>PITT</t>
        </is>
      </c>
      <c r="D784" s="17" t="inlineStr">
        <is>
          <t>LOU</t>
        </is>
      </c>
      <c r="E784" s="25" t="n">
        <v>0</v>
      </c>
      <c r="F784" s="25" t="n">
        <v>0</v>
      </c>
      <c r="G784" s="17" t="inlineStr">
        <is>
          <t>TBD</t>
        </is>
      </c>
      <c r="H784" s="17" t="inlineStr"/>
      <c r="I784" s="26" t="n"/>
      <c r="J784" s="30" t="n"/>
      <c r="K784" s="18" t="n"/>
      <c r="L784" s="18" t="n"/>
      <c r="M784" s="17" t="n"/>
    </row>
    <row r="785">
      <c r="A785" s="12" t="inlineStr">
        <is>
          <t>2026-11-21</t>
        </is>
      </c>
      <c r="B785" s="22" t="n">
        <v>12</v>
      </c>
      <c r="C785" s="12" t="inlineStr">
        <is>
          <t>STAN</t>
        </is>
      </c>
      <c r="D785" s="12" t="inlineStr">
        <is>
          <t>CAL</t>
        </is>
      </c>
      <c r="E785" s="22" t="n">
        <v>0</v>
      </c>
      <c r="F785" s="22" t="n">
        <v>0</v>
      </c>
      <c r="G785" s="12" t="inlineStr">
        <is>
          <t>TBD</t>
        </is>
      </c>
      <c r="H785" s="12" t="inlineStr"/>
      <c r="I785" s="23" t="n"/>
      <c r="J785" s="29" t="n"/>
      <c r="K785" s="13" t="n"/>
      <c r="L785" s="13" t="n"/>
      <c r="M785" s="12" t="n"/>
    </row>
    <row r="786">
      <c r="A786" s="17" t="inlineStr">
        <is>
          <t>2026-11-21</t>
        </is>
      </c>
      <c r="B786" s="25" t="n">
        <v>12</v>
      </c>
      <c r="C786" s="17" t="inlineStr">
        <is>
          <t>SYR</t>
        </is>
      </c>
      <c r="D786" s="17" t="inlineStr">
        <is>
          <t>BC</t>
        </is>
      </c>
      <c r="E786" s="25" t="n">
        <v>0</v>
      </c>
      <c r="F786" s="25" t="n">
        <v>0</v>
      </c>
      <c r="G786" s="17" t="inlineStr">
        <is>
          <t>TBD</t>
        </is>
      </c>
      <c r="H786" s="17" t="inlineStr"/>
      <c r="I786" s="26" t="n"/>
      <c r="J786" s="30" t="n"/>
      <c r="K786" s="18" t="n"/>
      <c r="L786" s="18" t="n"/>
      <c r="M786" s="17" t="n"/>
    </row>
    <row r="787">
      <c r="A787" s="12" t="inlineStr">
        <is>
          <t>2026-11-21</t>
        </is>
      </c>
      <c r="B787" s="22" t="n">
        <v>12</v>
      </c>
      <c r="C787" s="12" t="inlineStr">
        <is>
          <t>WAKE</t>
        </is>
      </c>
      <c r="D787" s="12" t="inlineStr">
        <is>
          <t>GT</t>
        </is>
      </c>
      <c r="E787" s="22" t="n">
        <v>0</v>
      </c>
      <c r="F787" s="22" t="n">
        <v>0</v>
      </c>
      <c r="G787" s="12" t="inlineStr">
        <is>
          <t>TBD</t>
        </is>
      </c>
      <c r="H787" s="12" t="inlineStr"/>
      <c r="I787" s="23" t="n"/>
      <c r="J787" s="29" t="n"/>
      <c r="K787" s="13" t="n"/>
      <c r="L787" s="13" t="n"/>
      <c r="M787" s="12" t="n"/>
    </row>
    <row r="788">
      <c r="A788" s="17" t="inlineStr">
        <is>
          <t>2026-11-21</t>
        </is>
      </c>
      <c r="B788" s="25" t="n">
        <v>12</v>
      </c>
      <c r="C788" s="17" t="inlineStr">
        <is>
          <t>IOWA</t>
        </is>
      </c>
      <c r="D788" s="17" t="inlineStr">
        <is>
          <t>ILL</t>
        </is>
      </c>
      <c r="E788" s="25" t="n">
        <v>0</v>
      </c>
      <c r="F788" s="25" t="n">
        <v>0</v>
      </c>
      <c r="G788" s="17" t="inlineStr">
        <is>
          <t>TBD</t>
        </is>
      </c>
      <c r="H788" s="17" t="inlineStr"/>
      <c r="I788" s="26" t="n"/>
      <c r="J788" s="30" t="n"/>
      <c r="K788" s="18" t="n"/>
      <c r="L788" s="18" t="n"/>
      <c r="M788" s="17" t="n"/>
    </row>
    <row r="789">
      <c r="A789" s="12" t="inlineStr">
        <is>
          <t>2026-11-21</t>
        </is>
      </c>
      <c r="B789" s="22" t="n">
        <v>12</v>
      </c>
      <c r="C789" s="12" t="inlineStr">
        <is>
          <t>UCLA</t>
        </is>
      </c>
      <c r="D789" s="12" t="inlineStr">
        <is>
          <t>MICH</t>
        </is>
      </c>
      <c r="E789" s="22" t="n">
        <v>0</v>
      </c>
      <c r="F789" s="22" t="n">
        <v>0</v>
      </c>
      <c r="G789" s="12" t="inlineStr">
        <is>
          <t>TBD</t>
        </is>
      </c>
      <c r="H789" s="12" t="inlineStr"/>
      <c r="I789" s="23" t="n"/>
      <c r="J789" s="29" t="n"/>
      <c r="K789" s="13" t="n"/>
      <c r="L789" s="13" t="n"/>
      <c r="M789" s="12" t="n"/>
    </row>
    <row r="790">
      <c r="A790" s="17" t="inlineStr">
        <is>
          <t>2026-11-21</t>
        </is>
      </c>
      <c r="B790" s="25" t="n">
        <v>12</v>
      </c>
      <c r="C790" s="17" t="inlineStr">
        <is>
          <t>NU</t>
        </is>
      </c>
      <c r="D790" s="17" t="inlineStr">
        <is>
          <t>MINN</t>
        </is>
      </c>
      <c r="E790" s="25" t="n">
        <v>0</v>
      </c>
      <c r="F790" s="25" t="n">
        <v>0</v>
      </c>
      <c r="G790" s="17" t="inlineStr">
        <is>
          <t>TBD</t>
        </is>
      </c>
      <c r="H790" s="17" t="inlineStr"/>
      <c r="I790" s="26" t="n"/>
      <c r="J790" s="30" t="n"/>
      <c r="K790" s="18" t="n"/>
      <c r="L790" s="18" t="n"/>
      <c r="M790" s="17" t="n"/>
    </row>
    <row r="791">
      <c r="A791" s="12" t="inlineStr">
        <is>
          <t>2026-11-21</t>
        </is>
      </c>
      <c r="B791" s="22" t="n">
        <v>12</v>
      </c>
      <c r="C791" s="12" t="inlineStr">
        <is>
          <t>OSU</t>
        </is>
      </c>
      <c r="D791" s="12" t="inlineStr">
        <is>
          <t>NEB</t>
        </is>
      </c>
      <c r="E791" s="22" t="n">
        <v>0</v>
      </c>
      <c r="F791" s="22" t="n">
        <v>0</v>
      </c>
      <c r="G791" s="12" t="inlineStr">
        <is>
          <t>TBD</t>
        </is>
      </c>
      <c r="H791" s="12" t="inlineStr"/>
      <c r="I791" s="23" t="n"/>
      <c r="J791" s="29" t="n"/>
      <c r="K791" s="13" t="n"/>
      <c r="L791" s="13" t="n"/>
      <c r="M791" s="12" t="n"/>
    </row>
    <row r="792">
      <c r="A792" s="17" t="inlineStr">
        <is>
          <t>2026-11-21</t>
        </is>
      </c>
      <c r="B792" s="25" t="n">
        <v>12</v>
      </c>
      <c r="C792" s="17" t="inlineStr">
        <is>
          <t>RUTG</t>
        </is>
      </c>
      <c r="D792" s="17" t="inlineStr">
        <is>
          <t>PSU</t>
        </is>
      </c>
      <c r="E792" s="25" t="n">
        <v>0</v>
      </c>
      <c r="F792" s="25" t="n">
        <v>0</v>
      </c>
      <c r="G792" s="17" t="inlineStr">
        <is>
          <t>TBD</t>
        </is>
      </c>
      <c r="H792" s="17" t="inlineStr"/>
      <c r="I792" s="26" t="n"/>
      <c r="J792" s="30" t="n"/>
      <c r="K792" s="18" t="n"/>
      <c r="L792" s="18" t="n"/>
      <c r="M792" s="17" t="n"/>
    </row>
    <row r="793">
      <c r="A793" s="12" t="inlineStr">
        <is>
          <t>2026-11-21</t>
        </is>
      </c>
      <c r="B793" s="22" t="n">
        <v>12</v>
      </c>
      <c r="C793" s="12" t="inlineStr">
        <is>
          <t>WIS</t>
        </is>
      </c>
      <c r="D793" s="12" t="inlineStr">
        <is>
          <t>PUR</t>
        </is>
      </c>
      <c r="E793" s="22" t="n">
        <v>0</v>
      </c>
      <c r="F793" s="22" t="n">
        <v>0</v>
      </c>
      <c r="G793" s="12" t="inlineStr">
        <is>
          <t>TBD</t>
        </is>
      </c>
      <c r="H793" s="12" t="inlineStr"/>
      <c r="I793" s="23" t="n"/>
      <c r="J793" s="29" t="n"/>
      <c r="K793" s="13" t="n"/>
      <c r="L793" s="13" t="n"/>
      <c r="M793" s="12" t="n"/>
    </row>
    <row r="794">
      <c r="A794" s="17" t="inlineStr">
        <is>
          <t>2026-11-21</t>
        </is>
      </c>
      <c r="B794" s="25" t="n">
        <v>12</v>
      </c>
      <c r="C794" s="17" t="inlineStr">
        <is>
          <t>MD</t>
        </is>
      </c>
      <c r="D794" s="17" t="inlineStr">
        <is>
          <t>USC</t>
        </is>
      </c>
      <c r="E794" s="25" t="n">
        <v>0</v>
      </c>
      <c r="F794" s="25" t="n">
        <v>0</v>
      </c>
      <c r="G794" s="17" t="inlineStr">
        <is>
          <t>TBD</t>
        </is>
      </c>
      <c r="H794" s="17" t="inlineStr"/>
      <c r="I794" s="26" t="n"/>
      <c r="J794" s="30" t="n"/>
      <c r="K794" s="18" t="n"/>
      <c r="L794" s="18" t="n"/>
      <c r="M794" s="17" t="n"/>
    </row>
    <row r="795">
      <c r="A795" s="12" t="inlineStr">
        <is>
          <t>2026-11-21</t>
        </is>
      </c>
      <c r="B795" s="22" t="n">
        <v>12</v>
      </c>
      <c r="C795" s="12" t="inlineStr">
        <is>
          <t>IU</t>
        </is>
      </c>
      <c r="D795" s="12" t="inlineStr">
        <is>
          <t>WASH</t>
        </is>
      </c>
      <c r="E795" s="22" t="n">
        <v>0</v>
      </c>
      <c r="F795" s="22" t="n">
        <v>0</v>
      </c>
      <c r="G795" s="12" t="inlineStr">
        <is>
          <t>TBD</t>
        </is>
      </c>
      <c r="H795" s="12" t="inlineStr"/>
      <c r="I795" s="23" t="n"/>
      <c r="J795" s="29" t="n"/>
      <c r="K795" s="13" t="n"/>
      <c r="L795" s="13" t="n"/>
      <c r="M795" s="12" t="n"/>
    </row>
    <row r="796">
      <c r="A796" s="17" t="inlineStr">
        <is>
          <t>2026-11-21</t>
        </is>
      </c>
      <c r="B796" s="25" t="n">
        <v>12</v>
      </c>
      <c r="C796" s="17" t="inlineStr">
        <is>
          <t>CLT</t>
        </is>
      </c>
      <c r="D796" s="17" t="inlineStr">
        <is>
          <t>TLSA</t>
        </is>
      </c>
      <c r="E796" s="25" t="n">
        <v>0</v>
      </c>
      <c r="F796" s="25" t="n">
        <v>0</v>
      </c>
      <c r="G796" s="17" t="inlineStr">
        <is>
          <t>TBD</t>
        </is>
      </c>
      <c r="H796" s="17" t="inlineStr"/>
      <c r="I796" s="26" t="n"/>
      <c r="J796" s="30" t="n"/>
      <c r="K796" s="18" t="n"/>
      <c r="L796" s="18" t="n"/>
      <c r="M796" s="17" t="n"/>
    </row>
    <row r="797">
      <c r="A797" s="12" t="inlineStr">
        <is>
          <t>2026-11-21</t>
        </is>
      </c>
      <c r="B797" s="22" t="n">
        <v>12</v>
      </c>
      <c r="C797" s="12" t="inlineStr">
        <is>
          <t>USF</t>
        </is>
      </c>
      <c r="D797" s="12" t="inlineStr">
        <is>
          <t>FAU</t>
        </is>
      </c>
      <c r="E797" s="22" t="n">
        <v>0</v>
      </c>
      <c r="F797" s="22" t="n">
        <v>0</v>
      </c>
      <c r="G797" s="12" t="inlineStr">
        <is>
          <t>TBD</t>
        </is>
      </c>
      <c r="H797" s="12" t="inlineStr"/>
      <c r="I797" s="23" t="n"/>
      <c r="J797" s="29" t="n"/>
      <c r="K797" s="13" t="n"/>
      <c r="L797" s="13" t="n"/>
      <c r="M797" s="12" t="n"/>
    </row>
    <row r="798">
      <c r="A798" s="17" t="inlineStr">
        <is>
          <t>2026-11-21</t>
        </is>
      </c>
      <c r="B798" s="25" t="n">
        <v>12</v>
      </c>
      <c r="C798" s="17" t="inlineStr">
        <is>
          <t>UNT</t>
        </is>
      </c>
      <c r="D798" s="17" t="inlineStr">
        <is>
          <t>TULN</t>
        </is>
      </c>
      <c r="E798" s="25" t="n">
        <v>0</v>
      </c>
      <c r="F798" s="25" t="n">
        <v>0</v>
      </c>
      <c r="G798" s="17" t="inlineStr">
        <is>
          <t>TBD</t>
        </is>
      </c>
      <c r="H798" s="17" t="inlineStr"/>
      <c r="I798" s="26" t="n"/>
      <c r="J798" s="30" t="n"/>
      <c r="K798" s="18" t="n"/>
      <c r="L798" s="18" t="n"/>
      <c r="M798" s="17" t="n"/>
    </row>
    <row r="799">
      <c r="A799" s="12" t="inlineStr">
        <is>
          <t>2026-11-21</t>
        </is>
      </c>
      <c r="B799" s="22" t="n">
        <v>12</v>
      </c>
      <c r="C799" s="12" t="inlineStr">
        <is>
          <t>UTSA</t>
        </is>
      </c>
      <c r="D799" s="12" t="inlineStr">
        <is>
          <t>UAB</t>
        </is>
      </c>
      <c r="E799" s="22" t="n">
        <v>0</v>
      </c>
      <c r="F799" s="22" t="n">
        <v>0</v>
      </c>
      <c r="G799" s="12" t="inlineStr">
        <is>
          <t>TBD</t>
        </is>
      </c>
      <c r="H799" s="12" t="inlineStr"/>
      <c r="I799" s="23" t="n"/>
      <c r="J799" s="29" t="n"/>
      <c r="K799" s="13" t="n"/>
      <c r="L799" s="13" t="n"/>
      <c r="M799" s="12" t="n"/>
    </row>
    <row r="800">
      <c r="A800" s="17" t="inlineStr">
        <is>
          <t>2026-11-21</t>
        </is>
      </c>
      <c r="B800" s="25" t="n">
        <v>12</v>
      </c>
      <c r="C800" s="17" t="inlineStr">
        <is>
          <t>HAW</t>
        </is>
      </c>
      <c r="D800" s="17" t="inlineStr">
        <is>
          <t>NEV</t>
        </is>
      </c>
      <c r="E800" s="25" t="n">
        <v>0</v>
      </c>
      <c r="F800" s="25" t="n">
        <v>0</v>
      </c>
      <c r="G800" s="17" t="inlineStr">
        <is>
          <t>TBD</t>
        </is>
      </c>
      <c r="H800" s="17" t="inlineStr"/>
      <c r="I800" s="26" t="n"/>
      <c r="J800" s="30" t="n"/>
      <c r="K800" s="18" t="n"/>
      <c r="L800" s="18" t="n"/>
      <c r="M800" s="17" t="n"/>
    </row>
    <row r="801">
      <c r="A801" s="12" t="inlineStr">
        <is>
          <t>2026-11-21</t>
        </is>
      </c>
      <c r="B801" s="22" t="n">
        <v>12</v>
      </c>
      <c r="C801" s="12" t="inlineStr">
        <is>
          <t>ULM</t>
        </is>
      </c>
      <c r="D801" s="12" t="inlineStr">
        <is>
          <t>APP</t>
        </is>
      </c>
      <c r="E801" s="22" t="n">
        <v>0</v>
      </c>
      <c r="F801" s="22" t="n">
        <v>0</v>
      </c>
      <c r="G801" s="12" t="inlineStr">
        <is>
          <t>TBD</t>
        </is>
      </c>
      <c r="H801" s="12" t="inlineStr"/>
      <c r="I801" s="23" t="n"/>
      <c r="J801" s="29" t="n"/>
      <c r="K801" s="13" t="n"/>
      <c r="L801" s="13" t="n"/>
      <c r="M801" s="12" t="n"/>
    </row>
    <row r="802">
      <c r="A802" s="17" t="inlineStr">
        <is>
          <t>2026-11-21</t>
        </is>
      </c>
      <c r="B802" s="25" t="n">
        <v>12</v>
      </c>
      <c r="C802" s="17" t="inlineStr">
        <is>
          <t>ARST</t>
        </is>
      </c>
      <c r="D802" s="17" t="inlineStr">
        <is>
          <t>LT</t>
        </is>
      </c>
      <c r="E802" s="25" t="n">
        <v>0</v>
      </c>
      <c r="F802" s="25" t="n">
        <v>0</v>
      </c>
      <c r="G802" s="17" t="inlineStr">
        <is>
          <t>TBD</t>
        </is>
      </c>
      <c r="H802" s="17" t="inlineStr"/>
      <c r="I802" s="26" t="n"/>
      <c r="J802" s="30" t="n"/>
      <c r="K802" s="18" t="n"/>
      <c r="L802" s="18" t="n"/>
      <c r="M802" s="17" t="n"/>
    </row>
    <row r="803">
      <c r="A803" s="12" t="inlineStr">
        <is>
          <t>2026-11-21</t>
        </is>
      </c>
      <c r="B803" s="22" t="n">
        <v>12</v>
      </c>
      <c r="C803" s="12" t="inlineStr">
        <is>
          <t>CCU</t>
        </is>
      </c>
      <c r="D803" s="12" t="inlineStr">
        <is>
          <t>UL</t>
        </is>
      </c>
      <c r="E803" s="22" t="n">
        <v>0</v>
      </c>
      <c r="F803" s="22" t="n">
        <v>0</v>
      </c>
      <c r="G803" s="12" t="inlineStr">
        <is>
          <t>TBD</t>
        </is>
      </c>
      <c r="H803" s="12" t="inlineStr"/>
      <c r="I803" s="23" t="n"/>
      <c r="J803" s="29" t="n"/>
      <c r="K803" s="13" t="n"/>
      <c r="L803" s="13" t="n"/>
      <c r="M803" s="12" t="n"/>
    </row>
    <row r="804">
      <c r="A804" s="17" t="inlineStr">
        <is>
          <t>2026-11-21</t>
        </is>
      </c>
      <c r="B804" s="25" t="n">
        <v>12</v>
      </c>
      <c r="C804" s="17" t="inlineStr">
        <is>
          <t>GASO</t>
        </is>
      </c>
      <c r="D804" s="17" t="inlineStr">
        <is>
          <t>TROY</t>
        </is>
      </c>
      <c r="E804" s="25" t="n">
        <v>0</v>
      </c>
      <c r="F804" s="25" t="n">
        <v>0</v>
      </c>
      <c r="G804" s="17" t="inlineStr">
        <is>
          <t>TBD</t>
        </is>
      </c>
      <c r="H804" s="17" t="inlineStr"/>
      <c r="I804" s="26" t="n"/>
      <c r="J804" s="30" t="n"/>
      <c r="K804" s="18" t="n"/>
      <c r="L804" s="18" t="n"/>
      <c r="M804" s="17" t="n"/>
    </row>
    <row r="805">
      <c r="A805" s="12" t="inlineStr">
        <is>
          <t>2026-11-21</t>
        </is>
      </c>
      <c r="B805" s="22" t="n">
        <v>12</v>
      </c>
      <c r="C805" s="12" t="inlineStr">
        <is>
          <t>GAST</t>
        </is>
      </c>
      <c r="D805" s="12" t="inlineStr">
        <is>
          <t>MRSH</t>
        </is>
      </c>
      <c r="E805" s="22" t="n">
        <v>0</v>
      </c>
      <c r="F805" s="22" t="n">
        <v>0</v>
      </c>
      <c r="G805" s="12" t="inlineStr">
        <is>
          <t>TBD</t>
        </is>
      </c>
      <c r="H805" s="12" t="inlineStr"/>
      <c r="I805" s="23" t="n"/>
      <c r="J805" s="29" t="n"/>
      <c r="K805" s="13" t="n"/>
      <c r="L805" s="13" t="n"/>
      <c r="M805" s="12" t="n"/>
    </row>
    <row r="806">
      <c r="A806" s="17" t="inlineStr">
        <is>
          <t>2026-11-21</t>
        </is>
      </c>
      <c r="B806" s="25" t="n">
        <v>12</v>
      </c>
      <c r="C806" s="17" t="inlineStr">
        <is>
          <t>USA</t>
        </is>
      </c>
      <c r="D806" s="17" t="inlineStr">
        <is>
          <t>USM</t>
        </is>
      </c>
      <c r="E806" s="25" t="n">
        <v>0</v>
      </c>
      <c r="F806" s="25" t="n">
        <v>0</v>
      </c>
      <c r="G806" s="17" t="inlineStr">
        <is>
          <t>TBD</t>
        </is>
      </c>
      <c r="H806" s="17" t="inlineStr"/>
      <c r="I806" s="26" t="n"/>
      <c r="J806" s="30" t="n"/>
      <c r="K806" s="18" t="n"/>
      <c r="L806" s="18" t="n"/>
      <c r="M806" s="17" t="n"/>
    </row>
    <row r="807">
      <c r="A807" s="12" t="inlineStr">
        <is>
          <t>2026-11-21</t>
        </is>
      </c>
      <c r="B807" s="22" t="n">
        <v>12</v>
      </c>
      <c r="C807" s="12" t="inlineStr">
        <is>
          <t>WOF</t>
        </is>
      </c>
      <c r="D807" s="12" t="inlineStr">
        <is>
          <t>MISS</t>
        </is>
      </c>
      <c r="E807" s="22" t="n">
        <v>0</v>
      </c>
      <c r="F807" s="22" t="n">
        <v>0</v>
      </c>
      <c r="G807" s="12" t="inlineStr">
        <is>
          <t>11/21 - 12:00 PM EST</t>
        </is>
      </c>
      <c r="H807" s="12" t="inlineStr"/>
      <c r="I807" s="23" t="n"/>
      <c r="J807" s="29" t="n"/>
      <c r="K807" s="13" t="n"/>
      <c r="L807" s="13" t="n"/>
      <c r="M807" s="12" t="n"/>
    </row>
    <row r="808">
      <c r="A808" s="17" t="inlineStr">
        <is>
          <t>2026-11-21</t>
        </is>
      </c>
      <c r="B808" s="25" t="n">
        <v>12</v>
      </c>
      <c r="C808" s="17" t="inlineStr">
        <is>
          <t>ECU</t>
        </is>
      </c>
      <c r="D808" s="17" t="inlineStr">
        <is>
          <t>ARMY</t>
        </is>
      </c>
      <c r="E808" s="25" t="n">
        <v>0</v>
      </c>
      <c r="F808" s="25" t="n">
        <v>0</v>
      </c>
      <c r="G808" s="17" t="inlineStr">
        <is>
          <t>11/21 - 12:00 PM EST</t>
        </is>
      </c>
      <c r="H808" s="17" t="inlineStr"/>
      <c r="I808" s="26" t="n"/>
      <c r="J808" s="30" t="n"/>
      <c r="K808" s="18" t="n"/>
      <c r="L808" s="18" t="n"/>
      <c r="M808" s="17" t="n"/>
    </row>
    <row r="809">
      <c r="A809" s="12" t="inlineStr">
        <is>
          <t>2026-11-21</t>
        </is>
      </c>
      <c r="B809" s="22" t="n">
        <v>12</v>
      </c>
      <c r="C809" s="12" t="inlineStr">
        <is>
          <t>MEM</t>
        </is>
      </c>
      <c r="D809" s="12" t="inlineStr">
        <is>
          <t>NAVY</t>
        </is>
      </c>
      <c r="E809" s="22" t="n">
        <v>0</v>
      </c>
      <c r="F809" s="22" t="n">
        <v>0</v>
      </c>
      <c r="G809" s="12" t="inlineStr">
        <is>
          <t>11/21 - 12:00 PM EST</t>
        </is>
      </c>
      <c r="H809" s="12" t="inlineStr"/>
      <c r="I809" s="23" t="n"/>
      <c r="J809" s="29" t="n"/>
      <c r="K809" s="13" t="n"/>
      <c r="L809" s="13" t="n"/>
      <c r="M809" s="12" t="n"/>
    </row>
    <row r="810">
      <c r="A810" s="17" t="inlineStr">
        <is>
          <t>2026-11-21</t>
        </is>
      </c>
      <c r="B810" s="25" t="n">
        <v>12</v>
      </c>
      <c r="C810" s="17" t="inlineStr">
        <is>
          <t>TNTC</t>
        </is>
      </c>
      <c r="D810" s="17" t="inlineStr">
        <is>
          <t>MSST</t>
        </is>
      </c>
      <c r="E810" s="25" t="n">
        <v>0</v>
      </c>
      <c r="F810" s="25" t="n">
        <v>0</v>
      </c>
      <c r="G810" s="17" t="inlineStr">
        <is>
          <t>11/21 - 1:00 PM EST</t>
        </is>
      </c>
      <c r="H810" s="17" t="inlineStr"/>
      <c r="I810" s="26" t="n"/>
      <c r="J810" s="30" t="n"/>
      <c r="K810" s="18" t="n"/>
      <c r="L810" s="18" t="n"/>
      <c r="M810" s="17" t="n"/>
    </row>
    <row r="811">
      <c r="A811" s="12" t="inlineStr">
        <is>
          <t>2026-11-21</t>
        </is>
      </c>
      <c r="B811" s="22" t="n">
        <v>12</v>
      </c>
      <c r="C811" s="12" t="inlineStr">
        <is>
          <t>WKU</t>
        </is>
      </c>
      <c r="D811" s="12" t="inlineStr">
        <is>
          <t>LIB</t>
        </is>
      </c>
      <c r="E811" s="22" t="n">
        <v>0</v>
      </c>
      <c r="F811" s="22" t="n">
        <v>0</v>
      </c>
      <c r="G811" s="12" t="inlineStr">
        <is>
          <t>11/21 - 1:00 PM EST</t>
        </is>
      </c>
      <c r="H811" s="12" t="inlineStr"/>
      <c r="I811" s="23" t="n"/>
      <c r="J811" s="29" t="n"/>
      <c r="K811" s="13" t="n"/>
      <c r="L811" s="13" t="n"/>
      <c r="M811" s="12" t="n"/>
    </row>
    <row r="812">
      <c r="A812" s="17" t="inlineStr">
        <is>
          <t>2026-11-21</t>
        </is>
      </c>
      <c r="B812" s="25" t="n">
        <v>12</v>
      </c>
      <c r="C812" s="17" t="inlineStr">
        <is>
          <t>UTC</t>
        </is>
      </c>
      <c r="D812" s="17" t="inlineStr">
        <is>
          <t>ALA</t>
        </is>
      </c>
      <c r="E812" s="25" t="n">
        <v>0</v>
      </c>
      <c r="F812" s="25" t="n">
        <v>0</v>
      </c>
      <c r="G812" s="17" t="inlineStr">
        <is>
          <t>11/21 - 2:00 PM EST</t>
        </is>
      </c>
      <c r="H812" s="17" t="inlineStr"/>
      <c r="I812" s="26" t="n"/>
      <c r="J812" s="30" t="n"/>
      <c r="K812" s="18" t="n"/>
      <c r="L812" s="18" t="n"/>
      <c r="M812" s="17" t="n"/>
    </row>
    <row r="813">
      <c r="A813" s="12" t="inlineStr">
        <is>
          <t>2026-11-21</t>
        </is>
      </c>
      <c r="B813" s="22" t="n">
        <v>12</v>
      </c>
      <c r="C813" s="12" t="inlineStr">
        <is>
          <t>MOST</t>
        </is>
      </c>
      <c r="D813" s="12" t="inlineStr">
        <is>
          <t>JVST</t>
        </is>
      </c>
      <c r="E813" s="22" t="n">
        <v>0</v>
      </c>
      <c r="F813" s="22" t="n">
        <v>0</v>
      </c>
      <c r="G813" s="12" t="inlineStr">
        <is>
          <t>11/21 - 2:00 PM EST</t>
        </is>
      </c>
      <c r="H813" s="12" t="inlineStr"/>
      <c r="I813" s="23" t="n"/>
      <c r="J813" s="29" t="n"/>
      <c r="K813" s="13" t="n"/>
      <c r="L813" s="13" t="n"/>
      <c r="M813" s="12" t="n"/>
    </row>
    <row r="814">
      <c r="A814" s="17" t="inlineStr">
        <is>
          <t>2026-11-21</t>
        </is>
      </c>
      <c r="B814" s="25" t="n">
        <v>12</v>
      </c>
      <c r="C814" s="17" t="inlineStr">
        <is>
          <t>MTSU</t>
        </is>
      </c>
      <c r="D814" s="17" t="inlineStr">
        <is>
          <t>SHSU</t>
        </is>
      </c>
      <c r="E814" s="25" t="n">
        <v>0</v>
      </c>
      <c r="F814" s="25" t="n">
        <v>0</v>
      </c>
      <c r="G814" s="17" t="inlineStr">
        <is>
          <t>11/21 - 2:00 PM EST</t>
        </is>
      </c>
      <c r="H814" s="17" t="inlineStr"/>
      <c r="I814" s="26" t="n"/>
      <c r="J814" s="30" t="n"/>
      <c r="K814" s="18" t="n"/>
      <c r="L814" s="18" t="n"/>
      <c r="M814" s="17" t="n"/>
    </row>
    <row r="815">
      <c r="A815" s="12" t="inlineStr">
        <is>
          <t>2026-11-21</t>
        </is>
      </c>
      <c r="B815" s="22" t="n">
        <v>12</v>
      </c>
      <c r="C815" s="12" t="inlineStr">
        <is>
          <t>DEL</t>
        </is>
      </c>
      <c r="D815" s="12" t="inlineStr">
        <is>
          <t>NMSU</t>
        </is>
      </c>
      <c r="E815" s="22" t="n">
        <v>0</v>
      </c>
      <c r="F815" s="22" t="n">
        <v>0</v>
      </c>
      <c r="G815" s="12" t="inlineStr">
        <is>
          <t>11/21 - 3:00 PM EST</t>
        </is>
      </c>
      <c r="H815" s="12" t="inlineStr"/>
      <c r="I815" s="23" t="n"/>
      <c r="J815" s="29" t="n"/>
      <c r="K815" s="13" t="n"/>
      <c r="L815" s="13" t="n"/>
      <c r="M815" s="12" t="n"/>
    </row>
    <row r="816">
      <c r="A816" s="17" t="inlineStr">
        <is>
          <t>2026-11-21</t>
        </is>
      </c>
      <c r="B816" s="25" t="n">
        <v>12</v>
      </c>
      <c r="C816" s="17" t="inlineStr">
        <is>
          <t>FIU</t>
        </is>
      </c>
      <c r="D816" s="17" t="inlineStr">
        <is>
          <t>KENN</t>
        </is>
      </c>
      <c r="E816" s="25" t="n">
        <v>0</v>
      </c>
      <c r="F816" s="25" t="n">
        <v>0</v>
      </c>
      <c r="G816" s="17" t="inlineStr">
        <is>
          <t>11/21 - 3:00 PM EST</t>
        </is>
      </c>
      <c r="H816" s="17" t="inlineStr"/>
      <c r="I816" s="26" t="n"/>
      <c r="J816" s="30" t="n"/>
      <c r="K816" s="18" t="n"/>
      <c r="L816" s="18" t="n"/>
      <c r="M816" s="17" t="n"/>
    </row>
    <row r="817">
      <c r="A817" s="12" t="inlineStr">
        <is>
          <t>2026-11-21</t>
        </is>
      </c>
      <c r="B817" s="22" t="n">
        <v>12</v>
      </c>
      <c r="C817" s="12" t="inlineStr">
        <is>
          <t>SAM</t>
        </is>
      </c>
      <c r="D817" s="12" t="inlineStr">
        <is>
          <t>AUB</t>
        </is>
      </c>
      <c r="E817" s="22" t="n">
        <v>0</v>
      </c>
      <c r="F817" s="22" t="n">
        <v>0</v>
      </c>
      <c r="G817" s="12" t="inlineStr">
        <is>
          <t>11/21 - 3:30 PM EST</t>
        </is>
      </c>
      <c r="H817" s="12" t="inlineStr"/>
      <c r="I817" s="23" t="n"/>
      <c r="J817" s="29" t="n"/>
      <c r="K817" s="13" t="n"/>
      <c r="L817" s="13" t="n"/>
      <c r="M817" s="12" t="n"/>
    </row>
    <row r="818">
      <c r="A818" s="17" t="inlineStr">
        <is>
          <t>2026-11-21</t>
        </is>
      </c>
      <c r="B818" s="25" t="n">
        <v>12</v>
      </c>
      <c r="C818" s="17" t="inlineStr">
        <is>
          <t>ODU</t>
        </is>
      </c>
      <c r="D818" s="17" t="inlineStr">
        <is>
          <t>CONN</t>
        </is>
      </c>
      <c r="E818" s="25" t="n">
        <v>0</v>
      </c>
      <c r="F818" s="25" t="n">
        <v>0</v>
      </c>
      <c r="G818" s="17" t="inlineStr">
        <is>
          <t>11/21 - 3:30 PM EST</t>
        </is>
      </c>
      <c r="H818" s="17" t="inlineStr"/>
      <c r="I818" s="26" t="n"/>
      <c r="J818" s="30" t="n"/>
      <c r="K818" s="18" t="n"/>
      <c r="L818" s="18" t="n"/>
      <c r="M818" s="17" t="n"/>
    </row>
    <row r="819">
      <c r="A819" s="12" t="inlineStr">
        <is>
          <t>2026-11-21</t>
        </is>
      </c>
      <c r="B819" s="22" t="n">
        <v>12</v>
      </c>
      <c r="C819" s="12" t="inlineStr">
        <is>
          <t>NIU</t>
        </is>
      </c>
      <c r="D819" s="12" t="inlineStr">
        <is>
          <t>NDSU</t>
        </is>
      </c>
      <c r="E819" s="22" t="n">
        <v>0</v>
      </c>
      <c r="F819" s="22" t="n">
        <v>0</v>
      </c>
      <c r="G819" s="12" t="inlineStr">
        <is>
          <t>11/21 - 4:00 PM EST</t>
        </is>
      </c>
      <c r="H819" s="12" t="inlineStr"/>
      <c r="I819" s="23" t="n"/>
      <c r="J819" s="29" t="n"/>
      <c r="K819" s="13" t="n"/>
      <c r="L819" s="13" t="n"/>
      <c r="M819" s="12" t="n"/>
    </row>
    <row r="820">
      <c r="A820" s="17" t="inlineStr">
        <is>
          <t>2026-11-21</t>
        </is>
      </c>
      <c r="B820" s="25" t="n">
        <v>12</v>
      </c>
      <c r="C820" s="17" t="inlineStr">
        <is>
          <t>WSU</t>
        </is>
      </c>
      <c r="D820" s="17" t="inlineStr">
        <is>
          <t>TXST</t>
        </is>
      </c>
      <c r="E820" s="25" t="n">
        <v>0</v>
      </c>
      <c r="F820" s="25" t="n">
        <v>0</v>
      </c>
      <c r="G820" s="17" t="inlineStr">
        <is>
          <t>11/21 - 6:00 PM EST</t>
        </is>
      </c>
      <c r="H820" s="17" t="inlineStr"/>
      <c r="I820" s="26" t="n"/>
      <c r="J820" s="30" t="n"/>
      <c r="K820" s="18" t="n"/>
      <c r="L820" s="18" t="n"/>
      <c r="M820" s="17" t="n"/>
    </row>
    <row r="821">
      <c r="A821" s="12" t="inlineStr">
        <is>
          <t>2026-11-22</t>
        </is>
      </c>
      <c r="B821" s="22" t="n">
        <v>12</v>
      </c>
      <c r="C821" s="12" t="inlineStr">
        <is>
          <t>UNLV</t>
        </is>
      </c>
      <c r="D821" s="12" t="inlineStr">
        <is>
          <t>SJSU</t>
        </is>
      </c>
      <c r="E821" s="22" t="n">
        <v>0</v>
      </c>
      <c r="F821" s="22" t="n">
        <v>0</v>
      </c>
      <c r="G821" s="12" t="inlineStr">
        <is>
          <t>11/21 - 7:00 PM EST</t>
        </is>
      </c>
      <c r="H821" s="12" t="inlineStr"/>
      <c r="I821" s="23" t="n"/>
      <c r="J821" s="29" t="n"/>
      <c r="K821" s="13" t="n"/>
      <c r="L821" s="13" t="n"/>
      <c r="M821" s="12" t="n"/>
    </row>
    <row r="822">
      <c r="A822" s="17" t="inlineStr">
        <is>
          <t>2026-11-22</t>
        </is>
      </c>
      <c r="B822" s="25" t="n">
        <v>12</v>
      </c>
      <c r="C822" s="17" t="inlineStr">
        <is>
          <t>SMU</t>
        </is>
      </c>
      <c r="D822" s="17" t="inlineStr">
        <is>
          <t>ND</t>
        </is>
      </c>
      <c r="E822" s="25" t="n">
        <v>0</v>
      </c>
      <c r="F822" s="25" t="n">
        <v>0</v>
      </c>
      <c r="G822" s="17" t="inlineStr">
        <is>
          <t>11/21 - 7:30 PM EST</t>
        </is>
      </c>
      <c r="H822" s="17" t="inlineStr"/>
      <c r="I822" s="26" t="n"/>
      <c r="J822" s="30" t="n"/>
      <c r="K822" s="18" t="n"/>
      <c r="L822" s="18" t="n"/>
      <c r="M822" s="17" t="n"/>
    </row>
    <row r="823">
      <c r="A823" s="12" t="inlineStr">
        <is>
          <t>2026-11-22</t>
        </is>
      </c>
      <c r="B823" s="22" t="n">
        <v>12</v>
      </c>
      <c r="C823" s="12" t="inlineStr">
        <is>
          <t>CSU</t>
        </is>
      </c>
      <c r="D823" s="12" t="inlineStr">
        <is>
          <t>FRES</t>
        </is>
      </c>
      <c r="E823" s="22" t="n">
        <v>0</v>
      </c>
      <c r="F823" s="22" t="n">
        <v>0</v>
      </c>
      <c r="G823" s="12" t="inlineStr">
        <is>
          <t>11/21 - 7:30 PM EST</t>
        </is>
      </c>
      <c r="H823" s="12" t="inlineStr"/>
      <c r="I823" s="23" t="n"/>
      <c r="J823" s="29" t="n"/>
      <c r="K823" s="13" t="n"/>
      <c r="L823" s="13" t="n"/>
      <c r="M823" s="12" t="n"/>
    </row>
    <row r="824">
      <c r="A824" s="17" t="inlineStr">
        <is>
          <t>2026-11-22</t>
        </is>
      </c>
      <c r="B824" s="25" t="n">
        <v>12</v>
      </c>
      <c r="C824" s="17" t="inlineStr">
        <is>
          <t>UNM</t>
        </is>
      </c>
      <c r="D824" s="17" t="inlineStr">
        <is>
          <t>WYO</t>
        </is>
      </c>
      <c r="E824" s="25" t="n">
        <v>0</v>
      </c>
      <c r="F824" s="25" t="n">
        <v>0</v>
      </c>
      <c r="G824" s="17" t="inlineStr">
        <is>
          <t>11/21 - 9:00 PM EST</t>
        </is>
      </c>
      <c r="H824" s="17" t="inlineStr"/>
      <c r="I824" s="26" t="n"/>
      <c r="J824" s="30" t="n"/>
      <c r="K824" s="18" t="n"/>
      <c r="L824" s="18" t="n"/>
      <c r="M824" s="17" t="n"/>
    </row>
    <row r="825">
      <c r="A825" s="12" t="inlineStr">
        <is>
          <t>2026-11-22</t>
        </is>
      </c>
      <c r="B825" s="22" t="n">
        <v>12</v>
      </c>
      <c r="C825" s="12" t="inlineStr">
        <is>
          <t>SDSU</t>
        </is>
      </c>
      <c r="D825" s="12" t="inlineStr">
        <is>
          <t>BOIS</t>
        </is>
      </c>
      <c r="E825" s="22" t="n">
        <v>0</v>
      </c>
      <c r="F825" s="22" t="n">
        <v>0</v>
      </c>
      <c r="G825" s="12" t="inlineStr">
        <is>
          <t>11/21 - 9:30 PM EST</t>
        </is>
      </c>
      <c r="H825" s="12" t="inlineStr"/>
      <c r="I825" s="23" t="n"/>
      <c r="J825" s="29" t="n"/>
      <c r="K825" s="13" t="n"/>
      <c r="L825" s="13" t="n"/>
      <c r="M825" s="12" t="n"/>
    </row>
    <row r="826">
      <c r="A826" s="17" t="inlineStr">
        <is>
          <t>2026-11-22</t>
        </is>
      </c>
      <c r="B826" s="25" t="n">
        <v>12</v>
      </c>
      <c r="C826" s="17" t="inlineStr">
        <is>
          <t>USU</t>
        </is>
      </c>
      <c r="D826" s="17" t="inlineStr">
        <is>
          <t>ORST</t>
        </is>
      </c>
      <c r="E826" s="25" t="n">
        <v>0</v>
      </c>
      <c r="F826" s="25" t="n">
        <v>0</v>
      </c>
      <c r="G826" s="17" t="inlineStr">
        <is>
          <t>11/21 - 10:30 PM EST</t>
        </is>
      </c>
      <c r="H826" s="17" t="inlineStr"/>
      <c r="I826" s="26" t="n"/>
      <c r="J826" s="30" t="n"/>
      <c r="K826" s="18" t="n"/>
      <c r="L826" s="18" t="n"/>
      <c r="M826" s="17" t="n"/>
    </row>
    <row r="827">
      <c r="A827" s="12" t="inlineStr">
        <is>
          <t>2026-11-24</t>
        </is>
      </c>
      <c r="B827" s="22" t="n">
        <v>13</v>
      </c>
      <c r="C827" s="12" t="inlineStr">
        <is>
          <t>M-OH</t>
        </is>
      </c>
      <c r="D827" s="12" t="inlineStr">
        <is>
          <t>WMU</t>
        </is>
      </c>
      <c r="E827" s="22" t="n">
        <v>0</v>
      </c>
      <c r="F827" s="22" t="n">
        <v>0</v>
      </c>
      <c r="G827" s="12" t="inlineStr">
        <is>
          <t>TBD</t>
        </is>
      </c>
      <c r="H827" s="12" t="inlineStr"/>
      <c r="I827" s="23" t="n"/>
      <c r="J827" s="29" t="n"/>
      <c r="K827" s="13" t="n"/>
      <c r="L827" s="13" t="n"/>
      <c r="M827" s="12" t="n"/>
    </row>
    <row r="828">
      <c r="A828" s="17" t="inlineStr">
        <is>
          <t>2026-11-25</t>
        </is>
      </c>
      <c r="B828" s="25" t="n">
        <v>13</v>
      </c>
      <c r="C828" s="17" t="inlineStr">
        <is>
          <t>KENT</t>
        </is>
      </c>
      <c r="D828" s="17" t="inlineStr">
        <is>
          <t>EMU</t>
        </is>
      </c>
      <c r="E828" s="25" t="n">
        <v>0</v>
      </c>
      <c r="F828" s="25" t="n">
        <v>0</v>
      </c>
      <c r="G828" s="17" t="inlineStr">
        <is>
          <t>11/24 - 7:00 PM EST</t>
        </is>
      </c>
      <c r="H828" s="17" t="inlineStr"/>
      <c r="I828" s="26" t="n"/>
      <c r="J828" s="30" t="n"/>
      <c r="K828" s="18" t="n"/>
      <c r="L828" s="18" t="n"/>
      <c r="M828" s="17" t="n"/>
    </row>
    <row r="829">
      <c r="A829" s="12" t="inlineStr">
        <is>
          <t>2026-11-27</t>
        </is>
      </c>
      <c r="B829" s="22" t="n">
        <v>13</v>
      </c>
      <c r="C829" s="12" t="inlineStr">
        <is>
          <t>TCU</t>
        </is>
      </c>
      <c r="D829" s="12" t="inlineStr">
        <is>
          <t>TTU</t>
        </is>
      </c>
      <c r="E829" s="22" t="n">
        <v>0</v>
      </c>
      <c r="F829" s="22" t="n">
        <v>0</v>
      </c>
      <c r="G829" s="12" t="inlineStr">
        <is>
          <t>11/26 - 8:00 PM EST</t>
        </is>
      </c>
      <c r="H829" s="12" t="inlineStr"/>
      <c r="I829" s="23" t="n"/>
      <c r="J829" s="29" t="n"/>
      <c r="K829" s="13" t="n"/>
      <c r="L829" s="13" t="n"/>
      <c r="M829" s="12" t="n"/>
    </row>
    <row r="830">
      <c r="A830" s="17" t="inlineStr">
        <is>
          <t>2026-11-27</t>
        </is>
      </c>
      <c r="B830" s="25" t="n">
        <v>13</v>
      </c>
      <c r="C830" s="17" t="inlineStr">
        <is>
          <t>FAU</t>
        </is>
      </c>
      <c r="D830" s="17" t="inlineStr">
        <is>
          <t>ECU</t>
        </is>
      </c>
      <c r="E830" s="25" t="n">
        <v>0</v>
      </c>
      <c r="F830" s="25" t="n">
        <v>0</v>
      </c>
      <c r="G830" s="17" t="inlineStr">
        <is>
          <t>TBD</t>
        </is>
      </c>
      <c r="H830" s="17" t="inlineStr"/>
      <c r="I830" s="26" t="n"/>
      <c r="J830" s="30" t="n"/>
      <c r="K830" s="18" t="n"/>
      <c r="L830" s="18" t="n"/>
      <c r="M830" s="17" t="n"/>
    </row>
    <row r="831">
      <c r="A831" s="12" t="inlineStr">
        <is>
          <t>2026-11-27</t>
        </is>
      </c>
      <c r="B831" s="22" t="n">
        <v>13</v>
      </c>
      <c r="C831" s="12" t="inlineStr">
        <is>
          <t>TEM</t>
        </is>
      </c>
      <c r="D831" s="12" t="inlineStr">
        <is>
          <t>MEM</t>
        </is>
      </c>
      <c r="E831" s="22" t="n">
        <v>0</v>
      </c>
      <c r="F831" s="22" t="n">
        <v>0</v>
      </c>
      <c r="G831" s="12" t="inlineStr">
        <is>
          <t>TBD</t>
        </is>
      </c>
      <c r="H831" s="12" t="inlineStr"/>
      <c r="I831" s="23" t="n"/>
      <c r="J831" s="29" t="n"/>
      <c r="K831" s="13" t="n"/>
      <c r="L831" s="13" t="n"/>
      <c r="M831" s="12" t="n"/>
    </row>
    <row r="832">
      <c r="A832" s="17" t="inlineStr">
        <is>
          <t>2026-11-27</t>
        </is>
      </c>
      <c r="B832" s="25" t="n">
        <v>13</v>
      </c>
      <c r="C832" s="17" t="inlineStr">
        <is>
          <t>TULN</t>
        </is>
      </c>
      <c r="D832" s="17" t="inlineStr">
        <is>
          <t>USF</t>
        </is>
      </c>
      <c r="E832" s="25" t="n">
        <v>0</v>
      </c>
      <c r="F832" s="25" t="n">
        <v>0</v>
      </c>
      <c r="G832" s="17" t="inlineStr">
        <is>
          <t>TBD</t>
        </is>
      </c>
      <c r="H832" s="17" t="inlineStr"/>
      <c r="I832" s="26" t="n"/>
      <c r="J832" s="30" t="n"/>
      <c r="K832" s="18" t="n"/>
      <c r="L832" s="18" t="n"/>
      <c r="M832" s="17" t="n"/>
    </row>
    <row r="833">
      <c r="A833" s="12" t="inlineStr">
        <is>
          <t>2026-11-27</t>
        </is>
      </c>
      <c r="B833" s="22" t="n">
        <v>13</v>
      </c>
      <c r="C833" s="12" t="inlineStr">
        <is>
          <t>MSST</t>
        </is>
      </c>
      <c r="D833" s="12" t="inlineStr">
        <is>
          <t>MISS</t>
        </is>
      </c>
      <c r="E833" s="22" t="n">
        <v>0</v>
      </c>
      <c r="F833" s="22" t="n">
        <v>0</v>
      </c>
      <c r="G833" s="12" t="inlineStr">
        <is>
          <t>11/27 - 12:00 PM EST</t>
        </is>
      </c>
      <c r="H833" s="12" t="inlineStr"/>
      <c r="I833" s="23" t="n"/>
      <c r="J833" s="29" t="n"/>
      <c r="K833" s="13" t="n"/>
      <c r="L833" s="13" t="n"/>
      <c r="M833" s="12" t="n"/>
    </row>
    <row r="834">
      <c r="A834" s="17" t="inlineStr">
        <is>
          <t>2026-11-27</t>
        </is>
      </c>
      <c r="B834" s="25" t="n">
        <v>13</v>
      </c>
      <c r="C834" s="17" t="inlineStr">
        <is>
          <t>NEB</t>
        </is>
      </c>
      <c r="D834" s="17" t="inlineStr">
        <is>
          <t>IOWA</t>
        </is>
      </c>
      <c r="E834" s="25" t="n">
        <v>0</v>
      </c>
      <c r="F834" s="25" t="n">
        <v>0</v>
      </c>
      <c r="G834" s="17" t="inlineStr">
        <is>
          <t>11/27 - 12:00 PM EST</t>
        </is>
      </c>
      <c r="H834" s="17" t="inlineStr"/>
      <c r="I834" s="26" t="n"/>
      <c r="J834" s="30" t="n"/>
      <c r="K834" s="18" t="n"/>
      <c r="L834" s="18" t="n"/>
      <c r="M834" s="17" t="n"/>
    </row>
    <row r="835">
      <c r="A835" s="12" t="inlineStr">
        <is>
          <t>2026-11-27</t>
        </is>
      </c>
      <c r="B835" s="22" t="n">
        <v>13</v>
      </c>
      <c r="C835" s="12" t="inlineStr">
        <is>
          <t>BUFF</t>
        </is>
      </c>
      <c r="D835" s="12" t="inlineStr">
        <is>
          <t>AKR</t>
        </is>
      </c>
      <c r="E835" s="22" t="n">
        <v>0</v>
      </c>
      <c r="F835" s="22" t="n">
        <v>0</v>
      </c>
      <c r="G835" s="12" t="inlineStr">
        <is>
          <t>11/27 - 12:00 PM EST</t>
        </is>
      </c>
      <c r="H835" s="12" t="inlineStr"/>
      <c r="I835" s="23" t="n"/>
      <c r="J835" s="29" t="n"/>
      <c r="K835" s="13" t="n"/>
      <c r="L835" s="13" t="n"/>
      <c r="M835" s="12" t="n"/>
    </row>
    <row r="836">
      <c r="A836" s="17" t="inlineStr">
        <is>
          <t>2026-11-27</t>
        </is>
      </c>
      <c r="B836" s="25" t="n">
        <v>13</v>
      </c>
      <c r="C836" s="17" t="inlineStr">
        <is>
          <t>TOL</t>
        </is>
      </c>
      <c r="D836" s="17" t="inlineStr">
        <is>
          <t>OHIO</t>
        </is>
      </c>
      <c r="E836" s="25" t="n">
        <v>0</v>
      </c>
      <c r="F836" s="25" t="n">
        <v>0</v>
      </c>
      <c r="G836" s="17" t="inlineStr">
        <is>
          <t>11/27 - 12:00 PM EST</t>
        </is>
      </c>
      <c r="H836" s="17" t="inlineStr"/>
      <c r="I836" s="26" t="n"/>
      <c r="J836" s="30" t="n"/>
      <c r="K836" s="18" t="n"/>
      <c r="L836" s="18" t="n"/>
      <c r="M836" s="17" t="n"/>
    </row>
    <row r="837">
      <c r="A837" s="12" t="inlineStr">
        <is>
          <t>2026-11-27</t>
        </is>
      </c>
      <c r="B837" s="22" t="n">
        <v>13</v>
      </c>
      <c r="C837" s="12" t="inlineStr">
        <is>
          <t>APP</t>
        </is>
      </c>
      <c r="D837" s="12" t="inlineStr">
        <is>
          <t>USA</t>
        </is>
      </c>
      <c r="E837" s="22" t="n">
        <v>0</v>
      </c>
      <c r="F837" s="22" t="n">
        <v>0</v>
      </c>
      <c r="G837" s="12" t="inlineStr">
        <is>
          <t>11/27 - 3:00 PM EST</t>
        </is>
      </c>
      <c r="H837" s="12" t="inlineStr"/>
      <c r="I837" s="23" t="n"/>
      <c r="J837" s="29" t="n"/>
      <c r="K837" s="13" t="n"/>
      <c r="L837" s="13" t="n"/>
      <c r="M837" s="12" t="n"/>
    </row>
    <row r="838">
      <c r="A838" s="17" t="inlineStr">
        <is>
          <t>2026-11-27</t>
        </is>
      </c>
      <c r="B838" s="25" t="n">
        <v>13</v>
      </c>
      <c r="C838" s="17" t="inlineStr">
        <is>
          <t>FLA</t>
        </is>
      </c>
      <c r="D838" s="17" t="inlineStr">
        <is>
          <t>FSU</t>
        </is>
      </c>
      <c r="E838" s="25" t="n">
        <v>0</v>
      </c>
      <c r="F838" s="25" t="n">
        <v>0</v>
      </c>
      <c r="G838" s="17" t="inlineStr">
        <is>
          <t>11/27 - 3:30 PM EST</t>
        </is>
      </c>
      <c r="H838" s="17" t="inlineStr"/>
      <c r="I838" s="26" t="n"/>
      <c r="J838" s="30" t="n"/>
      <c r="K838" s="18" t="n"/>
      <c r="L838" s="18" t="n"/>
      <c r="M838" s="17" t="n"/>
    </row>
    <row r="839">
      <c r="A839" s="12" t="inlineStr">
        <is>
          <t>2026-11-27</t>
        </is>
      </c>
      <c r="B839" s="22" t="n">
        <v>13</v>
      </c>
      <c r="C839" s="12" t="inlineStr">
        <is>
          <t>NDSU</t>
        </is>
      </c>
      <c r="D839" s="12" t="inlineStr">
        <is>
          <t>SJSU</t>
        </is>
      </c>
      <c r="E839" s="22" t="n">
        <v>0</v>
      </c>
      <c r="F839" s="22" t="n">
        <v>0</v>
      </c>
      <c r="G839" s="12" t="inlineStr">
        <is>
          <t>11/27 - 3:30 PM EST</t>
        </is>
      </c>
      <c r="H839" s="12" t="inlineStr"/>
      <c r="I839" s="23" t="n"/>
      <c r="J839" s="29" t="n"/>
      <c r="K839" s="13" t="n"/>
      <c r="L839" s="13" t="n"/>
      <c r="M839" s="12" t="n"/>
    </row>
    <row r="840">
      <c r="A840" s="17" t="inlineStr">
        <is>
          <t>2026-11-28</t>
        </is>
      </c>
      <c r="B840" s="25" t="n">
        <v>13</v>
      </c>
      <c r="C840" s="17" t="inlineStr">
        <is>
          <t>TEX</t>
        </is>
      </c>
      <c r="D840" s="17" t="inlineStr">
        <is>
          <t>TA&amp;M</t>
        </is>
      </c>
      <c r="E840" s="25" t="n">
        <v>0</v>
      </c>
      <c r="F840" s="25" t="n">
        <v>0</v>
      </c>
      <c r="G840" s="17" t="inlineStr">
        <is>
          <t>11/27 - 7:30 PM EST</t>
        </is>
      </c>
      <c r="H840" s="17" t="inlineStr"/>
      <c r="I840" s="26" t="n"/>
      <c r="J840" s="30" t="n"/>
      <c r="K840" s="18" t="n"/>
      <c r="L840" s="18" t="n"/>
      <c r="M840" s="17" t="n"/>
    </row>
    <row r="841">
      <c r="A841" s="12" t="inlineStr">
        <is>
          <t>2026-11-28</t>
        </is>
      </c>
      <c r="B841" s="22" t="n">
        <v>13</v>
      </c>
      <c r="C841" s="12" t="inlineStr">
        <is>
          <t>MINN</t>
        </is>
      </c>
      <c r="D841" s="12" t="inlineStr">
        <is>
          <t>WIS</t>
        </is>
      </c>
      <c r="E841" s="22" t="n">
        <v>0</v>
      </c>
      <c r="F841" s="22" t="n">
        <v>0</v>
      </c>
      <c r="G841" s="12" t="inlineStr">
        <is>
          <t>11/27 - 7:30 PM EST</t>
        </is>
      </c>
      <c r="H841" s="12" t="inlineStr"/>
      <c r="I841" s="23" t="n"/>
      <c r="J841" s="29" t="n"/>
      <c r="K841" s="13" t="n"/>
      <c r="L841" s="13" t="n"/>
      <c r="M841" s="12" t="n"/>
    </row>
    <row r="842">
      <c r="A842" s="17" t="inlineStr">
        <is>
          <t>2026-11-28</t>
        </is>
      </c>
      <c r="B842" s="25" t="n">
        <v>13</v>
      </c>
      <c r="C842" s="17" t="inlineStr">
        <is>
          <t>WVU</t>
        </is>
      </c>
      <c r="D842" s="17" t="inlineStr">
        <is>
          <t>UTAH</t>
        </is>
      </c>
      <c r="E842" s="25" t="n">
        <v>0</v>
      </c>
      <c r="F842" s="25" t="n">
        <v>0</v>
      </c>
      <c r="G842" s="17" t="inlineStr">
        <is>
          <t>11/27 - 9:00 PM EST</t>
        </is>
      </c>
      <c r="H842" s="17" t="inlineStr"/>
      <c r="I842" s="26" t="n"/>
      <c r="J842" s="30" t="n"/>
      <c r="K842" s="18" t="n"/>
      <c r="L842" s="18" t="n"/>
      <c r="M842" s="17" t="n"/>
    </row>
    <row r="843">
      <c r="A843" s="12" t="inlineStr">
        <is>
          <t>2026-11-28</t>
        </is>
      </c>
      <c r="B843" s="22" t="n">
        <v>13</v>
      </c>
      <c r="C843" s="12" t="inlineStr">
        <is>
          <t>AUB</t>
        </is>
      </c>
      <c r="D843" s="12" t="inlineStr">
        <is>
          <t>ALA</t>
        </is>
      </c>
      <c r="E843" s="22" t="n">
        <v>0</v>
      </c>
      <c r="F843" s="22" t="n">
        <v>0</v>
      </c>
      <c r="G843" s="12" t="inlineStr">
        <is>
          <t>TBD</t>
        </is>
      </c>
      <c r="H843" s="12" t="inlineStr"/>
      <c r="I843" s="23" t="n"/>
      <c r="J843" s="29" t="n"/>
      <c r="K843" s="13" t="n"/>
      <c r="L843" s="13" t="n"/>
      <c r="M843" s="12" t="n"/>
    </row>
    <row r="844">
      <c r="A844" s="17" t="inlineStr">
        <is>
          <t>2026-11-28</t>
        </is>
      </c>
      <c r="B844" s="25" t="n">
        <v>13</v>
      </c>
      <c r="C844" s="17" t="inlineStr">
        <is>
          <t>LSU</t>
        </is>
      </c>
      <c r="D844" s="17" t="inlineStr">
        <is>
          <t>ARK</t>
        </is>
      </c>
      <c r="E844" s="25" t="n">
        <v>0</v>
      </c>
      <c r="F844" s="25" t="n">
        <v>0</v>
      </c>
      <c r="G844" s="17" t="inlineStr">
        <is>
          <t>TBD</t>
        </is>
      </c>
      <c r="H844" s="17" t="inlineStr"/>
      <c r="I844" s="26" t="n"/>
      <c r="J844" s="30" t="n"/>
      <c r="K844" s="18" t="n"/>
      <c r="L844" s="18" t="n"/>
      <c r="M844" s="17" t="n"/>
    </row>
    <row r="845">
      <c r="A845" s="12" t="inlineStr">
        <is>
          <t>2026-11-28</t>
        </is>
      </c>
      <c r="B845" s="22" t="n">
        <v>13</v>
      </c>
      <c r="C845" s="12" t="inlineStr">
        <is>
          <t>GT</t>
        </is>
      </c>
      <c r="D845" s="12" t="inlineStr">
        <is>
          <t>UGA</t>
        </is>
      </c>
      <c r="E845" s="22" t="n">
        <v>0</v>
      </c>
      <c r="F845" s="22" t="n">
        <v>0</v>
      </c>
      <c r="G845" s="12" t="inlineStr">
        <is>
          <t>TBD</t>
        </is>
      </c>
      <c r="H845" s="12" t="inlineStr"/>
      <c r="I845" s="23" t="n"/>
      <c r="J845" s="29" t="n"/>
      <c r="K845" s="13" t="n"/>
      <c r="L845" s="13" t="n"/>
      <c r="M845" s="12" t="n"/>
    </row>
    <row r="846">
      <c r="A846" s="17" t="inlineStr">
        <is>
          <t>2026-11-28</t>
        </is>
      </c>
      <c r="B846" s="25" t="n">
        <v>13</v>
      </c>
      <c r="C846" s="17" t="inlineStr">
        <is>
          <t>LOU</t>
        </is>
      </c>
      <c r="D846" s="17" t="inlineStr">
        <is>
          <t>UK</t>
        </is>
      </c>
      <c r="E846" s="25" t="n">
        <v>0</v>
      </c>
      <c r="F846" s="25" t="n">
        <v>0</v>
      </c>
      <c r="G846" s="17" t="inlineStr">
        <is>
          <t>TBD</t>
        </is>
      </c>
      <c r="H846" s="17" t="inlineStr"/>
      <c r="I846" s="26" t="n"/>
      <c r="J846" s="30" t="n"/>
      <c r="K846" s="18" t="n"/>
      <c r="L846" s="18" t="n"/>
      <c r="M846" s="17" t="n"/>
    </row>
    <row r="847">
      <c r="A847" s="12" t="inlineStr">
        <is>
          <t>2026-11-28</t>
        </is>
      </c>
      <c r="B847" s="22" t="n">
        <v>13</v>
      </c>
      <c r="C847" s="12" t="inlineStr">
        <is>
          <t>OU</t>
        </is>
      </c>
      <c r="D847" s="12" t="inlineStr">
        <is>
          <t>MIZ</t>
        </is>
      </c>
      <c r="E847" s="22" t="n">
        <v>0</v>
      </c>
      <c r="F847" s="22" t="n">
        <v>0</v>
      </c>
      <c r="G847" s="12" t="inlineStr">
        <is>
          <t>TBD</t>
        </is>
      </c>
      <c r="H847" s="12" t="inlineStr"/>
      <c r="I847" s="23" t="n"/>
      <c r="J847" s="29" t="n"/>
      <c r="K847" s="13" t="n"/>
      <c r="L847" s="13" t="n"/>
      <c r="M847" s="12" t="n"/>
    </row>
    <row r="848">
      <c r="A848" s="17" t="inlineStr">
        <is>
          <t>2026-11-28</t>
        </is>
      </c>
      <c r="B848" s="25" t="n">
        <v>13</v>
      </c>
      <c r="C848" s="17" t="inlineStr">
        <is>
          <t>SC</t>
        </is>
      </c>
      <c r="D848" s="17" t="inlineStr">
        <is>
          <t>CLEM</t>
        </is>
      </c>
      <c r="E848" s="25" t="n">
        <v>0</v>
      </c>
      <c r="F848" s="25" t="n">
        <v>0</v>
      </c>
      <c r="G848" s="17" t="inlineStr">
        <is>
          <t>TBD</t>
        </is>
      </c>
      <c r="H848" s="17" t="inlineStr"/>
      <c r="I848" s="26" t="n"/>
      <c r="J848" s="30" t="n"/>
      <c r="K848" s="18" t="n"/>
      <c r="L848" s="18" t="n"/>
      <c r="M848" s="17" t="n"/>
    </row>
    <row r="849">
      <c r="A849" s="12" t="inlineStr">
        <is>
          <t>2026-11-28</t>
        </is>
      </c>
      <c r="B849" s="22" t="n">
        <v>13</v>
      </c>
      <c r="C849" s="12" t="inlineStr">
        <is>
          <t>TENN</t>
        </is>
      </c>
      <c r="D849" s="12" t="inlineStr">
        <is>
          <t>VAN</t>
        </is>
      </c>
      <c r="E849" s="22" t="n">
        <v>0</v>
      </c>
      <c r="F849" s="22" t="n">
        <v>0</v>
      </c>
      <c r="G849" s="12" t="inlineStr">
        <is>
          <t>TBD</t>
        </is>
      </c>
      <c r="H849" s="12" t="inlineStr"/>
      <c r="I849" s="23" t="n"/>
      <c r="J849" s="29" t="n"/>
      <c r="K849" s="13" t="n"/>
      <c r="L849" s="13" t="n"/>
      <c r="M849" s="12" t="n"/>
    </row>
    <row r="850">
      <c r="A850" s="17" t="inlineStr">
        <is>
          <t>2026-11-28</t>
        </is>
      </c>
      <c r="B850" s="25" t="n">
        <v>13</v>
      </c>
      <c r="C850" s="17" t="inlineStr">
        <is>
          <t>ASU</t>
        </is>
      </c>
      <c r="D850" s="17" t="inlineStr">
        <is>
          <t>ARIZ</t>
        </is>
      </c>
      <c r="E850" s="25" t="n">
        <v>0</v>
      </c>
      <c r="F850" s="25" t="n">
        <v>0</v>
      </c>
      <c r="G850" s="17" t="inlineStr">
        <is>
          <t>TBD</t>
        </is>
      </c>
      <c r="H850" s="17" t="inlineStr"/>
      <c r="I850" s="26" t="n"/>
      <c r="J850" s="30" t="n"/>
      <c r="K850" s="18" t="n"/>
      <c r="L850" s="18" t="n"/>
      <c r="M850" s="17" t="n"/>
    </row>
    <row r="851">
      <c r="A851" s="12" t="inlineStr">
        <is>
          <t>2026-11-28</t>
        </is>
      </c>
      <c r="B851" s="22" t="n">
        <v>13</v>
      </c>
      <c r="C851" s="12" t="inlineStr">
        <is>
          <t>BAY</t>
        </is>
      </c>
      <c r="D851" s="12" t="inlineStr">
        <is>
          <t>HOU</t>
        </is>
      </c>
      <c r="E851" s="22" t="n">
        <v>0</v>
      </c>
      <c r="F851" s="22" t="n">
        <v>0</v>
      </c>
      <c r="G851" s="12" t="inlineStr">
        <is>
          <t>TBD</t>
        </is>
      </c>
      <c r="H851" s="12" t="inlineStr"/>
      <c r="I851" s="23" t="n"/>
      <c r="J851" s="29" t="n"/>
      <c r="K851" s="13" t="n"/>
      <c r="L851" s="13" t="n"/>
      <c r="M851" s="12" t="n"/>
    </row>
    <row r="852">
      <c r="A852" s="17" t="inlineStr">
        <is>
          <t>2026-11-28</t>
        </is>
      </c>
      <c r="B852" s="25" t="n">
        <v>13</v>
      </c>
      <c r="C852" s="17" t="inlineStr">
        <is>
          <t>UCF</t>
        </is>
      </c>
      <c r="D852" s="17" t="inlineStr">
        <is>
          <t>COLO</t>
        </is>
      </c>
      <c r="E852" s="25" t="n">
        <v>0</v>
      </c>
      <c r="F852" s="25" t="n">
        <v>0</v>
      </c>
      <c r="G852" s="17" t="inlineStr">
        <is>
          <t>TBD</t>
        </is>
      </c>
      <c r="H852" s="17" t="inlineStr"/>
      <c r="I852" s="26" t="n"/>
      <c r="J852" s="30" t="n"/>
      <c r="K852" s="18" t="n"/>
      <c r="L852" s="18" t="n"/>
      <c r="M852" s="17" t="n"/>
    </row>
    <row r="853">
      <c r="A853" s="12" t="inlineStr">
        <is>
          <t>2026-11-28</t>
        </is>
      </c>
      <c r="B853" s="22" t="n">
        <v>13</v>
      </c>
      <c r="C853" s="12" t="inlineStr">
        <is>
          <t>CIN</t>
        </is>
      </c>
      <c r="D853" s="12" t="inlineStr">
        <is>
          <t>BYU</t>
        </is>
      </c>
      <c r="E853" s="22" t="n">
        <v>0</v>
      </c>
      <c r="F853" s="22" t="n">
        <v>0</v>
      </c>
      <c r="G853" s="12" t="inlineStr">
        <is>
          <t>TBD</t>
        </is>
      </c>
      <c r="H853" s="12" t="inlineStr"/>
      <c r="I853" s="23" t="n"/>
      <c r="J853" s="29" t="n"/>
      <c r="K853" s="13" t="n"/>
      <c r="L853" s="13" t="n"/>
      <c r="M853" s="12" t="n"/>
    </row>
    <row r="854">
      <c r="A854" s="17" t="inlineStr">
        <is>
          <t>2026-11-28</t>
        </is>
      </c>
      <c r="B854" s="25" t="n">
        <v>13</v>
      </c>
      <c r="C854" s="17" t="inlineStr">
        <is>
          <t>KU</t>
        </is>
      </c>
      <c r="D854" s="17" t="inlineStr">
        <is>
          <t>OKST</t>
        </is>
      </c>
      <c r="E854" s="25" t="n">
        <v>0</v>
      </c>
      <c r="F854" s="25" t="n">
        <v>0</v>
      </c>
      <c r="G854" s="17" t="inlineStr">
        <is>
          <t>TBD</t>
        </is>
      </c>
      <c r="H854" s="17" t="inlineStr"/>
      <c r="I854" s="26" t="n"/>
      <c r="J854" s="30" t="n"/>
      <c r="K854" s="18" t="n"/>
      <c r="L854" s="18" t="n"/>
      <c r="M854" s="17" t="n"/>
    </row>
    <row r="855">
      <c r="A855" s="12" t="inlineStr">
        <is>
          <t>2026-11-28</t>
        </is>
      </c>
      <c r="B855" s="22" t="n">
        <v>13</v>
      </c>
      <c r="C855" s="12" t="inlineStr">
        <is>
          <t>KSU</t>
        </is>
      </c>
      <c r="D855" s="12" t="inlineStr">
        <is>
          <t>ISU</t>
        </is>
      </c>
      <c r="E855" s="22" t="n">
        <v>0</v>
      </c>
      <c r="F855" s="22" t="n">
        <v>0</v>
      </c>
      <c r="G855" s="12" t="inlineStr">
        <is>
          <t>TBD</t>
        </is>
      </c>
      <c r="H855" s="12" t="inlineStr"/>
      <c r="I855" s="23" t="n"/>
      <c r="J855" s="29" t="n"/>
      <c r="K855" s="13" t="n"/>
      <c r="L855" s="13" t="n"/>
      <c r="M855" s="12" t="n"/>
    </row>
    <row r="856">
      <c r="A856" s="17" t="inlineStr">
        <is>
          <t>2026-11-28</t>
        </is>
      </c>
      <c r="B856" s="25" t="n">
        <v>13</v>
      </c>
      <c r="C856" s="17" t="inlineStr">
        <is>
          <t>BC</t>
        </is>
      </c>
      <c r="D856" s="17" t="inlineStr">
        <is>
          <t>MIA</t>
        </is>
      </c>
      <c r="E856" s="25" t="n">
        <v>0</v>
      </c>
      <c r="F856" s="25" t="n">
        <v>0</v>
      </c>
      <c r="G856" s="17" t="inlineStr">
        <is>
          <t>TBD</t>
        </is>
      </c>
      <c r="H856" s="17" t="inlineStr"/>
      <c r="I856" s="26" t="n"/>
      <c r="J856" s="30" t="n"/>
      <c r="K856" s="18" t="n"/>
      <c r="L856" s="18" t="n"/>
      <c r="M856" s="17" t="n"/>
    </row>
    <row r="857">
      <c r="A857" s="12" t="inlineStr">
        <is>
          <t>2026-11-28</t>
        </is>
      </c>
      <c r="B857" s="22" t="n">
        <v>13</v>
      </c>
      <c r="C857" s="12" t="inlineStr">
        <is>
          <t>DUKE</t>
        </is>
      </c>
      <c r="D857" s="12" t="inlineStr">
        <is>
          <t>WAKE</t>
        </is>
      </c>
      <c r="E857" s="22" t="n">
        <v>0</v>
      </c>
      <c r="F857" s="22" t="n">
        <v>0</v>
      </c>
      <c r="G857" s="12" t="inlineStr">
        <is>
          <t>TBD</t>
        </is>
      </c>
      <c r="H857" s="12" t="inlineStr"/>
      <c r="I857" s="23" t="n"/>
      <c r="J857" s="29" t="n"/>
      <c r="K857" s="13" t="n"/>
      <c r="L857" s="13" t="n"/>
      <c r="M857" s="12" t="n"/>
    </row>
    <row r="858">
      <c r="A858" s="17" t="inlineStr">
        <is>
          <t>2026-11-28</t>
        </is>
      </c>
      <c r="B858" s="25" t="n">
        <v>13</v>
      </c>
      <c r="C858" s="17" t="inlineStr">
        <is>
          <t>NCSU</t>
        </is>
      </c>
      <c r="D858" s="17" t="inlineStr">
        <is>
          <t>UNC</t>
        </is>
      </c>
      <c r="E858" s="25" t="n">
        <v>0</v>
      </c>
      <c r="F858" s="25" t="n">
        <v>0</v>
      </c>
      <c r="G858" s="17" t="inlineStr">
        <is>
          <t>TBD</t>
        </is>
      </c>
      <c r="H858" s="17" t="inlineStr"/>
      <c r="I858" s="26" t="n"/>
      <c r="J858" s="30" t="n"/>
      <c r="K858" s="18" t="n"/>
      <c r="L858" s="18" t="n"/>
      <c r="M858" s="17" t="n"/>
    </row>
    <row r="859">
      <c r="A859" s="12" t="inlineStr">
        <is>
          <t>2026-11-28</t>
        </is>
      </c>
      <c r="B859" s="22" t="n">
        <v>13</v>
      </c>
      <c r="C859" s="12" t="inlineStr">
        <is>
          <t>ND</t>
        </is>
      </c>
      <c r="D859" s="12" t="inlineStr">
        <is>
          <t>SYR</t>
        </is>
      </c>
      <c r="E859" s="22" t="n">
        <v>0</v>
      </c>
      <c r="F859" s="22" t="n">
        <v>0</v>
      </c>
      <c r="G859" s="12" t="inlineStr">
        <is>
          <t>TBD</t>
        </is>
      </c>
      <c r="H859" s="12" t="inlineStr"/>
      <c r="I859" s="23" t="n"/>
      <c r="J859" s="29" t="n"/>
      <c r="K859" s="13" t="n"/>
      <c r="L859" s="13" t="n"/>
      <c r="M859" s="12" t="n"/>
    </row>
    <row r="860">
      <c r="A860" s="17" t="inlineStr">
        <is>
          <t>2026-11-28</t>
        </is>
      </c>
      <c r="B860" s="25" t="n">
        <v>13</v>
      </c>
      <c r="C860" s="17" t="inlineStr">
        <is>
          <t>PITT</t>
        </is>
      </c>
      <c r="D860" s="17" t="inlineStr">
        <is>
          <t>CAL</t>
        </is>
      </c>
      <c r="E860" s="25" t="n">
        <v>0</v>
      </c>
      <c r="F860" s="25" t="n">
        <v>0</v>
      </c>
      <c r="G860" s="17" t="inlineStr">
        <is>
          <t>TBD</t>
        </is>
      </c>
      <c r="H860" s="17" t="inlineStr"/>
      <c r="I860" s="26" t="n"/>
      <c r="J860" s="30" t="n"/>
      <c r="K860" s="18" t="n"/>
      <c r="L860" s="18" t="n"/>
      <c r="M860" s="17" t="n"/>
    </row>
    <row r="861">
      <c r="A861" s="12" t="inlineStr">
        <is>
          <t>2026-11-28</t>
        </is>
      </c>
      <c r="B861" s="22" t="n">
        <v>13</v>
      </c>
      <c r="C861" s="12" t="inlineStr">
        <is>
          <t>SMU</t>
        </is>
      </c>
      <c r="D861" s="12" t="inlineStr">
        <is>
          <t>STAN</t>
        </is>
      </c>
      <c r="E861" s="22" t="n">
        <v>0</v>
      </c>
      <c r="F861" s="22" t="n">
        <v>0</v>
      </c>
      <c r="G861" s="12" t="inlineStr">
        <is>
          <t>TBD</t>
        </is>
      </c>
      <c r="H861" s="12" t="inlineStr"/>
      <c r="I861" s="23" t="n"/>
      <c r="J861" s="29" t="n"/>
      <c r="K861" s="13" t="n"/>
      <c r="L861" s="13" t="n"/>
      <c r="M861" s="12" t="n"/>
    </row>
    <row r="862">
      <c r="A862" s="17" t="inlineStr">
        <is>
          <t>2026-11-28</t>
        </is>
      </c>
      <c r="B862" s="25" t="n">
        <v>13</v>
      </c>
      <c r="C862" s="17" t="inlineStr">
        <is>
          <t>UVA</t>
        </is>
      </c>
      <c r="D862" s="17" t="inlineStr">
        <is>
          <t>VT</t>
        </is>
      </c>
      <c r="E862" s="25" t="n">
        <v>0</v>
      </c>
      <c r="F862" s="25" t="n">
        <v>0</v>
      </c>
      <c r="G862" s="17" t="inlineStr">
        <is>
          <t>TBD</t>
        </is>
      </c>
      <c r="H862" s="17" t="inlineStr"/>
      <c r="I862" s="26" t="n"/>
      <c r="J862" s="30" t="n"/>
      <c r="K862" s="18" t="n"/>
      <c r="L862" s="18" t="n"/>
      <c r="M862" s="17" t="n"/>
    </row>
    <row r="863">
      <c r="A863" s="12" t="inlineStr">
        <is>
          <t>2026-11-28</t>
        </is>
      </c>
      <c r="B863" s="22" t="n">
        <v>13</v>
      </c>
      <c r="C863" s="12" t="inlineStr">
        <is>
          <t>ILL</t>
        </is>
      </c>
      <c r="D863" s="12" t="inlineStr">
        <is>
          <t>NU</t>
        </is>
      </c>
      <c r="E863" s="22" t="n">
        <v>0</v>
      </c>
      <c r="F863" s="22" t="n">
        <v>0</v>
      </c>
      <c r="G863" s="12" t="inlineStr">
        <is>
          <t>TBD</t>
        </is>
      </c>
      <c r="H863" s="12" t="inlineStr"/>
      <c r="I863" s="23" t="n"/>
      <c r="J863" s="29" t="n"/>
      <c r="K863" s="13" t="n"/>
      <c r="L863" s="13" t="n"/>
      <c r="M863" s="12" t="n"/>
    </row>
    <row r="864">
      <c r="A864" s="17" t="inlineStr">
        <is>
          <t>2026-11-28</t>
        </is>
      </c>
      <c r="B864" s="25" t="n">
        <v>13</v>
      </c>
      <c r="C864" s="17" t="inlineStr">
        <is>
          <t>PUR</t>
        </is>
      </c>
      <c r="D864" s="17" t="inlineStr">
        <is>
          <t>IU</t>
        </is>
      </c>
      <c r="E864" s="25" t="n">
        <v>0</v>
      </c>
      <c r="F864" s="25" t="n">
        <v>0</v>
      </c>
      <c r="G864" s="17" t="inlineStr">
        <is>
          <t>TBD</t>
        </is>
      </c>
      <c r="H864" s="17" t="inlineStr"/>
      <c r="I864" s="26" t="n"/>
      <c r="J864" s="30" t="n"/>
      <c r="K864" s="18" t="n"/>
      <c r="L864" s="18" t="n"/>
      <c r="M864" s="17" t="n"/>
    </row>
    <row r="865">
      <c r="A865" s="12" t="inlineStr">
        <is>
          <t>2026-11-28</t>
        </is>
      </c>
      <c r="B865" s="22" t="n">
        <v>13</v>
      </c>
      <c r="C865" s="12" t="inlineStr">
        <is>
          <t>PSU</t>
        </is>
      </c>
      <c r="D865" s="12" t="inlineStr">
        <is>
          <t>MD</t>
        </is>
      </c>
      <c r="E865" s="22" t="n">
        <v>0</v>
      </c>
      <c r="F865" s="22" t="n">
        <v>0</v>
      </c>
      <c r="G865" s="12" t="inlineStr">
        <is>
          <t>TBD</t>
        </is>
      </c>
      <c r="H865" s="12" t="inlineStr"/>
      <c r="I865" s="23" t="n"/>
      <c r="J865" s="29" t="n"/>
      <c r="K865" s="13" t="n"/>
      <c r="L865" s="13" t="n"/>
      <c r="M865" s="12" t="n"/>
    </row>
    <row r="866">
      <c r="A866" s="17" t="inlineStr">
        <is>
          <t>2026-11-28</t>
        </is>
      </c>
      <c r="B866" s="25" t="n">
        <v>13</v>
      </c>
      <c r="C866" s="17" t="inlineStr">
        <is>
          <t>WASH</t>
        </is>
      </c>
      <c r="D866" s="17" t="inlineStr">
        <is>
          <t>ORE</t>
        </is>
      </c>
      <c r="E866" s="25" t="n">
        <v>0</v>
      </c>
      <c r="F866" s="25" t="n">
        <v>0</v>
      </c>
      <c r="G866" s="17" t="inlineStr">
        <is>
          <t>TBD</t>
        </is>
      </c>
      <c r="H866" s="17" t="inlineStr"/>
      <c r="I866" s="26" t="n"/>
      <c r="J866" s="30" t="n"/>
      <c r="K866" s="18" t="n"/>
      <c r="L866" s="18" t="n"/>
      <c r="M866" s="17" t="n"/>
    </row>
    <row r="867">
      <c r="A867" s="12" t="inlineStr">
        <is>
          <t>2026-11-28</t>
        </is>
      </c>
      <c r="B867" s="22" t="n">
        <v>13</v>
      </c>
      <c r="C867" s="12" t="inlineStr">
        <is>
          <t>MSU</t>
        </is>
      </c>
      <c r="D867" s="12" t="inlineStr">
        <is>
          <t>RUTG</t>
        </is>
      </c>
      <c r="E867" s="22" t="n">
        <v>0</v>
      </c>
      <c r="F867" s="22" t="n">
        <v>0</v>
      </c>
      <c r="G867" s="12" t="inlineStr">
        <is>
          <t>TBD</t>
        </is>
      </c>
      <c r="H867" s="12" t="inlineStr"/>
      <c r="I867" s="23" t="n"/>
      <c r="J867" s="29" t="n"/>
      <c r="K867" s="13" t="n"/>
      <c r="L867" s="13" t="n"/>
      <c r="M867" s="12" t="n"/>
    </row>
    <row r="868">
      <c r="A868" s="17" t="inlineStr">
        <is>
          <t>2026-11-28</t>
        </is>
      </c>
      <c r="B868" s="25" t="n">
        <v>13</v>
      </c>
      <c r="C868" s="17" t="inlineStr">
        <is>
          <t>USC</t>
        </is>
      </c>
      <c r="D868" s="17" t="inlineStr">
        <is>
          <t>UCLA</t>
        </is>
      </c>
      <c r="E868" s="25" t="n">
        <v>0</v>
      </c>
      <c r="F868" s="25" t="n">
        <v>0</v>
      </c>
      <c r="G868" s="17" t="inlineStr">
        <is>
          <t>TBD</t>
        </is>
      </c>
      <c r="H868" s="17" t="inlineStr"/>
      <c r="I868" s="26" t="n"/>
      <c r="J868" s="30" t="n"/>
      <c r="K868" s="18" t="n"/>
      <c r="L868" s="18" t="n"/>
      <c r="M868" s="17" t="n"/>
    </row>
    <row r="869">
      <c r="A869" s="12" t="inlineStr">
        <is>
          <t>2026-11-28</t>
        </is>
      </c>
      <c r="B869" s="22" t="n">
        <v>13</v>
      </c>
      <c r="C869" s="12" t="inlineStr">
        <is>
          <t>TBD</t>
        </is>
      </c>
      <c r="D869" s="12" t="inlineStr">
        <is>
          <t>CSU</t>
        </is>
      </c>
      <c r="E869" s="22" t="n">
        <v>0</v>
      </c>
      <c r="F869" s="22" t="n">
        <v>0</v>
      </c>
      <c r="G869" s="12" t="inlineStr">
        <is>
          <t>TBD</t>
        </is>
      </c>
      <c r="H869" s="12" t="inlineStr"/>
      <c r="I869" s="23" t="n"/>
      <c r="J869" s="29" t="n"/>
      <c r="K869" s="13" t="n"/>
      <c r="L869" s="13" t="n"/>
      <c r="M869" s="12" t="n"/>
    </row>
    <row r="870">
      <c r="A870" s="17" t="inlineStr">
        <is>
          <t>2026-11-28</t>
        </is>
      </c>
      <c r="B870" s="25" t="n">
        <v>13</v>
      </c>
      <c r="C870" s="17" t="inlineStr">
        <is>
          <t>TBD</t>
        </is>
      </c>
      <c r="D870" s="17" t="inlineStr">
        <is>
          <t>FRES</t>
        </is>
      </c>
      <c r="E870" s="25" t="n">
        <v>0</v>
      </c>
      <c r="F870" s="25" t="n">
        <v>0</v>
      </c>
      <c r="G870" s="17" t="inlineStr">
        <is>
          <t>TBD</t>
        </is>
      </c>
      <c r="H870" s="17" t="inlineStr"/>
      <c r="I870" s="26" t="n"/>
      <c r="J870" s="30" t="n"/>
      <c r="K870" s="18" t="n"/>
      <c r="L870" s="18" t="n"/>
      <c r="M870" s="17" t="n"/>
    </row>
    <row r="871">
      <c r="A871" s="12" t="inlineStr">
        <is>
          <t>2026-11-28</t>
        </is>
      </c>
      <c r="B871" s="22" t="n">
        <v>13</v>
      </c>
      <c r="C871" s="12" t="inlineStr">
        <is>
          <t>TBD</t>
        </is>
      </c>
      <c r="D871" s="12" t="inlineStr">
        <is>
          <t>USU</t>
        </is>
      </c>
      <c r="E871" s="22" t="n">
        <v>0</v>
      </c>
      <c r="F871" s="22" t="n">
        <v>0</v>
      </c>
      <c r="G871" s="12" t="inlineStr">
        <is>
          <t>TBD</t>
        </is>
      </c>
      <c r="H871" s="12" t="inlineStr"/>
      <c r="I871" s="23" t="n"/>
      <c r="J871" s="29" t="n"/>
      <c r="K871" s="13" t="n"/>
      <c r="L871" s="13" t="n"/>
      <c r="M871" s="12" t="n"/>
    </row>
    <row r="872">
      <c r="A872" s="17" t="inlineStr">
        <is>
          <t>2026-11-28</t>
        </is>
      </c>
      <c r="B872" s="25" t="n">
        <v>13</v>
      </c>
      <c r="C872" s="17" t="inlineStr">
        <is>
          <t>TBD</t>
        </is>
      </c>
      <c r="D872" s="17" t="inlineStr">
        <is>
          <t>WSU</t>
        </is>
      </c>
      <c r="E872" s="25" t="n">
        <v>0</v>
      </c>
      <c r="F872" s="25" t="n">
        <v>0</v>
      </c>
      <c r="G872" s="17" t="inlineStr">
        <is>
          <t>TBD</t>
        </is>
      </c>
      <c r="H872" s="17" t="inlineStr"/>
      <c r="I872" s="26" t="n"/>
      <c r="J872" s="30" t="n"/>
      <c r="K872" s="18" t="n"/>
      <c r="L872" s="18" t="n"/>
      <c r="M872" s="17" t="n"/>
    </row>
    <row r="873">
      <c r="A873" s="12" t="inlineStr">
        <is>
          <t>2026-11-28</t>
        </is>
      </c>
      <c r="B873" s="22" t="n">
        <v>13</v>
      </c>
      <c r="C873" s="12" t="inlineStr">
        <is>
          <t>CONN</t>
        </is>
      </c>
      <c r="D873" s="12" t="inlineStr">
        <is>
          <t>WYO</t>
        </is>
      </c>
      <c r="E873" s="22" t="n">
        <v>0</v>
      </c>
      <c r="F873" s="22" t="n">
        <v>0</v>
      </c>
      <c r="G873" s="12" t="inlineStr">
        <is>
          <t>TBD</t>
        </is>
      </c>
      <c r="H873" s="12" t="inlineStr"/>
      <c r="I873" s="23" t="n"/>
      <c r="J873" s="29" t="n"/>
      <c r="K873" s="13" t="n"/>
      <c r="L873" s="13" t="n"/>
      <c r="M873" s="12" t="n"/>
    </row>
    <row r="874">
      <c r="A874" s="17" t="inlineStr">
        <is>
          <t>2026-11-28</t>
        </is>
      </c>
      <c r="B874" s="25" t="n">
        <v>13</v>
      </c>
      <c r="C874" s="17" t="inlineStr">
        <is>
          <t>TLSA</t>
        </is>
      </c>
      <c r="D874" s="17" t="inlineStr">
        <is>
          <t>UTSA</t>
        </is>
      </c>
      <c r="E874" s="25" t="n">
        <v>0</v>
      </c>
      <c r="F874" s="25" t="n">
        <v>0</v>
      </c>
      <c r="G874" s="17" t="inlineStr">
        <is>
          <t>TBD</t>
        </is>
      </c>
      <c r="H874" s="17" t="inlineStr"/>
      <c r="I874" s="26" t="n"/>
      <c r="J874" s="30" t="n"/>
      <c r="K874" s="18" t="n"/>
      <c r="L874" s="18" t="n"/>
      <c r="M874" s="17" t="n"/>
    </row>
    <row r="875">
      <c r="A875" s="12" t="inlineStr">
        <is>
          <t>2026-11-28</t>
        </is>
      </c>
      <c r="B875" s="22" t="n">
        <v>13</v>
      </c>
      <c r="C875" s="12" t="inlineStr">
        <is>
          <t>ARMY</t>
        </is>
      </c>
      <c r="D875" s="12" t="inlineStr">
        <is>
          <t>RICE</t>
        </is>
      </c>
      <c r="E875" s="22" t="n">
        <v>0</v>
      </c>
      <c r="F875" s="22" t="n">
        <v>0</v>
      </c>
      <c r="G875" s="12" t="inlineStr">
        <is>
          <t>TBD</t>
        </is>
      </c>
      <c r="H875" s="12" t="inlineStr"/>
      <c r="I875" s="23" t="n"/>
      <c r="J875" s="29" t="n"/>
      <c r="K875" s="13" t="n"/>
      <c r="L875" s="13" t="n"/>
      <c r="M875" s="12" t="n"/>
    </row>
    <row r="876">
      <c r="A876" s="17" t="inlineStr">
        <is>
          <t>2026-11-28</t>
        </is>
      </c>
      <c r="B876" s="25" t="n">
        <v>13</v>
      </c>
      <c r="C876" s="17" t="inlineStr">
        <is>
          <t>NAVY</t>
        </is>
      </c>
      <c r="D876" s="17" t="inlineStr">
        <is>
          <t>CLT</t>
        </is>
      </c>
      <c r="E876" s="25" t="n">
        <v>0</v>
      </c>
      <c r="F876" s="25" t="n">
        <v>0</v>
      </c>
      <c r="G876" s="17" t="inlineStr">
        <is>
          <t>TBD</t>
        </is>
      </c>
      <c r="H876" s="17" t="inlineStr"/>
      <c r="I876" s="26" t="n"/>
      <c r="J876" s="30" t="n"/>
      <c r="K876" s="18" t="n"/>
      <c r="L876" s="18" t="n"/>
      <c r="M876" s="17" t="n"/>
    </row>
    <row r="877">
      <c r="A877" s="12" t="inlineStr">
        <is>
          <t>2026-11-28</t>
        </is>
      </c>
      <c r="B877" s="22" t="n">
        <v>13</v>
      </c>
      <c r="C877" s="12" t="inlineStr">
        <is>
          <t>UAB</t>
        </is>
      </c>
      <c r="D877" s="12" t="inlineStr">
        <is>
          <t>UNT</t>
        </is>
      </c>
      <c r="E877" s="22" t="n">
        <v>0</v>
      </c>
      <c r="F877" s="22" t="n">
        <v>0</v>
      </c>
      <c r="G877" s="12" t="inlineStr">
        <is>
          <t>TBD</t>
        </is>
      </c>
      <c r="H877" s="12" t="inlineStr"/>
      <c r="I877" s="23" t="n"/>
      <c r="J877" s="29" t="n"/>
      <c r="K877" s="13" t="n"/>
      <c r="L877" s="13" t="n"/>
      <c r="M877" s="12" t="n"/>
    </row>
    <row r="878">
      <c r="A878" s="17" t="inlineStr">
        <is>
          <t>2026-11-28</t>
        </is>
      </c>
      <c r="B878" s="25" t="n">
        <v>13</v>
      </c>
      <c r="C878" s="17" t="inlineStr">
        <is>
          <t>UTEP</t>
        </is>
      </c>
      <c r="D878" s="17" t="inlineStr">
        <is>
          <t>NIU</t>
        </is>
      </c>
      <c r="E878" s="25" t="n">
        <v>0</v>
      </c>
      <c r="F878" s="25" t="n">
        <v>0</v>
      </c>
      <c r="G878" s="17" t="inlineStr">
        <is>
          <t>TBD</t>
        </is>
      </c>
      <c r="H878" s="17" t="inlineStr"/>
      <c r="I878" s="26" t="n"/>
      <c r="J878" s="30" t="n"/>
      <c r="K878" s="18" t="n"/>
      <c r="L878" s="18" t="n"/>
      <c r="M878" s="17" t="n"/>
    </row>
    <row r="879">
      <c r="A879" s="12" t="inlineStr">
        <is>
          <t>2026-11-28</t>
        </is>
      </c>
      <c r="B879" s="22" t="n">
        <v>13</v>
      </c>
      <c r="C879" s="12" t="inlineStr">
        <is>
          <t>CCU</t>
        </is>
      </c>
      <c r="D879" s="12" t="inlineStr">
        <is>
          <t>JMU</t>
        </is>
      </c>
      <c r="E879" s="22" t="n">
        <v>0</v>
      </c>
      <c r="F879" s="22" t="n">
        <v>0</v>
      </c>
      <c r="G879" s="12" t="inlineStr">
        <is>
          <t>TBD</t>
        </is>
      </c>
      <c r="H879" s="12" t="inlineStr"/>
      <c r="I879" s="23" t="n"/>
      <c r="J879" s="29" t="n"/>
      <c r="K879" s="13" t="n"/>
      <c r="L879" s="13" t="n"/>
      <c r="M879" s="12" t="n"/>
    </row>
    <row r="880">
      <c r="A880" s="17" t="inlineStr">
        <is>
          <t>2026-11-28</t>
        </is>
      </c>
      <c r="B880" s="25" t="n">
        <v>13</v>
      </c>
      <c r="C880" s="17" t="inlineStr">
        <is>
          <t>LT</t>
        </is>
      </c>
      <c r="D880" s="17" t="inlineStr">
        <is>
          <t>GASO</t>
        </is>
      </c>
      <c r="E880" s="25" t="n">
        <v>0</v>
      </c>
      <c r="F880" s="25" t="n">
        <v>0</v>
      </c>
      <c r="G880" s="17" t="inlineStr">
        <is>
          <t>TBD</t>
        </is>
      </c>
      <c r="H880" s="17" t="inlineStr"/>
      <c r="I880" s="26" t="n"/>
      <c r="J880" s="30" t="n"/>
      <c r="K880" s="18" t="n"/>
      <c r="L880" s="18" t="n"/>
      <c r="M880" s="17" t="n"/>
    </row>
    <row r="881">
      <c r="A881" s="12" t="inlineStr">
        <is>
          <t>2026-11-28</t>
        </is>
      </c>
      <c r="B881" s="22" t="n">
        <v>13</v>
      </c>
      <c r="C881" s="12" t="inlineStr">
        <is>
          <t>UL</t>
        </is>
      </c>
      <c r="D881" s="12" t="inlineStr">
        <is>
          <t>GAST</t>
        </is>
      </c>
      <c r="E881" s="22" t="n">
        <v>0</v>
      </c>
      <c r="F881" s="22" t="n">
        <v>0</v>
      </c>
      <c r="G881" s="12" t="inlineStr">
        <is>
          <t>TBD</t>
        </is>
      </c>
      <c r="H881" s="12" t="inlineStr"/>
      <c r="I881" s="23" t="n"/>
      <c r="J881" s="29" t="n"/>
      <c r="K881" s="13" t="n"/>
      <c r="L881" s="13" t="n"/>
      <c r="M881" s="12" t="n"/>
    </row>
    <row r="882">
      <c r="A882" s="17" t="inlineStr">
        <is>
          <t>2026-11-28</t>
        </is>
      </c>
      <c r="B882" s="25" t="n">
        <v>13</v>
      </c>
      <c r="C882" s="17" t="inlineStr">
        <is>
          <t>MRSH</t>
        </is>
      </c>
      <c r="D882" s="17" t="inlineStr">
        <is>
          <t>ULM</t>
        </is>
      </c>
      <c r="E882" s="25" t="n">
        <v>0</v>
      </c>
      <c r="F882" s="25" t="n">
        <v>0</v>
      </c>
      <c r="G882" s="17" t="inlineStr">
        <is>
          <t>TBD</t>
        </is>
      </c>
      <c r="H882" s="17" t="inlineStr"/>
      <c r="I882" s="26" t="n"/>
      <c r="J882" s="30" t="n"/>
      <c r="K882" s="18" t="n"/>
      <c r="L882" s="18" t="n"/>
      <c r="M882" s="17" t="n"/>
    </row>
    <row r="883">
      <c r="A883" s="12" t="inlineStr">
        <is>
          <t>2026-11-28</t>
        </is>
      </c>
      <c r="B883" s="22" t="n">
        <v>13</v>
      </c>
      <c r="C883" s="12" t="inlineStr">
        <is>
          <t>USM</t>
        </is>
      </c>
      <c r="D883" s="12" t="inlineStr">
        <is>
          <t>ODU</t>
        </is>
      </c>
      <c r="E883" s="22" t="n">
        <v>0</v>
      </c>
      <c r="F883" s="22" t="n">
        <v>0</v>
      </c>
      <c r="G883" s="12" t="inlineStr">
        <is>
          <t>TBD</t>
        </is>
      </c>
      <c r="H883" s="12" t="inlineStr"/>
      <c r="I883" s="23" t="n"/>
      <c r="J883" s="29" t="n"/>
      <c r="K883" s="13" t="n"/>
      <c r="L883" s="13" t="n"/>
      <c r="M883" s="12" t="n"/>
    </row>
    <row r="884">
      <c r="A884" s="17" t="inlineStr">
        <is>
          <t>2026-11-28</t>
        </is>
      </c>
      <c r="B884" s="25" t="n">
        <v>13</v>
      </c>
      <c r="C884" s="17" t="inlineStr">
        <is>
          <t>MICH</t>
        </is>
      </c>
      <c r="D884" s="17" t="inlineStr">
        <is>
          <t>OSU</t>
        </is>
      </c>
      <c r="E884" s="25" t="n">
        <v>0</v>
      </c>
      <c r="F884" s="25" t="n">
        <v>0</v>
      </c>
      <c r="G884" s="17" t="inlineStr">
        <is>
          <t>11/28 - 12:00 PM EST</t>
        </is>
      </c>
      <c r="H884" s="17" t="inlineStr"/>
      <c r="I884" s="26" t="n"/>
      <c r="J884" s="30" t="n"/>
      <c r="K884" s="18" t="n"/>
      <c r="L884" s="18" t="n"/>
      <c r="M884" s="17" t="n"/>
    </row>
    <row r="885">
      <c r="A885" s="12" t="inlineStr">
        <is>
          <t>2026-11-28</t>
        </is>
      </c>
      <c r="B885" s="22" t="n">
        <v>13</v>
      </c>
      <c r="C885" s="12" t="inlineStr">
        <is>
          <t>CMU</t>
        </is>
      </c>
      <c r="D885" s="12" t="inlineStr">
        <is>
          <t>BALL</t>
        </is>
      </c>
      <c r="E885" s="22" t="n">
        <v>0</v>
      </c>
      <c r="F885" s="22" t="n">
        <v>0</v>
      </c>
      <c r="G885" s="12" t="inlineStr">
        <is>
          <t>11/28 - 12:00 PM EST</t>
        </is>
      </c>
      <c r="H885" s="12" t="inlineStr"/>
      <c r="I885" s="23" t="n"/>
      <c r="J885" s="29" t="n"/>
      <c r="K885" s="13" t="n"/>
      <c r="L885" s="13" t="n"/>
      <c r="M885" s="12" t="n"/>
    </row>
    <row r="886">
      <c r="A886" s="17" t="inlineStr">
        <is>
          <t>2026-11-28</t>
        </is>
      </c>
      <c r="B886" s="25" t="n">
        <v>13</v>
      </c>
      <c r="C886" s="17" t="inlineStr">
        <is>
          <t>MASS</t>
        </is>
      </c>
      <c r="D886" s="17" t="inlineStr">
        <is>
          <t>BGSU</t>
        </is>
      </c>
      <c r="E886" s="25" t="n">
        <v>0</v>
      </c>
      <c r="F886" s="25" t="n">
        <v>0</v>
      </c>
      <c r="G886" s="17" t="inlineStr">
        <is>
          <t>11/28 - 12:00 PM EST</t>
        </is>
      </c>
      <c r="H886" s="17" t="inlineStr"/>
      <c r="I886" s="26" t="n"/>
      <c r="J886" s="30" t="n"/>
      <c r="K886" s="18" t="n"/>
      <c r="L886" s="18" t="n"/>
      <c r="M886" s="17" t="n"/>
    </row>
    <row r="887">
      <c r="A887" s="12" t="inlineStr">
        <is>
          <t>2026-11-28</t>
        </is>
      </c>
      <c r="B887" s="22" t="n">
        <v>13</v>
      </c>
      <c r="C887" s="12" t="inlineStr">
        <is>
          <t>KENN</t>
        </is>
      </c>
      <c r="D887" s="12" t="inlineStr">
        <is>
          <t>WKU</t>
        </is>
      </c>
      <c r="E887" s="22" t="n">
        <v>0</v>
      </c>
      <c r="F887" s="22" t="n">
        <v>0</v>
      </c>
      <c r="G887" s="12" t="inlineStr">
        <is>
          <t>11/28 - 1:00 PM EST</t>
        </is>
      </c>
      <c r="H887" s="12" t="inlineStr"/>
      <c r="I887" s="23" t="n"/>
      <c r="J887" s="29" t="n"/>
      <c r="K887" s="13" t="n"/>
      <c r="L887" s="13" t="n"/>
      <c r="M887" s="12" t="n"/>
    </row>
    <row r="888">
      <c r="A888" s="17" t="inlineStr">
        <is>
          <t>2026-11-28</t>
        </is>
      </c>
      <c r="B888" s="25" t="n">
        <v>13</v>
      </c>
      <c r="C888" s="17" t="inlineStr">
        <is>
          <t>LIB</t>
        </is>
      </c>
      <c r="D888" s="17" t="inlineStr">
        <is>
          <t>MOST</t>
        </is>
      </c>
      <c r="E888" s="25" t="n">
        <v>0</v>
      </c>
      <c r="F888" s="25" t="n">
        <v>0</v>
      </c>
      <c r="G888" s="17" t="inlineStr">
        <is>
          <t>11/28 - 2:00 PM EST</t>
        </is>
      </c>
      <c r="H888" s="17" t="inlineStr"/>
      <c r="I888" s="26" t="n"/>
      <c r="J888" s="30" t="n"/>
      <c r="K888" s="18" t="n"/>
      <c r="L888" s="18" t="n"/>
      <c r="M888" s="17" t="n"/>
    </row>
    <row r="889">
      <c r="A889" s="12" t="inlineStr">
        <is>
          <t>2026-11-28</t>
        </is>
      </c>
      <c r="B889" s="22" t="n">
        <v>13</v>
      </c>
      <c r="C889" s="12" t="inlineStr">
        <is>
          <t>SHSU</t>
        </is>
      </c>
      <c r="D889" s="12" t="inlineStr">
        <is>
          <t>FIU</t>
        </is>
      </c>
      <c r="E889" s="22" t="n">
        <v>0</v>
      </c>
      <c r="F889" s="22" t="n">
        <v>0</v>
      </c>
      <c r="G889" s="12" t="inlineStr">
        <is>
          <t>11/28 - 2:00 PM EST</t>
        </is>
      </c>
      <c r="H889" s="12" t="inlineStr"/>
      <c r="I889" s="23" t="n"/>
      <c r="J889" s="29" t="n"/>
      <c r="K889" s="13" t="n"/>
      <c r="L889" s="13" t="n"/>
      <c r="M889" s="12" t="n"/>
    </row>
    <row r="890">
      <c r="A890" s="17" t="inlineStr">
        <is>
          <t>2026-11-28</t>
        </is>
      </c>
      <c r="B890" s="25" t="n">
        <v>13</v>
      </c>
      <c r="C890" s="17" t="inlineStr">
        <is>
          <t>NMSU</t>
        </is>
      </c>
      <c r="D890" s="17" t="inlineStr">
        <is>
          <t>MTSU</t>
        </is>
      </c>
      <c r="E890" s="25" t="n">
        <v>0</v>
      </c>
      <c r="F890" s="25" t="n">
        <v>0</v>
      </c>
      <c r="G890" s="17" t="inlineStr">
        <is>
          <t>11/28 - 2:00 PM EST</t>
        </is>
      </c>
      <c r="H890" s="17" t="inlineStr"/>
      <c r="I890" s="26" t="n"/>
      <c r="J890" s="30" t="n"/>
      <c r="K890" s="18" t="n"/>
      <c r="L890" s="18" t="n"/>
      <c r="M890" s="17" t="n"/>
    </row>
    <row r="891">
      <c r="A891" s="12" t="inlineStr">
        <is>
          <t>2026-11-28</t>
        </is>
      </c>
      <c r="B891" s="22" t="n">
        <v>13</v>
      </c>
      <c r="C891" s="12" t="inlineStr">
        <is>
          <t>TROY</t>
        </is>
      </c>
      <c r="D891" s="12" t="inlineStr">
        <is>
          <t>ARST</t>
        </is>
      </c>
      <c r="E891" s="22" t="n">
        <v>0</v>
      </c>
      <c r="F891" s="22" t="n">
        <v>0</v>
      </c>
      <c r="G891" s="12" t="inlineStr">
        <is>
          <t>11/28 - 3:00 PM EST</t>
        </is>
      </c>
      <c r="H891" s="12" t="inlineStr"/>
      <c r="I891" s="23" t="n"/>
      <c r="J891" s="29" t="n"/>
      <c r="K891" s="13" t="n"/>
      <c r="L891" s="13" t="n"/>
      <c r="M891" s="12" t="n"/>
    </row>
    <row r="892">
      <c r="A892" s="17" t="inlineStr">
        <is>
          <t>2026-11-28</t>
        </is>
      </c>
      <c r="B892" s="25" t="n">
        <v>13</v>
      </c>
      <c r="C892" s="17" t="inlineStr">
        <is>
          <t>JVST</t>
        </is>
      </c>
      <c r="D892" s="17" t="inlineStr">
        <is>
          <t>DEL</t>
        </is>
      </c>
      <c r="E892" s="25" t="n">
        <v>0</v>
      </c>
      <c r="F892" s="25" t="n">
        <v>0</v>
      </c>
      <c r="G892" s="17" t="inlineStr">
        <is>
          <t>11/28 - 3:30 PM EST</t>
        </is>
      </c>
      <c r="H892" s="17" t="inlineStr"/>
      <c r="I892" s="26" t="n"/>
      <c r="J892" s="30" t="n"/>
      <c r="K892" s="18" t="n"/>
      <c r="L892" s="18" t="n"/>
      <c r="M892" s="17" t="n"/>
    </row>
    <row r="893">
      <c r="A893" s="12" t="inlineStr">
        <is>
          <t>2026-11-28</t>
        </is>
      </c>
      <c r="B893" s="22" t="n">
        <v>13</v>
      </c>
      <c r="C893" s="12" t="inlineStr">
        <is>
          <t>AFA</t>
        </is>
      </c>
      <c r="D893" s="12" t="inlineStr">
        <is>
          <t>UNM</t>
        </is>
      </c>
      <c r="E893" s="22" t="n">
        <v>0</v>
      </c>
      <c r="F893" s="22" t="n">
        <v>0</v>
      </c>
      <c r="G893" s="12" t="inlineStr">
        <is>
          <t>11/28 - 4:30 PM EST</t>
        </is>
      </c>
      <c r="H893" s="12" t="inlineStr"/>
      <c r="I893" s="23" t="n"/>
      <c r="J893" s="29" t="n"/>
      <c r="K893" s="13" t="n"/>
      <c r="L893" s="13" t="n"/>
      <c r="M893" s="12" t="n"/>
    </row>
    <row r="894">
      <c r="A894" s="17" t="inlineStr">
        <is>
          <t>2026-11-29</t>
        </is>
      </c>
      <c r="B894" s="25" t="n">
        <v>13</v>
      </c>
      <c r="C894" s="17" t="inlineStr">
        <is>
          <t>NEV</t>
        </is>
      </c>
      <c r="D894" s="17" t="inlineStr">
        <is>
          <t>UNLV</t>
        </is>
      </c>
      <c r="E894" s="25" t="n">
        <v>0</v>
      </c>
      <c r="F894" s="25" t="n">
        <v>0</v>
      </c>
      <c r="G894" s="17" t="inlineStr">
        <is>
          <t>11/28 - 9:00 PM EST</t>
        </is>
      </c>
      <c r="H894" s="17" t="inlineStr"/>
      <c r="I894" s="26" t="n"/>
      <c r="J894" s="30" t="n"/>
      <c r="K894" s="18" t="n"/>
      <c r="L894" s="18" t="n"/>
      <c r="M894" s="17" t="n"/>
    </row>
    <row r="895">
      <c r="A895" s="12" t="inlineStr">
        <is>
          <t>2026-11-29</t>
        </is>
      </c>
      <c r="B895" s="22" t="n">
        <v>13</v>
      </c>
      <c r="C895" s="12" t="inlineStr">
        <is>
          <t>SAC</t>
        </is>
      </c>
      <c r="D895" s="12" t="inlineStr">
        <is>
          <t>HAW</t>
        </is>
      </c>
      <c r="E895" s="22" t="n">
        <v>0</v>
      </c>
      <c r="F895" s="22" t="n">
        <v>0</v>
      </c>
      <c r="G895" s="12" t="inlineStr">
        <is>
          <t>11/28 - 11:00 PM EST</t>
        </is>
      </c>
      <c r="H895" s="12" t="inlineStr"/>
      <c r="I895" s="23" t="n"/>
      <c r="J895" s="29" t="n"/>
      <c r="K895" s="13" t="n"/>
      <c r="L895" s="13" t="n"/>
      <c r="M895" s="12" t="n"/>
    </row>
    <row r="896">
      <c r="A896" s="17" t="inlineStr">
        <is>
          <t>2026-12-04</t>
        </is>
      </c>
      <c r="B896" s="25" t="n">
        <v>14</v>
      </c>
      <c r="C896" s="17" t="inlineStr">
        <is>
          <t>TBD</t>
        </is>
      </c>
      <c r="D896" s="17" t="inlineStr">
        <is>
          <t>TBD</t>
        </is>
      </c>
      <c r="E896" s="25" t="n">
        <v>0</v>
      </c>
      <c r="F896" s="25" t="n">
        <v>0</v>
      </c>
      <c r="G896" s="17" t="inlineStr">
        <is>
          <t>TBD</t>
        </is>
      </c>
      <c r="H896" s="17" t="inlineStr"/>
      <c r="I896" s="26" t="n"/>
      <c r="J896" s="30" t="n"/>
      <c r="K896" s="18" t="n"/>
      <c r="L896" s="18" t="n"/>
      <c r="M896" s="17" t="n"/>
    </row>
    <row r="897">
      <c r="A897" s="12" t="inlineStr">
        <is>
          <t>2026-12-05</t>
        </is>
      </c>
      <c r="B897" s="22" t="n">
        <v>14</v>
      </c>
      <c r="C897" s="12" t="inlineStr">
        <is>
          <t>TBD</t>
        </is>
      </c>
      <c r="D897" s="12" t="inlineStr">
        <is>
          <t>TBD</t>
        </is>
      </c>
      <c r="E897" s="22" t="n">
        <v>0</v>
      </c>
      <c r="F897" s="22" t="n">
        <v>0</v>
      </c>
      <c r="G897" s="12" t="inlineStr">
        <is>
          <t>12/4 - 7:00 PM EST</t>
        </is>
      </c>
      <c r="H897" s="12" t="inlineStr"/>
      <c r="I897" s="23" t="n"/>
      <c r="J897" s="29" t="n"/>
      <c r="K897" s="13" t="n"/>
      <c r="L897" s="13" t="n"/>
      <c r="M897" s="12" t="n"/>
    </row>
    <row r="898">
      <c r="A898" s="17" t="inlineStr">
        <is>
          <t>2026-12-05</t>
        </is>
      </c>
      <c r="B898" s="25" t="n">
        <v>14</v>
      </c>
      <c r="C898" s="17" t="inlineStr">
        <is>
          <t>TBD</t>
        </is>
      </c>
      <c r="D898" s="17" t="inlineStr">
        <is>
          <t>TBD</t>
        </is>
      </c>
      <c r="E898" s="25" t="n">
        <v>0</v>
      </c>
      <c r="F898" s="25" t="n">
        <v>0</v>
      </c>
      <c r="G898" s="17" t="inlineStr">
        <is>
          <t>12/4 - 8:00 PM EST</t>
        </is>
      </c>
      <c r="H898" s="17" t="inlineStr">
        <is>
          <t>Y</t>
        </is>
      </c>
      <c r="I898" s="26" t="n"/>
      <c r="J898" s="30" t="n"/>
      <c r="K898" s="18" t="n"/>
      <c r="L898" s="18" t="n"/>
      <c r="M898" s="17" t="n"/>
    </row>
    <row r="899">
      <c r="A899" s="12" t="inlineStr">
        <is>
          <t>2026-12-05</t>
        </is>
      </c>
      <c r="B899" s="22" t="n">
        <v>14</v>
      </c>
      <c r="C899" s="12" t="inlineStr">
        <is>
          <t>TBD</t>
        </is>
      </c>
      <c r="D899" s="12" t="inlineStr">
        <is>
          <t>TBD</t>
        </is>
      </c>
      <c r="E899" s="22" t="n">
        <v>0</v>
      </c>
      <c r="F899" s="22" t="n">
        <v>0</v>
      </c>
      <c r="G899" s="12" t="inlineStr">
        <is>
          <t>12/4 - 8:00 PM EST</t>
        </is>
      </c>
      <c r="H899" s="12" t="inlineStr"/>
      <c r="I899" s="23" t="n"/>
      <c r="J899" s="29" t="n"/>
      <c r="K899" s="13" t="n"/>
      <c r="L899" s="13" t="n"/>
      <c r="M899" s="12" t="n"/>
    </row>
    <row r="900">
      <c r="A900" s="17" t="inlineStr">
        <is>
          <t>2026-12-05</t>
        </is>
      </c>
      <c r="B900" s="25" t="n">
        <v>14</v>
      </c>
      <c r="C900" s="17" t="inlineStr">
        <is>
          <t>TBD</t>
        </is>
      </c>
      <c r="D900" s="17" t="inlineStr">
        <is>
          <t>TBD</t>
        </is>
      </c>
      <c r="E900" s="25" t="n">
        <v>0</v>
      </c>
      <c r="F900" s="25" t="n">
        <v>0</v>
      </c>
      <c r="G900" s="17" t="inlineStr">
        <is>
          <t>12/4 - 9:00 PM EST</t>
        </is>
      </c>
      <c r="H900" s="17" t="inlineStr"/>
      <c r="I900" s="26" t="n"/>
      <c r="J900" s="30" t="n"/>
      <c r="K900" s="18" t="n"/>
      <c r="L900" s="18" t="n"/>
      <c r="M900" s="17" t="n"/>
    </row>
    <row r="901">
      <c r="A901" s="12" t="inlineStr">
        <is>
          <t>2026-12-05</t>
        </is>
      </c>
      <c r="B901" s="22" t="n">
        <v>14</v>
      </c>
      <c r="C901" s="12" t="inlineStr">
        <is>
          <t>TBD</t>
        </is>
      </c>
      <c r="D901" s="12" t="inlineStr">
        <is>
          <t>TBD</t>
        </is>
      </c>
      <c r="E901" s="22" t="n">
        <v>0</v>
      </c>
      <c r="F901" s="22" t="n">
        <v>0</v>
      </c>
      <c r="G901" s="12" t="inlineStr">
        <is>
          <t>12/5 - 12:00 PM EST</t>
        </is>
      </c>
      <c r="H901" s="12" t="inlineStr">
        <is>
          <t>Y</t>
        </is>
      </c>
      <c r="I901" s="23" t="n"/>
      <c r="J901" s="29" t="n"/>
      <c r="K901" s="13" t="n"/>
      <c r="L901" s="13" t="n"/>
      <c r="M901" s="12" t="n"/>
    </row>
    <row r="902">
      <c r="A902" s="17" t="inlineStr">
        <is>
          <t>2026-12-05</t>
        </is>
      </c>
      <c r="B902" s="25" t="n">
        <v>14</v>
      </c>
      <c r="C902" s="17" t="inlineStr">
        <is>
          <t>TBD</t>
        </is>
      </c>
      <c r="D902" s="17" t="inlineStr">
        <is>
          <t>TBD</t>
        </is>
      </c>
      <c r="E902" s="25" t="n">
        <v>0</v>
      </c>
      <c r="F902" s="25" t="n">
        <v>0</v>
      </c>
      <c r="G902" s="17" t="inlineStr">
        <is>
          <t>12/5 - 12:00 PM EST</t>
        </is>
      </c>
      <c r="H902" s="17" t="inlineStr">
        <is>
          <t>Y</t>
        </is>
      </c>
      <c r="I902" s="26" t="n"/>
      <c r="J902" s="30" t="n"/>
      <c r="K902" s="18" t="n"/>
      <c r="L902" s="18" t="n"/>
      <c r="M902" s="17" t="n"/>
    </row>
    <row r="903">
      <c r="A903" s="12" t="inlineStr">
        <is>
          <t>2026-12-05</t>
        </is>
      </c>
      <c r="B903" s="22" t="n">
        <v>14</v>
      </c>
      <c r="C903" s="12" t="inlineStr">
        <is>
          <t>TBD</t>
        </is>
      </c>
      <c r="D903" s="12" t="inlineStr">
        <is>
          <t>TBD</t>
        </is>
      </c>
      <c r="E903" s="22" t="n">
        <v>0</v>
      </c>
      <c r="F903" s="22" t="n">
        <v>0</v>
      </c>
      <c r="G903" s="12" t="inlineStr">
        <is>
          <t>12/5 - 4:00 PM EST</t>
        </is>
      </c>
      <c r="H903" s="12" t="inlineStr">
        <is>
          <t>Y</t>
        </is>
      </c>
      <c r="I903" s="23" t="n"/>
      <c r="J903" s="29" t="n"/>
      <c r="K903" s="13" t="n"/>
      <c r="L903" s="13" t="n"/>
      <c r="M903" s="12" t="n"/>
    </row>
    <row r="904">
      <c r="A904" s="17" t="inlineStr">
        <is>
          <t>2026-12-06</t>
        </is>
      </c>
      <c r="B904" s="25" t="n">
        <v>14</v>
      </c>
      <c r="C904" s="17" t="inlineStr">
        <is>
          <t>TBD</t>
        </is>
      </c>
      <c r="D904" s="17" t="inlineStr">
        <is>
          <t>TBD</t>
        </is>
      </c>
      <c r="E904" s="25" t="n">
        <v>0</v>
      </c>
      <c r="F904" s="25" t="n">
        <v>0</v>
      </c>
      <c r="G904" s="17" t="inlineStr">
        <is>
          <t>12/5 - 8:00 PM EST</t>
        </is>
      </c>
      <c r="H904" s="17" t="inlineStr"/>
      <c r="I904" s="26" t="n"/>
      <c r="J904" s="30" t="n"/>
      <c r="K904" s="18" t="n"/>
      <c r="L904" s="18" t="n"/>
      <c r="M904" s="17" t="n"/>
    </row>
    <row r="905">
      <c r="A905" s="12" t="inlineStr">
        <is>
          <t>2026-12-06</t>
        </is>
      </c>
      <c r="B905" s="22" t="n">
        <v>14</v>
      </c>
      <c r="C905" s="12" t="inlineStr">
        <is>
          <t>TBD</t>
        </is>
      </c>
      <c r="D905" s="12" t="inlineStr">
        <is>
          <t>TBD</t>
        </is>
      </c>
      <c r="E905" s="22" t="n">
        <v>0</v>
      </c>
      <c r="F905" s="22" t="n">
        <v>0</v>
      </c>
      <c r="G905" s="12" t="inlineStr">
        <is>
          <t>12/5 - 8:00 PM EST</t>
        </is>
      </c>
      <c r="H905" s="12" t="inlineStr">
        <is>
          <t>Y</t>
        </is>
      </c>
      <c r="I905" s="23" t="n"/>
      <c r="J905" s="29" t="n"/>
      <c r="K905" s="13" t="n"/>
      <c r="L905" s="13" t="n"/>
      <c r="M905" s="12" t="n"/>
    </row>
    <row r="906">
      <c r="A906" s="17" t="inlineStr">
        <is>
          <t>2026-12-12</t>
        </is>
      </c>
      <c r="B906" s="25" t="n">
        <v>1</v>
      </c>
      <c r="C906" s="17" t="inlineStr">
        <is>
          <t>TBD</t>
        </is>
      </c>
      <c r="D906" s="17" t="inlineStr">
        <is>
          <t>TBD</t>
        </is>
      </c>
      <c r="E906" s="25" t="n">
        <v>0</v>
      </c>
      <c r="F906" s="25" t="n">
        <v>0</v>
      </c>
      <c r="G906" s="17" t="inlineStr">
        <is>
          <t>12/12 - 12:00 PM EST</t>
        </is>
      </c>
      <c r="H906" s="17" t="inlineStr">
        <is>
          <t>Y</t>
        </is>
      </c>
      <c r="I906" s="26" t="n"/>
      <c r="J906" s="30" t="n"/>
      <c r="K906" s="18" t="n"/>
      <c r="L906" s="18" t="n"/>
      <c r="M906" s="17" t="n"/>
    </row>
    <row r="907">
      <c r="A907" s="12" t="inlineStr">
        <is>
          <t>2026-12-12</t>
        </is>
      </c>
      <c r="B907" s="22" t="n">
        <v>15</v>
      </c>
      <c r="C907" s="12" t="inlineStr">
        <is>
          <t>NAVY</t>
        </is>
      </c>
      <c r="D907" s="12" t="inlineStr">
        <is>
          <t>ARMY</t>
        </is>
      </c>
      <c r="E907" s="22" t="n">
        <v>0</v>
      </c>
      <c r="F907" s="22" t="n">
        <v>0</v>
      </c>
      <c r="G907" s="12" t="inlineStr">
        <is>
          <t>12/12 - 3:00 PM EST</t>
        </is>
      </c>
      <c r="H907" s="12" t="inlineStr">
        <is>
          <t>Y</t>
        </is>
      </c>
      <c r="I907" s="23" t="n"/>
      <c r="J907" s="29" t="n"/>
      <c r="K907" s="13" t="n"/>
      <c r="L907" s="13" t="n"/>
      <c r="M907" s="12" t="n"/>
    </row>
    <row r="908">
      <c r="A908" s="17" t="inlineStr">
        <is>
          <t>2026-12-15</t>
        </is>
      </c>
      <c r="B908" s="25" t="n">
        <v>1</v>
      </c>
      <c r="C908" s="17" t="inlineStr">
        <is>
          <t>TBD</t>
        </is>
      </c>
      <c r="D908" s="17" t="inlineStr">
        <is>
          <t>TBD</t>
        </is>
      </c>
      <c r="E908" s="25" t="n">
        <v>0</v>
      </c>
      <c r="F908" s="25" t="n">
        <v>0</v>
      </c>
      <c r="G908" s="17" t="inlineStr">
        <is>
          <t>12/15 - 5:30 PM EST</t>
        </is>
      </c>
      <c r="H908" s="17" t="inlineStr">
        <is>
          <t>Y</t>
        </is>
      </c>
      <c r="I908" s="26" t="n"/>
      <c r="J908" s="30" t="n"/>
      <c r="K908" s="18" t="n"/>
      <c r="L908" s="18" t="n"/>
      <c r="M908" s="17" t="n"/>
    </row>
    <row r="909">
      <c r="A909" s="12" t="inlineStr">
        <is>
          <t>2026-12-16</t>
        </is>
      </c>
      <c r="B909" s="22" t="n">
        <v>1</v>
      </c>
      <c r="C909" s="12" t="inlineStr">
        <is>
          <t>TBD</t>
        </is>
      </c>
      <c r="D909" s="12" t="inlineStr">
        <is>
          <t>TBD</t>
        </is>
      </c>
      <c r="E909" s="22" t="n">
        <v>0</v>
      </c>
      <c r="F909" s="22" t="n">
        <v>0</v>
      </c>
      <c r="G909" s="12" t="inlineStr">
        <is>
          <t>12/15 - 9:00 PM EST</t>
        </is>
      </c>
      <c r="H909" s="12" t="inlineStr">
        <is>
          <t>Y</t>
        </is>
      </c>
      <c r="I909" s="23" t="n"/>
      <c r="J909" s="29" t="n"/>
      <c r="K909" s="13" t="n"/>
      <c r="L909" s="13" t="n"/>
      <c r="M909" s="12" t="n"/>
    </row>
    <row r="910">
      <c r="A910" s="17" t="inlineStr">
        <is>
          <t>2026-12-18</t>
        </is>
      </c>
      <c r="B910" s="25" t="n">
        <v>1</v>
      </c>
      <c r="C910" s="17" t="inlineStr">
        <is>
          <t>TBD</t>
        </is>
      </c>
      <c r="D910" s="17" t="inlineStr">
        <is>
          <t>TBD</t>
        </is>
      </c>
      <c r="E910" s="25" t="n">
        <v>0</v>
      </c>
      <c r="F910" s="25" t="n">
        <v>0</v>
      </c>
      <c r="G910" s="17" t="inlineStr">
        <is>
          <t>12/18 - 11:00 AM EST</t>
        </is>
      </c>
      <c r="H910" s="17" t="inlineStr">
        <is>
          <t>Y</t>
        </is>
      </c>
      <c r="I910" s="26" t="n"/>
      <c r="J910" s="30" t="n"/>
      <c r="K910" s="18" t="n"/>
      <c r="L910" s="18" t="n"/>
      <c r="M910" s="17" t="n"/>
    </row>
    <row r="911">
      <c r="A911" s="12" t="inlineStr">
        <is>
          <t>2026-12-18</t>
        </is>
      </c>
      <c r="B911" s="22" t="n">
        <v>1</v>
      </c>
      <c r="C911" s="12" t="inlineStr">
        <is>
          <t>TBD</t>
        </is>
      </c>
      <c r="D911" s="12" t="inlineStr">
        <is>
          <t>TBD</t>
        </is>
      </c>
      <c r="E911" s="22" t="n">
        <v>0</v>
      </c>
      <c r="F911" s="22" t="n">
        <v>0</v>
      </c>
      <c r="G911" s="12" t="inlineStr">
        <is>
          <t>12/18 - 2:30 PM EST</t>
        </is>
      </c>
      <c r="H911" s="12" t="inlineStr">
        <is>
          <t>Y</t>
        </is>
      </c>
      <c r="I911" s="23" t="n"/>
      <c r="J911" s="29" t="n"/>
      <c r="K911" s="13" t="n"/>
      <c r="L911" s="13" t="n"/>
      <c r="M911" s="12" t="n"/>
    </row>
    <row r="912">
      <c r="A912" s="17" t="inlineStr">
        <is>
          <t>2026-12-19</t>
        </is>
      </c>
      <c r="B912" s="25" t="n">
        <v>1</v>
      </c>
      <c r="C912" s="17" t="inlineStr">
        <is>
          <t>TBD</t>
        </is>
      </c>
      <c r="D912" s="17" t="inlineStr">
        <is>
          <t>TBD</t>
        </is>
      </c>
      <c r="E912" s="25" t="n">
        <v>0</v>
      </c>
      <c r="F912" s="25" t="n">
        <v>0</v>
      </c>
      <c r="G912" s="17" t="inlineStr">
        <is>
          <t>12/18 - 8:00 PM EST</t>
        </is>
      </c>
      <c r="H912" s="17" t="inlineStr"/>
      <c r="I912" s="26" t="n"/>
      <c r="J912" s="30" t="n"/>
      <c r="K912" s="18" t="n"/>
      <c r="L912" s="18" t="n"/>
      <c r="M912" s="17" t="n"/>
    </row>
    <row r="913">
      <c r="A913" s="12" t="inlineStr">
        <is>
          <t>2026-12-19</t>
        </is>
      </c>
      <c r="B913" s="22" t="n">
        <v>1</v>
      </c>
      <c r="C913" s="12" t="inlineStr">
        <is>
          <t>TBD</t>
        </is>
      </c>
      <c r="D913" s="12" t="inlineStr">
        <is>
          <t>TBD</t>
        </is>
      </c>
      <c r="E913" s="22" t="n">
        <v>0</v>
      </c>
      <c r="F913" s="22" t="n">
        <v>0</v>
      </c>
      <c r="G913" s="12" t="inlineStr">
        <is>
          <t>12/19 - 12:00 PM EST</t>
        </is>
      </c>
      <c r="H913" s="12" t="inlineStr"/>
      <c r="I913" s="23" t="n"/>
      <c r="J913" s="29" t="n"/>
      <c r="K913" s="13" t="n"/>
      <c r="L913" s="13" t="n"/>
      <c r="M913" s="12" t="n"/>
    </row>
    <row r="914">
      <c r="A914" s="17" t="inlineStr">
        <is>
          <t>2026-12-19</t>
        </is>
      </c>
      <c r="B914" s="25" t="n">
        <v>1</v>
      </c>
      <c r="C914" s="17" t="inlineStr">
        <is>
          <t>TBD</t>
        </is>
      </c>
      <c r="D914" s="17" t="inlineStr">
        <is>
          <t>TBD</t>
        </is>
      </c>
      <c r="E914" s="25" t="n">
        <v>0</v>
      </c>
      <c r="F914" s="25" t="n">
        <v>0</v>
      </c>
      <c r="G914" s="17" t="inlineStr">
        <is>
          <t>12/19 - 3:30 PM EST</t>
        </is>
      </c>
      <c r="H914" s="17" t="inlineStr"/>
      <c r="I914" s="26" t="n"/>
      <c r="J914" s="30" t="n"/>
      <c r="K914" s="18" t="n"/>
      <c r="L914" s="18" t="n"/>
      <c r="M914" s="17" t="n"/>
    </row>
    <row r="915">
      <c r="A915" s="12" t="inlineStr">
        <is>
          <t>2026-12-20</t>
        </is>
      </c>
      <c r="B915" s="22" t="n">
        <v>1</v>
      </c>
      <c r="C915" s="12" t="inlineStr">
        <is>
          <t>TBD</t>
        </is>
      </c>
      <c r="D915" s="12" t="inlineStr">
        <is>
          <t>TBD</t>
        </is>
      </c>
      <c r="E915" s="22" t="n">
        <v>0</v>
      </c>
      <c r="F915" s="22" t="n">
        <v>0</v>
      </c>
      <c r="G915" s="12" t="inlineStr">
        <is>
          <t>12/19 - 7:30 PM EST</t>
        </is>
      </c>
      <c r="H915" s="12" t="inlineStr"/>
      <c r="I915" s="23" t="n"/>
      <c r="J915" s="29" t="n"/>
      <c r="K915" s="13" t="n"/>
      <c r="L915" s="13" t="n"/>
      <c r="M915" s="12" t="n"/>
    </row>
    <row r="916">
      <c r="A916" s="17" t="inlineStr">
        <is>
          <t>2026-12-21</t>
        </is>
      </c>
      <c r="B916" s="25" t="n">
        <v>1</v>
      </c>
      <c r="C916" s="17" t="inlineStr">
        <is>
          <t>TBD</t>
        </is>
      </c>
      <c r="D916" s="17" t="inlineStr">
        <is>
          <t>TBD</t>
        </is>
      </c>
      <c r="E916" s="25" t="n">
        <v>0</v>
      </c>
      <c r="F916" s="25" t="n">
        <v>0</v>
      </c>
      <c r="G916" s="17" t="inlineStr">
        <is>
          <t>12/21 - 11:00 AM EST</t>
        </is>
      </c>
      <c r="H916" s="17" t="inlineStr">
        <is>
          <t>Y</t>
        </is>
      </c>
      <c r="I916" s="26" t="n"/>
      <c r="J916" s="30" t="n"/>
      <c r="K916" s="18" t="n"/>
      <c r="L916" s="18" t="n"/>
      <c r="M916" s="17" t="n"/>
    </row>
    <row r="917">
      <c r="A917" s="12" t="inlineStr">
        <is>
          <t>2026-12-21</t>
        </is>
      </c>
      <c r="B917" s="22" t="n">
        <v>1</v>
      </c>
      <c r="C917" s="12" t="inlineStr">
        <is>
          <t>TBD</t>
        </is>
      </c>
      <c r="D917" s="12" t="inlineStr">
        <is>
          <t>TBD</t>
        </is>
      </c>
      <c r="E917" s="22" t="n">
        <v>0</v>
      </c>
      <c r="F917" s="22" t="n">
        <v>0</v>
      </c>
      <c r="G917" s="12" t="inlineStr">
        <is>
          <t>12/21 - 2:30 PM EST</t>
        </is>
      </c>
      <c r="H917" s="12" t="inlineStr">
        <is>
          <t>Y</t>
        </is>
      </c>
      <c r="I917" s="23" t="n"/>
      <c r="J917" s="29" t="n"/>
      <c r="K917" s="13" t="n"/>
      <c r="L917" s="13" t="n"/>
      <c r="M917" s="12" t="n"/>
    </row>
    <row r="918">
      <c r="A918" s="17" t="inlineStr">
        <is>
          <t>2026-12-22</t>
        </is>
      </c>
      <c r="B918" s="25" t="n">
        <v>1</v>
      </c>
      <c r="C918" s="17" t="inlineStr">
        <is>
          <t>TBD</t>
        </is>
      </c>
      <c r="D918" s="17" t="inlineStr">
        <is>
          <t>TBD</t>
        </is>
      </c>
      <c r="E918" s="25" t="n">
        <v>0</v>
      </c>
      <c r="F918" s="25" t="n">
        <v>0</v>
      </c>
      <c r="G918" s="17" t="inlineStr">
        <is>
          <t>12/22 - 1:30 PM EST</t>
        </is>
      </c>
      <c r="H918" s="17" t="inlineStr">
        <is>
          <t>Y</t>
        </is>
      </c>
      <c r="I918" s="26" t="n"/>
      <c r="J918" s="30" t="n"/>
      <c r="K918" s="18" t="n"/>
      <c r="L918" s="18" t="n"/>
      <c r="M918" s="17" t="n"/>
    </row>
    <row r="919">
      <c r="A919" s="12" t="inlineStr">
        <is>
          <t>2026-12-22</t>
        </is>
      </c>
      <c r="B919" s="22" t="n">
        <v>1</v>
      </c>
      <c r="C919" s="12" t="inlineStr">
        <is>
          <t>TBD</t>
        </is>
      </c>
      <c r="D919" s="12" t="inlineStr">
        <is>
          <t>TBD</t>
        </is>
      </c>
      <c r="E919" s="22" t="n">
        <v>0</v>
      </c>
      <c r="F919" s="22" t="n">
        <v>0</v>
      </c>
      <c r="G919" s="12" t="inlineStr">
        <is>
          <t>12/22 - 5:00 PM EST</t>
        </is>
      </c>
      <c r="H919" s="12" t="inlineStr">
        <is>
          <t>Y</t>
        </is>
      </c>
      <c r="I919" s="23" t="n"/>
      <c r="J919" s="29" t="n"/>
      <c r="K919" s="13" t="n"/>
      <c r="L919" s="13" t="n"/>
      <c r="M919" s="12" t="n"/>
    </row>
    <row r="920">
      <c r="A920" s="17" t="inlineStr">
        <is>
          <t>2026-12-23</t>
        </is>
      </c>
      <c r="B920" s="25" t="n">
        <v>1</v>
      </c>
      <c r="C920" s="17" t="inlineStr">
        <is>
          <t>TBD</t>
        </is>
      </c>
      <c r="D920" s="17" t="inlineStr">
        <is>
          <t>TBD</t>
        </is>
      </c>
      <c r="E920" s="25" t="n">
        <v>0</v>
      </c>
      <c r="F920" s="25" t="n">
        <v>0</v>
      </c>
      <c r="G920" s="17" t="inlineStr">
        <is>
          <t>12/22 - 8:30 PM EST</t>
        </is>
      </c>
      <c r="H920" s="17" t="inlineStr">
        <is>
          <t>Y</t>
        </is>
      </c>
      <c r="I920" s="26" t="n"/>
      <c r="J920" s="30" t="n"/>
      <c r="K920" s="18" t="n"/>
      <c r="L920" s="18" t="n"/>
      <c r="M920" s="17" t="n"/>
    </row>
    <row r="921">
      <c r="A921" s="12" t="inlineStr">
        <is>
          <t>2026-12-23</t>
        </is>
      </c>
      <c r="B921" s="22" t="n">
        <v>1</v>
      </c>
      <c r="C921" s="12" t="inlineStr">
        <is>
          <t>TBD</t>
        </is>
      </c>
      <c r="D921" s="12" t="inlineStr">
        <is>
          <t>TBD</t>
        </is>
      </c>
      <c r="E921" s="22" t="n">
        <v>0</v>
      </c>
      <c r="F921" s="22" t="n">
        <v>0</v>
      </c>
      <c r="G921" s="12" t="inlineStr">
        <is>
          <t>12/23 - 2:00 PM EST</t>
        </is>
      </c>
      <c r="H921" s="12" t="inlineStr">
        <is>
          <t>Y</t>
        </is>
      </c>
      <c r="I921" s="23" t="n"/>
      <c r="J921" s="29" t="n"/>
      <c r="K921" s="13" t="n"/>
      <c r="L921" s="13" t="n"/>
      <c r="M921" s="12" t="n"/>
    </row>
    <row r="922">
      <c r="A922" s="17" t="inlineStr">
        <is>
          <t>2026-12-23</t>
        </is>
      </c>
      <c r="B922" s="25" t="n">
        <v>1</v>
      </c>
      <c r="C922" s="17" t="inlineStr">
        <is>
          <t>TBD</t>
        </is>
      </c>
      <c r="D922" s="17" t="inlineStr">
        <is>
          <t>TBD</t>
        </is>
      </c>
      <c r="E922" s="25" t="n">
        <v>0</v>
      </c>
      <c r="F922" s="25" t="n">
        <v>0</v>
      </c>
      <c r="G922" s="17" t="inlineStr">
        <is>
          <t>12/23 - 5:30 PM EST</t>
        </is>
      </c>
      <c r="H922" s="17" t="inlineStr">
        <is>
          <t>Y</t>
        </is>
      </c>
      <c r="I922" s="26" t="n"/>
      <c r="J922" s="30" t="n"/>
      <c r="K922" s="18" t="n"/>
      <c r="L922" s="18" t="n"/>
      <c r="M922" s="17" t="n"/>
    </row>
    <row r="923">
      <c r="A923" s="12" t="inlineStr">
        <is>
          <t>2026-12-24</t>
        </is>
      </c>
      <c r="B923" s="22" t="n">
        <v>1</v>
      </c>
      <c r="C923" s="12" t="inlineStr">
        <is>
          <t>TBD</t>
        </is>
      </c>
      <c r="D923" s="12" t="inlineStr">
        <is>
          <t>TBD</t>
        </is>
      </c>
      <c r="E923" s="22" t="n">
        <v>0</v>
      </c>
      <c r="F923" s="22" t="n">
        <v>0</v>
      </c>
      <c r="G923" s="12" t="inlineStr">
        <is>
          <t>12/23 - 9:00 PM EST</t>
        </is>
      </c>
      <c r="H923" s="12" t="inlineStr"/>
      <c r="I923" s="23" t="n"/>
      <c r="J923" s="29" t="n"/>
      <c r="K923" s="13" t="n"/>
      <c r="L923" s="13" t="n"/>
      <c r="M923" s="12" t="n"/>
    </row>
    <row r="924">
      <c r="A924" s="17" t="inlineStr">
        <is>
          <t>2026-12-24</t>
        </is>
      </c>
      <c r="B924" s="25" t="n">
        <v>1</v>
      </c>
      <c r="C924" s="17" t="inlineStr">
        <is>
          <t>TBD</t>
        </is>
      </c>
      <c r="D924" s="17" t="inlineStr">
        <is>
          <t>TBD</t>
        </is>
      </c>
      <c r="E924" s="25" t="n">
        <v>0</v>
      </c>
      <c r="F924" s="25" t="n">
        <v>0</v>
      </c>
      <c r="G924" s="17" t="inlineStr">
        <is>
          <t>12/24 - 2:30 PM EST</t>
        </is>
      </c>
      <c r="H924" s="17" t="inlineStr">
        <is>
          <t>Y</t>
        </is>
      </c>
      <c r="I924" s="26" t="n"/>
      <c r="J924" s="30" t="n"/>
      <c r="K924" s="18" t="n"/>
      <c r="L924" s="18" t="n"/>
      <c r="M924" s="17" t="n"/>
    </row>
    <row r="925">
      <c r="A925" s="12" t="inlineStr">
        <is>
          <t>2026-12-25</t>
        </is>
      </c>
      <c r="B925" s="22" t="n">
        <v>1</v>
      </c>
      <c r="C925" s="12" t="inlineStr">
        <is>
          <t>TBD</t>
        </is>
      </c>
      <c r="D925" s="12" t="inlineStr">
        <is>
          <t>TBD</t>
        </is>
      </c>
      <c r="E925" s="22" t="n">
        <v>0</v>
      </c>
      <c r="F925" s="22" t="n">
        <v>0</v>
      </c>
      <c r="G925" s="12" t="inlineStr">
        <is>
          <t>12/24 - 7:00 PM EST</t>
        </is>
      </c>
      <c r="H925" s="12" t="inlineStr">
        <is>
          <t>Y</t>
        </is>
      </c>
      <c r="I925" s="23" t="n"/>
      <c r="J925" s="29" t="n"/>
      <c r="K925" s="13" t="n"/>
      <c r="L925" s="13" t="n"/>
      <c r="M925" s="12" t="n"/>
    </row>
    <row r="926">
      <c r="A926" s="17" t="inlineStr">
        <is>
          <t>2026-12-26</t>
        </is>
      </c>
      <c r="B926" s="25" t="n">
        <v>1</v>
      </c>
      <c r="C926" s="17" t="inlineStr">
        <is>
          <t>TBD</t>
        </is>
      </c>
      <c r="D926" s="17" t="inlineStr">
        <is>
          <t>TBD</t>
        </is>
      </c>
      <c r="E926" s="25" t="n">
        <v>0</v>
      </c>
      <c r="F926" s="25" t="n">
        <v>0</v>
      </c>
      <c r="G926" s="17" t="inlineStr">
        <is>
          <t>12/26 - 12:00 PM EST</t>
        </is>
      </c>
      <c r="H926" s="17" t="inlineStr">
        <is>
          <t>Y</t>
        </is>
      </c>
      <c r="I926" s="26" t="n"/>
      <c r="J926" s="30" t="n"/>
      <c r="K926" s="18" t="n"/>
      <c r="L926" s="18" t="n"/>
      <c r="M926" s="17" t="n"/>
    </row>
    <row r="927">
      <c r="A927" s="12" t="inlineStr">
        <is>
          <t>2026-12-26</t>
        </is>
      </c>
      <c r="B927" s="22" t="n">
        <v>1</v>
      </c>
      <c r="C927" s="12" t="inlineStr">
        <is>
          <t>TBD</t>
        </is>
      </c>
      <c r="D927" s="12" t="inlineStr">
        <is>
          <t>TBD</t>
        </is>
      </c>
      <c r="E927" s="22" t="n">
        <v>0</v>
      </c>
      <c r="F927" s="22" t="n">
        <v>0</v>
      </c>
      <c r="G927" s="12" t="inlineStr">
        <is>
          <t>12/26 - 2:00 PM EST</t>
        </is>
      </c>
      <c r="H927" s="12" t="inlineStr">
        <is>
          <t>Y</t>
        </is>
      </c>
      <c r="I927" s="23" t="n"/>
      <c r="J927" s="29" t="n"/>
      <c r="K927" s="13" t="n"/>
      <c r="L927" s="13" t="n"/>
      <c r="M927" s="12" t="n"/>
    </row>
    <row r="928">
      <c r="A928" s="17" t="inlineStr">
        <is>
          <t>2026-12-26</t>
        </is>
      </c>
      <c r="B928" s="25" t="n">
        <v>1</v>
      </c>
      <c r="C928" s="17" t="inlineStr">
        <is>
          <t>TBD</t>
        </is>
      </c>
      <c r="D928" s="17" t="inlineStr">
        <is>
          <t>TBD</t>
        </is>
      </c>
      <c r="E928" s="25" t="n">
        <v>0</v>
      </c>
      <c r="F928" s="25" t="n">
        <v>0</v>
      </c>
      <c r="G928" s="17" t="inlineStr">
        <is>
          <t>12/26 - 3:30 PM EST</t>
        </is>
      </c>
      <c r="H928" s="17" t="inlineStr">
        <is>
          <t>Y</t>
        </is>
      </c>
      <c r="I928" s="26" t="n"/>
      <c r="J928" s="30" t="n"/>
      <c r="K928" s="18" t="n"/>
      <c r="L928" s="18" t="n"/>
      <c r="M928" s="17" t="n"/>
    </row>
    <row r="929">
      <c r="A929" s="12" t="inlineStr">
        <is>
          <t>2026-12-26</t>
        </is>
      </c>
      <c r="B929" s="22" t="n">
        <v>1</v>
      </c>
      <c r="C929" s="12" t="inlineStr">
        <is>
          <t>TBD</t>
        </is>
      </c>
      <c r="D929" s="12" t="inlineStr">
        <is>
          <t>TBD</t>
        </is>
      </c>
      <c r="E929" s="22" t="n">
        <v>0</v>
      </c>
      <c r="F929" s="22" t="n">
        <v>0</v>
      </c>
      <c r="G929" s="12" t="inlineStr">
        <is>
          <t>12/26 - 5:30 PM EST</t>
        </is>
      </c>
      <c r="H929" s="12" t="inlineStr">
        <is>
          <t>Y</t>
        </is>
      </c>
      <c r="I929" s="23" t="n"/>
      <c r="J929" s="29" t="n"/>
      <c r="K929" s="13" t="n"/>
      <c r="L929" s="13" t="n"/>
      <c r="M929" s="12" t="n"/>
    </row>
    <row r="930">
      <c r="A930" s="17" t="inlineStr">
        <is>
          <t>2026-12-27</t>
        </is>
      </c>
      <c r="B930" s="25" t="n">
        <v>1</v>
      </c>
      <c r="C930" s="17" t="inlineStr">
        <is>
          <t>TBD</t>
        </is>
      </c>
      <c r="D930" s="17" t="inlineStr">
        <is>
          <t>TBD</t>
        </is>
      </c>
      <c r="E930" s="25" t="n">
        <v>0</v>
      </c>
      <c r="F930" s="25" t="n">
        <v>0</v>
      </c>
      <c r="G930" s="17" t="inlineStr">
        <is>
          <t>12/26 - 7:30 PM EST</t>
        </is>
      </c>
      <c r="H930" s="17" t="inlineStr">
        <is>
          <t>Y</t>
        </is>
      </c>
      <c r="I930" s="26" t="n"/>
      <c r="J930" s="30" t="n"/>
      <c r="K930" s="18" t="n"/>
      <c r="L930" s="18" t="n"/>
      <c r="M930" s="17" t="n"/>
    </row>
    <row r="931">
      <c r="A931" s="12" t="inlineStr">
        <is>
          <t>2026-12-28</t>
        </is>
      </c>
      <c r="B931" s="22" t="n">
        <v>1</v>
      </c>
      <c r="C931" s="12" t="inlineStr">
        <is>
          <t>TBD</t>
        </is>
      </c>
      <c r="D931" s="12" t="inlineStr">
        <is>
          <t>TBD</t>
        </is>
      </c>
      <c r="E931" s="22" t="n">
        <v>0</v>
      </c>
      <c r="F931" s="22" t="n">
        <v>0</v>
      </c>
      <c r="G931" s="12" t="inlineStr">
        <is>
          <t>12/28 - 2:00 PM EST</t>
        </is>
      </c>
      <c r="H931" s="12" t="inlineStr">
        <is>
          <t>Y</t>
        </is>
      </c>
      <c r="I931" s="23" t="n"/>
      <c r="J931" s="29" t="n"/>
      <c r="K931" s="13" t="n"/>
      <c r="L931" s="13" t="n"/>
      <c r="M931" s="12" t="n"/>
    </row>
    <row r="932">
      <c r="A932" s="17" t="inlineStr">
        <is>
          <t>2026-12-29</t>
        </is>
      </c>
      <c r="B932" s="25" t="n">
        <v>1</v>
      </c>
      <c r="C932" s="17" t="inlineStr">
        <is>
          <t>TBD</t>
        </is>
      </c>
      <c r="D932" s="17" t="inlineStr">
        <is>
          <t>TBD</t>
        </is>
      </c>
      <c r="E932" s="25" t="n">
        <v>0</v>
      </c>
      <c r="F932" s="25" t="n">
        <v>0</v>
      </c>
      <c r="G932" s="17" t="inlineStr">
        <is>
          <t>12/29 - 2:00 PM EST</t>
        </is>
      </c>
      <c r="H932" s="17" t="inlineStr">
        <is>
          <t>Y</t>
        </is>
      </c>
      <c r="I932" s="26" t="n"/>
      <c r="J932" s="30" t="n"/>
      <c r="K932" s="18" t="n"/>
      <c r="L932" s="18" t="n"/>
      <c r="M932" s="17" t="n"/>
    </row>
    <row r="933">
      <c r="A933" s="12" t="inlineStr">
        <is>
          <t>2026-12-29</t>
        </is>
      </c>
      <c r="B933" s="22" t="n">
        <v>1</v>
      </c>
      <c r="C933" s="12" t="inlineStr">
        <is>
          <t>TBD</t>
        </is>
      </c>
      <c r="D933" s="12" t="inlineStr">
        <is>
          <t>TBD</t>
        </is>
      </c>
      <c r="E933" s="22" t="n">
        <v>0</v>
      </c>
      <c r="F933" s="22" t="n">
        <v>0</v>
      </c>
      <c r="G933" s="12" t="inlineStr">
        <is>
          <t>12/29 - 5:30 PM EST</t>
        </is>
      </c>
      <c r="H933" s="12" t="inlineStr">
        <is>
          <t>Y</t>
        </is>
      </c>
      <c r="I933" s="23" t="n"/>
      <c r="J933" s="29" t="n"/>
      <c r="K933" s="13" t="n"/>
      <c r="L933" s="13" t="n"/>
      <c r="M933" s="12" t="n"/>
    </row>
    <row r="934">
      <c r="A934" s="17" t="inlineStr">
        <is>
          <t>2026-12-30</t>
        </is>
      </c>
      <c r="B934" s="25" t="n">
        <v>1</v>
      </c>
      <c r="C934" s="17" t="inlineStr">
        <is>
          <t>TBD</t>
        </is>
      </c>
      <c r="D934" s="17" t="inlineStr">
        <is>
          <t>TBD</t>
        </is>
      </c>
      <c r="E934" s="25" t="n">
        <v>0</v>
      </c>
      <c r="F934" s="25" t="n">
        <v>0</v>
      </c>
      <c r="G934" s="17" t="inlineStr">
        <is>
          <t>12/29 - 9:00 PM EST</t>
        </is>
      </c>
      <c r="H934" s="17" t="inlineStr">
        <is>
          <t>Y</t>
        </is>
      </c>
      <c r="I934" s="26" t="n"/>
      <c r="J934" s="30" t="n"/>
      <c r="K934" s="18" t="n"/>
      <c r="L934" s="18" t="n"/>
      <c r="M934" s="17" t="n"/>
    </row>
    <row r="935">
      <c r="A935" s="12" t="inlineStr">
        <is>
          <t>2026-12-30</t>
        </is>
      </c>
      <c r="B935" s="22" t="n">
        <v>1</v>
      </c>
      <c r="C935" s="12" t="inlineStr">
        <is>
          <t>TBD</t>
        </is>
      </c>
      <c r="D935" s="12" t="inlineStr">
        <is>
          <t>TBD</t>
        </is>
      </c>
      <c r="E935" s="22" t="n">
        <v>0</v>
      </c>
      <c r="F935" s="22" t="n">
        <v>0</v>
      </c>
      <c r="G935" s="12" t="inlineStr">
        <is>
          <t>12/30 - 11:30 AM EST</t>
        </is>
      </c>
      <c r="H935" s="12" t="inlineStr">
        <is>
          <t>Y</t>
        </is>
      </c>
      <c r="I935" s="23" t="n"/>
      <c r="J935" s="29" t="n"/>
      <c r="K935" s="13" t="n"/>
      <c r="L935" s="13" t="n"/>
      <c r="M935" s="12" t="n"/>
    </row>
    <row r="936">
      <c r="A936" s="17" t="inlineStr">
        <is>
          <t>2026-12-30</t>
        </is>
      </c>
      <c r="B936" s="25" t="n">
        <v>1</v>
      </c>
      <c r="C936" s="17" t="inlineStr">
        <is>
          <t>TBD</t>
        </is>
      </c>
      <c r="D936" s="17" t="inlineStr">
        <is>
          <t>TBD</t>
        </is>
      </c>
      <c r="E936" s="25" t="n">
        <v>0</v>
      </c>
      <c r="F936" s="25" t="n">
        <v>0</v>
      </c>
      <c r="G936" s="17" t="inlineStr">
        <is>
          <t>12/30 - 3:00 PM EST</t>
        </is>
      </c>
      <c r="H936" s="17" t="inlineStr">
        <is>
          <t>Y</t>
        </is>
      </c>
      <c r="I936" s="26" t="n"/>
      <c r="J936" s="30" t="n"/>
      <c r="K936" s="18" t="n"/>
      <c r="L936" s="18" t="n"/>
      <c r="M936" s="17" t="n"/>
    </row>
    <row r="937">
      <c r="A937" s="12" t="inlineStr">
        <is>
          <t>2026-12-31</t>
        </is>
      </c>
      <c r="B937" s="22" t="n">
        <v>1</v>
      </c>
      <c r="C937" s="12" t="inlineStr">
        <is>
          <t>TBD</t>
        </is>
      </c>
      <c r="D937" s="12" t="inlineStr">
        <is>
          <t>TBD</t>
        </is>
      </c>
      <c r="E937" s="22" t="n">
        <v>0</v>
      </c>
      <c r="F937" s="22" t="n">
        <v>0</v>
      </c>
      <c r="G937" s="12" t="inlineStr">
        <is>
          <t>12/30 - 7:30 PM EST</t>
        </is>
      </c>
      <c r="H937" s="12" t="inlineStr">
        <is>
          <t>Y</t>
        </is>
      </c>
      <c r="I937" s="23" t="n"/>
      <c r="J937" s="29" t="n"/>
      <c r="K937" s="13" t="n"/>
      <c r="L937" s="13" t="n"/>
      <c r="M937" s="12" t="n"/>
    </row>
    <row r="938">
      <c r="A938" s="17" t="inlineStr">
        <is>
          <t>2026-12-31</t>
        </is>
      </c>
      <c r="B938" s="25" t="n">
        <v>1</v>
      </c>
      <c r="C938" s="17" t="inlineStr">
        <is>
          <t>TBD</t>
        </is>
      </c>
      <c r="D938" s="17" t="inlineStr">
        <is>
          <t>TBD</t>
        </is>
      </c>
      <c r="E938" s="25" t="n">
        <v>0</v>
      </c>
      <c r="F938" s="25" t="n">
        <v>0</v>
      </c>
      <c r="G938" s="17" t="inlineStr">
        <is>
          <t>12/31 - 12:00 PM EST</t>
        </is>
      </c>
      <c r="H938" s="17" t="inlineStr">
        <is>
          <t>Y</t>
        </is>
      </c>
      <c r="I938" s="26" t="n"/>
      <c r="J938" s="30" t="n"/>
      <c r="K938" s="18" t="n"/>
      <c r="L938" s="18" t="n"/>
      <c r="M938" s="17" t="n"/>
    </row>
    <row r="939">
      <c r="A939" s="12" t="inlineStr">
        <is>
          <t>2026-12-31</t>
        </is>
      </c>
      <c r="B939" s="22" t="n">
        <v>1</v>
      </c>
      <c r="C939" s="12" t="inlineStr">
        <is>
          <t>TBD</t>
        </is>
      </c>
      <c r="D939" s="12" t="inlineStr">
        <is>
          <t>TBD</t>
        </is>
      </c>
      <c r="E939" s="22" t="n">
        <v>0</v>
      </c>
      <c r="F939" s="22" t="n">
        <v>0</v>
      </c>
      <c r="G939" s="12" t="inlineStr">
        <is>
          <t>12/31 - 2:00 PM EST</t>
        </is>
      </c>
      <c r="H939" s="12" t="inlineStr">
        <is>
          <t>Y</t>
        </is>
      </c>
      <c r="I939" s="23" t="n"/>
      <c r="J939" s="29" t="n"/>
      <c r="K939" s="13" t="n"/>
      <c r="L939" s="13" t="n"/>
      <c r="M939" s="12" t="n"/>
    </row>
    <row r="940">
      <c r="A940" s="17" t="inlineStr">
        <is>
          <t>2026-12-31</t>
        </is>
      </c>
      <c r="B940" s="25" t="n">
        <v>1</v>
      </c>
      <c r="C940" s="17" t="inlineStr">
        <is>
          <t>TBD</t>
        </is>
      </c>
      <c r="D940" s="17" t="inlineStr">
        <is>
          <t>TBD</t>
        </is>
      </c>
      <c r="E940" s="25" t="n">
        <v>0</v>
      </c>
      <c r="F940" s="25" t="n">
        <v>0</v>
      </c>
      <c r="G940" s="17" t="inlineStr">
        <is>
          <t>12/31 - 3:45 PM EST</t>
        </is>
      </c>
      <c r="H940" s="17" t="inlineStr">
        <is>
          <t>Y</t>
        </is>
      </c>
      <c r="I940" s="26" t="n"/>
      <c r="J940" s="30" t="n"/>
      <c r="K940" s="18" t="n"/>
      <c r="L940" s="18" t="n"/>
      <c r="M940" s="17" t="n"/>
    </row>
    <row r="941">
      <c r="A941" s="12" t="inlineStr">
        <is>
          <t>2027-01-01</t>
        </is>
      </c>
      <c r="B941" s="22" t="n">
        <v>1</v>
      </c>
      <c r="C941" s="12" t="inlineStr">
        <is>
          <t>TBD</t>
        </is>
      </c>
      <c r="D941" s="12" t="inlineStr">
        <is>
          <t>TBD</t>
        </is>
      </c>
      <c r="E941" s="22" t="n">
        <v>0</v>
      </c>
      <c r="F941" s="22" t="n">
        <v>0</v>
      </c>
      <c r="G941" s="12" t="inlineStr">
        <is>
          <t>12/31 - 7:30 PM EST</t>
        </is>
      </c>
      <c r="H941" s="12" t="inlineStr">
        <is>
          <t>Y</t>
        </is>
      </c>
      <c r="I941" s="23" t="n"/>
      <c r="J941" s="29" t="n"/>
      <c r="K941" s="13" t="n"/>
      <c r="L941" s="13" t="n"/>
      <c r="M941" s="12" t="n"/>
    </row>
    <row r="942">
      <c r="A942" s="17" t="inlineStr">
        <is>
          <t>2027-01-01</t>
        </is>
      </c>
      <c r="B942" s="25" t="n">
        <v>1</v>
      </c>
      <c r="C942" s="17" t="inlineStr">
        <is>
          <t>TBD</t>
        </is>
      </c>
      <c r="D942" s="17" t="inlineStr">
        <is>
          <t>TBD</t>
        </is>
      </c>
      <c r="E942" s="25" t="n">
        <v>0</v>
      </c>
      <c r="F942" s="25" t="n">
        <v>0</v>
      </c>
      <c r="G942" s="17" t="inlineStr">
        <is>
          <t>TBD</t>
        </is>
      </c>
      <c r="H942" s="17" t="inlineStr">
        <is>
          <t>Y</t>
        </is>
      </c>
      <c r="I942" s="26" t="n"/>
      <c r="J942" s="30" t="n"/>
      <c r="K942" s="18" t="n"/>
      <c r="L942" s="18" t="n"/>
      <c r="M942" s="17" t="n"/>
    </row>
    <row r="943">
      <c r="A943" s="12" t="inlineStr">
        <is>
          <t>2027-01-01</t>
        </is>
      </c>
      <c r="B943" s="22" t="n">
        <v>1</v>
      </c>
      <c r="C943" s="12" t="inlineStr">
        <is>
          <t>TBD</t>
        </is>
      </c>
      <c r="D943" s="12" t="inlineStr">
        <is>
          <t>TBD</t>
        </is>
      </c>
      <c r="E943" s="22" t="n">
        <v>0</v>
      </c>
      <c r="F943" s="22" t="n">
        <v>0</v>
      </c>
      <c r="G943" s="12" t="inlineStr">
        <is>
          <t>TBD</t>
        </is>
      </c>
      <c r="H943" s="12" t="inlineStr">
        <is>
          <t>Y</t>
        </is>
      </c>
      <c r="I943" s="23" t="n"/>
      <c r="J943" s="29" t="n"/>
      <c r="K943" s="13" t="n"/>
      <c r="L943" s="13" t="n"/>
      <c r="M943" s="12" t="n"/>
    </row>
    <row r="944">
      <c r="A944" s="17" t="inlineStr">
        <is>
          <t>2027-01-01</t>
        </is>
      </c>
      <c r="B944" s="25" t="n">
        <v>1</v>
      </c>
      <c r="C944" s="17" t="inlineStr">
        <is>
          <t>TBD</t>
        </is>
      </c>
      <c r="D944" s="17" t="inlineStr">
        <is>
          <t>TBD</t>
        </is>
      </c>
      <c r="E944" s="25" t="n">
        <v>0</v>
      </c>
      <c r="F944" s="25" t="n">
        <v>0</v>
      </c>
      <c r="G944" s="17" t="inlineStr">
        <is>
          <t>TBD</t>
        </is>
      </c>
      <c r="H944" s="17" t="inlineStr">
        <is>
          <t>Y</t>
        </is>
      </c>
      <c r="I944" s="26" t="n"/>
      <c r="J944" s="30" t="n"/>
      <c r="K944" s="18" t="n"/>
      <c r="L944" s="18" t="n"/>
      <c r="M944" s="17" t="n"/>
    </row>
    <row r="945">
      <c r="A945" s="12" t="inlineStr">
        <is>
          <t>2027-01-02</t>
        </is>
      </c>
      <c r="B945" s="22" t="n">
        <v>1</v>
      </c>
      <c r="C945" s="12" t="inlineStr">
        <is>
          <t>TBD</t>
        </is>
      </c>
      <c r="D945" s="12" t="inlineStr">
        <is>
          <t>TBD</t>
        </is>
      </c>
      <c r="E945" s="22" t="n">
        <v>0</v>
      </c>
      <c r="F945" s="22" t="n">
        <v>0</v>
      </c>
      <c r="G945" s="12" t="inlineStr">
        <is>
          <t>1/2 - 12:00 PM EST</t>
        </is>
      </c>
      <c r="H945" s="12" t="inlineStr">
        <is>
          <t>Y</t>
        </is>
      </c>
      <c r="I945" s="23" t="n"/>
      <c r="J945" s="29" t="n"/>
      <c r="K945" s="13" t="n"/>
      <c r="L945" s="13" t="n"/>
      <c r="M945" s="12" t="n"/>
    </row>
    <row r="946">
      <c r="A946" s="17" t="inlineStr">
        <is>
          <t>2027-01-02</t>
        </is>
      </c>
      <c r="B946" s="25" t="n">
        <v>1</v>
      </c>
      <c r="C946" s="17" t="inlineStr">
        <is>
          <t>TBD</t>
        </is>
      </c>
      <c r="D946" s="17" t="inlineStr">
        <is>
          <t>TBD</t>
        </is>
      </c>
      <c r="E946" s="25" t="n">
        <v>0</v>
      </c>
      <c r="F946" s="25" t="n">
        <v>0</v>
      </c>
      <c r="G946" s="17" t="inlineStr">
        <is>
          <t>1/2 - 3:30 PM EST</t>
        </is>
      </c>
      <c r="H946" s="17" t="inlineStr">
        <is>
          <t>Y</t>
        </is>
      </c>
      <c r="I946" s="26" t="n"/>
      <c r="J946" s="30" t="n"/>
      <c r="K946" s="18" t="n"/>
      <c r="L946" s="18" t="n"/>
      <c r="M946" s="17" t="n"/>
    </row>
    <row r="947">
      <c r="A947" s="12" t="inlineStr">
        <is>
          <t>2027-01-03</t>
        </is>
      </c>
      <c r="B947" s="22" t="n">
        <v>1</v>
      </c>
      <c r="C947" s="12" t="inlineStr">
        <is>
          <t>TBD</t>
        </is>
      </c>
      <c r="D947" s="12" t="inlineStr">
        <is>
          <t>TBD</t>
        </is>
      </c>
      <c r="E947" s="22" t="n">
        <v>0</v>
      </c>
      <c r="F947" s="22" t="n">
        <v>0</v>
      </c>
      <c r="G947" s="12" t="inlineStr">
        <is>
          <t>1/2 - 7:30 PM EST</t>
        </is>
      </c>
      <c r="H947" s="12" t="inlineStr">
        <is>
          <t>Y</t>
        </is>
      </c>
      <c r="I947" s="23" t="n"/>
      <c r="J947" s="29" t="n"/>
      <c r="K947" s="13" t="n"/>
      <c r="L947" s="13" t="n"/>
      <c r="M947" s="12" t="n"/>
    </row>
    <row r="948">
      <c r="A948" s="17" t="inlineStr">
        <is>
          <t>2027-01-15</t>
        </is>
      </c>
      <c r="B948" s="25" t="n">
        <v>1</v>
      </c>
      <c r="C948" s="17" t="inlineStr">
        <is>
          <t>TBD</t>
        </is>
      </c>
      <c r="D948" s="17" t="inlineStr">
        <is>
          <t>TBD</t>
        </is>
      </c>
      <c r="E948" s="25" t="n">
        <v>0</v>
      </c>
      <c r="F948" s="25" t="n">
        <v>0</v>
      </c>
      <c r="G948" s="17" t="inlineStr">
        <is>
          <t>1/14 - 7:30 PM EST</t>
        </is>
      </c>
      <c r="H948" s="17" t="inlineStr">
        <is>
          <t>Y</t>
        </is>
      </c>
      <c r="I948" s="26" t="n"/>
      <c r="J948" s="30" t="n"/>
      <c r="K948" s="18" t="n"/>
      <c r="L948" s="18" t="n"/>
      <c r="M948" s="17" t="n"/>
    </row>
    <row r="949">
      <c r="A949" s="12" t="inlineStr">
        <is>
          <t>2027-01-16</t>
        </is>
      </c>
      <c r="B949" s="22" t="n">
        <v>1</v>
      </c>
      <c r="C949" s="12" t="inlineStr">
        <is>
          <t>TBD</t>
        </is>
      </c>
      <c r="D949" s="12" t="inlineStr">
        <is>
          <t>TBD</t>
        </is>
      </c>
      <c r="E949" s="22" t="n">
        <v>0</v>
      </c>
      <c r="F949" s="22" t="n">
        <v>0</v>
      </c>
      <c r="G949" s="12" t="inlineStr">
        <is>
          <t>1/15 - 7:30 PM EST</t>
        </is>
      </c>
      <c r="H949" s="12" t="inlineStr">
        <is>
          <t>Y</t>
        </is>
      </c>
      <c r="I949" s="23" t="n"/>
      <c r="J949" s="29" t="n"/>
      <c r="K949" s="13" t="n"/>
      <c r="L949" s="13" t="n"/>
      <c r="M949" s="12" t="n"/>
    </row>
    <row r="950">
      <c r="A950" s="17" t="inlineStr">
        <is>
          <t>2027-01-26</t>
        </is>
      </c>
      <c r="B950" s="25" t="n">
        <v>1</v>
      </c>
      <c r="C950" s="17" t="inlineStr">
        <is>
          <t>TBD</t>
        </is>
      </c>
      <c r="D950" s="17" t="inlineStr">
        <is>
          <t>TBD</t>
        </is>
      </c>
      <c r="E950" s="25" t="n">
        <v>0</v>
      </c>
      <c r="F950" s="25" t="n">
        <v>0</v>
      </c>
      <c r="G950" s="17" t="inlineStr">
        <is>
          <t>1/25 - 7:30 PM EST</t>
        </is>
      </c>
      <c r="H950" s="17" t="inlineStr">
        <is>
          <t>Y</t>
        </is>
      </c>
      <c r="I950" s="26" t="n"/>
      <c r="J950" s="30" t="n"/>
      <c r="K950" s="18" t="n"/>
      <c r="L950" s="18" t="n"/>
      <c r="M950" s="17" t="n"/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92" customWidth="1" min="3" max="3"/>
  </cols>
  <sheetData>
    <row r="1" ht="22" customHeight="1">
      <c r="A1" s="1" t="inlineStr">
        <is>
          <t>Settings Used For This Run</t>
        </is>
      </c>
    </row>
    <row r="2" ht="26" customHeight="1">
      <c r="A2" s="2" t="inlineStr">
        <is>
          <t>READ ONLY. This records what produced the file. Editing a value here changes nothing — the model runs in the pipeline, not in Excel. To change the model, edit config/settings.json and re-run. (Cell B5 is the one exception: the Dashboard and Ledger reference it as the bankroll baseline.)</t>
        </is>
      </c>
    </row>
    <row r="4">
      <c r="A4" s="11" t="inlineStr">
        <is>
          <t>Setting</t>
        </is>
      </c>
      <c r="B4" s="11" t="inlineStr">
        <is>
          <t>Value</t>
        </is>
      </c>
      <c r="C4" s="11" t="inlineStr">
        <is>
          <t>What it does</t>
        </is>
      </c>
    </row>
    <row r="5">
      <c r="A5" s="12" t="inlineStr">
        <is>
          <t>Starting Bankroll</t>
        </is>
      </c>
      <c r="B5" s="31" t="n">
        <v>500</v>
      </c>
      <c r="C5" s="32" t="inlineStr">
        <is>
          <t>Bankroll the ledger starts from.</t>
        </is>
      </c>
    </row>
    <row r="6">
      <c r="A6" s="17" t="inlineStr">
        <is>
          <t>Kelly Fraction</t>
        </is>
      </c>
      <c r="B6" s="17" t="n">
        <v>0.25</v>
      </c>
      <c r="C6" s="33" t="inlineStr">
        <is>
          <t>Fraction of full Kelly used for every stake.</t>
        </is>
      </c>
    </row>
    <row r="7">
      <c r="A7" s="12" t="inlineStr">
        <is>
          <t>Max Stake % of Bankroll</t>
        </is>
      </c>
      <c r="B7" s="12" t="n">
        <v>0.05</v>
      </c>
      <c r="C7" s="32" t="inlineStr">
        <is>
          <t>Hard cap on any single stake.</t>
        </is>
      </c>
    </row>
    <row r="8">
      <c r="A8" s="17" t="inlineStr">
        <is>
          <t>Size Stakes Off</t>
        </is>
      </c>
      <c r="B8" s="17" t="inlineStr">
        <is>
          <t>settled</t>
        </is>
      </c>
      <c r="C8" s="33" t="inlineStr">
        <is>
          <t>'settled' sizes off settled results only, which avoids a stake depending on its own outcome.</t>
        </is>
      </c>
    </row>
    <row r="9">
      <c r="A9" s="12" t="inlineStr">
        <is>
          <t>Best Bet threshold</t>
        </is>
      </c>
      <c r="B9" s="12" t="n">
        <v>0.08</v>
      </c>
      <c r="C9" s="32" t="inlineStr">
        <is>
          <t>Edge required for the top tier.</t>
        </is>
      </c>
    </row>
    <row r="10">
      <c r="A10" s="17" t="inlineStr">
        <is>
          <t>Good threshold</t>
        </is>
      </c>
      <c r="B10" s="17" t="n">
        <v>0.05</v>
      </c>
      <c r="C10" s="33" t="inlineStr">
        <is>
          <t>Edge required for GOOD.</t>
        </is>
      </c>
    </row>
    <row r="11">
      <c r="A11" s="12" t="inlineStr">
        <is>
          <t>Lean threshold</t>
        </is>
      </c>
      <c r="B11" s="12" t="n">
        <v>0.03</v>
      </c>
      <c r="C11" s="32" t="inlineStr">
        <is>
          <t>Edge required for LEAN.</t>
        </is>
      </c>
    </row>
    <row r="12">
      <c r="A12" s="17" t="inlineStr">
        <is>
          <t>Selection haircut</t>
        </is>
      </c>
      <c r="B12" s="17" t="n">
        <v>0.01</v>
      </c>
      <c r="C12" s="33" t="inlineStr">
        <is>
          <t>Subtracted from every edge before tiering, for the winner's curse.</t>
        </is>
      </c>
    </row>
    <row r="13">
      <c r="A13" s="12" t="inlineStr">
        <is>
          <t>Market Blend</t>
        </is>
      </c>
      <c r="B13" s="12" t="n">
        <v>0.5</v>
      </c>
      <c r="C13" s="32" t="inlineStr">
        <is>
          <t>Weight on the de-vigged market probability. 0.50 minimised out-of-sample calibration error in walk-forward simulation.</t>
        </is>
      </c>
    </row>
    <row r="14">
      <c r="A14" s="17" t="inlineStr">
        <is>
          <t>Margin Std Dev (pts)</t>
        </is>
      </c>
      <c r="B14" s="17" t="n">
        <v>13</v>
      </c>
      <c r="C14" s="33" t="inlineStr">
        <is>
          <t>Spread of FBS scoring margin around the projection.</t>
        </is>
      </c>
    </row>
    <row r="15">
      <c r="A15" s="12" t="inlineStr">
        <is>
          <t>Total Std Dev (pts)</t>
        </is>
      </c>
      <c r="B15" s="12" t="n">
        <v>10</v>
      </c>
      <c r="C15" s="32" t="inlineStr">
        <is>
          <t>Spread of combined score around the projection.</t>
        </is>
      </c>
    </row>
    <row r="16">
      <c r="A16" s="17" t="inlineStr">
        <is>
          <t>Key Numbers</t>
        </is>
      </c>
      <c r="B16" s="17" t="inlineStr">
        <is>
          <t>on</t>
        </is>
      </c>
      <c r="C16" s="33" t="inlineStr">
        <is>
          <t>Discrete margin distribution bumped at 3, 7, 10, 14 rather than a smooth normal curve.</t>
        </is>
      </c>
    </row>
    <row r="17">
      <c r="A17" s="12" t="inlineStr">
        <is>
          <t>Max Model Probability</t>
        </is>
      </c>
      <c r="B17" s="12" t="n">
        <v>0.85</v>
      </c>
      <c r="C17" s="32" t="inlineStr">
        <is>
          <t>Cap applied at the staking step so one input cannot produce an extreme bet.</t>
        </is>
      </c>
    </row>
    <row r="18">
      <c r="A18" s="17" t="inlineStr">
        <is>
          <t>Max bets per game</t>
        </is>
      </c>
      <c r="B18" s="17" t="n">
        <v>1</v>
      </c>
      <c r="C18" s="33" t="inlineStr">
        <is>
          <t>Correlation guard — a team's ML and its spread are close to the same bet.</t>
        </is>
      </c>
    </row>
    <row r="19">
      <c r="A19" s="12" t="inlineStr">
        <is>
          <t>Max plays per week</t>
        </is>
      </c>
      <c r="B19" s="12" t="n">
        <v>10</v>
      </c>
      <c r="C19" s="32" t="inlineStr">
        <is>
          <t>Volume cap, best edges first.</t>
        </is>
      </c>
    </row>
    <row r="20">
      <c r="A20" s="17" t="inlineStr">
        <is>
          <t>Ridge lambda</t>
        </is>
      </c>
      <c r="B20" s="17" t="n">
        <v>18</v>
      </c>
      <c r="C20" s="33" t="inlineStr">
        <is>
          <t>Rating shrinkage. Higher pulls thin-evidence teams harder toward average.</t>
        </is>
      </c>
    </row>
    <row r="21">
      <c r="A21" s="12" t="inlineStr">
        <is>
          <t>MOV cap</t>
        </is>
      </c>
      <c r="B21" s="12" t="n">
        <v>28</v>
      </c>
      <c r="C21" s="32" t="inlineStr">
        <is>
          <t>Margin cap so blowouts do not dominate the ratings fit.</t>
        </is>
      </c>
    </row>
    <row r="22">
      <c r="A22" s="17" t="inlineStr">
        <is>
          <t>Recency half-life (games)</t>
        </is>
      </c>
      <c r="B22" s="17" t="n">
        <v>14</v>
      </c>
      <c r="C22" s="33" t="inlineStr">
        <is>
          <t>Measured in team-games; multiply by 7 for days.</t>
        </is>
      </c>
    </row>
    <row r="23">
      <c r="A23" s="12" t="inlineStr">
        <is>
          <t>Solved Home Field (pts)</t>
        </is>
      </c>
      <c r="B23" s="12" t="n">
        <v>5</v>
      </c>
      <c r="C23" s="32" t="inlineStr">
        <is>
          <t>Estimated from this season's results, shrunk toward the configured prior.</t>
        </is>
      </c>
    </row>
    <row r="24">
      <c r="A24" s="17" t="inlineStr">
        <is>
          <t>League avg points</t>
        </is>
      </c>
      <c r="B24" s="17" t="n">
        <v>26.5</v>
      </c>
      <c r="C24" s="33" t="inlineStr">
        <is>
          <t>Per team per game, used as the baseline for the totals model.</t>
        </is>
      </c>
    </row>
    <row r="25">
      <c r="A25" s="12" t="inlineStr">
        <is>
          <t>Odds source</t>
        </is>
      </c>
      <c r="B25" s="12" t="inlineStr">
        <is>
          <t>DraftKings, ESPN BET, Caesars Sportsbook</t>
        </is>
      </c>
      <c r="C25" s="32" t="inlineStr">
        <is>
          <t>ESPN's public feed. Free, keyless, single-book — no line shopping and no multi-book consensus.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12" customWidth="1" min="3" max="3"/>
    <col width="12" customWidth="1" min="4" max="4"/>
    <col width="12" customWidth="1" min="5" max="5"/>
  </cols>
  <sheetData>
    <row r="1" ht="22" customHeight="1">
      <c r="A1" s="1" t="inlineStr">
        <is>
          <t>Model Health</t>
        </is>
      </c>
    </row>
    <row r="2" ht="26" customHeight="1">
      <c r="A2" s="2" t="inlineStr">
        <is>
          <t>Whether the model deserves to be believed. Read this before the Board.</t>
        </is>
      </c>
    </row>
    <row r="4">
      <c r="A4" s="11" t="inlineStr">
        <is>
          <t>Claimed probability</t>
        </is>
      </c>
      <c r="B4" s="11" t="inlineStr">
        <is>
          <t>Bets</t>
        </is>
      </c>
      <c r="C4" s="11" t="inlineStr">
        <is>
          <t>Predicted</t>
        </is>
      </c>
      <c r="D4" s="11" t="inlineStr">
        <is>
          <t>Actual</t>
        </is>
      </c>
      <c r="E4" s="11" t="inlineStr">
        <is>
          <t>Gap</t>
        </is>
      </c>
    </row>
    <row r="5">
      <c r="A5" s="12" t="inlineStr">
        <is>
          <t>0-45%</t>
        </is>
      </c>
      <c r="B5" s="22" t="n">
        <v>6</v>
      </c>
      <c r="C5" s="15" t="n">
        <v>0.3303</v>
      </c>
      <c r="D5" s="15" t="n">
        <v>0</v>
      </c>
      <c r="E5" s="14" t="n">
        <v>-0.3303</v>
      </c>
    </row>
    <row r="6">
      <c r="A6" s="17" t="inlineStr">
        <is>
          <t>50-55%</t>
        </is>
      </c>
      <c r="B6" s="25" t="n">
        <v>2</v>
      </c>
      <c r="C6" s="20" t="n">
        <v>0.5302</v>
      </c>
      <c r="D6" s="20" t="n">
        <v>0</v>
      </c>
      <c r="E6" s="19" t="n">
        <v>-0.5302</v>
      </c>
    </row>
    <row r="7">
      <c r="A7" s="12" t="inlineStr">
        <is>
          <t>55-60%</t>
        </is>
      </c>
      <c r="B7" s="22" t="n">
        <v>3</v>
      </c>
      <c r="C7" s="15" t="n">
        <v>0.5975</v>
      </c>
      <c r="D7" s="15" t="n">
        <v>0.6667</v>
      </c>
      <c r="E7" s="14" t="n">
        <v>0.06919999999999993</v>
      </c>
    </row>
    <row r="8">
      <c r="A8" s="17" t="inlineStr">
        <is>
          <t>60-65%</t>
        </is>
      </c>
      <c r="B8" s="25" t="n">
        <v>23</v>
      </c>
      <c r="C8" s="20" t="n">
        <v>0.6221</v>
      </c>
      <c r="D8" s="20" t="n">
        <v>0.4783</v>
      </c>
      <c r="E8" s="19" t="n">
        <v>-0.1438</v>
      </c>
    </row>
    <row r="9">
      <c r="A9" s="12" t="inlineStr">
        <is>
          <t>65-75%</t>
        </is>
      </c>
      <c r="B9" s="22" t="n">
        <v>1</v>
      </c>
      <c r="C9" s="15" t="n">
        <v>0.6563</v>
      </c>
      <c r="D9" s="15" t="n">
        <v>1</v>
      </c>
      <c r="E9" s="14" t="n">
        <v>0.3437</v>
      </c>
    </row>
    <row r="11">
      <c r="A11" s="3" t="inlineStr">
        <is>
          <t>Average CLV</t>
        </is>
      </c>
      <c r="B11" s="34" t="n">
        <v>0.008069444444444443</v>
      </c>
    </row>
    <row r="12">
      <c r="A12" s="3" t="inlineStr">
        <is>
          <t>Bets beating the close</t>
        </is>
      </c>
      <c r="B12" s="35" t="n">
        <v>0.5</v>
      </c>
    </row>
    <row r="13">
      <c r="A13" s="3" t="inlineStr">
        <is>
          <t>Brier score</t>
        </is>
      </c>
      <c r="B13" s="36" t="n">
        <v>0.2374</v>
      </c>
    </row>
    <row r="14">
      <c r="A14" s="3" t="inlineStr">
        <is>
          <t>Settled bets</t>
        </is>
      </c>
      <c r="B14" s="37" t="n">
        <v>36</v>
      </c>
    </row>
    <row r="16">
      <c r="A16" s="38" t="inlineStr">
        <is>
          <t>What would tell you this model is broken. A calibration gap that stays negative across every bucket past 100 bets means it is systematically overconfident — raise market_blend. Average CLV below zero means it is consistently taking worse numbers than the market closes at, which no win rate can rescue. Tier ROI running backwards — LEAN out-earning BEST BET — means the edge estimate is not ordering bets correctly. Any of the three is a reason to stop betting it and go fix it.</t>
        </is>
      </c>
    </row>
    <row r="17"/>
    <row r="18"/>
    <row r="19"/>
    <row r="20"/>
  </sheetData>
  <mergeCells count="1">
    <mergeCell ref="A16:E20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31" topLeftCell="A32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1" customWidth="1" min="3" max="3"/>
    <col width="10" customWidth="1" min="4" max="4"/>
    <col width="12" customWidth="1" min="5" max="5"/>
  </cols>
  <sheetData>
    <row r="1" ht="22" customHeight="1">
      <c r="A1" s="1" t="inlineStr">
        <is>
          <t>Model History</t>
        </is>
      </c>
    </row>
    <row r="2" ht="26" customHeight="1">
      <c r="A2" s="2" t="inlineStr">
        <is>
          <t>Every market the model has ever priced, graded — whether or not it was ever bet. The Bet Ledger only shows games the model disagreed with the market on, which is exactly where its own error runs largest; this is the much larger, much less selected sample. One row is kept per market per game (the side the model actually favoured), so a win rate here is a real accuracy figure, not two complementary sides cancelling out to 50%.</t>
        </is>
      </c>
    </row>
    <row r="4">
      <c r="A4" s="3" t="inlineStr">
        <is>
          <t>Total logged</t>
        </is>
      </c>
      <c r="B4" s="39" t="n">
        <v>601</v>
      </c>
    </row>
    <row r="5">
      <c r="A5" s="3" t="inlineStr">
        <is>
          <t>Settled</t>
        </is>
      </c>
      <c r="B5" s="39" t="n">
        <v>300</v>
      </c>
    </row>
    <row r="6">
      <c r="A6" s="3" t="inlineStr">
        <is>
          <t>Pending</t>
        </is>
      </c>
      <c r="B6" s="39" t="n">
        <v>300</v>
      </c>
    </row>
    <row r="7">
      <c r="A7" s="3" t="inlineStr">
        <is>
          <t>Brier (all settled)</t>
        </is>
      </c>
      <c r="B7" s="40" t="n">
        <v>0.2542</v>
      </c>
    </row>
    <row r="9">
      <c r="A9" s="3" t="inlineStr">
        <is>
          <t>FULL-RECORD CALIBRATION</t>
        </is>
      </c>
    </row>
    <row r="10">
      <c r="A10" s="11" t="inlineStr">
        <is>
          <t>Claimed probability</t>
        </is>
      </c>
      <c r="B10" s="11" t="inlineStr">
        <is>
          <t>N</t>
        </is>
      </c>
      <c r="C10" s="11" t="inlineStr">
        <is>
          <t>Predicted</t>
        </is>
      </c>
      <c r="D10" s="11" t="inlineStr">
        <is>
          <t>Actual</t>
        </is>
      </c>
      <c r="E10" s="11" t="inlineStr">
        <is>
          <t>Gap</t>
        </is>
      </c>
    </row>
    <row r="11">
      <c r="A11" s="12" t="inlineStr">
        <is>
          <t>20-30%</t>
        </is>
      </c>
      <c r="B11" s="22" t="n">
        <v>42</v>
      </c>
      <c r="C11" s="15" t="n">
        <v>0.25</v>
      </c>
      <c r="D11" s="15" t="n">
        <v>0</v>
      </c>
      <c r="E11" s="14" t="n">
        <v>-0.25</v>
      </c>
    </row>
    <row r="12">
      <c r="A12" s="17" t="inlineStr">
        <is>
          <t>30-40%</t>
        </is>
      </c>
      <c r="B12" s="25" t="n">
        <v>21</v>
      </c>
      <c r="C12" s="20" t="n">
        <v>0.35</v>
      </c>
      <c r="D12" s="20" t="n">
        <v>0.3333</v>
      </c>
      <c r="E12" s="19" t="n">
        <v>-0.01669999999999999</v>
      </c>
    </row>
    <row r="13">
      <c r="A13" s="12" t="inlineStr">
        <is>
          <t>40-50%</t>
        </is>
      </c>
      <c r="B13" s="22" t="n">
        <v>16</v>
      </c>
      <c r="C13" s="15" t="n">
        <v>0.45</v>
      </c>
      <c r="D13" s="15" t="n">
        <v>0.4375</v>
      </c>
      <c r="E13" s="14" t="n">
        <v>-0.01250000000000001</v>
      </c>
    </row>
    <row r="14">
      <c r="A14" s="17" t="inlineStr">
        <is>
          <t>50-60%</t>
        </is>
      </c>
      <c r="B14" s="25" t="n">
        <v>108</v>
      </c>
      <c r="C14" s="20" t="n">
        <v>0.55</v>
      </c>
      <c r="D14" s="20" t="n">
        <v>0.5</v>
      </c>
      <c r="E14" s="19" t="n">
        <v>-0.05000000000000004</v>
      </c>
    </row>
    <row r="15">
      <c r="A15" s="12" t="inlineStr">
        <is>
          <t>60-70%</t>
        </is>
      </c>
      <c r="B15" s="22" t="n">
        <v>41</v>
      </c>
      <c r="C15" s="15" t="n">
        <v>0.65</v>
      </c>
      <c r="D15" s="15" t="n">
        <v>0.439</v>
      </c>
      <c r="E15" s="14" t="n">
        <v>-0.211</v>
      </c>
    </row>
    <row r="16">
      <c r="A16" s="17" t="inlineStr">
        <is>
          <t>70-80%</t>
        </is>
      </c>
      <c r="B16" s="25" t="n">
        <v>68</v>
      </c>
      <c r="C16" s="20" t="n">
        <v>0.75</v>
      </c>
      <c r="D16" s="20" t="n">
        <v>0.3529</v>
      </c>
      <c r="E16" s="19" t="n">
        <v>-0.3971</v>
      </c>
    </row>
    <row r="18">
      <c r="A18" s="3" t="inlineStr">
        <is>
          <t>ACCURACY BY TIER</t>
        </is>
      </c>
    </row>
    <row r="19">
      <c r="A19" s="11" t="inlineStr">
        <is>
          <t>Tier</t>
        </is>
      </c>
      <c r="B19" s="11" t="inlineStr">
        <is>
          <t>N</t>
        </is>
      </c>
      <c r="C19" s="11" t="inlineStr">
        <is>
          <t>Win Rate</t>
        </is>
      </c>
    </row>
    <row r="20">
      <c r="A20" s="12" t="inlineStr">
        <is>
          <t>GOOD</t>
        </is>
      </c>
      <c r="B20" s="22" t="n">
        <v>1</v>
      </c>
      <c r="C20" s="15" t="n">
        <v>0</v>
      </c>
    </row>
    <row r="21">
      <c r="A21" s="17" t="inlineStr">
        <is>
          <t>LEAN</t>
        </is>
      </c>
      <c r="B21" s="25" t="n">
        <v>9</v>
      </c>
      <c r="C21" s="20" t="n">
        <v>0.4444</v>
      </c>
    </row>
    <row r="22">
      <c r="A22" s="12" t="inlineStr">
        <is>
          <t>PASS</t>
        </is>
      </c>
      <c r="B22" s="22" t="n">
        <v>290</v>
      </c>
      <c r="C22" s="15" t="n">
        <v>0.369</v>
      </c>
    </row>
    <row r="24">
      <c r="A24" s="3" t="inlineStr">
        <is>
          <t>ACCURACY BY MARKET</t>
        </is>
      </c>
    </row>
    <row r="25">
      <c r="A25" s="11" t="inlineStr">
        <is>
          <t>Market</t>
        </is>
      </c>
      <c r="B25" s="11" t="inlineStr">
        <is>
          <t>N</t>
        </is>
      </c>
      <c r="C25" s="11" t="inlineStr">
        <is>
          <t>Win Rate</t>
        </is>
      </c>
      <c r="D25" s="11" t="inlineStr">
        <is>
          <t>Brier</t>
        </is>
      </c>
    </row>
    <row r="26">
      <c r="A26" s="12" t="inlineStr">
        <is>
          <t>ATS</t>
        </is>
      </c>
      <c r="B26" s="22" t="n">
        <v>101</v>
      </c>
      <c r="C26" s="15" t="n">
        <v>0.3663</v>
      </c>
      <c r="D26" s="41" t="n">
        <v>0.3441</v>
      </c>
    </row>
    <row r="27">
      <c r="A27" s="17" t="inlineStr">
        <is>
          <t>ML</t>
        </is>
      </c>
      <c r="B27" s="25" t="n">
        <v>77</v>
      </c>
      <c r="C27" s="20" t="n">
        <v>0.1429</v>
      </c>
      <c r="D27" s="42" t="n">
        <v>0.136</v>
      </c>
    </row>
    <row r="28">
      <c r="A28" s="12" t="inlineStr">
        <is>
          <t>TOTAL</t>
        </is>
      </c>
      <c r="B28" s="22" t="n">
        <v>122</v>
      </c>
      <c r="C28" s="15" t="n">
        <v>0.5164</v>
      </c>
      <c r="D28" s="41" t="n">
        <v>0.2545</v>
      </c>
    </row>
    <row r="30">
      <c r="A30" s="3" t="inlineStr">
        <is>
          <t>WEEK TREND</t>
        </is>
      </c>
    </row>
    <row r="31">
      <c r="A31" s="11" t="inlineStr">
        <is>
          <t>Week</t>
        </is>
      </c>
      <c r="B31" s="11" t="inlineStr">
        <is>
          <t>Predictions Settled</t>
        </is>
      </c>
      <c r="C31" s="11" t="inlineStr">
        <is>
          <t>Win Rate</t>
        </is>
      </c>
      <c r="D31" s="11" t="inlineStr">
        <is>
          <t>Brier</t>
        </is>
      </c>
    </row>
    <row r="32">
      <c r="A32" s="12" t="inlineStr">
        <is>
          <t>1</t>
        </is>
      </c>
      <c r="B32" s="22" t="n">
        <v>300</v>
      </c>
      <c r="C32" s="15" t="n">
        <v>0.37</v>
      </c>
      <c r="D32" s="41" t="n">
        <v>0.2542</v>
      </c>
    </row>
    <row r="34">
      <c r="A34" s="38" t="inlineStr">
        <is>
          <t>Watch this trend rather than any single week — a lower Brier and a win rate holding near its claimed probability as the season goes on is the model actually working, not luck on a handful of early games.</t>
        </is>
      </c>
    </row>
    <row r="35"/>
    <row r="36"/>
  </sheetData>
  <mergeCells count="1">
    <mergeCell ref="A34:E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2026-09-10T21:07:50Z</dcterms:created>
  <dcterms:modified xsi:type="dcterms:W3CDTF">2026-09-10T21:07:51Z</dcterms:modified>
</cp:coreProperties>
</file>
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110" headerRowCount="1">
  <autoFilter ref="A4:Q1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22" headerRowCount="1">
  <autoFilter ref="A4:G22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2026-09-13T13:07:55+00:00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Ledger'!$G$6:$G$104,"&lt;&gt;Pending",'Bet Ledger'!$H$6:$H$104)</f>
        <v/>
      </c>
    </row>
    <row r="6">
      <c r="A6" s="3" t="inlineStr">
        <is>
          <t>Total Staked</t>
        </is>
      </c>
      <c r="B6" s="5">
        <f>SUMIF('Bet Ledger'!$G$6:$G$104,"&lt;&gt;Pending",'Bet Ledger'!$F$6:$F$104)</f>
        <v/>
      </c>
    </row>
    <row r="7">
      <c r="A7" s="3" t="inlineStr">
        <is>
          <t>Profit / Loss</t>
        </is>
      </c>
      <c r="B7" s="5">
        <f>SUMIF('Bet Ledger'!$G$6:$G$104,"&lt;&gt;Pending",'Bet Ledger'!$H$6:$H$104)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Ledger'!$G$6:$G$104,"&lt;&gt;Pending",'Bet Ledger'!$G$6:$G$104,"&lt;&gt;")</f>
        <v/>
      </c>
    </row>
    <row r="10">
      <c r="A10" s="3" t="inlineStr">
        <is>
          <t>Wins</t>
        </is>
      </c>
      <c r="B10" s="7">
        <f>COUNTIF('Bet Ledger'!$G$6:$G$104,"Win")</f>
        <v/>
      </c>
    </row>
    <row r="11">
      <c r="A11" s="3" t="inlineStr">
        <is>
          <t>Losses</t>
        </is>
      </c>
      <c r="B11" s="7">
        <f>COUNTIF('Bet Ledger'!$G$6:$G$104,"Loss")</f>
        <v/>
      </c>
    </row>
    <row r="12">
      <c r="A12" s="3" t="inlineStr">
        <is>
          <t>Pushes</t>
        </is>
      </c>
      <c r="B12" s="7">
        <f>COUNTIF('Bet Ledger'!$G$6:$G$104,"Push")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Ledger'!$G$6:$G$104,"Pending")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0.2185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UK @ TA&amp;M</t>
        </is>
      </c>
      <c r="C21" s="12" t="inlineStr">
        <is>
          <t>ML</t>
        </is>
      </c>
      <c r="D21" s="12" t="inlineStr">
        <is>
          <t>UK ML</t>
        </is>
      </c>
      <c r="E21" s="13" t="n">
        <v>525</v>
      </c>
      <c r="F21" s="14" t="n">
        <v>0.09498690378139235</v>
      </c>
      <c r="G21" s="15" t="n">
        <v>0.2207433466428926</v>
      </c>
      <c r="H21" s="16" t="n"/>
      <c r="I21" s="12" t="inlineStr">
        <is>
          <t>2026-09-19 19:30</t>
        </is>
      </c>
    </row>
    <row r="22">
      <c r="A22" s="17" t="inlineStr">
        <is>
          <t>BEST BET</t>
        </is>
      </c>
      <c r="B22" s="17" t="inlineStr">
        <is>
          <t>WVU @ UVA</t>
        </is>
      </c>
      <c r="C22" s="17" t="inlineStr">
        <is>
          <t>ML</t>
        </is>
      </c>
      <c r="D22" s="17" t="inlineStr">
        <is>
          <t>WVU ML</t>
        </is>
      </c>
      <c r="E22" s="18" t="n">
        <v>280</v>
      </c>
      <c r="F22" s="19" t="n">
        <v>0.09497010289524119</v>
      </c>
      <c r="G22" s="20" t="n">
        <v>0.3571272971801126</v>
      </c>
      <c r="H22" s="21" t="n"/>
      <c r="I22" s="17" t="inlineStr">
        <is>
          <t>2026-09-19 23:30</t>
        </is>
      </c>
    </row>
    <row r="23">
      <c r="A23" s="12" t="inlineStr">
        <is>
          <t>BEST BET</t>
        </is>
      </c>
      <c r="B23" s="12" t="inlineStr">
        <is>
          <t>UNC @ CLEM</t>
        </is>
      </c>
      <c r="C23" s="12" t="inlineStr">
        <is>
          <t>ML</t>
        </is>
      </c>
      <c r="D23" s="12" t="inlineStr">
        <is>
          <t>UNC ML</t>
        </is>
      </c>
      <c r="E23" s="13" t="n">
        <v>295</v>
      </c>
      <c r="F23" s="14" t="n">
        <v>0.09477784298397547</v>
      </c>
      <c r="G23" s="15" t="n">
        <v>0.3206655344411097</v>
      </c>
      <c r="H23" s="16" t="n"/>
      <c r="I23" s="12" t="inlineStr">
        <is>
          <t>2026-09-19 16:00</t>
        </is>
      </c>
    </row>
    <row r="24">
      <c r="A24" s="17" t="inlineStr">
        <is>
          <t>BEST BET</t>
        </is>
      </c>
      <c r="B24" s="17" t="inlineStr">
        <is>
          <t>VT @ MD</t>
        </is>
      </c>
      <c r="C24" s="17" t="inlineStr">
        <is>
          <t>ML</t>
        </is>
      </c>
      <c r="D24" s="17" t="inlineStr">
        <is>
          <t>MD ML</t>
        </is>
      </c>
      <c r="E24" s="18" t="n">
        <v>124</v>
      </c>
      <c r="F24" s="19" t="n">
        <v>0.09463573332054402</v>
      </c>
      <c r="G24" s="20" t="n">
        <v>0.5550862691431292</v>
      </c>
      <c r="H24" s="21" t="n"/>
      <c r="I24" s="17" t="inlineStr">
        <is>
          <t>2026-09-19 23:30</t>
        </is>
      </c>
    </row>
    <row r="25">
      <c r="A25" s="12" t="inlineStr">
        <is>
          <t>GOOD</t>
        </is>
      </c>
      <c r="B25" s="12" t="inlineStr">
        <is>
          <t>LSU @ MISS</t>
        </is>
      </c>
      <c r="C25" s="12" t="inlineStr">
        <is>
          <t>ML</t>
        </is>
      </c>
      <c r="D25" s="12" t="inlineStr">
        <is>
          <t>MISS ML</t>
        </is>
      </c>
      <c r="E25" s="13" t="n">
        <v>120</v>
      </c>
      <c r="F25" s="14" t="n">
        <v>0.09340281540085382</v>
      </c>
      <c r="G25" s="15" t="n">
        <v>0.5354167687571457</v>
      </c>
      <c r="H25" s="16" t="n"/>
      <c r="I25" s="12" t="inlineStr">
        <is>
          <t>2026-09-19 23:30</t>
        </is>
      </c>
    </row>
    <row r="26">
      <c r="A26" s="17" t="inlineStr">
        <is>
          <t>GOOD</t>
        </is>
      </c>
      <c r="B26" s="17" t="inlineStr">
        <is>
          <t>KENT @ OSU</t>
        </is>
      </c>
      <c r="C26" s="17" t="inlineStr">
        <is>
          <t>TOTAL</t>
        </is>
      </c>
      <c r="D26" s="17" t="inlineStr">
        <is>
          <t>Under 56.5</t>
        </is>
      </c>
      <c r="E26" s="18" t="n">
        <v>-105</v>
      </c>
      <c r="F26" s="19" t="n">
        <v>0.09333574614427662</v>
      </c>
      <c r="G26" s="20" t="n">
        <v>0.5990423463756145</v>
      </c>
      <c r="H26" s="21" t="n"/>
      <c r="I26" s="17" t="inlineStr">
        <is>
          <t>2026-09-19 16:00</t>
        </is>
      </c>
    </row>
    <row r="27">
      <c r="A27" s="12" t="inlineStr">
        <is>
          <t>GOOD</t>
        </is>
      </c>
      <c r="B27" s="12" t="inlineStr">
        <is>
          <t>WKU @ IU</t>
        </is>
      </c>
      <c r="C27" s="12" t="inlineStr">
        <is>
          <t>TOTAL</t>
        </is>
      </c>
      <c r="D27" s="12" t="inlineStr">
        <is>
          <t>Under 59.5</t>
        </is>
      </c>
      <c r="E27" s="13" t="n">
        <v>-108</v>
      </c>
      <c r="F27" s="14" t="n">
        <v>0.09281882135272705</v>
      </c>
      <c r="G27" s="15" t="n">
        <v>0.6005746841012343</v>
      </c>
      <c r="H27" s="16" t="n"/>
      <c r="I27" s="12" t="inlineStr">
        <is>
          <t>2026-09-19 20:00</t>
        </is>
      </c>
    </row>
    <row r="28">
      <c r="A28" s="17" t="inlineStr">
        <is>
          <t>GOOD</t>
        </is>
      </c>
      <c r="B28" s="17" t="inlineStr">
        <is>
          <t>SYR @ PITT</t>
        </is>
      </c>
      <c r="C28" s="17" t="inlineStr">
        <is>
          <t>ML</t>
        </is>
      </c>
      <c r="D28" s="17" t="inlineStr">
        <is>
          <t>SYR ML</t>
        </is>
      </c>
      <c r="E28" s="18" t="n">
        <v>300</v>
      </c>
      <c r="F28" s="19" t="n">
        <v>0.09272556815502582</v>
      </c>
      <c r="G28" s="20" t="n">
        <v>0.2903110599153722</v>
      </c>
      <c r="H28" s="21" t="n"/>
      <c r="I28" s="17" t="inlineStr">
        <is>
          <t>2026-09-17 23:30</t>
        </is>
      </c>
    </row>
    <row r="29">
      <c r="A29" s="12" t="inlineStr">
        <is>
          <t>GOOD</t>
        </is>
      </c>
      <c r="B29" s="12" t="inlineStr">
        <is>
          <t>SMU @ LOU</t>
        </is>
      </c>
      <c r="C29" s="12" t="inlineStr">
        <is>
          <t>TOTAL</t>
        </is>
      </c>
      <c r="D29" s="12" t="inlineStr">
        <is>
          <t>Under 58.5</t>
        </is>
      </c>
      <c r="E29" s="13" t="n">
        <v>-105</v>
      </c>
      <c r="F29" s="14" t="n">
        <v>0.0921997432727879</v>
      </c>
      <c r="G29" s="15" t="n">
        <v>0.5868116110138246</v>
      </c>
      <c r="H29" s="16" t="n"/>
      <c r="I29" s="12" t="inlineStr">
        <is>
          <t>2026-09-19 19:30</t>
        </is>
      </c>
    </row>
    <row r="30">
      <c r="A30" s="17" t="inlineStr">
        <is>
          <t>GOOD</t>
        </is>
      </c>
      <c r="B30" s="17" t="inlineStr">
        <is>
          <t>FLA @ AUB</t>
        </is>
      </c>
      <c r="C30" s="17" t="inlineStr">
        <is>
          <t>ML</t>
        </is>
      </c>
      <c r="D30" s="17" t="inlineStr">
        <is>
          <t>AUB ML</t>
        </is>
      </c>
      <c r="E30" s="18" t="n">
        <v>114</v>
      </c>
      <c r="F30" s="19" t="n">
        <v>0.09190987409275203</v>
      </c>
      <c r="G30" s="20" t="n">
        <v>0.5359671772647854</v>
      </c>
      <c r="H30" s="21" t="n"/>
      <c r="I30" s="17" t="inlineStr">
        <is>
          <t>2026-09-19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UK @ TA&amp;M</t>
        </is>
      </c>
      <c r="C5" s="12" t="inlineStr">
        <is>
          <t>2026-09-19 19:30</t>
        </is>
      </c>
      <c r="D5" s="22" t="n">
        <v>3</v>
      </c>
      <c r="E5" s="12" t="inlineStr">
        <is>
          <t>ML</t>
        </is>
      </c>
      <c r="F5" s="12" t="inlineStr">
        <is>
          <t>UK ML</t>
        </is>
      </c>
      <c r="G5" s="23" t="n"/>
      <c r="H5" s="13" t="n">
        <v>525</v>
      </c>
      <c r="I5" s="15" t="n">
        <v>0.2207433466428926</v>
      </c>
      <c r="J5" s="15" t="n">
        <v>0.1516966067864272</v>
      </c>
      <c r="K5" s="15" t="n">
        <v>0.16</v>
      </c>
      <c r="L5" s="14" t="n">
        <v>0.09498690378139235</v>
      </c>
      <c r="M5" s="14" t="n">
        <v>0.379645916518079</v>
      </c>
      <c r="N5" s="15" t="n">
        <v>0</v>
      </c>
      <c r="O5" s="24" t="n">
        <v>0.75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WVU @ UVA</t>
        </is>
      </c>
      <c r="C6" s="17" t="inlineStr">
        <is>
          <t>2026-09-19 23:30</t>
        </is>
      </c>
      <c r="D6" s="25" t="n">
        <v>3</v>
      </c>
      <c r="E6" s="17" t="inlineStr">
        <is>
          <t>ML</t>
        </is>
      </c>
      <c r="F6" s="17" t="inlineStr">
        <is>
          <t>WVU ML</t>
        </is>
      </c>
      <c r="G6" s="26" t="n"/>
      <c r="H6" s="18" t="n">
        <v>280</v>
      </c>
      <c r="I6" s="20" t="n">
        <v>0.3571272971801126</v>
      </c>
      <c r="J6" s="20" t="n">
        <v>0.2522172949002217</v>
      </c>
      <c r="K6" s="20" t="n">
        <v>0.2631578947368421</v>
      </c>
      <c r="L6" s="19" t="n">
        <v>0.09497010289524119</v>
      </c>
      <c r="M6" s="19" t="n">
        <v>0.3570837292844278</v>
      </c>
      <c r="N6" s="20" t="n">
        <v>0</v>
      </c>
      <c r="O6" s="27" t="n">
        <v>0.839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UNC @ CLEM</t>
        </is>
      </c>
      <c r="C7" s="12" t="inlineStr">
        <is>
          <t>2026-09-19 16:00</t>
        </is>
      </c>
      <c r="D7" s="22" t="n">
        <v>3</v>
      </c>
      <c r="E7" s="12" t="inlineStr">
        <is>
          <t>ML</t>
        </is>
      </c>
      <c r="F7" s="12" t="inlineStr">
        <is>
          <t>UNC ML</t>
        </is>
      </c>
      <c r="G7" s="23" t="n"/>
      <c r="H7" s="13" t="n">
        <v>295</v>
      </c>
      <c r="I7" s="15" t="n">
        <v>0.3206655344411097</v>
      </c>
      <c r="J7" s="15" t="n">
        <v>0.2428115015974441</v>
      </c>
      <c r="K7" s="15" t="n">
        <v>0.2531645569620253</v>
      </c>
      <c r="L7" s="14" t="n">
        <v>0.09477784298397547</v>
      </c>
      <c r="M7" s="14" t="n">
        <v>0.2666288610423833</v>
      </c>
      <c r="N7" s="15" t="n">
        <v>0</v>
      </c>
      <c r="O7" s="24" t="n">
        <v>0.839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VT @ MD</t>
        </is>
      </c>
      <c r="C8" s="17" t="inlineStr">
        <is>
          <t>2026-09-19 23:30</t>
        </is>
      </c>
      <c r="D8" s="25" t="n">
        <v>3</v>
      </c>
      <c r="E8" s="17" t="inlineStr">
        <is>
          <t>ML</t>
        </is>
      </c>
      <c r="F8" s="17" t="inlineStr">
        <is>
          <t>MD ML</t>
        </is>
      </c>
      <c r="G8" s="26" t="n"/>
      <c r="H8" s="18" t="n">
        <v>124</v>
      </c>
      <c r="I8" s="20" t="n">
        <v>0.5550862691431292</v>
      </c>
      <c r="J8" s="20" t="n">
        <v>0.4279403644395361</v>
      </c>
      <c r="K8" s="20" t="n">
        <v>0.4464285714285715</v>
      </c>
      <c r="L8" s="19" t="n">
        <v>0.09463573332054402</v>
      </c>
      <c r="M8" s="19" t="n">
        <v>0.2433932428806096</v>
      </c>
      <c r="N8" s="20" t="n">
        <v>0</v>
      </c>
      <c r="O8" s="27" t="n">
        <v>0.839</v>
      </c>
      <c r="P8" s="17" t="inlineStr">
        <is>
          <t>Draft Kings</t>
        </is>
      </c>
      <c r="Q8" s="17" t="n"/>
    </row>
    <row r="9">
      <c r="A9" s="12" t="inlineStr">
        <is>
          <t>GOOD</t>
        </is>
      </c>
      <c r="B9" s="12" t="inlineStr">
        <is>
          <t>LSU @ MISS</t>
        </is>
      </c>
      <c r="C9" s="12" t="inlineStr">
        <is>
          <t>2026-09-19 23:30</t>
        </is>
      </c>
      <c r="D9" s="22" t="n">
        <v>3</v>
      </c>
      <c r="E9" s="12" t="inlineStr">
        <is>
          <t>ML</t>
        </is>
      </c>
      <c r="F9" s="12" t="inlineStr">
        <is>
          <t>MISS ML</t>
        </is>
      </c>
      <c r="G9" s="23" t="n"/>
      <c r="H9" s="13" t="n">
        <v>120</v>
      </c>
      <c r="I9" s="15" t="n">
        <v>0.5354167687571457</v>
      </c>
      <c r="J9" s="15" t="n">
        <v>0.4365079365079365</v>
      </c>
      <c r="K9" s="15" t="n">
        <v>0.4545454545454545</v>
      </c>
      <c r="L9" s="14" t="n">
        <v>0.09340281540085382</v>
      </c>
      <c r="M9" s="14" t="n">
        <v>0.1779168912657207</v>
      </c>
      <c r="N9" s="15" t="n">
        <v>0</v>
      </c>
      <c r="O9" s="24" t="n">
        <v>0.839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KENT @ OSU</t>
        </is>
      </c>
      <c r="C10" s="17" t="inlineStr">
        <is>
          <t>2026-09-19 16:00</t>
        </is>
      </c>
      <c r="D10" s="25" t="n">
        <v>3</v>
      </c>
      <c r="E10" s="17" t="inlineStr">
        <is>
          <t>TOTAL</t>
        </is>
      </c>
      <c r="F10" s="17" t="inlineStr">
        <is>
          <t>Under 56.5</t>
        </is>
      </c>
      <c r="G10" s="26" t="n">
        <v>56.5</v>
      </c>
      <c r="H10" s="18" t="n">
        <v>-105</v>
      </c>
      <c r="I10" s="20" t="n">
        <v>0.5990423463756145</v>
      </c>
      <c r="J10" s="20" t="n">
        <v>0.4891657638136511</v>
      </c>
      <c r="K10" s="20" t="n">
        <v>0.5121951219512195</v>
      </c>
      <c r="L10" s="19" t="n">
        <v>0.09333574614427662</v>
      </c>
      <c r="M10" s="19" t="n">
        <v>0.1695588667333425</v>
      </c>
      <c r="N10" s="20" t="n">
        <v>0</v>
      </c>
      <c r="O10" s="27" t="n">
        <v>0.75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WKU @ IU</t>
        </is>
      </c>
      <c r="C11" s="12" t="inlineStr">
        <is>
          <t>2026-09-19 20:00</t>
        </is>
      </c>
      <c r="D11" s="22" t="n">
        <v>3</v>
      </c>
      <c r="E11" s="12" t="inlineStr">
        <is>
          <t>TOTAL</t>
        </is>
      </c>
      <c r="F11" s="12" t="inlineStr">
        <is>
          <t>Under 59.5</t>
        </is>
      </c>
      <c r="G11" s="23" t="n">
        <v>59.5</v>
      </c>
      <c r="H11" s="13" t="n">
        <v>-108</v>
      </c>
      <c r="I11" s="15" t="n">
        <v>0.6005746841012343</v>
      </c>
      <c r="J11" s="15" t="n">
        <v>0.4956702459300312</v>
      </c>
      <c r="K11" s="15" t="n">
        <v>0.5192307692307693</v>
      </c>
      <c r="L11" s="14" t="n">
        <v>0.09281882135272705</v>
      </c>
      <c r="M11" s="14" t="n">
        <v>0.1566623545653401</v>
      </c>
      <c r="N11" s="15" t="n">
        <v>0</v>
      </c>
      <c r="O11" s="24" t="n">
        <v>0.8333333333333334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SYR @ PITT</t>
        </is>
      </c>
      <c r="C12" s="17" t="inlineStr">
        <is>
          <t>2026-09-17 23:30</t>
        </is>
      </c>
      <c r="D12" s="25" t="n">
        <v>3</v>
      </c>
      <c r="E12" s="17" t="inlineStr">
        <is>
          <t>ML</t>
        </is>
      </c>
      <c r="F12" s="17" t="inlineStr">
        <is>
          <t>SYR ML</t>
        </is>
      </c>
      <c r="G12" s="26" t="n"/>
      <c r="H12" s="18" t="n">
        <v>300</v>
      </c>
      <c r="I12" s="20" t="n">
        <v>0.2903110599153722</v>
      </c>
      <c r="J12" s="20" t="n">
        <v>0.24</v>
      </c>
      <c r="K12" s="20" t="n">
        <v>0.25</v>
      </c>
      <c r="L12" s="19" t="n">
        <v>0.09272556815502582</v>
      </c>
      <c r="M12" s="19" t="n">
        <v>0.1612442396614888</v>
      </c>
      <c r="N12" s="20" t="n">
        <v>0</v>
      </c>
      <c r="O12" s="27" t="n">
        <v>0.839</v>
      </c>
      <c r="P12" s="17" t="inlineStr">
        <is>
          <t>Draft Kings</t>
        </is>
      </c>
      <c r="Q12" s="17" t="n"/>
    </row>
    <row r="13">
      <c r="A13" s="12" t="inlineStr">
        <is>
          <t>GOOD</t>
        </is>
      </c>
      <c r="B13" s="12" t="inlineStr">
        <is>
          <t>SMU @ LOU</t>
        </is>
      </c>
      <c r="C13" s="12" t="inlineStr">
        <is>
          <t>2026-09-19 19:30</t>
        </is>
      </c>
      <c r="D13" s="22" t="n">
        <v>3</v>
      </c>
      <c r="E13" s="12" t="inlineStr">
        <is>
          <t>TOTAL</t>
        </is>
      </c>
      <c r="F13" s="12" t="inlineStr">
        <is>
          <t>Under 58.5</t>
        </is>
      </c>
      <c r="G13" s="23" t="n">
        <v>58.5</v>
      </c>
      <c r="H13" s="13" t="n">
        <v>-105</v>
      </c>
      <c r="I13" s="15" t="n">
        <v>0.5868116110138246</v>
      </c>
      <c r="J13" s="15" t="n">
        <v>0.4891657638136511</v>
      </c>
      <c r="K13" s="15" t="n">
        <v>0.5121951219512195</v>
      </c>
      <c r="L13" s="14" t="n">
        <v>0.0921997432727879</v>
      </c>
      <c r="M13" s="14" t="n">
        <v>0.1456798119793719</v>
      </c>
      <c r="N13" s="15" t="n">
        <v>0</v>
      </c>
      <c r="O13" s="24" t="n">
        <v>0.839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FLA @ AUB</t>
        </is>
      </c>
      <c r="C14" s="17" t="inlineStr">
        <is>
          <t>2026-09-19 23:00</t>
        </is>
      </c>
      <c r="D14" s="25" t="n">
        <v>3</v>
      </c>
      <c r="E14" s="17" t="inlineStr">
        <is>
          <t>ML</t>
        </is>
      </c>
      <c r="F14" s="17" t="inlineStr">
        <is>
          <t>AUB ML</t>
        </is>
      </c>
      <c r="G14" s="26" t="n"/>
      <c r="H14" s="18" t="n">
        <v>114</v>
      </c>
      <c r="I14" s="20" t="n">
        <v>0.5359671772647854</v>
      </c>
      <c r="J14" s="20" t="n">
        <v>0.448558885283451</v>
      </c>
      <c r="K14" s="20" t="n">
        <v>0.4672897196261682</v>
      </c>
      <c r="L14" s="19" t="n">
        <v>0.09190987409275203</v>
      </c>
      <c r="M14" s="19" t="n">
        <v>0.1469697593466406</v>
      </c>
      <c r="N14" s="20" t="n">
        <v>0</v>
      </c>
      <c r="O14" s="27" t="n">
        <v>0.839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WAKE</t>
        </is>
      </c>
      <c r="C15" s="12" t="inlineStr">
        <is>
          <t>2026-09-18 23:30</t>
        </is>
      </c>
      <c r="D15" s="22" t="n">
        <v>3</v>
      </c>
      <c r="E15" s="12" t="inlineStr">
        <is>
          <t>ML</t>
        </is>
      </c>
      <c r="F15" s="12" t="inlineStr">
        <is>
          <t>WAKE ML</t>
        </is>
      </c>
      <c r="G15" s="23" t="n"/>
      <c r="H15" s="13" t="n">
        <v>1000</v>
      </c>
      <c r="I15" s="15" t="n">
        <v>0.3394779337547694</v>
      </c>
      <c r="J15" s="15" t="n">
        <v>0.08755760368663595</v>
      </c>
      <c r="K15" s="15" t="n">
        <v>0.09090909090909091</v>
      </c>
      <c r="L15" s="14" t="n">
        <v>0.095</v>
      </c>
      <c r="M15" s="14" t="n">
        <v>2.734257271302464</v>
      </c>
      <c r="N15" s="15" t="n">
        <v>0</v>
      </c>
      <c r="O15" s="24" t="n">
        <v>0.839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MSU @ ND</t>
        </is>
      </c>
      <c r="C16" s="17" t="inlineStr">
        <is>
          <t>2026-09-19 23:30</t>
        </is>
      </c>
      <c r="D16" s="25" t="n">
        <v>3</v>
      </c>
      <c r="E16" s="17" t="inlineStr">
        <is>
          <t>ML</t>
        </is>
      </c>
      <c r="F16" s="17" t="inlineStr">
        <is>
          <t>MSU ML</t>
        </is>
      </c>
      <c r="G16" s="26" t="n"/>
      <c r="H16" s="18" t="n">
        <v>2200</v>
      </c>
      <c r="I16" s="20" t="n">
        <v>0.1766118144924604</v>
      </c>
      <c r="J16" s="20" t="n">
        <v>0.04216553878188443</v>
      </c>
      <c r="K16" s="20" t="n">
        <v>0.04347826086956522</v>
      </c>
      <c r="L16" s="19" t="n">
        <v>0.095</v>
      </c>
      <c r="M16" s="19" t="n">
        <v>3.06207173332659</v>
      </c>
      <c r="N16" s="20" t="n">
        <v>0</v>
      </c>
      <c r="O16" s="27" t="n">
        <v>0.8333333333333334</v>
      </c>
      <c r="P16" s="17" t="inlineStr">
        <is>
          <t>Draft 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UTSA @ TEX</t>
        </is>
      </c>
      <c r="C17" s="12" t="inlineStr">
        <is>
          <t>2026-09-20 00:00</t>
        </is>
      </c>
      <c r="D17" s="22" t="n">
        <v>3</v>
      </c>
      <c r="E17" s="12" t="inlineStr">
        <is>
          <t>ML</t>
        </is>
      </c>
      <c r="F17" s="12" t="inlineStr">
        <is>
          <t>UTSA ML</t>
        </is>
      </c>
      <c r="G17" s="23" t="n"/>
      <c r="H17" s="13" t="n">
        <v>2000</v>
      </c>
      <c r="I17" s="15" t="n">
        <v>0.2245573435600018</v>
      </c>
      <c r="J17" s="15" t="n">
        <v>0.0461215932914046</v>
      </c>
      <c r="K17" s="15" t="n">
        <v>0.04761904761904762</v>
      </c>
      <c r="L17" s="14" t="n">
        <v>0.095</v>
      </c>
      <c r="M17" s="14" t="n">
        <v>3.715704214760038</v>
      </c>
      <c r="N17" s="15" t="n">
        <v>0</v>
      </c>
      <c r="O17" s="24" t="n">
        <v>0.75</v>
      </c>
      <c r="P17" s="12" t="inlineStr">
        <is>
          <t>Draft 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UGA @ ARK</t>
        </is>
      </c>
      <c r="C18" s="17" t="inlineStr">
        <is>
          <t>2026-09-19 16:00</t>
        </is>
      </c>
      <c r="D18" s="25" t="n">
        <v>3</v>
      </c>
      <c r="E18" s="17" t="inlineStr">
        <is>
          <t>ML</t>
        </is>
      </c>
      <c r="F18" s="17" t="inlineStr">
        <is>
          <t>ARK ML</t>
        </is>
      </c>
      <c r="G18" s="26" t="n"/>
      <c r="H18" s="18" t="n">
        <v>600</v>
      </c>
      <c r="I18" s="20" t="n">
        <v>0.3615200116715681</v>
      </c>
      <c r="J18" s="20" t="n">
        <v>0.136986301369863</v>
      </c>
      <c r="K18" s="20" t="n">
        <v>0.1428571428571428</v>
      </c>
      <c r="L18" s="19" t="n">
        <v>0.09499999999999981</v>
      </c>
      <c r="M18" s="19" t="n">
        <v>1.530640081700977</v>
      </c>
      <c r="N18" s="20" t="n">
        <v>0</v>
      </c>
      <c r="O18" s="27" t="n">
        <v>0.839</v>
      </c>
      <c r="P18" s="17" t="inlineStr">
        <is>
          <t>Draft Kings</t>
        </is>
      </c>
      <c r="Q18" s="17" t="inlineStr">
        <is>
          <t>raw model/market disagreement exceeds the safety limit</t>
        </is>
      </c>
    </row>
    <row r="19">
      <c r="A19" s="12" t="inlineStr">
        <is>
          <t>PASS</t>
        </is>
      </c>
      <c r="B19" s="12" t="inlineStr">
        <is>
          <t>FSU @ ALA</t>
        </is>
      </c>
      <c r="C19" s="12" t="inlineStr">
        <is>
          <t>2026-09-19 19:30</t>
        </is>
      </c>
      <c r="D19" s="22" t="n">
        <v>3</v>
      </c>
      <c r="E19" s="12" t="inlineStr">
        <is>
          <t>ML</t>
        </is>
      </c>
      <c r="F19" s="12" t="inlineStr">
        <is>
          <t>FSU ML</t>
        </is>
      </c>
      <c r="G19" s="23" t="n"/>
      <c r="H19" s="13" t="n">
        <v>625</v>
      </c>
      <c r="I19" s="15" t="n">
        <v>0.2258039136560673</v>
      </c>
      <c r="J19" s="15" t="n">
        <v>0.1322834645669291</v>
      </c>
      <c r="K19" s="15" t="n">
        <v>0.1379310344827586</v>
      </c>
      <c r="L19" s="14" t="n">
        <v>0.09499993470248091</v>
      </c>
      <c r="M19" s="14" t="n">
        <v>0.6370783740064883</v>
      </c>
      <c r="N19" s="15" t="n">
        <v>0</v>
      </c>
      <c r="O19" s="24" t="n">
        <v>0.839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KENT @ OSU</t>
        </is>
      </c>
      <c r="C20" s="17" t="inlineStr">
        <is>
          <t>2026-09-19 16:00</t>
        </is>
      </c>
      <c r="D20" s="25" t="n">
        <v>3</v>
      </c>
      <c r="E20" s="17" t="inlineStr">
        <is>
          <t>ATS</t>
        </is>
      </c>
      <c r="F20" s="17" t="inlineStr">
        <is>
          <t>KENT +52.5</t>
        </is>
      </c>
      <c r="G20" s="26" t="n">
        <v>-52.5</v>
      </c>
      <c r="H20" s="18" t="n">
        <v>-102</v>
      </c>
      <c r="I20" s="20" t="n">
        <v>0.7412247026465283</v>
      </c>
      <c r="J20" s="20" t="n">
        <v>0.4826358742837298</v>
      </c>
      <c r="K20" s="20" t="n">
        <v>0.504950495049505</v>
      </c>
      <c r="L20" s="19" t="n">
        <v>0.09499760090231815</v>
      </c>
      <c r="M20" s="19" t="n">
        <v>0.467915587594105</v>
      </c>
      <c r="N20" s="20" t="n">
        <v>0</v>
      </c>
      <c r="O20" s="27" t="n">
        <v>0.75</v>
      </c>
      <c r="P20" s="17" t="inlineStr">
        <is>
          <t>Draft 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UTSA @ TEX</t>
        </is>
      </c>
      <c r="C21" s="12" t="inlineStr">
        <is>
          <t>2026-09-20 00:00</t>
        </is>
      </c>
      <c r="D21" s="22" t="n">
        <v>3</v>
      </c>
      <c r="E21" s="12" t="inlineStr">
        <is>
          <t>ATS</t>
        </is>
      </c>
      <c r="F21" s="12" t="inlineStr">
        <is>
          <t>UTSA +29.5</t>
        </is>
      </c>
      <c r="G21" s="23" t="n">
        <v>-29.5</v>
      </c>
      <c r="H21" s="13" t="n">
        <v>-105</v>
      </c>
      <c r="I21" s="15" t="n">
        <v>0.7350600295334859</v>
      </c>
      <c r="J21" s="15" t="n">
        <v>0.4891657638136511</v>
      </c>
      <c r="K21" s="15" t="n">
        <v>0.5121951219512195</v>
      </c>
      <c r="L21" s="14" t="n">
        <v>0.0949951837332116</v>
      </c>
      <c r="M21" s="14" t="n">
        <v>0.4351172005177582</v>
      </c>
      <c r="N21" s="15" t="n">
        <v>0</v>
      </c>
      <c r="O21" s="24" t="n">
        <v>0.75</v>
      </c>
      <c r="P21" s="12" t="inlineStr">
        <is>
          <t>Draft 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WKU @ IU</t>
        </is>
      </c>
      <c r="C22" s="17" t="inlineStr">
        <is>
          <t>2026-09-19 20:00</t>
        </is>
      </c>
      <c r="D22" s="25" t="n">
        <v>3</v>
      </c>
      <c r="E22" s="17" t="inlineStr">
        <is>
          <t>ATS</t>
        </is>
      </c>
      <c r="F22" s="17" t="inlineStr">
        <is>
          <t>WKU +44.5</t>
        </is>
      </c>
      <c r="G22" s="26" t="n">
        <v>-44.5</v>
      </c>
      <c r="H22" s="18" t="n">
        <v>-112</v>
      </c>
      <c r="I22" s="20" t="n">
        <v>0.7512603857292438</v>
      </c>
      <c r="J22" s="20" t="n">
        <v>0.5043297540699688</v>
      </c>
      <c r="K22" s="20" t="n">
        <v>0.5283018867924528</v>
      </c>
      <c r="L22" s="19" t="n">
        <v>0.09499365969172073</v>
      </c>
      <c r="M22" s="19" t="n">
        <v>0.4220285872732115</v>
      </c>
      <c r="N22" s="20" t="n">
        <v>0</v>
      </c>
      <c r="O22" s="27" t="n">
        <v>0.8333333333333334</v>
      </c>
      <c r="P22" s="17" t="inlineStr">
        <is>
          <t>Draft 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MIA @ WAKE</t>
        </is>
      </c>
      <c r="C23" s="12" t="inlineStr">
        <is>
          <t>2026-09-18 23:30</t>
        </is>
      </c>
      <c r="D23" s="22" t="n">
        <v>3</v>
      </c>
      <c r="E23" s="12" t="inlineStr">
        <is>
          <t>ATS</t>
        </is>
      </c>
      <c r="F23" s="12" t="inlineStr">
        <is>
          <t>WAKE +22.5</t>
        </is>
      </c>
      <c r="G23" s="23" t="n">
        <v>22.5</v>
      </c>
      <c r="H23" s="13" t="n">
        <v>-112</v>
      </c>
      <c r="I23" s="15" t="n">
        <v>0.7421367252782727</v>
      </c>
      <c r="J23" s="15" t="n">
        <v>0.5043297540699688</v>
      </c>
      <c r="K23" s="15" t="n">
        <v>0.5283018867924528</v>
      </c>
      <c r="L23" s="14" t="n">
        <v>0.09499072086787511</v>
      </c>
      <c r="M23" s="14" t="n">
        <v>0.4047588014195875</v>
      </c>
      <c r="N23" s="15" t="n">
        <v>0</v>
      </c>
      <c r="O23" s="24" t="n">
        <v>0.839</v>
      </c>
      <c r="P23" s="12" t="inlineStr">
        <is>
          <t>Draft 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UGA @ ARK</t>
        </is>
      </c>
      <c r="C24" s="17" t="inlineStr">
        <is>
          <t>2026-09-19 16:00</t>
        </is>
      </c>
      <c r="D24" s="25" t="n">
        <v>3</v>
      </c>
      <c r="E24" s="17" t="inlineStr">
        <is>
          <t>ATS</t>
        </is>
      </c>
      <c r="F24" s="17" t="inlineStr">
        <is>
          <t>ARK +17.5</t>
        </is>
      </c>
      <c r="G24" s="26" t="n">
        <v>17.5</v>
      </c>
      <c r="H24" s="18" t="n">
        <v>-110</v>
      </c>
      <c r="I24" s="20" t="n">
        <v>0.7263221042791141</v>
      </c>
      <c r="J24" s="20" t="n">
        <v>0.5</v>
      </c>
      <c r="K24" s="20" t="n">
        <v>0.5238095238095238</v>
      </c>
      <c r="L24" s="19" t="n">
        <v>0.09498619052559149</v>
      </c>
      <c r="M24" s="19" t="n">
        <v>0.3866149263510361</v>
      </c>
      <c r="N24" s="20" t="n">
        <v>0</v>
      </c>
      <c r="O24" s="27" t="n">
        <v>0.839</v>
      </c>
      <c r="P24" s="17" t="inlineStr">
        <is>
          <t>Draft 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MSU @ ND</t>
        </is>
      </c>
      <c r="C25" s="12" t="inlineStr">
        <is>
          <t>2026-09-19 23:30</t>
        </is>
      </c>
      <c r="D25" s="22" t="n">
        <v>3</v>
      </c>
      <c r="E25" s="12" t="inlineStr">
        <is>
          <t>ATS</t>
        </is>
      </c>
      <c r="F25" s="12" t="inlineStr">
        <is>
          <t>MSU +29.5</t>
        </is>
      </c>
      <c r="G25" s="23" t="n">
        <v>-29.5</v>
      </c>
      <c r="H25" s="13" t="n">
        <v>-115</v>
      </c>
      <c r="I25" s="15" t="n">
        <v>0.7379910621160111</v>
      </c>
      <c r="J25" s="15" t="n">
        <v>0.5108342361863488</v>
      </c>
      <c r="K25" s="15" t="n">
        <v>0.5348837209302325</v>
      </c>
      <c r="L25" s="14" t="n">
        <v>0.09498366927967276</v>
      </c>
      <c r="M25" s="14" t="n">
        <v>0.3797224204777596</v>
      </c>
      <c r="N25" s="15" t="n">
        <v>0</v>
      </c>
      <c r="O25" s="24" t="n">
        <v>0.8333333333333334</v>
      </c>
      <c r="P25" s="12" t="inlineStr">
        <is>
          <t>Draft 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FSU @ ALA</t>
        </is>
      </c>
      <c r="C26" s="17" t="inlineStr">
        <is>
          <t>2026-09-19 19:30</t>
        </is>
      </c>
      <c r="D26" s="25" t="n">
        <v>3</v>
      </c>
      <c r="E26" s="17" t="inlineStr">
        <is>
          <t>ATS</t>
        </is>
      </c>
      <c r="F26" s="17" t="inlineStr">
        <is>
          <t>FSU +17.5</t>
        </is>
      </c>
      <c r="G26" s="26" t="n">
        <v>-17.5</v>
      </c>
      <c r="H26" s="18" t="n">
        <v>-115</v>
      </c>
      <c r="I26" s="20" t="n">
        <v>0.6719224155293954</v>
      </c>
      <c r="J26" s="20" t="n">
        <v>0.5108342361863488</v>
      </c>
      <c r="K26" s="20" t="n">
        <v>0.5348837209302325</v>
      </c>
      <c r="L26" s="19" t="n">
        <v>0.09475169340548641</v>
      </c>
      <c r="M26" s="19" t="n">
        <v>0.2562027768593043</v>
      </c>
      <c r="N26" s="20" t="n">
        <v>0</v>
      </c>
      <c r="O26" s="27" t="n">
        <v>0.839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VT @ MD</t>
        </is>
      </c>
      <c r="C27" s="12" t="inlineStr">
        <is>
          <t>2026-09-19 23:30</t>
        </is>
      </c>
      <c r="D27" s="22" t="n">
        <v>3</v>
      </c>
      <c r="E27" s="12" t="inlineStr">
        <is>
          <t>ATS</t>
        </is>
      </c>
      <c r="F27" s="12" t="inlineStr">
        <is>
          <t>MD +3</t>
        </is>
      </c>
      <c r="G27" s="23" t="n">
        <v>3</v>
      </c>
      <c r="H27" s="13" t="n">
        <v>-108</v>
      </c>
      <c r="I27" s="15" t="n">
        <v>0.6341905206163307</v>
      </c>
      <c r="J27" s="15" t="n">
        <v>0.4956702459300312</v>
      </c>
      <c r="K27" s="15" t="n">
        <v>0.5192307692307693</v>
      </c>
      <c r="L27" s="14" t="n">
        <v>0.0944722524343347</v>
      </c>
      <c r="M27" s="14" t="n">
        <v>0.2109758388502105</v>
      </c>
      <c r="N27" s="15" t="n">
        <v>0.0471</v>
      </c>
      <c r="O27" s="24" t="n">
        <v>0.839</v>
      </c>
      <c r="P27" s="12" t="inlineStr">
        <is>
          <t>Draft Kings</t>
        </is>
      </c>
      <c r="Q27" s="12" t="inlineStr">
        <is>
          <t>correlated with a stronger play on the same game</t>
        </is>
      </c>
    </row>
    <row r="28">
      <c r="A28" s="17" t="inlineStr">
        <is>
          <t>PASS</t>
        </is>
      </c>
      <c r="B28" s="17" t="inlineStr">
        <is>
          <t>UK @ TA&amp;M</t>
        </is>
      </c>
      <c r="C28" s="17" t="inlineStr">
        <is>
          <t>2026-09-19 19:30</t>
        </is>
      </c>
      <c r="D28" s="25" t="n">
        <v>3</v>
      </c>
      <c r="E28" s="17" t="inlineStr">
        <is>
          <t>ATS</t>
        </is>
      </c>
      <c r="F28" s="17" t="inlineStr">
        <is>
          <t>UK +15.5</t>
        </is>
      </c>
      <c r="G28" s="26" t="n">
        <v>-15.5</v>
      </c>
      <c r="H28" s="18" t="n">
        <v>-110</v>
      </c>
      <c r="I28" s="20" t="n">
        <v>0.6312281920200604</v>
      </c>
      <c r="J28" s="20" t="n">
        <v>0.5</v>
      </c>
      <c r="K28" s="20" t="n">
        <v>0.5238095238095238</v>
      </c>
      <c r="L28" s="19" t="n">
        <v>0.09424599015552616</v>
      </c>
      <c r="M28" s="19" t="n">
        <v>0.205072002947388</v>
      </c>
      <c r="N28" s="20" t="n">
        <v>0</v>
      </c>
      <c r="O28" s="27" t="n">
        <v>0.75</v>
      </c>
      <c r="P28" s="17" t="inlineStr">
        <is>
          <t>Draft Kings</t>
        </is>
      </c>
      <c r="Q28" s="17" t="inlineStr">
        <is>
          <t>correlated with a stronger play on the same game</t>
        </is>
      </c>
    </row>
    <row r="29">
      <c r="A29" s="12" t="inlineStr">
        <is>
          <t>PASS</t>
        </is>
      </c>
      <c r="B29" s="12" t="inlineStr">
        <is>
          <t>WVU @ UVA</t>
        </is>
      </c>
      <c r="C29" s="12" t="inlineStr">
        <is>
          <t>2026-09-19 23:30</t>
        </is>
      </c>
      <c r="D29" s="22" t="n">
        <v>3</v>
      </c>
      <c r="E29" s="12" t="inlineStr">
        <is>
          <t>ATS</t>
        </is>
      </c>
      <c r="F29" s="12" t="inlineStr">
        <is>
          <t>WVU +9.5</t>
        </is>
      </c>
      <c r="G29" s="23" t="n">
        <v>-9.5</v>
      </c>
      <c r="H29" s="13" t="n">
        <v>-110</v>
      </c>
      <c r="I29" s="15" t="n">
        <v>0.6284095211943572</v>
      </c>
      <c r="J29" s="15" t="n">
        <v>0.5</v>
      </c>
      <c r="K29" s="15" t="n">
        <v>0.5238095238095238</v>
      </c>
      <c r="L29" s="14" t="n">
        <v>0.09415140133739125</v>
      </c>
      <c r="M29" s="14" t="n">
        <v>0.1996909040983184</v>
      </c>
      <c r="N29" s="15" t="n">
        <v>0</v>
      </c>
      <c r="O29" s="24" t="n">
        <v>0.839</v>
      </c>
      <c r="P29" s="12" t="inlineStr">
        <is>
          <t>Draft Kings</t>
        </is>
      </c>
      <c r="Q29" s="12" t="inlineStr">
        <is>
          <t>correlated with a stronger play on the same game</t>
        </is>
      </c>
    </row>
    <row r="30">
      <c r="A30" s="17" t="inlineStr">
        <is>
          <t>PASS</t>
        </is>
      </c>
      <c r="B30" s="17" t="inlineStr">
        <is>
          <t>LSU @ MISS</t>
        </is>
      </c>
      <c r="C30" s="17" t="inlineStr">
        <is>
          <t>2026-09-19 23:30</t>
        </is>
      </c>
      <c r="D30" s="25" t="n">
        <v>3</v>
      </c>
      <c r="E30" s="17" t="inlineStr">
        <is>
          <t>TOTAL</t>
        </is>
      </c>
      <c r="F30" s="17" t="inlineStr">
        <is>
          <t>Under 58.5</t>
        </is>
      </c>
      <c r="G30" s="26" t="n">
        <v>58.5</v>
      </c>
      <c r="H30" s="18" t="n">
        <v>-108</v>
      </c>
      <c r="I30" s="20" t="n">
        <v>0.607397235583072</v>
      </c>
      <c r="J30" s="20" t="n">
        <v>0.4956702459300312</v>
      </c>
      <c r="K30" s="20" t="n">
        <v>0.5192307692307693</v>
      </c>
      <c r="L30" s="19" t="n">
        <v>0.0933628074563332</v>
      </c>
      <c r="M30" s="19" t="n">
        <v>0.1698020833451759</v>
      </c>
      <c r="N30" s="20" t="n">
        <v>0</v>
      </c>
      <c r="O30" s="27" t="n">
        <v>0.839</v>
      </c>
      <c r="P30" s="17" t="inlineStr">
        <is>
          <t>Draft Kings</t>
        </is>
      </c>
      <c r="Q30" s="17" t="inlineStr">
        <is>
          <t>correlated with a stronger play on the same game</t>
        </is>
      </c>
    </row>
    <row r="31">
      <c r="A31" s="12" t="inlineStr">
        <is>
          <t>PASS</t>
        </is>
      </c>
      <c r="B31" s="12" t="inlineStr">
        <is>
          <t>LSU @ MISS</t>
        </is>
      </c>
      <c r="C31" s="12" t="inlineStr">
        <is>
          <t>2026-09-19 23:30</t>
        </is>
      </c>
      <c r="D31" s="22" t="n">
        <v>3</v>
      </c>
      <c r="E31" s="12" t="inlineStr">
        <is>
          <t>ATS</t>
        </is>
      </c>
      <c r="F31" s="12" t="inlineStr">
        <is>
          <t>MISS +2.5</t>
        </is>
      </c>
      <c r="G31" s="23" t="n">
        <v>2.5</v>
      </c>
      <c r="H31" s="13" t="n">
        <v>-105</v>
      </c>
      <c r="I31" s="15" t="n">
        <v>0.5906823083411566</v>
      </c>
      <c r="J31" s="15" t="n">
        <v>0.4891657638136511</v>
      </c>
      <c r="K31" s="15" t="n">
        <v>0.5121951219512195</v>
      </c>
      <c r="L31" s="14" t="n">
        <v>0.09262407023542003</v>
      </c>
      <c r="M31" s="14" t="n">
        <v>0.1532368877136867</v>
      </c>
      <c r="N31" s="15" t="n">
        <v>0</v>
      </c>
      <c r="O31" s="24" t="n">
        <v>0.839</v>
      </c>
      <c r="P31" s="12" t="inlineStr">
        <is>
          <t>Draft Kings</t>
        </is>
      </c>
      <c r="Q31" s="12" t="inlineStr">
        <is>
          <t>correlated with a stronger play on the same game</t>
        </is>
      </c>
    </row>
    <row r="32">
      <c r="A32" s="17" t="inlineStr">
        <is>
          <t>PASS</t>
        </is>
      </c>
      <c r="B32" s="17" t="inlineStr">
        <is>
          <t>SYR @ PITT</t>
        </is>
      </c>
      <c r="C32" s="17" t="inlineStr">
        <is>
          <t>2026-09-17 23:30</t>
        </is>
      </c>
      <c r="D32" s="25" t="n">
        <v>3</v>
      </c>
      <c r="E32" s="17" t="inlineStr">
        <is>
          <t>ATS</t>
        </is>
      </c>
      <c r="F32" s="17" t="inlineStr">
        <is>
          <t>SYR +10.5</t>
        </is>
      </c>
      <c r="G32" s="26" t="n">
        <v>-10.5</v>
      </c>
      <c r="H32" s="18" t="n">
        <v>-108</v>
      </c>
      <c r="I32" s="20" t="n">
        <v>0.5907172898003605</v>
      </c>
      <c r="J32" s="20" t="n">
        <v>0.4956702459300312</v>
      </c>
      <c r="K32" s="20" t="n">
        <v>0.5192307692307693</v>
      </c>
      <c r="L32" s="19" t="n">
        <v>0.09170440105581325</v>
      </c>
      <c r="M32" s="19" t="n">
        <v>0.1376777433192129</v>
      </c>
      <c r="N32" s="20" t="n">
        <v>0</v>
      </c>
      <c r="O32" s="27" t="n">
        <v>0.839</v>
      </c>
      <c r="P32" s="17" t="inlineStr">
        <is>
          <t>Draft Kings</t>
        </is>
      </c>
      <c r="Q32" s="17" t="inlineStr">
        <is>
          <t>correlated with a stronger play on the same game</t>
        </is>
      </c>
    </row>
    <row r="33">
      <c r="A33" s="12" t="inlineStr">
        <is>
          <t>PASS</t>
        </is>
      </c>
      <c r="B33" s="12" t="inlineStr">
        <is>
          <t>COLO @ NU</t>
        </is>
      </c>
      <c r="C33" s="12" t="inlineStr">
        <is>
          <t>2026-09-19 23:30</t>
        </is>
      </c>
      <c r="D33" s="22" t="n">
        <v>3</v>
      </c>
      <c r="E33" s="12" t="inlineStr">
        <is>
          <t>TOTAL</t>
        </is>
      </c>
      <c r="F33" s="12" t="inlineStr">
        <is>
          <t>Over 45.5</t>
        </is>
      </c>
      <c r="G33" s="23" t="n">
        <v>45.5</v>
      </c>
      <c r="H33" s="13" t="n">
        <v>-118</v>
      </c>
      <c r="I33" s="15" t="n">
        <v>0.6131415917085767</v>
      </c>
      <c r="J33" s="15" t="n">
        <v>0.5173641257162701</v>
      </c>
      <c r="K33" s="15" t="n">
        <v>0.5412844036697247</v>
      </c>
      <c r="L33" s="14" t="n">
        <v>0.09122067142924312</v>
      </c>
      <c r="M33" s="14" t="n">
        <v>0.1327531101056756</v>
      </c>
      <c r="N33" s="15" t="n">
        <v>0</v>
      </c>
      <c r="O33" s="24" t="n">
        <v>0.725</v>
      </c>
      <c r="P33" s="12" t="inlineStr">
        <is>
          <t>Draft Kings</t>
        </is>
      </c>
      <c r="Q33" s="12" t="inlineStr">
        <is>
          <t>outside the top 10 plays for this week</t>
        </is>
      </c>
    </row>
    <row r="34">
      <c r="A34" s="17" t="inlineStr">
        <is>
          <t>PASS</t>
        </is>
      </c>
      <c r="B34" s="17" t="inlineStr">
        <is>
          <t>FLA @ AUB</t>
        </is>
      </c>
      <c r="C34" s="17" t="inlineStr">
        <is>
          <t>2026-09-19 23:00</t>
        </is>
      </c>
      <c r="D34" s="25" t="n">
        <v>3</v>
      </c>
      <c r="E34" s="17" t="inlineStr">
        <is>
          <t>ATS</t>
        </is>
      </c>
      <c r="F34" s="17" t="inlineStr">
        <is>
          <t>AUB +2.5</t>
        </is>
      </c>
      <c r="G34" s="26" t="n">
        <v>2.5</v>
      </c>
      <c r="H34" s="18" t="n">
        <v>-110</v>
      </c>
      <c r="I34" s="20" t="n">
        <v>0.5909949778961293</v>
      </c>
      <c r="J34" s="20" t="n">
        <v>0.5</v>
      </c>
      <c r="K34" s="20" t="n">
        <v>0.5238095238095238</v>
      </c>
      <c r="L34" s="19" t="n">
        <v>0.090968218647438</v>
      </c>
      <c r="M34" s="19" t="n">
        <v>0.1282631396198832</v>
      </c>
      <c r="N34" s="20" t="n">
        <v>0</v>
      </c>
      <c r="O34" s="27" t="n">
        <v>0.839</v>
      </c>
      <c r="P34" s="17" t="inlineStr">
        <is>
          <t>Draft Kings</t>
        </is>
      </c>
      <c r="Q34" s="17" t="inlineStr">
        <is>
          <t>correlated with a stronger play on the same game</t>
        </is>
      </c>
    </row>
    <row r="35">
      <c r="A35" s="12" t="inlineStr">
        <is>
          <t>PASS</t>
        </is>
      </c>
      <c r="B35" s="12" t="inlineStr">
        <is>
          <t>UNC @ CLEM</t>
        </is>
      </c>
      <c r="C35" s="12" t="inlineStr">
        <is>
          <t>2026-09-19 16:00</t>
        </is>
      </c>
      <c r="D35" s="22" t="n">
        <v>3</v>
      </c>
      <c r="E35" s="12" t="inlineStr">
        <is>
          <t>ATS</t>
        </is>
      </c>
      <c r="F35" s="12" t="inlineStr">
        <is>
          <t>UNC +8.5</t>
        </is>
      </c>
      <c r="G35" s="23" t="n">
        <v>-8.5</v>
      </c>
      <c r="H35" s="13" t="n">
        <v>-110</v>
      </c>
      <c r="I35" s="15" t="n">
        <v>0.5908033302565828</v>
      </c>
      <c r="J35" s="15" t="n">
        <v>0.5</v>
      </c>
      <c r="K35" s="15" t="n">
        <v>0.5238095238095238</v>
      </c>
      <c r="L35" s="14" t="n">
        <v>0.09093625173260414</v>
      </c>
      <c r="M35" s="14" t="n">
        <v>0.1278972668534764</v>
      </c>
      <c r="N35" s="15" t="n">
        <v>0</v>
      </c>
      <c r="O35" s="24" t="n">
        <v>0.839</v>
      </c>
      <c r="P35" s="12" t="inlineStr">
        <is>
          <t>Draft Kings</t>
        </is>
      </c>
      <c r="Q35" s="12" t="inlineStr">
        <is>
          <t>correlated with a stronger play on the same game</t>
        </is>
      </c>
    </row>
    <row r="36">
      <c r="A36" s="17" t="inlineStr">
        <is>
          <t>PASS</t>
        </is>
      </c>
      <c r="B36" s="17" t="inlineStr">
        <is>
          <t>UK @ TA&amp;M</t>
        </is>
      </c>
      <c r="C36" s="17" t="inlineStr">
        <is>
          <t>2026-09-19 19:30</t>
        </is>
      </c>
      <c r="D36" s="25" t="n">
        <v>3</v>
      </c>
      <c r="E36" s="17" t="inlineStr">
        <is>
          <t>TOTAL</t>
        </is>
      </c>
      <c r="F36" s="17" t="inlineStr">
        <is>
          <t>Over 48.5</t>
        </is>
      </c>
      <c r="G36" s="26" t="n">
        <v>48.5</v>
      </c>
      <c r="H36" s="18" t="n">
        <v>-102</v>
      </c>
      <c r="I36" s="20" t="n">
        <v>0.567213885460838</v>
      </c>
      <c r="J36" s="20" t="n">
        <v>0.4826358742837298</v>
      </c>
      <c r="K36" s="20" t="n">
        <v>0.504950495049505</v>
      </c>
      <c r="L36" s="19" t="n">
        <v>0.09036776564654718</v>
      </c>
      <c r="M36" s="19" t="n">
        <v>0.123305930030287</v>
      </c>
      <c r="N36" s="20" t="n">
        <v>0</v>
      </c>
      <c r="O36" s="27" t="n">
        <v>0.75</v>
      </c>
      <c r="P36" s="17" t="inlineStr">
        <is>
          <t>Draft Kings</t>
        </is>
      </c>
      <c r="Q36" s="17" t="inlineStr">
        <is>
          <t>correlated with a stronger play on the same game</t>
        </is>
      </c>
    </row>
    <row r="37">
      <c r="A37" s="12" t="inlineStr">
        <is>
          <t>PASS</t>
        </is>
      </c>
      <c r="B37" s="12" t="inlineStr">
        <is>
          <t>UTSA @ TEX</t>
        </is>
      </c>
      <c r="C37" s="12" t="inlineStr">
        <is>
          <t>2026-09-20 00:00</t>
        </is>
      </c>
      <c r="D37" s="22" t="n">
        <v>3</v>
      </c>
      <c r="E37" s="12" t="inlineStr">
        <is>
          <t>TOTAL</t>
        </is>
      </c>
      <c r="F37" s="12" t="inlineStr">
        <is>
          <t>Under 57.5</t>
        </is>
      </c>
      <c r="G37" s="23" t="n">
        <v>57.5</v>
      </c>
      <c r="H37" s="13" t="n">
        <v>-110</v>
      </c>
      <c r="I37" s="15" t="n">
        <v>0.5868562097839791</v>
      </c>
      <c r="J37" s="15" t="n">
        <v>0.5</v>
      </c>
      <c r="K37" s="15" t="n">
        <v>0.5238095238095238</v>
      </c>
      <c r="L37" s="14" t="n">
        <v>0.09021999910818522</v>
      </c>
      <c r="M37" s="14" t="n">
        <v>0.1203618550421419</v>
      </c>
      <c r="N37" s="15" t="n">
        <v>0</v>
      </c>
      <c r="O37" s="24" t="n">
        <v>0.75</v>
      </c>
      <c r="P37" s="12" t="inlineStr">
        <is>
          <t>Draft Kings</t>
        </is>
      </c>
      <c r="Q37" s="12" t="inlineStr">
        <is>
          <t>outside the top 10 plays for this week</t>
        </is>
      </c>
    </row>
    <row r="38">
      <c r="A38" s="17" t="inlineStr">
        <is>
          <t>PASS</t>
        </is>
      </c>
      <c r="B38" s="17" t="inlineStr">
        <is>
          <t>ASU @ KU</t>
        </is>
      </c>
      <c r="C38" s="17" t="inlineStr">
        <is>
          <t>2026-09-19 16:00</t>
        </is>
      </c>
      <c r="D38" s="25" t="n">
        <v>3</v>
      </c>
      <c r="E38" s="17" t="inlineStr">
        <is>
          <t>ML</t>
        </is>
      </c>
      <c r="F38" s="17" t="inlineStr">
        <is>
          <t>KU ML</t>
        </is>
      </c>
      <c r="G38" s="26" t="n"/>
      <c r="H38" s="18" t="n">
        <v>170</v>
      </c>
      <c r="I38" s="20" t="n">
        <v>0.4131032673244851</v>
      </c>
      <c r="J38" s="20" t="n">
        <v>0.3552708211997671</v>
      </c>
      <c r="K38" s="20" t="n">
        <v>0.3703703703703703</v>
      </c>
      <c r="L38" s="19" t="n">
        <v>0.08902237484424491</v>
      </c>
      <c r="M38" s="19" t="n">
        <v>0.1153788217761098</v>
      </c>
      <c r="N38" s="20" t="n">
        <v>0</v>
      </c>
      <c r="O38" s="27" t="n">
        <v>0.8333333333333334</v>
      </c>
      <c r="P38" s="17" t="inlineStr">
        <is>
          <t>Draft Kings</t>
        </is>
      </c>
      <c r="Q38" s="17" t="inlineStr">
        <is>
          <t>outside the top 10 plays for this week</t>
        </is>
      </c>
    </row>
    <row r="39">
      <c r="A39" s="12" t="inlineStr">
        <is>
          <t>PASS</t>
        </is>
      </c>
      <c r="B39" s="12" t="inlineStr">
        <is>
          <t>ASU @ KU</t>
        </is>
      </c>
      <c r="C39" s="12" t="inlineStr">
        <is>
          <t>2026-09-19 16:00</t>
        </is>
      </c>
      <c r="D39" s="22" t="n">
        <v>3</v>
      </c>
      <c r="E39" s="12" t="inlineStr">
        <is>
          <t>TOTAL</t>
        </is>
      </c>
      <c r="F39" s="12" t="inlineStr">
        <is>
          <t>Under 56.5</t>
        </is>
      </c>
      <c r="G39" s="23" t="n">
        <v>56.5</v>
      </c>
      <c r="H39" s="13" t="n">
        <v>-108</v>
      </c>
      <c r="I39" s="15" t="n">
        <v>0.5755766985469075</v>
      </c>
      <c r="J39" s="15" t="n">
        <v>0.4956702459300312</v>
      </c>
      <c r="K39" s="15" t="n">
        <v>0.5192307692307693</v>
      </c>
      <c r="L39" s="14" t="n">
        <v>0.08882736621113561</v>
      </c>
      <c r="M39" s="14" t="n">
        <v>0.1085180860903405</v>
      </c>
      <c r="N39" s="15" t="n">
        <v>0</v>
      </c>
      <c r="O39" s="24" t="n">
        <v>0.8333333333333334</v>
      </c>
      <c r="P39" s="12" t="inlineStr">
        <is>
          <t>Draft Kings</t>
        </is>
      </c>
      <c r="Q39" s="12" t="inlineStr">
        <is>
          <t>correlated with a stronger play on the same game</t>
        </is>
      </c>
    </row>
    <row r="40">
      <c r="A40" s="17" t="inlineStr">
        <is>
          <t>PASS</t>
        </is>
      </c>
      <c r="B40" s="17" t="inlineStr">
        <is>
          <t>HOU @ TTU</t>
        </is>
      </c>
      <c r="C40" s="17" t="inlineStr">
        <is>
          <t>2026-09-19 00:00</t>
        </is>
      </c>
      <c r="D40" s="25" t="n">
        <v>3</v>
      </c>
      <c r="E40" s="17" t="inlineStr">
        <is>
          <t>ATS</t>
        </is>
      </c>
      <c r="F40" s="17" t="inlineStr">
        <is>
          <t>HOU +10</t>
        </is>
      </c>
      <c r="G40" s="26" t="n">
        <v>-10</v>
      </c>
      <c r="H40" s="18" t="n">
        <v>-108</v>
      </c>
      <c r="I40" s="20" t="n">
        <v>0.5746803426651894</v>
      </c>
      <c r="J40" s="20" t="n">
        <v>0.4956702459300312</v>
      </c>
      <c r="K40" s="20" t="n">
        <v>0.5192307692307693</v>
      </c>
      <c r="L40" s="19" t="n">
        <v>0.08859591089349241</v>
      </c>
      <c r="M40" s="19" t="n">
        <v>0.1026162128104811</v>
      </c>
      <c r="N40" s="20" t="n">
        <v>0.0391</v>
      </c>
      <c r="O40" s="27" t="n">
        <v>0.839</v>
      </c>
      <c r="P40" s="17" t="inlineStr">
        <is>
          <t>Draft Kings</t>
        </is>
      </c>
      <c r="Q40" s="17" t="inlineStr">
        <is>
          <t>outside the top 10 plays for this week</t>
        </is>
      </c>
    </row>
    <row r="41">
      <c r="A41" s="12" t="inlineStr">
        <is>
          <t>PASS</t>
        </is>
      </c>
      <c r="B41" s="12" t="inlineStr">
        <is>
          <t>UNC @ CLEM</t>
        </is>
      </c>
      <c r="C41" s="12" t="inlineStr">
        <is>
          <t>2026-09-19 16:00</t>
        </is>
      </c>
      <c r="D41" s="22" t="n">
        <v>3</v>
      </c>
      <c r="E41" s="12" t="inlineStr">
        <is>
          <t>TOTAL</t>
        </is>
      </c>
      <c r="F41" s="12" t="inlineStr">
        <is>
          <t>Over 44.5</t>
        </is>
      </c>
      <c r="G41" s="23" t="n">
        <v>44.5</v>
      </c>
      <c r="H41" s="13" t="n">
        <v>-108</v>
      </c>
      <c r="I41" s="15" t="n">
        <v>0.5700184195831093</v>
      </c>
      <c r="J41" s="15" t="n">
        <v>0.4956702459300312</v>
      </c>
      <c r="K41" s="15" t="n">
        <v>0.5192307692307693</v>
      </c>
      <c r="L41" s="14" t="n">
        <v>0.08725080159618478</v>
      </c>
      <c r="M41" s="14" t="n">
        <v>0.09781325253043271</v>
      </c>
      <c r="N41" s="15" t="n">
        <v>0</v>
      </c>
      <c r="O41" s="24" t="n">
        <v>0.839</v>
      </c>
      <c r="P41" s="12" t="inlineStr">
        <is>
          <t>Draft Kings</t>
        </is>
      </c>
      <c r="Q41" s="12" t="inlineStr">
        <is>
          <t>correlated with a stronger play on the same game</t>
        </is>
      </c>
    </row>
    <row r="42">
      <c r="A42" s="17" t="inlineStr">
        <is>
          <t>PASS</t>
        </is>
      </c>
      <c r="B42" s="17" t="inlineStr">
        <is>
          <t>ASU @ KU</t>
        </is>
      </c>
      <c r="C42" s="17" t="inlineStr">
        <is>
          <t>2026-09-19 16:00</t>
        </is>
      </c>
      <c r="D42" s="25" t="n">
        <v>3</v>
      </c>
      <c r="E42" s="17" t="inlineStr">
        <is>
          <t>ATS</t>
        </is>
      </c>
      <c r="F42" s="17" t="inlineStr">
        <is>
          <t>KU +5.5</t>
        </is>
      </c>
      <c r="G42" s="26" t="n">
        <v>5.5</v>
      </c>
      <c r="H42" s="18" t="n">
        <v>-110</v>
      </c>
      <c r="I42" s="20" t="n">
        <v>0.5744939578137473</v>
      </c>
      <c r="J42" s="20" t="n">
        <v>0.5</v>
      </c>
      <c r="K42" s="20" t="n">
        <v>0.5238095238095238</v>
      </c>
      <c r="L42" s="19" t="n">
        <v>0.08709162520825021</v>
      </c>
      <c r="M42" s="19" t="n">
        <v>0.09676119218988144</v>
      </c>
      <c r="N42" s="20" t="n">
        <v>0</v>
      </c>
      <c r="O42" s="27" t="n">
        <v>0.8333333333333334</v>
      </c>
      <c r="P42" s="17" t="inlineStr">
        <is>
          <t>Draft Kings</t>
        </is>
      </c>
      <c r="Q42" s="17" t="inlineStr">
        <is>
          <t>correlated with a stronger play on the same game</t>
        </is>
      </c>
    </row>
    <row r="43">
      <c r="A43" s="12" t="inlineStr">
        <is>
          <t>PASS</t>
        </is>
      </c>
      <c r="B43" s="12" t="inlineStr">
        <is>
          <t>MSST @ SC</t>
        </is>
      </c>
      <c r="C43" s="12" t="inlineStr">
        <is>
          <t>2026-09-19 20:15</t>
        </is>
      </c>
      <c r="D43" s="22" t="n">
        <v>3</v>
      </c>
      <c r="E43" s="12" t="inlineStr">
        <is>
          <t>TOTAL</t>
        </is>
      </c>
      <c r="F43" s="12" t="inlineStr">
        <is>
          <t>Under 56.5</t>
        </is>
      </c>
      <c r="G43" s="23" t="n">
        <v>56.5</v>
      </c>
      <c r="H43" s="13" t="n">
        <v>-112</v>
      </c>
      <c r="I43" s="15" t="n">
        <v>0.5743479870867317</v>
      </c>
      <c r="J43" s="15" t="n">
        <v>0.5043297540699688</v>
      </c>
      <c r="K43" s="15" t="n">
        <v>0.5283018867924528</v>
      </c>
      <c r="L43" s="14" t="n">
        <v>0.08530303388878784</v>
      </c>
      <c r="M43" s="14" t="n">
        <v>0.08715868984274211</v>
      </c>
      <c r="N43" s="15" t="n">
        <v>0</v>
      </c>
      <c r="O43" s="24" t="n">
        <v>0.839</v>
      </c>
      <c r="P43" s="12" t="inlineStr">
        <is>
          <t>Draft Kings</t>
        </is>
      </c>
      <c r="Q43" s="12" t="inlineStr">
        <is>
          <t>outside the top 10 plays for this week</t>
        </is>
      </c>
    </row>
    <row r="44">
      <c r="A44" s="17" t="inlineStr">
        <is>
          <t>PASS</t>
        </is>
      </c>
      <c r="B44" s="17" t="inlineStr">
        <is>
          <t>WVU @ UVA</t>
        </is>
      </c>
      <c r="C44" s="17" t="inlineStr">
        <is>
          <t>2026-09-19 23:30</t>
        </is>
      </c>
      <c r="D44" s="25" t="n">
        <v>3</v>
      </c>
      <c r="E44" s="17" t="inlineStr">
        <is>
          <t>TOTAL</t>
        </is>
      </c>
      <c r="F44" s="17" t="inlineStr">
        <is>
          <t>Under 53.5</t>
        </is>
      </c>
      <c r="G44" s="26" t="n">
        <v>53.5</v>
      </c>
      <c r="H44" s="18" t="n">
        <v>-108</v>
      </c>
      <c r="I44" s="20" t="n">
        <v>0.5625110917058415</v>
      </c>
      <c r="J44" s="20" t="n">
        <v>0.4956702459300312</v>
      </c>
      <c r="K44" s="20" t="n">
        <v>0.5192307692307693</v>
      </c>
      <c r="L44" s="19" t="n">
        <v>0.08450134139163748</v>
      </c>
      <c r="M44" s="19" t="n">
        <v>0.08335469513717619</v>
      </c>
      <c r="N44" s="20" t="n">
        <v>0</v>
      </c>
      <c r="O44" s="27" t="n">
        <v>0.839</v>
      </c>
      <c r="P44" s="17" t="inlineStr">
        <is>
          <t>Draft Kings</t>
        </is>
      </c>
      <c r="Q44" s="17" t="inlineStr">
        <is>
          <t>correlated with a stronger play on the same game</t>
        </is>
      </c>
    </row>
    <row r="45">
      <c r="A45" s="12" t="inlineStr">
        <is>
          <t>PASS</t>
        </is>
      </c>
      <c r="B45" s="12" t="inlineStr">
        <is>
          <t>SMU @ LOU</t>
        </is>
      </c>
      <c r="C45" s="12" t="inlineStr">
        <is>
          <t>2026-09-19 19:30</t>
        </is>
      </c>
      <c r="D45" s="22" t="n">
        <v>3</v>
      </c>
      <c r="E45" s="12" t="inlineStr">
        <is>
          <t>ML</t>
        </is>
      </c>
      <c r="F45" s="12" t="inlineStr">
        <is>
          <t>LOU ML</t>
        </is>
      </c>
      <c r="G45" s="23" t="n"/>
      <c r="H45" s="13" t="n">
        <v>-112</v>
      </c>
      <c r="I45" s="15" t="n">
        <v>0.5637151161676998</v>
      </c>
      <c r="J45" s="15" t="n">
        <v>0.5043297540699688</v>
      </c>
      <c r="K45" s="15" t="n">
        <v>0.5283018867924528</v>
      </c>
      <c r="L45" s="14" t="n">
        <v>0.08030431700369317</v>
      </c>
      <c r="M45" s="14" t="n">
        <v>0.06703218417457446</v>
      </c>
      <c r="N45" s="15" t="n">
        <v>0</v>
      </c>
      <c r="O45" s="24" t="n">
        <v>0.839</v>
      </c>
      <c r="P45" s="12" t="inlineStr">
        <is>
          <t>Draft Kings</t>
        </is>
      </c>
      <c r="Q45" s="12" t="inlineStr">
        <is>
          <t>correlated with a stronger play on the same game</t>
        </is>
      </c>
    </row>
    <row r="46">
      <c r="A46" s="17" t="inlineStr">
        <is>
          <t>PASS</t>
        </is>
      </c>
      <c r="B46" s="17" t="inlineStr">
        <is>
          <t>SMU @ LOU</t>
        </is>
      </c>
      <c r="C46" s="17" t="inlineStr">
        <is>
          <t>2026-09-19 19:30</t>
        </is>
      </c>
      <c r="D46" s="25" t="n">
        <v>3</v>
      </c>
      <c r="E46" s="17" t="inlineStr">
        <is>
          <t>ATS</t>
        </is>
      </c>
      <c r="F46" s="17" t="inlineStr">
        <is>
          <t>LOU -1.5</t>
        </is>
      </c>
      <c r="G46" s="26" t="n">
        <v>-1.5</v>
      </c>
      <c r="H46" s="18" t="n">
        <v>-105</v>
      </c>
      <c r="I46" s="20" t="n">
        <v>0.5382414722677629</v>
      </c>
      <c r="J46" s="20" t="n">
        <v>0.4891657638136511</v>
      </c>
      <c r="K46" s="20" t="n">
        <v>0.5121951219512195</v>
      </c>
      <c r="L46" s="19" t="n">
        <v>0.07449421685751333</v>
      </c>
      <c r="M46" s="19" t="n">
        <v>0.05085239823706078</v>
      </c>
      <c r="N46" s="20" t="n">
        <v>0</v>
      </c>
      <c r="O46" s="27" t="n">
        <v>0.839</v>
      </c>
      <c r="P46" s="17" t="inlineStr">
        <is>
          <t>Draft Kings</t>
        </is>
      </c>
      <c r="Q46" s="17" t="inlineStr">
        <is>
          <t>correlated with a stronger play on the same game</t>
        </is>
      </c>
    </row>
    <row r="47">
      <c r="A47" s="12" t="inlineStr">
        <is>
          <t>PASS</t>
        </is>
      </c>
      <c r="B47" s="12" t="inlineStr">
        <is>
          <t>SYR @ PITT</t>
        </is>
      </c>
      <c r="C47" s="12" t="inlineStr">
        <is>
          <t>2026-09-17 23:30</t>
        </is>
      </c>
      <c r="D47" s="22" t="n">
        <v>3</v>
      </c>
      <c r="E47" s="12" t="inlineStr">
        <is>
          <t>TOTAL</t>
        </is>
      </c>
      <c r="F47" s="12" t="inlineStr">
        <is>
          <t>Under 53.5</t>
        </is>
      </c>
      <c r="G47" s="23" t="n">
        <v>53.5</v>
      </c>
      <c r="H47" s="13" t="n">
        <v>-108</v>
      </c>
      <c r="I47" s="15" t="n">
        <v>0.5413851747051354</v>
      </c>
      <c r="J47" s="15" t="n">
        <v>0.4956702459300312</v>
      </c>
      <c r="K47" s="15" t="n">
        <v>0.5192307692307693</v>
      </c>
      <c r="L47" s="14" t="n">
        <v>0.07116138698282039</v>
      </c>
      <c r="M47" s="14" t="n">
        <v>0.04266774387655703</v>
      </c>
      <c r="N47" s="15" t="n">
        <v>0</v>
      </c>
      <c r="O47" s="24" t="n">
        <v>0.839</v>
      </c>
      <c r="P47" s="12" t="inlineStr">
        <is>
          <t>Draft Kings</t>
        </is>
      </c>
      <c r="Q47" s="12" t="n"/>
    </row>
    <row r="48">
      <c r="A48" s="17" t="inlineStr">
        <is>
          <t>PASS</t>
        </is>
      </c>
      <c r="B48" s="17" t="inlineStr">
        <is>
          <t>MSST @ SC</t>
        </is>
      </c>
      <c r="C48" s="17" t="inlineStr">
        <is>
          <t>2026-09-19 20:15</t>
        </is>
      </c>
      <c r="D48" s="25" t="n">
        <v>3</v>
      </c>
      <c r="E48" s="17" t="inlineStr">
        <is>
          <t>ATS</t>
        </is>
      </c>
      <c r="F48" s="17" t="inlineStr">
        <is>
          <t>MSST +5.5</t>
        </is>
      </c>
      <c r="G48" s="26" t="n">
        <v>-5.5</v>
      </c>
      <c r="H48" s="18" t="n">
        <v>-105</v>
      </c>
      <c r="I48" s="20" t="n">
        <v>0.5323911041728544</v>
      </c>
      <c r="J48" s="20" t="n">
        <v>0.4891657638136511</v>
      </c>
      <c r="K48" s="20" t="n">
        <v>0.5121951219512195</v>
      </c>
      <c r="L48" s="19" t="n">
        <v>0.06941361066966756</v>
      </c>
      <c r="M48" s="19" t="n">
        <v>0.03943025100414421</v>
      </c>
      <c r="N48" s="20" t="n">
        <v>0</v>
      </c>
      <c r="O48" s="27" t="n">
        <v>0.839</v>
      </c>
      <c r="P48" s="17" t="inlineStr">
        <is>
          <t>Draft Kings</t>
        </is>
      </c>
      <c r="Q48" s="17" t="n"/>
    </row>
    <row r="49">
      <c r="A49" s="12" t="inlineStr">
        <is>
          <t>PASS</t>
        </is>
      </c>
      <c r="B49" s="12" t="inlineStr">
        <is>
          <t>MSU @ ND</t>
        </is>
      </c>
      <c r="C49" s="12" t="inlineStr">
        <is>
          <t>2026-09-19 23:30</t>
        </is>
      </c>
      <c r="D49" s="22" t="n">
        <v>3</v>
      </c>
      <c r="E49" s="12" t="inlineStr">
        <is>
          <t>TOTAL</t>
        </is>
      </c>
      <c r="F49" s="12" t="inlineStr">
        <is>
          <t>Under 53.5</t>
        </is>
      </c>
      <c r="G49" s="23" t="n">
        <v>53.5</v>
      </c>
      <c r="H49" s="13" t="n">
        <v>-105</v>
      </c>
      <c r="I49" s="15" t="n">
        <v>0.5322711018715043</v>
      </c>
      <c r="J49" s="15" t="n">
        <v>0.4891657638136511</v>
      </c>
      <c r="K49" s="15" t="n">
        <v>0.5121951219512195</v>
      </c>
      <c r="L49" s="14" t="n">
        <v>0.0692990455732852</v>
      </c>
      <c r="M49" s="14" t="n">
        <v>0.03919596079674648</v>
      </c>
      <c r="N49" s="15" t="n">
        <v>0</v>
      </c>
      <c r="O49" s="24" t="n">
        <v>0.8333333333333334</v>
      </c>
      <c r="P49" s="12" t="inlineStr">
        <is>
          <t>Draft Kings</t>
        </is>
      </c>
      <c r="Q49" s="12" t="n"/>
    </row>
    <row r="50">
      <c r="A50" s="17" t="inlineStr">
        <is>
          <t>PASS</t>
        </is>
      </c>
      <c r="B50" s="17" t="inlineStr">
        <is>
          <t>COLO @ NU</t>
        </is>
      </c>
      <c r="C50" s="17" t="inlineStr">
        <is>
          <t>2026-09-19 23:30</t>
        </is>
      </c>
      <c r="D50" s="25" t="n">
        <v>3</v>
      </c>
      <c r="E50" s="17" t="inlineStr">
        <is>
          <t>ML</t>
        </is>
      </c>
      <c r="F50" s="17" t="inlineStr">
        <is>
          <t>NU ML</t>
        </is>
      </c>
      <c r="G50" s="26" t="n"/>
      <c r="H50" s="18" t="n">
        <v>-148</v>
      </c>
      <c r="I50" s="20" t="n">
        <v>0.6206151907241129</v>
      </c>
      <c r="J50" s="20" t="n">
        <v>0.5720596355604638</v>
      </c>
      <c r="K50" s="20" t="n">
        <v>0.5967741935483871</v>
      </c>
      <c r="L50" s="19" t="n">
        <v>0.06774425070769761</v>
      </c>
      <c r="M50" s="19" t="n">
        <v>0.03994977905121622</v>
      </c>
      <c r="N50" s="20" t="n">
        <v>0</v>
      </c>
      <c r="O50" s="27" t="n">
        <v>0.725</v>
      </c>
      <c r="P50" s="17" t="inlineStr">
        <is>
          <t>Draft Kings</t>
        </is>
      </c>
      <c r="Q50" s="17" t="n"/>
    </row>
    <row r="51">
      <c r="A51" s="12" t="inlineStr">
        <is>
          <t>PASS</t>
        </is>
      </c>
      <c r="B51" s="12" t="inlineStr">
        <is>
          <t>COLO @ NU</t>
        </is>
      </c>
      <c r="C51" s="12" t="inlineStr">
        <is>
          <t>2026-09-19 23:30</t>
        </is>
      </c>
      <c r="D51" s="22" t="n">
        <v>3</v>
      </c>
      <c r="E51" s="12" t="inlineStr">
        <is>
          <t>ATS</t>
        </is>
      </c>
      <c r="F51" s="12" t="inlineStr">
        <is>
          <t>NU -3</t>
        </is>
      </c>
      <c r="G51" s="23" t="n">
        <v>-3</v>
      </c>
      <c r="H51" s="13" t="n">
        <v>-112</v>
      </c>
      <c r="I51" s="15" t="n">
        <v>0.5439607764666063</v>
      </c>
      <c r="J51" s="15" t="n">
        <v>0.5043297540699688</v>
      </c>
      <c r="K51" s="15" t="n">
        <v>0.5283018867924528</v>
      </c>
      <c r="L51" s="14" t="n">
        <v>0.06450080758809834</v>
      </c>
      <c r="M51" s="14" t="n">
        <v>0.02786460270291437</v>
      </c>
      <c r="N51" s="15" t="n">
        <v>0.0599</v>
      </c>
      <c r="O51" s="24" t="n">
        <v>0.725</v>
      </c>
      <c r="P51" s="12" t="inlineStr">
        <is>
          <t>Draft Kings</t>
        </is>
      </c>
      <c r="Q51" s="12" t="n"/>
    </row>
    <row r="52">
      <c r="A52" s="17" t="inlineStr">
        <is>
          <t>PASS</t>
        </is>
      </c>
      <c r="B52" s="17" t="inlineStr">
        <is>
          <t>MSST @ SC</t>
        </is>
      </c>
      <c r="C52" s="17" t="inlineStr">
        <is>
          <t>2026-09-19 20:15</t>
        </is>
      </c>
      <c r="D52" s="25" t="n">
        <v>3</v>
      </c>
      <c r="E52" s="17" t="inlineStr">
        <is>
          <t>ML</t>
        </is>
      </c>
      <c r="F52" s="17" t="inlineStr">
        <is>
          <t>MSST ML</t>
        </is>
      </c>
      <c r="G52" s="26" t="n"/>
      <c r="H52" s="18" t="n">
        <v>180</v>
      </c>
      <c r="I52" s="20" t="n">
        <v>0.368987998626485</v>
      </c>
      <c r="J52" s="20" t="n">
        <v>0.3425247738043947</v>
      </c>
      <c r="K52" s="20" t="n">
        <v>0.3571428571428572</v>
      </c>
      <c r="L52" s="19" t="n">
        <v>0.06378132880887304</v>
      </c>
      <c r="M52" s="19" t="n">
        <v>0.03316639615415795</v>
      </c>
      <c r="N52" s="20" t="n">
        <v>0</v>
      </c>
      <c r="O52" s="27" t="n">
        <v>0.839</v>
      </c>
      <c r="P52" s="17" t="inlineStr">
        <is>
          <t>Draft Kings</t>
        </is>
      </c>
      <c r="Q52" s="17" t="n"/>
    </row>
    <row r="53">
      <c r="A53" s="12" t="inlineStr">
        <is>
          <t>PASS</t>
        </is>
      </c>
      <c r="B53" s="12" t="inlineStr">
        <is>
          <t>MIA @ WAKE</t>
        </is>
      </c>
      <c r="C53" s="12" t="inlineStr">
        <is>
          <t>2026-09-18 23:30</t>
        </is>
      </c>
      <c r="D53" s="22" t="n">
        <v>3</v>
      </c>
      <c r="E53" s="12" t="inlineStr">
        <is>
          <t>TOTAL</t>
        </is>
      </c>
      <c r="F53" s="12" t="inlineStr">
        <is>
          <t>Under 54.5</t>
        </is>
      </c>
      <c r="G53" s="23" t="n">
        <v>54.5</v>
      </c>
      <c r="H53" s="13" t="n">
        <v>-112</v>
      </c>
      <c r="I53" s="15" t="n">
        <v>0.5359262709735575</v>
      </c>
      <c r="J53" s="15" t="n">
        <v>0.5043297540699688</v>
      </c>
      <c r="K53" s="15" t="n">
        <v>0.5283018867924528</v>
      </c>
      <c r="L53" s="14" t="n">
        <v>0.05491157972669057</v>
      </c>
      <c r="M53" s="14" t="n">
        <v>0.0144318700570909</v>
      </c>
      <c r="N53" s="15" t="n">
        <v>0</v>
      </c>
      <c r="O53" s="24" t="n">
        <v>0.839</v>
      </c>
      <c r="P53" s="12" t="inlineStr">
        <is>
          <t>Draft Kings</t>
        </is>
      </c>
      <c r="Q53" s="12" t="n"/>
    </row>
    <row r="54">
      <c r="A54" s="17" t="inlineStr">
        <is>
          <t>PASS</t>
        </is>
      </c>
      <c r="B54" s="17" t="inlineStr">
        <is>
          <t>UGA @ ARK</t>
        </is>
      </c>
      <c r="C54" s="17" t="inlineStr">
        <is>
          <t>2026-09-19 16:00</t>
        </is>
      </c>
      <c r="D54" s="25" t="n">
        <v>3</v>
      </c>
      <c r="E54" s="17" t="inlineStr">
        <is>
          <t>TOTAL</t>
        </is>
      </c>
      <c r="F54" s="17" t="inlineStr">
        <is>
          <t>Over 52.5</t>
        </is>
      </c>
      <c r="G54" s="26" t="n">
        <v>52.5</v>
      </c>
      <c r="H54" s="18" t="n">
        <v>-108</v>
      </c>
      <c r="I54" s="20" t="n">
        <v>0.5217242546740455</v>
      </c>
      <c r="J54" s="20" t="n">
        <v>0.4956702459300312</v>
      </c>
      <c r="K54" s="20" t="n">
        <v>0.5192307692307693</v>
      </c>
      <c r="L54" s="19" t="n">
        <v>0.0477837611613628</v>
      </c>
      <c r="M54" s="19" t="n">
        <v>0.00480226826112462</v>
      </c>
      <c r="N54" s="20" t="n">
        <v>0</v>
      </c>
      <c r="O54" s="27" t="n">
        <v>0.839</v>
      </c>
      <c r="P54" s="17" t="inlineStr">
        <is>
          <t>Draft Kings</t>
        </is>
      </c>
      <c r="Q54" s="17" t="n"/>
    </row>
    <row r="55">
      <c r="A55" s="12" t="inlineStr">
        <is>
          <t>PASS</t>
        </is>
      </c>
      <c r="B55" s="12" t="inlineStr">
        <is>
          <t>VT @ MD</t>
        </is>
      </c>
      <c r="C55" s="12" t="inlineStr">
        <is>
          <t>2026-09-19 23:30</t>
        </is>
      </c>
      <c r="D55" s="22" t="n">
        <v>3</v>
      </c>
      <c r="E55" s="12" t="inlineStr">
        <is>
          <t>TOTAL</t>
        </is>
      </c>
      <c r="F55" s="12" t="inlineStr">
        <is>
          <t>Under 54.5</t>
        </is>
      </c>
      <c r="G55" s="23" t="n">
        <v>54.5</v>
      </c>
      <c r="H55" s="13" t="n">
        <v>-110</v>
      </c>
      <c r="I55" s="15" t="n">
        <v>0.5238891153326275</v>
      </c>
      <c r="J55" s="15" t="n">
        <v>0.5</v>
      </c>
      <c r="K55" s="15" t="n">
        <v>0.5238095238095238</v>
      </c>
      <c r="L55" s="14" t="n">
        <v>0.04411964744428324</v>
      </c>
      <c r="M55" s="14" t="n">
        <v>0.0001519474531979093</v>
      </c>
      <c r="N55" s="15" t="n">
        <v>0</v>
      </c>
      <c r="O55" s="24" t="n">
        <v>0.839</v>
      </c>
      <c r="P55" s="12" t="inlineStr">
        <is>
          <t>Draft Kings</t>
        </is>
      </c>
      <c r="Q55" s="12" t="n"/>
    </row>
    <row r="56">
      <c r="A56" s="17" t="inlineStr">
        <is>
          <t>PASS</t>
        </is>
      </c>
      <c r="B56" s="17" t="inlineStr">
        <is>
          <t>FSU @ ALA</t>
        </is>
      </c>
      <c r="C56" s="17" t="inlineStr">
        <is>
          <t>2026-09-19 19:30</t>
        </is>
      </c>
      <c r="D56" s="25" t="n">
        <v>3</v>
      </c>
      <c r="E56" s="17" t="inlineStr">
        <is>
          <t>TOTAL</t>
        </is>
      </c>
      <c r="F56" s="17" t="inlineStr">
        <is>
          <t>Over 50.5</t>
        </is>
      </c>
      <c r="G56" s="26" t="n">
        <v>50.5</v>
      </c>
      <c r="H56" s="18" t="n">
        <v>-112</v>
      </c>
      <c r="I56" s="20" t="n">
        <v>0.5240716538936481</v>
      </c>
      <c r="J56" s="20" t="n">
        <v>0.5043297540699688</v>
      </c>
      <c r="K56" s="20" t="n">
        <v>0.5283018867924528</v>
      </c>
      <c r="L56" s="19" t="n">
        <v>0.03707019622654262</v>
      </c>
      <c r="M56" s="19" t="n">
        <v>-0.008007226558451874</v>
      </c>
      <c r="N56" s="20" t="n">
        <v>0</v>
      </c>
      <c r="O56" s="27" t="n">
        <v>0.839</v>
      </c>
      <c r="P56" s="17" t="inlineStr">
        <is>
          <t>Draft Kings</t>
        </is>
      </c>
      <c r="Q56" s="17" t="n"/>
    </row>
    <row r="57">
      <c r="A57" s="12" t="inlineStr">
        <is>
          <t>PASS</t>
        </is>
      </c>
      <c r="B57" s="12" t="inlineStr">
        <is>
          <t>FLA @ AUB</t>
        </is>
      </c>
      <c r="C57" s="12" t="inlineStr">
        <is>
          <t>2026-09-19 23:00</t>
        </is>
      </c>
      <c r="D57" s="22" t="n">
        <v>3</v>
      </c>
      <c r="E57" s="12" t="inlineStr">
        <is>
          <t>TOTAL</t>
        </is>
      </c>
      <c r="F57" s="12" t="inlineStr">
        <is>
          <t>Over 51.5</t>
        </is>
      </c>
      <c r="G57" s="23" t="n">
        <v>51.5</v>
      </c>
      <c r="H57" s="13" t="n">
        <v>-108</v>
      </c>
      <c r="I57" s="15" t="n">
        <v>0.4978351475877192</v>
      </c>
      <c r="J57" s="15" t="n">
        <v>0.4956702459300312</v>
      </c>
      <c r="K57" s="15" t="n">
        <v>0.5192307692307693</v>
      </c>
      <c r="L57" s="14" t="n">
        <v>0.004364550113953183</v>
      </c>
      <c r="M57" s="14" t="n">
        <v>-0.04120638242365193</v>
      </c>
      <c r="N57" s="15" t="n">
        <v>0</v>
      </c>
      <c r="O57" s="24" t="n">
        <v>0.839</v>
      </c>
      <c r="P57" s="12" t="inlineStr">
        <is>
          <t>Draft Kings</t>
        </is>
      </c>
      <c r="Q57" s="12" t="n"/>
    </row>
    <row r="58">
      <c r="A58" s="17" t="inlineStr">
        <is>
          <t>PASS</t>
        </is>
      </c>
      <c r="B58" s="17" t="inlineStr">
        <is>
          <t>FLA @ AUB</t>
        </is>
      </c>
      <c r="C58" s="17" t="inlineStr">
        <is>
          <t>2026-09-19 23:00</t>
        </is>
      </c>
      <c r="D58" s="25" t="n">
        <v>3</v>
      </c>
      <c r="E58" s="17" t="inlineStr">
        <is>
          <t>TOTAL</t>
        </is>
      </c>
      <c r="F58" s="17" t="inlineStr">
        <is>
          <t>Under 51.5</t>
        </is>
      </c>
      <c r="G58" s="26" t="n">
        <v>51.5</v>
      </c>
      <c r="H58" s="18" t="n">
        <v>-112</v>
      </c>
      <c r="I58" s="20" t="n">
        <v>0.5021648524122808</v>
      </c>
      <c r="J58" s="20" t="n">
        <v>0.5043297540699688</v>
      </c>
      <c r="K58" s="20" t="n">
        <v>0.5283018867924528</v>
      </c>
      <c r="L58" s="19" t="n">
        <v>-0.004289712148480808</v>
      </c>
      <c r="M58" s="19" t="n">
        <v>-0.0494736722196113</v>
      </c>
      <c r="N58" s="20" t="n">
        <v>0</v>
      </c>
      <c r="O58" s="27" t="n">
        <v>0.839</v>
      </c>
      <c r="P58" s="17" t="inlineStr">
        <is>
          <t>Draft Kings</t>
        </is>
      </c>
      <c r="Q58" s="17" t="n"/>
    </row>
    <row r="59">
      <c r="A59" s="12" t="inlineStr">
        <is>
          <t>PASS</t>
        </is>
      </c>
      <c r="B59" s="12" t="inlineStr">
        <is>
          <t>FSU @ ALA</t>
        </is>
      </c>
      <c r="C59" s="12" t="inlineStr">
        <is>
          <t>2026-09-19 19:30</t>
        </is>
      </c>
      <c r="D59" s="22" t="n">
        <v>3</v>
      </c>
      <c r="E59" s="12" t="inlineStr">
        <is>
          <t>TOTAL</t>
        </is>
      </c>
      <c r="F59" s="12" t="inlineStr">
        <is>
          <t>Under 50.5</t>
        </is>
      </c>
      <c r="G59" s="23" t="n">
        <v>50.5</v>
      </c>
      <c r="H59" s="13" t="n">
        <v>-108</v>
      </c>
      <c r="I59" s="15" t="n">
        <v>0.4759283461063519</v>
      </c>
      <c r="J59" s="15" t="n">
        <v>0.4956702459300312</v>
      </c>
      <c r="K59" s="15" t="n">
        <v>0.5192307692307693</v>
      </c>
      <c r="L59" s="14" t="n">
        <v>-0.03764830384416439</v>
      </c>
      <c r="M59" s="14" t="n">
        <v>-0.08339725935072961</v>
      </c>
      <c r="N59" s="15" t="n">
        <v>0</v>
      </c>
      <c r="O59" s="24" t="n">
        <v>0.839</v>
      </c>
      <c r="P59" s="12" t="inlineStr">
        <is>
          <t>Draft Kings</t>
        </is>
      </c>
      <c r="Q59" s="12" t="n"/>
    </row>
    <row r="60">
      <c r="A60" s="17" t="inlineStr">
        <is>
          <t>PASS</t>
        </is>
      </c>
      <c r="B60" s="17" t="inlineStr">
        <is>
          <t>MSST @ SC</t>
        </is>
      </c>
      <c r="C60" s="17" t="inlineStr">
        <is>
          <t>2026-09-19 20:15</t>
        </is>
      </c>
      <c r="D60" s="25" t="n">
        <v>3</v>
      </c>
      <c r="E60" s="17" t="inlineStr">
        <is>
          <t>ML</t>
        </is>
      </c>
      <c r="F60" s="17" t="inlineStr">
        <is>
          <t>SC ML</t>
        </is>
      </c>
      <c r="G60" s="26" t="n"/>
      <c r="H60" s="18" t="n">
        <v>-218</v>
      </c>
      <c r="I60" s="20" t="n">
        <v>0.631012001373515</v>
      </c>
      <c r="J60" s="20" t="n">
        <v>0.6574752261956054</v>
      </c>
      <c r="K60" s="20" t="n">
        <v>0.6855345911949685</v>
      </c>
      <c r="L60" s="19" t="n">
        <v>-0.03800261981985519</v>
      </c>
      <c r="M60" s="19" t="n">
        <v>-0.07953295212487266</v>
      </c>
      <c r="N60" s="20" t="n">
        <v>0</v>
      </c>
      <c r="O60" s="27" t="n">
        <v>0.839</v>
      </c>
      <c r="P60" s="17" t="inlineStr">
        <is>
          <t>Draft Kings</t>
        </is>
      </c>
      <c r="Q60" s="17" t="n"/>
    </row>
    <row r="61">
      <c r="A61" s="12" t="inlineStr">
        <is>
          <t>PASS</t>
        </is>
      </c>
      <c r="B61" s="12" t="inlineStr">
        <is>
          <t>VT @ MD</t>
        </is>
      </c>
      <c r="C61" s="12" t="inlineStr">
        <is>
          <t>2026-09-19 23:30</t>
        </is>
      </c>
      <c r="D61" s="22" t="n">
        <v>3</v>
      </c>
      <c r="E61" s="12" t="inlineStr">
        <is>
          <t>TOTAL</t>
        </is>
      </c>
      <c r="F61" s="12" t="inlineStr">
        <is>
          <t>Over 54.5</t>
        </is>
      </c>
      <c r="G61" s="23" t="n">
        <v>54.5</v>
      </c>
      <c r="H61" s="13" t="n">
        <v>-110</v>
      </c>
      <c r="I61" s="15" t="n">
        <v>0.4761108846673725</v>
      </c>
      <c r="J61" s="15" t="n">
        <v>0.5</v>
      </c>
      <c r="K61" s="15" t="n">
        <v>0.5238095238095238</v>
      </c>
      <c r="L61" s="14" t="n">
        <v>-0.04411964744428324</v>
      </c>
      <c r="M61" s="14" t="n">
        <v>-0.09106103836228885</v>
      </c>
      <c r="N61" s="15" t="n">
        <v>0</v>
      </c>
      <c r="O61" s="24" t="n">
        <v>0.839</v>
      </c>
      <c r="P61" s="12" t="inlineStr">
        <is>
          <t>Draft Kings</t>
        </is>
      </c>
      <c r="Q61" s="12" t="n"/>
    </row>
    <row r="62">
      <c r="A62" s="17" t="inlineStr">
        <is>
          <t>PASS</t>
        </is>
      </c>
      <c r="B62" s="17" t="inlineStr">
        <is>
          <t>UGA @ ARK</t>
        </is>
      </c>
      <c r="C62" s="17" t="inlineStr">
        <is>
          <t>2026-09-19 16:00</t>
        </is>
      </c>
      <c r="D62" s="25" t="n">
        <v>3</v>
      </c>
      <c r="E62" s="17" t="inlineStr">
        <is>
          <t>TOTAL</t>
        </is>
      </c>
      <c r="F62" s="17" t="inlineStr">
        <is>
          <t>Under 52.5</t>
        </is>
      </c>
      <c r="G62" s="26" t="n">
        <v>52.5</v>
      </c>
      <c r="H62" s="18" t="n">
        <v>-112</v>
      </c>
      <c r="I62" s="20" t="n">
        <v>0.4782757453259545</v>
      </c>
      <c r="J62" s="20" t="n">
        <v>0.5043297540699688</v>
      </c>
      <c r="K62" s="20" t="n">
        <v>0.5283018867924528</v>
      </c>
      <c r="L62" s="19" t="n">
        <v>-0.04710635293603661</v>
      </c>
      <c r="M62" s="19" t="n">
        <v>-0.09469233920444331</v>
      </c>
      <c r="N62" s="20" t="n">
        <v>0</v>
      </c>
      <c r="O62" s="27" t="n">
        <v>0.839</v>
      </c>
      <c r="P62" s="17" t="inlineStr">
        <is>
          <t>Draft Kings</t>
        </is>
      </c>
      <c r="Q62" s="17" t="n"/>
    </row>
    <row r="63">
      <c r="A63" s="12" t="inlineStr">
        <is>
          <t>PASS</t>
        </is>
      </c>
      <c r="B63" s="12" t="inlineStr">
        <is>
          <t>MIA @ WAKE</t>
        </is>
      </c>
      <c r="C63" s="12" t="inlineStr">
        <is>
          <t>2026-09-18 23:30</t>
        </is>
      </c>
      <c r="D63" s="22" t="n">
        <v>3</v>
      </c>
      <c r="E63" s="12" t="inlineStr">
        <is>
          <t>TOTAL</t>
        </is>
      </c>
      <c r="F63" s="12" t="inlineStr">
        <is>
          <t>Over 54.5</t>
        </is>
      </c>
      <c r="G63" s="23" t="n">
        <v>54.5</v>
      </c>
      <c r="H63" s="13" t="n">
        <v>-108</v>
      </c>
      <c r="I63" s="15" t="n">
        <v>0.4640737290264425</v>
      </c>
      <c r="J63" s="15" t="n">
        <v>0.4956702459300312</v>
      </c>
      <c r="K63" s="15" t="n">
        <v>0.5192307692307693</v>
      </c>
      <c r="L63" s="14" t="n">
        <v>-0.05563556581520536</v>
      </c>
      <c r="M63" s="14" t="n">
        <v>-0.1062283737268515</v>
      </c>
      <c r="N63" s="15" t="n">
        <v>0</v>
      </c>
      <c r="O63" s="24" t="n">
        <v>0.839</v>
      </c>
      <c r="P63" s="12" t="inlineStr">
        <is>
          <t>Draft Kings</t>
        </is>
      </c>
      <c r="Q63" s="12" t="n"/>
    </row>
    <row r="64">
      <c r="A64" s="17" t="inlineStr">
        <is>
          <t>PASS</t>
        </is>
      </c>
      <c r="B64" s="17" t="inlineStr">
        <is>
          <t>SYR @ PITT</t>
        </is>
      </c>
      <c r="C64" s="17" t="inlineStr">
        <is>
          <t>2026-09-17 23:30</t>
        </is>
      </c>
      <c r="D64" s="25" t="n">
        <v>3</v>
      </c>
      <c r="E64" s="17" t="inlineStr">
        <is>
          <t>ML</t>
        </is>
      </c>
      <c r="F64" s="17" t="inlineStr">
        <is>
          <t>PITT ML</t>
        </is>
      </c>
      <c r="G64" s="26" t="n"/>
      <c r="H64" s="18" t="n">
        <v>-380</v>
      </c>
      <c r="I64" s="20" t="n">
        <v>0.7096889400846278</v>
      </c>
      <c r="J64" s="20" t="n">
        <v>0.7600000000000001</v>
      </c>
      <c r="K64" s="20" t="n">
        <v>0.7916666666666666</v>
      </c>
      <c r="L64" s="19" t="n">
        <v>-0.0572233653165885</v>
      </c>
      <c r="M64" s="19" t="n">
        <v>-0.1035508125246807</v>
      </c>
      <c r="N64" s="20" t="n">
        <v>0</v>
      </c>
      <c r="O64" s="27" t="n">
        <v>0.839</v>
      </c>
      <c r="P64" s="17" t="inlineStr">
        <is>
          <t>Draft Kings</t>
        </is>
      </c>
      <c r="Q64" s="17" t="n"/>
    </row>
    <row r="65">
      <c r="A65" s="12" t="inlineStr">
        <is>
          <t>PASS</t>
        </is>
      </c>
      <c r="B65" s="12" t="inlineStr">
        <is>
          <t>COLO @ NU</t>
        </is>
      </c>
      <c r="C65" s="12" t="inlineStr">
        <is>
          <t>2026-09-19 23:30</t>
        </is>
      </c>
      <c r="D65" s="22" t="n">
        <v>3</v>
      </c>
      <c r="E65" s="12" t="inlineStr">
        <is>
          <t>ATS</t>
        </is>
      </c>
      <c r="F65" s="12" t="inlineStr">
        <is>
          <t>COLO +3</t>
        </is>
      </c>
      <c r="G65" s="23" t="n">
        <v>-3</v>
      </c>
      <c r="H65" s="13" t="n">
        <v>-108</v>
      </c>
      <c r="I65" s="15" t="n">
        <v>0.4560392235333937</v>
      </c>
      <c r="J65" s="15" t="n">
        <v>0.4956702459300312</v>
      </c>
      <c r="K65" s="15" t="n">
        <v>0.5192307692307693</v>
      </c>
      <c r="L65" s="14" t="n">
        <v>-0.06523355584228438</v>
      </c>
      <c r="M65" s="14" t="n">
        <v>-0.1144122722120497</v>
      </c>
      <c r="N65" s="15" t="n">
        <v>0.0599</v>
      </c>
      <c r="O65" s="24" t="n">
        <v>0.725</v>
      </c>
      <c r="P65" s="12" t="inlineStr">
        <is>
          <t>Draft Kings</t>
        </is>
      </c>
      <c r="Q65" s="12" t="n"/>
    </row>
    <row r="66">
      <c r="A66" s="17" t="inlineStr">
        <is>
          <t>PASS</t>
        </is>
      </c>
      <c r="B66" s="17" t="inlineStr">
        <is>
          <t>UK @ TA&amp;M</t>
        </is>
      </c>
      <c r="C66" s="17" t="inlineStr">
        <is>
          <t>2026-09-19 19:30</t>
        </is>
      </c>
      <c r="D66" s="25" t="n">
        <v>3</v>
      </c>
      <c r="E66" s="17" t="inlineStr">
        <is>
          <t>ML</t>
        </is>
      </c>
      <c r="F66" s="17" t="inlineStr">
        <is>
          <t>TA&amp;M ML</t>
        </is>
      </c>
      <c r="G66" s="26" t="n"/>
      <c r="H66" s="18" t="n">
        <v>-850</v>
      </c>
      <c r="I66" s="20" t="n">
        <v>0.7792566533571074</v>
      </c>
      <c r="J66" s="20" t="n">
        <v>0.8483033932135728</v>
      </c>
      <c r="K66" s="20" t="n">
        <v>0.8947368421052632</v>
      </c>
      <c r="L66" s="19" t="n">
        <v>-0.06598642556220619</v>
      </c>
      <c r="M66" s="19" t="n">
        <v>-0.1290660933067623</v>
      </c>
      <c r="N66" s="20" t="n">
        <v>0</v>
      </c>
      <c r="O66" s="27" t="n">
        <v>0.75</v>
      </c>
      <c r="P66" s="17" t="inlineStr">
        <is>
          <t>Draft 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MSU @ ND</t>
        </is>
      </c>
      <c r="C67" s="12" t="inlineStr">
        <is>
          <t>2026-09-19 23:30</t>
        </is>
      </c>
      <c r="D67" s="22" t="n">
        <v>3</v>
      </c>
      <c r="E67" s="12" t="inlineStr">
        <is>
          <t>TOTAL</t>
        </is>
      </c>
      <c r="F67" s="12" t="inlineStr">
        <is>
          <t>Over 53.5</t>
        </is>
      </c>
      <c r="G67" s="23" t="n">
        <v>53.5</v>
      </c>
      <c r="H67" s="13" t="n">
        <v>-115</v>
      </c>
      <c r="I67" s="15" t="n">
        <v>0.4677288981284957</v>
      </c>
      <c r="J67" s="15" t="n">
        <v>0.5108342361863488</v>
      </c>
      <c r="K67" s="15" t="n">
        <v>0.5348837209302325</v>
      </c>
      <c r="L67" s="14" t="n">
        <v>-0.06749944145230924</v>
      </c>
      <c r="M67" s="14" t="n">
        <v>-0.1255503208902038</v>
      </c>
      <c r="N67" s="15" t="n">
        <v>0</v>
      </c>
      <c r="O67" s="24" t="n">
        <v>0.8333333333333334</v>
      </c>
      <c r="P67" s="12" t="inlineStr">
        <is>
          <t>Draft Kings</t>
        </is>
      </c>
      <c r="Q67" s="12" t="n"/>
    </row>
    <row r="68">
      <c r="A68" s="17" t="inlineStr">
        <is>
          <t>PASS</t>
        </is>
      </c>
      <c r="B68" s="17" t="inlineStr">
        <is>
          <t>MSST @ SC</t>
        </is>
      </c>
      <c r="C68" s="17" t="inlineStr">
        <is>
          <t>2026-09-19 20:15</t>
        </is>
      </c>
      <c r="D68" s="25" t="n">
        <v>3</v>
      </c>
      <c r="E68" s="17" t="inlineStr">
        <is>
          <t>ATS</t>
        </is>
      </c>
      <c r="F68" s="17" t="inlineStr">
        <is>
          <t>SC -5.5</t>
        </is>
      </c>
      <c r="G68" s="26" t="n">
        <v>-5.5</v>
      </c>
      <c r="H68" s="18" t="n">
        <v>-115</v>
      </c>
      <c r="I68" s="20" t="n">
        <v>0.4676088958271456</v>
      </c>
      <c r="J68" s="20" t="n">
        <v>0.5108342361863488</v>
      </c>
      <c r="K68" s="20" t="n">
        <v>0.5348837209302325</v>
      </c>
      <c r="L68" s="19" t="n">
        <v>-0.06761555756870778</v>
      </c>
      <c r="M68" s="19" t="n">
        <v>-0.1257746730188148</v>
      </c>
      <c r="N68" s="20" t="n">
        <v>0</v>
      </c>
      <c r="O68" s="27" t="n">
        <v>0.839</v>
      </c>
      <c r="P68" s="17" t="inlineStr">
        <is>
          <t>Draft Kings</t>
        </is>
      </c>
      <c r="Q68" s="17" t="n"/>
    </row>
    <row r="69">
      <c r="A69" s="12" t="inlineStr">
        <is>
          <t>PASS</t>
        </is>
      </c>
      <c r="B69" s="12" t="inlineStr">
        <is>
          <t>ASU @ KU</t>
        </is>
      </c>
      <c r="C69" s="12" t="inlineStr">
        <is>
          <t>2026-09-19 16:00</t>
        </is>
      </c>
      <c r="D69" s="22" t="n">
        <v>3</v>
      </c>
      <c r="E69" s="12" t="inlineStr">
        <is>
          <t>ML</t>
        </is>
      </c>
      <c r="F69" s="12" t="inlineStr">
        <is>
          <t>ASU ML</t>
        </is>
      </c>
      <c r="G69" s="23" t="n"/>
      <c r="H69" s="13" t="n">
        <v>-205</v>
      </c>
      <c r="I69" s="15" t="n">
        <v>0.5868967326755149</v>
      </c>
      <c r="J69" s="15" t="n">
        <v>0.6447291788002329</v>
      </c>
      <c r="K69" s="15" t="n">
        <v>0.6721311475409836</v>
      </c>
      <c r="L69" s="14" t="n">
        <v>-0.07002949419066838</v>
      </c>
      <c r="M69" s="14" t="n">
        <v>-0.1268121782144779</v>
      </c>
      <c r="N69" s="15" t="n">
        <v>0</v>
      </c>
      <c r="O69" s="24" t="n">
        <v>0.8333333333333334</v>
      </c>
      <c r="P69" s="12" t="inlineStr">
        <is>
          <t>Draft Kings</t>
        </is>
      </c>
      <c r="Q69" s="12" t="n"/>
    </row>
    <row r="70">
      <c r="A70" s="17" t="inlineStr">
        <is>
          <t>PASS</t>
        </is>
      </c>
      <c r="B70" s="17" t="inlineStr">
        <is>
          <t>SYR @ PITT</t>
        </is>
      </c>
      <c r="C70" s="17" t="inlineStr">
        <is>
          <t>2026-09-17 23:30</t>
        </is>
      </c>
      <c r="D70" s="25" t="n">
        <v>3</v>
      </c>
      <c r="E70" s="17" t="inlineStr">
        <is>
          <t>TOTAL</t>
        </is>
      </c>
      <c r="F70" s="17" t="inlineStr">
        <is>
          <t>Over 53.5</t>
        </is>
      </c>
      <c r="G70" s="26" t="n">
        <v>53.5</v>
      </c>
      <c r="H70" s="18" t="n">
        <v>-112</v>
      </c>
      <c r="I70" s="20" t="n">
        <v>0.4586148252948646</v>
      </c>
      <c r="J70" s="20" t="n">
        <v>0.5043297540699688</v>
      </c>
      <c r="K70" s="20" t="n">
        <v>0.5283018867924528</v>
      </c>
      <c r="L70" s="19" t="n">
        <v>-0.07045762801221282</v>
      </c>
      <c r="M70" s="19" t="n">
        <v>-0.1319076521204349</v>
      </c>
      <c r="N70" s="20" t="n">
        <v>0</v>
      </c>
      <c r="O70" s="27" t="n">
        <v>0.839</v>
      </c>
      <c r="P70" s="17" t="inlineStr">
        <is>
          <t>Draft Kings</t>
        </is>
      </c>
      <c r="Q70" s="17" t="n"/>
    </row>
    <row r="71">
      <c r="A71" s="12" t="inlineStr">
        <is>
          <t>PASS</t>
        </is>
      </c>
      <c r="B71" s="12" t="inlineStr">
        <is>
          <t>SMU @ LOU</t>
        </is>
      </c>
      <c r="C71" s="12" t="inlineStr">
        <is>
          <t>2026-09-19 19:30</t>
        </is>
      </c>
      <c r="D71" s="22" t="n">
        <v>3</v>
      </c>
      <c r="E71" s="12" t="inlineStr">
        <is>
          <t>ATS</t>
        </is>
      </c>
      <c r="F71" s="12" t="inlineStr">
        <is>
          <t>SMU +1.5</t>
        </is>
      </c>
      <c r="G71" s="23" t="n">
        <v>-1.5</v>
      </c>
      <c r="H71" s="13" t="n">
        <v>-115</v>
      </c>
      <c r="I71" s="15" t="n">
        <v>0.4617585277322371</v>
      </c>
      <c r="J71" s="15" t="n">
        <v>0.5108342361863488</v>
      </c>
      <c r="K71" s="15" t="n">
        <v>0.5348837209302325</v>
      </c>
      <c r="L71" s="14" t="n">
        <v>-0.07279686636758997</v>
      </c>
      <c r="M71" s="14" t="n">
        <v>-0.1367123177179915</v>
      </c>
      <c r="N71" s="15" t="n">
        <v>0</v>
      </c>
      <c r="O71" s="24" t="n">
        <v>0.839</v>
      </c>
      <c r="P71" s="12" t="inlineStr">
        <is>
          <t>Draft Kings</t>
        </is>
      </c>
      <c r="Q71" s="12" t="n"/>
    </row>
    <row r="72">
      <c r="A72" s="17" t="inlineStr">
        <is>
          <t>PASS</t>
        </is>
      </c>
      <c r="B72" s="17" t="inlineStr">
        <is>
          <t>UNC @ CLEM</t>
        </is>
      </c>
      <c r="C72" s="17" t="inlineStr">
        <is>
          <t>2026-09-19 16:00</t>
        </is>
      </c>
      <c r="D72" s="25" t="n">
        <v>3</v>
      </c>
      <c r="E72" s="17" t="inlineStr">
        <is>
          <t>ML</t>
        </is>
      </c>
      <c r="F72" s="17" t="inlineStr">
        <is>
          <t>CLEM ML</t>
        </is>
      </c>
      <c r="G72" s="26" t="n"/>
      <c r="H72" s="18" t="n">
        <v>-375</v>
      </c>
      <c r="I72" s="20" t="n">
        <v>0.6793344655588903</v>
      </c>
      <c r="J72" s="20" t="n">
        <v>0.7571884984025559</v>
      </c>
      <c r="K72" s="20" t="n">
        <v>0.7894736842105263</v>
      </c>
      <c r="L72" s="19" t="n">
        <v>-0.07543530502056875</v>
      </c>
      <c r="M72" s="19" t="n">
        <v>-0.1395096769587389</v>
      </c>
      <c r="N72" s="20" t="n">
        <v>0</v>
      </c>
      <c r="O72" s="27" t="n">
        <v>0.839</v>
      </c>
      <c r="P72" s="17" t="inlineStr">
        <is>
          <t>Draft Kings</t>
        </is>
      </c>
      <c r="Q72" s="17" t="n"/>
    </row>
    <row r="73">
      <c r="A73" s="12" t="inlineStr">
        <is>
          <t>PASS</t>
        </is>
      </c>
      <c r="B73" s="12" t="inlineStr">
        <is>
          <t>FSU @ ALA</t>
        </is>
      </c>
      <c r="C73" s="12" t="inlineStr">
        <is>
          <t>2026-09-19 19:30</t>
        </is>
      </c>
      <c r="D73" s="22" t="n">
        <v>3</v>
      </c>
      <c r="E73" s="12" t="inlineStr">
        <is>
          <t>ML</t>
        </is>
      </c>
      <c r="F73" s="12" t="inlineStr">
        <is>
          <t>ALA ML</t>
        </is>
      </c>
      <c r="G73" s="23" t="n"/>
      <c r="H73" s="13" t="n">
        <v>-950</v>
      </c>
      <c r="I73" s="15" t="n">
        <v>0.7741960863439327</v>
      </c>
      <c r="J73" s="15" t="n">
        <v>0.8677165354330709</v>
      </c>
      <c r="K73" s="15" t="n">
        <v>0.9047619047619048</v>
      </c>
      <c r="L73" s="14" t="n">
        <v>-0.07719265877899487</v>
      </c>
      <c r="M73" s="14" t="n">
        <v>-0.1443095887777587</v>
      </c>
      <c r="N73" s="15" t="n">
        <v>0</v>
      </c>
      <c r="O73" s="24" t="n">
        <v>0.839</v>
      </c>
      <c r="P73" s="12" t="inlineStr">
        <is>
          <t>Draft 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COLO @ NU</t>
        </is>
      </c>
      <c r="C74" s="17" t="inlineStr">
        <is>
          <t>2026-09-19 23:30</t>
        </is>
      </c>
      <c r="D74" s="25" t="n">
        <v>3</v>
      </c>
      <c r="E74" s="17" t="inlineStr">
        <is>
          <t>ML</t>
        </is>
      </c>
      <c r="F74" s="17" t="inlineStr">
        <is>
          <t>COLO ML</t>
        </is>
      </c>
      <c r="G74" s="26" t="n"/>
      <c r="H74" s="18" t="n">
        <v>124</v>
      </c>
      <c r="I74" s="20" t="n">
        <v>0.3793848092758871</v>
      </c>
      <c r="J74" s="20" t="n">
        <v>0.4279403644395361</v>
      </c>
      <c r="K74" s="20" t="n">
        <v>0.4464285714285715</v>
      </c>
      <c r="L74" s="19" t="n">
        <v>-0.0790327315619684</v>
      </c>
      <c r="M74" s="19" t="n">
        <v>-0.1501780272220128</v>
      </c>
      <c r="N74" s="20" t="n">
        <v>0</v>
      </c>
      <c r="O74" s="27" t="n">
        <v>0.725</v>
      </c>
      <c r="P74" s="17" t="inlineStr">
        <is>
          <t>Draft Kings</t>
        </is>
      </c>
      <c r="Q74" s="17" t="n"/>
    </row>
    <row r="75">
      <c r="A75" s="12" t="inlineStr">
        <is>
          <t>PASS</t>
        </is>
      </c>
      <c r="B75" s="12" t="inlineStr">
        <is>
          <t>SMU @ LOU</t>
        </is>
      </c>
      <c r="C75" s="12" t="inlineStr">
        <is>
          <t>2026-09-19 19:30</t>
        </is>
      </c>
      <c r="D75" s="22" t="n">
        <v>3</v>
      </c>
      <c r="E75" s="12" t="inlineStr">
        <is>
          <t>ML</t>
        </is>
      </c>
      <c r="F75" s="12" t="inlineStr">
        <is>
          <t>SMU ML</t>
        </is>
      </c>
      <c r="G75" s="23" t="n"/>
      <c r="H75" s="13" t="n">
        <v>-108</v>
      </c>
      <c r="I75" s="15" t="n">
        <v>0.4362848838323002</v>
      </c>
      <c r="J75" s="15" t="n">
        <v>0.4956702459300312</v>
      </c>
      <c r="K75" s="15" t="n">
        <v>0.5192307692307693</v>
      </c>
      <c r="L75" s="14" t="n">
        <v>-0.08088089235190561</v>
      </c>
      <c r="M75" s="14" t="n">
        <v>-0.1597476311377921</v>
      </c>
      <c r="N75" s="15" t="n">
        <v>0</v>
      </c>
      <c r="O75" s="24" t="n">
        <v>0.839</v>
      </c>
      <c r="P75" s="12" t="inlineStr">
        <is>
          <t>Draft Kings</t>
        </is>
      </c>
      <c r="Q75" s="12" t="n"/>
    </row>
    <row r="76">
      <c r="A76" s="17" t="inlineStr">
        <is>
          <t>PASS</t>
        </is>
      </c>
      <c r="B76" s="17" t="inlineStr">
        <is>
          <t>WVU @ UVA</t>
        </is>
      </c>
      <c r="C76" s="17" t="inlineStr">
        <is>
          <t>2026-09-19 23:30</t>
        </is>
      </c>
      <c r="D76" s="25" t="n">
        <v>3</v>
      </c>
      <c r="E76" s="17" t="inlineStr">
        <is>
          <t>TOTAL</t>
        </is>
      </c>
      <c r="F76" s="17" t="inlineStr">
        <is>
          <t>Over 53.5</t>
        </is>
      </c>
      <c r="G76" s="26" t="n">
        <v>53.5</v>
      </c>
      <c r="H76" s="18" t="n">
        <v>-112</v>
      </c>
      <c r="I76" s="20" t="n">
        <v>0.4374889082941585</v>
      </c>
      <c r="J76" s="20" t="n">
        <v>0.5043297540699688</v>
      </c>
      <c r="K76" s="20" t="n">
        <v>0.5283018867924528</v>
      </c>
      <c r="L76" s="19" t="n">
        <v>-0.08400724365321681</v>
      </c>
      <c r="M76" s="19" t="n">
        <v>-0.1718959950146285</v>
      </c>
      <c r="N76" s="20" t="n">
        <v>0</v>
      </c>
      <c r="O76" s="27" t="n">
        <v>0.839</v>
      </c>
      <c r="P76" s="17" t="inlineStr">
        <is>
          <t>Draft Kings</t>
        </is>
      </c>
      <c r="Q76" s="17" t="n"/>
    </row>
    <row r="77">
      <c r="A77" s="12" t="inlineStr">
        <is>
          <t>PASS</t>
        </is>
      </c>
      <c r="B77" s="12" t="inlineStr">
        <is>
          <t>WVU @ UVA</t>
        </is>
      </c>
      <c r="C77" s="12" t="inlineStr">
        <is>
          <t>2026-09-19 23:30</t>
        </is>
      </c>
      <c r="D77" s="22" t="n">
        <v>3</v>
      </c>
      <c r="E77" s="12" t="inlineStr">
        <is>
          <t>ML</t>
        </is>
      </c>
      <c r="F77" s="12" t="inlineStr">
        <is>
          <t>UVA ML</t>
        </is>
      </c>
      <c r="G77" s="23" t="n"/>
      <c r="H77" s="13" t="n">
        <v>-355</v>
      </c>
      <c r="I77" s="15" t="n">
        <v>0.6428727028198874</v>
      </c>
      <c r="J77" s="15" t="n">
        <v>0.7477827050997783</v>
      </c>
      <c r="K77" s="15" t="n">
        <v>0.7802197802197802</v>
      </c>
      <c r="L77" s="14" t="n">
        <v>-0.08558210633221956</v>
      </c>
      <c r="M77" s="14" t="n">
        <v>-0.1760363949773274</v>
      </c>
      <c r="N77" s="15" t="n">
        <v>0</v>
      </c>
      <c r="O77" s="24" t="n">
        <v>0.839</v>
      </c>
      <c r="P77" s="12" t="inlineStr">
        <is>
          <t>Draft Kings</t>
        </is>
      </c>
      <c r="Q77" s="12" t="n"/>
    </row>
    <row r="78">
      <c r="A78" s="17" t="inlineStr">
        <is>
          <t>PASS</t>
        </is>
      </c>
      <c r="B78" s="17" t="inlineStr">
        <is>
          <t>MSU @ ND</t>
        </is>
      </c>
      <c r="C78" s="17" t="inlineStr">
        <is>
          <t>2026-09-19 23:30</t>
        </is>
      </c>
      <c r="D78" s="25" t="n">
        <v>3</v>
      </c>
      <c r="E78" s="17" t="inlineStr">
        <is>
          <t>ML</t>
        </is>
      </c>
      <c r="F78" s="17" t="inlineStr">
        <is>
          <t>ND ML</t>
        </is>
      </c>
      <c r="G78" s="26" t="n"/>
      <c r="H78" s="18" t="n">
        <v>-8000</v>
      </c>
      <c r="I78" s="20" t="n">
        <v>0.8233881855075396</v>
      </c>
      <c r="J78" s="20" t="n">
        <v>0.9578344612181156</v>
      </c>
      <c r="K78" s="20" t="n">
        <v>0.9876543209876543</v>
      </c>
      <c r="L78" s="19" t="n">
        <v>-0.08559530086920913</v>
      </c>
      <c r="M78" s="19" t="n">
        <v>-0.1663194621736163</v>
      </c>
      <c r="N78" s="20" t="n">
        <v>0</v>
      </c>
      <c r="O78" s="27" t="n">
        <v>0.8333333333333334</v>
      </c>
      <c r="P78" s="17" t="inlineStr">
        <is>
          <t>Draft Kings</t>
        </is>
      </c>
      <c r="Q78" s="17" t="inlineStr">
        <is>
          <t>price outside allowed range</t>
        </is>
      </c>
    </row>
    <row r="79">
      <c r="A79" s="12" t="inlineStr">
        <is>
          <t>PASS</t>
        </is>
      </c>
      <c r="B79" s="12" t="inlineStr">
        <is>
          <t>MSST @ SC</t>
        </is>
      </c>
      <c r="C79" s="12" t="inlineStr">
        <is>
          <t>2026-09-19 20:15</t>
        </is>
      </c>
      <c r="D79" s="22" t="n">
        <v>3</v>
      </c>
      <c r="E79" s="12" t="inlineStr">
        <is>
          <t>TOTAL</t>
        </is>
      </c>
      <c r="F79" s="12" t="inlineStr">
        <is>
          <t>Over 56.5</t>
        </is>
      </c>
      <c r="G79" s="23" t="n">
        <v>56.5</v>
      </c>
      <c r="H79" s="13" t="n">
        <v>-108</v>
      </c>
      <c r="I79" s="15" t="n">
        <v>0.4256520129132683</v>
      </c>
      <c r="J79" s="15" t="n">
        <v>0.4956702459300312</v>
      </c>
      <c r="K79" s="15" t="n">
        <v>0.5192307692307693</v>
      </c>
      <c r="L79" s="14" t="n">
        <v>-0.08576228740980593</v>
      </c>
      <c r="M79" s="14" t="n">
        <v>-0.1802257529077796</v>
      </c>
      <c r="N79" s="15" t="n">
        <v>0</v>
      </c>
      <c r="O79" s="24" t="n">
        <v>0.839</v>
      </c>
      <c r="P79" s="12" t="inlineStr">
        <is>
          <t>Draft Kings</t>
        </is>
      </c>
      <c r="Q79" s="12" t="n"/>
    </row>
    <row r="80">
      <c r="A80" s="17" t="inlineStr">
        <is>
          <t>PASS</t>
        </is>
      </c>
      <c r="B80" s="17" t="inlineStr">
        <is>
          <t>UNC @ CLEM</t>
        </is>
      </c>
      <c r="C80" s="17" t="inlineStr">
        <is>
          <t>2026-09-19 16:00</t>
        </is>
      </c>
      <c r="D80" s="25" t="n">
        <v>3</v>
      </c>
      <c r="E80" s="17" t="inlineStr">
        <is>
          <t>TOTAL</t>
        </is>
      </c>
      <c r="F80" s="17" t="inlineStr">
        <is>
          <t>Under 44.5</t>
        </is>
      </c>
      <c r="G80" s="26" t="n">
        <v>44.5</v>
      </c>
      <c r="H80" s="18" t="n">
        <v>-112</v>
      </c>
      <c r="I80" s="20" t="n">
        <v>0.4299815804168907</v>
      </c>
      <c r="J80" s="20" t="n">
        <v>0.5043297540699688</v>
      </c>
      <c r="K80" s="20" t="n">
        <v>0.5283018867924528</v>
      </c>
      <c r="L80" s="19" t="n">
        <v>-0.08683758636894096</v>
      </c>
      <c r="M80" s="19" t="n">
        <v>-0.1861062942108854</v>
      </c>
      <c r="N80" s="20" t="n">
        <v>0</v>
      </c>
      <c r="O80" s="27" t="n">
        <v>0.839</v>
      </c>
      <c r="P80" s="17" t="inlineStr">
        <is>
          <t>Draft Kings</t>
        </is>
      </c>
      <c r="Q80" s="17" t="n"/>
    </row>
    <row r="81">
      <c r="A81" s="12" t="inlineStr">
        <is>
          <t>PASS</t>
        </is>
      </c>
      <c r="B81" s="12" t="inlineStr">
        <is>
          <t>ASU @ KU</t>
        </is>
      </c>
      <c r="C81" s="12" t="inlineStr">
        <is>
          <t>2026-09-19 16:00</t>
        </is>
      </c>
      <c r="D81" s="22" t="n">
        <v>3</v>
      </c>
      <c r="E81" s="12" t="inlineStr">
        <is>
          <t>ATS</t>
        </is>
      </c>
      <c r="F81" s="12" t="inlineStr">
        <is>
          <t>ASU -5.5</t>
        </is>
      </c>
      <c r="G81" s="23" t="n">
        <v>5.5</v>
      </c>
      <c r="H81" s="13" t="n">
        <v>-110</v>
      </c>
      <c r="I81" s="15" t="n">
        <v>0.4255060421862527</v>
      </c>
      <c r="J81" s="15" t="n">
        <v>0.5</v>
      </c>
      <c r="K81" s="15" t="n">
        <v>0.5238095238095238</v>
      </c>
      <c r="L81" s="14" t="n">
        <v>-0.08709162520825021</v>
      </c>
      <c r="M81" s="14" t="n">
        <v>-0.1876702830989722</v>
      </c>
      <c r="N81" s="15" t="n">
        <v>0</v>
      </c>
      <c r="O81" s="24" t="n">
        <v>0.8333333333333334</v>
      </c>
      <c r="P81" s="12" t="inlineStr">
        <is>
          <t>Draft Kings</t>
        </is>
      </c>
      <c r="Q81" s="12" t="n"/>
    </row>
    <row r="82">
      <c r="A82" s="17" t="inlineStr">
        <is>
          <t>PASS</t>
        </is>
      </c>
      <c r="B82" s="17" t="inlineStr">
        <is>
          <t>HOU @ TTU</t>
        </is>
      </c>
      <c r="C82" s="17" t="inlineStr">
        <is>
          <t>2026-09-19 00:00</t>
        </is>
      </c>
      <c r="D82" s="25" t="n">
        <v>3</v>
      </c>
      <c r="E82" s="17" t="inlineStr">
        <is>
          <t>ATS</t>
        </is>
      </c>
      <c r="F82" s="17" t="inlineStr">
        <is>
          <t>TTU -10</t>
        </is>
      </c>
      <c r="G82" s="26" t="n">
        <v>-10</v>
      </c>
      <c r="H82" s="18" t="n">
        <v>-112</v>
      </c>
      <c r="I82" s="20" t="n">
        <v>0.4253196573348106</v>
      </c>
      <c r="J82" s="20" t="n">
        <v>0.5043297540699688</v>
      </c>
      <c r="K82" s="20" t="n">
        <v>0.5283018867924528</v>
      </c>
      <c r="L82" s="19" t="n">
        <v>-0.088229602965385</v>
      </c>
      <c r="M82" s="19" t="n">
        <v>-0.1873088602553559</v>
      </c>
      <c r="N82" s="20" t="n">
        <v>0.0391</v>
      </c>
      <c r="O82" s="27" t="n">
        <v>0.839</v>
      </c>
      <c r="P82" s="17" t="inlineStr">
        <is>
          <t>Draft Kings</t>
        </is>
      </c>
      <c r="Q82" s="17" t="n"/>
    </row>
    <row r="83">
      <c r="A83" s="12" t="inlineStr">
        <is>
          <t>PASS</t>
        </is>
      </c>
      <c r="B83" s="12" t="inlineStr">
        <is>
          <t>ASU @ KU</t>
        </is>
      </c>
      <c r="C83" s="12" t="inlineStr">
        <is>
          <t>2026-09-19 16:00</t>
        </is>
      </c>
      <c r="D83" s="22" t="n">
        <v>3</v>
      </c>
      <c r="E83" s="12" t="inlineStr">
        <is>
          <t>TOTAL</t>
        </is>
      </c>
      <c r="F83" s="12" t="inlineStr">
        <is>
          <t>Over 56.5</t>
        </is>
      </c>
      <c r="G83" s="23" t="n">
        <v>56.5</v>
      </c>
      <c r="H83" s="13" t="n">
        <v>-112</v>
      </c>
      <c r="I83" s="15" t="n">
        <v>0.4244233014530925</v>
      </c>
      <c r="J83" s="15" t="n">
        <v>0.5043297540699688</v>
      </c>
      <c r="K83" s="15" t="n">
        <v>0.5283018867924528</v>
      </c>
      <c r="L83" s="14" t="n">
        <v>-0.08846970588864529</v>
      </c>
      <c r="M83" s="14" t="n">
        <v>-0.1966273222495035</v>
      </c>
      <c r="N83" s="15" t="n">
        <v>0</v>
      </c>
      <c r="O83" s="24" t="n">
        <v>0.8333333333333334</v>
      </c>
      <c r="P83" s="12" t="inlineStr">
        <is>
          <t>Draft Kings</t>
        </is>
      </c>
      <c r="Q83" s="12" t="n"/>
    </row>
    <row r="84">
      <c r="A84" s="17" t="inlineStr">
        <is>
          <t>PASS</t>
        </is>
      </c>
      <c r="B84" s="17" t="inlineStr">
        <is>
          <t>FLA @ AUB</t>
        </is>
      </c>
      <c r="C84" s="17" t="inlineStr">
        <is>
          <t>2026-09-19 23:00</t>
        </is>
      </c>
      <c r="D84" s="25" t="n">
        <v>3</v>
      </c>
      <c r="E84" s="17" t="inlineStr">
        <is>
          <t>ML</t>
        </is>
      </c>
      <c r="F84" s="17" t="inlineStr">
        <is>
          <t>FLA ML</t>
        </is>
      </c>
      <c r="G84" s="26" t="n"/>
      <c r="H84" s="18" t="n">
        <v>-135</v>
      </c>
      <c r="I84" s="20" t="n">
        <v>0.4640328227352146</v>
      </c>
      <c r="J84" s="20" t="n">
        <v>0.551441114716549</v>
      </c>
      <c r="K84" s="20" t="n">
        <v>0.574468085106383</v>
      </c>
      <c r="L84" s="19" t="n">
        <v>-0.08847872134828914</v>
      </c>
      <c r="M84" s="19" t="n">
        <v>-0.1922391604238857</v>
      </c>
      <c r="N84" s="20" t="n">
        <v>0</v>
      </c>
      <c r="O84" s="27" t="n">
        <v>0.839</v>
      </c>
      <c r="P84" s="17" t="inlineStr">
        <is>
          <t>Draft Kings</t>
        </is>
      </c>
      <c r="Q84" s="17" t="n"/>
    </row>
    <row r="85">
      <c r="A85" s="12" t="inlineStr">
        <is>
          <t>PASS</t>
        </is>
      </c>
      <c r="B85" s="12" t="inlineStr">
        <is>
          <t>UK @ TA&amp;M</t>
        </is>
      </c>
      <c r="C85" s="12" t="inlineStr">
        <is>
          <t>2026-09-19 19:30</t>
        </is>
      </c>
      <c r="D85" s="22" t="n">
        <v>3</v>
      </c>
      <c r="E85" s="12" t="inlineStr">
        <is>
          <t>TOTAL</t>
        </is>
      </c>
      <c r="F85" s="12" t="inlineStr">
        <is>
          <t>Under 48.5</t>
        </is>
      </c>
      <c r="G85" s="23" t="n">
        <v>48.5</v>
      </c>
      <c r="H85" s="13" t="n">
        <v>-118</v>
      </c>
      <c r="I85" s="15" t="n">
        <v>0.432786114539162</v>
      </c>
      <c r="J85" s="15" t="n">
        <v>0.5173641257162701</v>
      </c>
      <c r="K85" s="15" t="n">
        <v>0.5412844036697247</v>
      </c>
      <c r="L85" s="14" t="n">
        <v>-0.08910645633002194</v>
      </c>
      <c r="M85" s="14" t="n">
        <v>-0.200445991783582</v>
      </c>
      <c r="N85" s="15" t="n">
        <v>0</v>
      </c>
      <c r="O85" s="24" t="n">
        <v>0.75</v>
      </c>
      <c r="P85" s="12" t="inlineStr">
        <is>
          <t>Draft Kings</t>
        </is>
      </c>
      <c r="Q85" s="12" t="n"/>
    </row>
    <row r="86">
      <c r="A86" s="17" t="inlineStr">
        <is>
          <t>PASS</t>
        </is>
      </c>
      <c r="B86" s="17" t="inlineStr">
        <is>
          <t>UTSA @ TEX</t>
        </is>
      </c>
      <c r="C86" s="17" t="inlineStr">
        <is>
          <t>2026-09-20 00:00</t>
        </is>
      </c>
      <c r="D86" s="25" t="n">
        <v>3</v>
      </c>
      <c r="E86" s="17" t="inlineStr">
        <is>
          <t>TOTAL</t>
        </is>
      </c>
      <c r="F86" s="17" t="inlineStr">
        <is>
          <t>Over 57.5</t>
        </is>
      </c>
      <c r="G86" s="26" t="n">
        <v>57.5</v>
      </c>
      <c r="H86" s="18" t="n">
        <v>-110</v>
      </c>
      <c r="I86" s="20" t="n">
        <v>0.4131437902160209</v>
      </c>
      <c r="J86" s="20" t="n">
        <v>0.5</v>
      </c>
      <c r="K86" s="20" t="n">
        <v>0.5238095238095238</v>
      </c>
      <c r="L86" s="19" t="n">
        <v>-0.09021999910818522</v>
      </c>
      <c r="M86" s="19" t="n">
        <v>-0.2112709459512327</v>
      </c>
      <c r="N86" s="20" t="n">
        <v>0</v>
      </c>
      <c r="O86" s="27" t="n">
        <v>0.75</v>
      </c>
      <c r="P86" s="17" t="inlineStr">
        <is>
          <t>Draft Kings</t>
        </is>
      </c>
      <c r="Q86" s="17" t="n"/>
    </row>
    <row r="87">
      <c r="A87" s="12" t="inlineStr">
        <is>
          <t>PASS</t>
        </is>
      </c>
      <c r="B87" s="12" t="inlineStr">
        <is>
          <t>LSU @ MISS</t>
        </is>
      </c>
      <c r="C87" s="12" t="inlineStr">
        <is>
          <t>2026-09-19 23:30</t>
        </is>
      </c>
      <c r="D87" s="22" t="n">
        <v>3</v>
      </c>
      <c r="E87" s="12" t="inlineStr">
        <is>
          <t>ML</t>
        </is>
      </c>
      <c r="F87" s="12" t="inlineStr">
        <is>
          <t>LSU ML</t>
        </is>
      </c>
      <c r="G87" s="23" t="n"/>
      <c r="H87" s="13" t="n">
        <v>-142</v>
      </c>
      <c r="I87" s="15" t="n">
        <v>0.4645832312428543</v>
      </c>
      <c r="J87" s="15" t="n">
        <v>0.5634920634920635</v>
      </c>
      <c r="K87" s="15" t="n">
        <v>0.5867768595041323</v>
      </c>
      <c r="L87" s="14" t="n">
        <v>-0.09039494461343658</v>
      </c>
      <c r="M87" s="14" t="n">
        <v>-0.2082454791495019</v>
      </c>
      <c r="N87" s="15" t="n">
        <v>0</v>
      </c>
      <c r="O87" s="24" t="n">
        <v>0.839</v>
      </c>
      <c r="P87" s="12" t="inlineStr">
        <is>
          <t>Draft Kings</t>
        </is>
      </c>
      <c r="Q87" s="12" t="n"/>
    </row>
    <row r="88">
      <c r="A88" s="17" t="inlineStr">
        <is>
          <t>PASS</t>
        </is>
      </c>
      <c r="B88" s="17" t="inlineStr">
        <is>
          <t>UNC @ CLEM</t>
        </is>
      </c>
      <c r="C88" s="17" t="inlineStr">
        <is>
          <t>2026-09-19 16:00</t>
        </is>
      </c>
      <c r="D88" s="25" t="n">
        <v>3</v>
      </c>
      <c r="E88" s="17" t="inlineStr">
        <is>
          <t>ATS</t>
        </is>
      </c>
      <c r="F88" s="17" t="inlineStr">
        <is>
          <t>CLEM -8.5</t>
        </is>
      </c>
      <c r="G88" s="26" t="n">
        <v>-8.5</v>
      </c>
      <c r="H88" s="18" t="n">
        <v>-110</v>
      </c>
      <c r="I88" s="20" t="n">
        <v>0.4091966697434172</v>
      </c>
      <c r="J88" s="20" t="n">
        <v>0.5</v>
      </c>
      <c r="K88" s="20" t="n">
        <v>0.5238095238095238</v>
      </c>
      <c r="L88" s="19" t="n">
        <v>-0.09093625173260414</v>
      </c>
      <c r="M88" s="19" t="n">
        <v>-0.2188063577625672</v>
      </c>
      <c r="N88" s="20" t="n">
        <v>0</v>
      </c>
      <c r="O88" s="27" t="n">
        <v>0.839</v>
      </c>
      <c r="P88" s="17" t="inlineStr">
        <is>
          <t>Draft Kings</t>
        </is>
      </c>
      <c r="Q88" s="17" t="n"/>
    </row>
    <row r="89">
      <c r="A89" s="12" t="inlineStr">
        <is>
          <t>PASS</t>
        </is>
      </c>
      <c r="B89" s="12" t="inlineStr">
        <is>
          <t>FLA @ AUB</t>
        </is>
      </c>
      <c r="C89" s="12" t="inlineStr">
        <is>
          <t>2026-09-19 23:00</t>
        </is>
      </c>
      <c r="D89" s="22" t="n">
        <v>3</v>
      </c>
      <c r="E89" s="12" t="inlineStr">
        <is>
          <t>ATS</t>
        </is>
      </c>
      <c r="F89" s="12" t="inlineStr">
        <is>
          <t>FLA -2.5</t>
        </is>
      </c>
      <c r="G89" s="23" t="n">
        <v>2.5</v>
      </c>
      <c r="H89" s="13" t="n">
        <v>-110</v>
      </c>
      <c r="I89" s="15" t="n">
        <v>0.4090050221038707</v>
      </c>
      <c r="J89" s="15" t="n">
        <v>0.5</v>
      </c>
      <c r="K89" s="15" t="n">
        <v>0.5238095238095238</v>
      </c>
      <c r="L89" s="14" t="n">
        <v>-0.090968218647438</v>
      </c>
      <c r="M89" s="14" t="n">
        <v>-0.2191722305289742</v>
      </c>
      <c r="N89" s="15" t="n">
        <v>0</v>
      </c>
      <c r="O89" s="24" t="n">
        <v>0.839</v>
      </c>
      <c r="P89" s="12" t="inlineStr">
        <is>
          <t>Draft Kings</t>
        </is>
      </c>
      <c r="Q89" s="12" t="n"/>
    </row>
    <row r="90">
      <c r="A90" s="17" t="inlineStr">
        <is>
          <t>PASS</t>
        </is>
      </c>
      <c r="B90" s="17" t="inlineStr">
        <is>
          <t>UTSA @ TEX</t>
        </is>
      </c>
      <c r="C90" s="17" t="inlineStr">
        <is>
          <t>2026-09-20 00:00</t>
        </is>
      </c>
      <c r="D90" s="25" t="n">
        <v>3</v>
      </c>
      <c r="E90" s="17" t="inlineStr">
        <is>
          <t>ML</t>
        </is>
      </c>
      <c r="F90" s="17" t="inlineStr">
        <is>
          <t>TEX ML</t>
        </is>
      </c>
      <c r="G90" s="26" t="n"/>
      <c r="H90" s="18" t="n">
        <v>-6500</v>
      </c>
      <c r="I90" s="20" t="n">
        <v>0.7754426564399982</v>
      </c>
      <c r="J90" s="20" t="n">
        <v>0.9538784067085954</v>
      </c>
      <c r="K90" s="20" t="n">
        <v>0.9848484848484849</v>
      </c>
      <c r="L90" s="19" t="n">
        <v>-0.09136884551946439</v>
      </c>
      <c r="M90" s="19" t="n">
        <v>-0.212627456537848</v>
      </c>
      <c r="N90" s="20" t="n">
        <v>0</v>
      </c>
      <c r="O90" s="27" t="n">
        <v>0.75</v>
      </c>
      <c r="P90" s="17" t="inlineStr">
        <is>
          <t>Draft 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SYR @ PITT</t>
        </is>
      </c>
      <c r="C91" s="12" t="inlineStr">
        <is>
          <t>2026-09-17 23:30</t>
        </is>
      </c>
      <c r="D91" s="22" t="n">
        <v>3</v>
      </c>
      <c r="E91" s="12" t="inlineStr">
        <is>
          <t>ATS</t>
        </is>
      </c>
      <c r="F91" s="12" t="inlineStr">
        <is>
          <t>PITT -10.5</t>
        </is>
      </c>
      <c r="G91" s="23" t="n">
        <v>-10.5</v>
      </c>
      <c r="H91" s="13" t="n">
        <v>-112</v>
      </c>
      <c r="I91" s="15" t="n">
        <v>0.4092827101996394</v>
      </c>
      <c r="J91" s="15" t="n">
        <v>0.5043297540699688</v>
      </c>
      <c r="K91" s="15" t="n">
        <v>0.5283018867924528</v>
      </c>
      <c r="L91" s="14" t="n">
        <v>-0.09147225335581981</v>
      </c>
      <c r="M91" s="14" t="n">
        <v>-0.2252862985506826</v>
      </c>
      <c r="N91" s="15" t="n">
        <v>0</v>
      </c>
      <c r="O91" s="24" t="n">
        <v>0.839</v>
      </c>
      <c r="P91" s="12" t="inlineStr">
        <is>
          <t>Draft Kings</t>
        </is>
      </c>
      <c r="Q91" s="12" t="n"/>
    </row>
    <row r="92">
      <c r="A92" s="17" t="inlineStr">
        <is>
          <t>PASS</t>
        </is>
      </c>
      <c r="B92" s="17" t="inlineStr">
        <is>
          <t>SMU @ LOU</t>
        </is>
      </c>
      <c r="C92" s="17" t="inlineStr">
        <is>
          <t>2026-09-19 19:30</t>
        </is>
      </c>
      <c r="D92" s="25" t="n">
        <v>3</v>
      </c>
      <c r="E92" s="17" t="inlineStr">
        <is>
          <t>TOTAL</t>
        </is>
      </c>
      <c r="F92" s="17" t="inlineStr">
        <is>
          <t>Over 58.5</t>
        </is>
      </c>
      <c r="G92" s="26" t="n">
        <v>58.5</v>
      </c>
      <c r="H92" s="18" t="n">
        <v>-115</v>
      </c>
      <c r="I92" s="20" t="n">
        <v>0.4131883889861754</v>
      </c>
      <c r="J92" s="20" t="n">
        <v>0.5108342361863488</v>
      </c>
      <c r="K92" s="20" t="n">
        <v>0.5348837209302325</v>
      </c>
      <c r="L92" s="19" t="n">
        <v>-0.0916629116472079</v>
      </c>
      <c r="M92" s="19" t="n">
        <v>-0.2275173597214982</v>
      </c>
      <c r="N92" s="20" t="n">
        <v>0</v>
      </c>
      <c r="O92" s="27" t="n">
        <v>0.839</v>
      </c>
      <c r="P92" s="17" t="inlineStr">
        <is>
          <t>Draft Kings</t>
        </is>
      </c>
      <c r="Q92" s="17" t="n"/>
    </row>
    <row r="93">
      <c r="A93" s="12" t="inlineStr">
        <is>
          <t>PASS</t>
        </is>
      </c>
      <c r="B93" s="12" t="inlineStr">
        <is>
          <t>COLO @ NU</t>
        </is>
      </c>
      <c r="C93" s="12" t="inlineStr">
        <is>
          <t>2026-09-19 23:30</t>
        </is>
      </c>
      <c r="D93" s="22" t="n">
        <v>3</v>
      </c>
      <c r="E93" s="12" t="inlineStr">
        <is>
          <t>TOTAL</t>
        </is>
      </c>
      <c r="F93" s="12" t="inlineStr">
        <is>
          <t>Under 45.5</t>
        </is>
      </c>
      <c r="G93" s="23" t="n">
        <v>45.5</v>
      </c>
      <c r="H93" s="13" t="n">
        <v>-102</v>
      </c>
      <c r="I93" s="15" t="n">
        <v>0.3868584082914233</v>
      </c>
      <c r="J93" s="15" t="n">
        <v>0.4826358742837298</v>
      </c>
      <c r="K93" s="15" t="n">
        <v>0.504950495049505</v>
      </c>
      <c r="L93" s="14" t="n">
        <v>-0.09213093941890171</v>
      </c>
      <c r="M93" s="14" t="n">
        <v>-0.2338686424032598</v>
      </c>
      <c r="N93" s="15" t="n">
        <v>0</v>
      </c>
      <c r="O93" s="24" t="n">
        <v>0.725</v>
      </c>
      <c r="P93" s="12" t="inlineStr">
        <is>
          <t>Draft Kings</t>
        </is>
      </c>
      <c r="Q93" s="12" t="n"/>
    </row>
    <row r="94">
      <c r="A94" s="17" t="inlineStr">
        <is>
          <t>PASS</t>
        </is>
      </c>
      <c r="B94" s="17" t="inlineStr">
        <is>
          <t>LSU @ MISS</t>
        </is>
      </c>
      <c r="C94" s="17" t="inlineStr">
        <is>
          <t>2026-09-19 23:30</t>
        </is>
      </c>
      <c r="D94" s="25" t="n">
        <v>3</v>
      </c>
      <c r="E94" s="17" t="inlineStr">
        <is>
          <t>ATS</t>
        </is>
      </c>
      <c r="F94" s="17" t="inlineStr">
        <is>
          <t>LSU -2.5</t>
        </is>
      </c>
      <c r="G94" s="26" t="n">
        <v>2.5</v>
      </c>
      <c r="H94" s="18" t="n">
        <v>-115</v>
      </c>
      <c r="I94" s="20" t="n">
        <v>0.4093176916588434</v>
      </c>
      <c r="J94" s="20" t="n">
        <v>0.5108342361863488</v>
      </c>
      <c r="K94" s="20" t="n">
        <v>0.5348837209302325</v>
      </c>
      <c r="L94" s="19" t="n">
        <v>-0.09214756911848088</v>
      </c>
      <c r="M94" s="19" t="n">
        <v>-0.2347538808117277</v>
      </c>
      <c r="N94" s="20" t="n">
        <v>0</v>
      </c>
      <c r="O94" s="27" t="n">
        <v>0.839</v>
      </c>
      <c r="P94" s="17" t="inlineStr">
        <is>
          <t>Draft Kings</t>
        </is>
      </c>
      <c r="Q94" s="17" t="n"/>
    </row>
    <row r="95">
      <c r="A95" s="12" t="inlineStr">
        <is>
          <t>PASS</t>
        </is>
      </c>
      <c r="B95" s="12" t="inlineStr">
        <is>
          <t>WKU @ IU</t>
        </is>
      </c>
      <c r="C95" s="12" t="inlineStr">
        <is>
          <t>2026-09-19 20:00</t>
        </is>
      </c>
      <c r="D95" s="22" t="n">
        <v>3</v>
      </c>
      <c r="E95" s="12" t="inlineStr">
        <is>
          <t>TOTAL</t>
        </is>
      </c>
      <c r="F95" s="12" t="inlineStr">
        <is>
          <t>Over 59.5</t>
        </is>
      </c>
      <c r="G95" s="23" t="n">
        <v>59.5</v>
      </c>
      <c r="H95" s="13" t="n">
        <v>-112</v>
      </c>
      <c r="I95" s="15" t="n">
        <v>0.3994253158987657</v>
      </c>
      <c r="J95" s="15" t="n">
        <v>0.5043297540699688</v>
      </c>
      <c r="K95" s="15" t="n">
        <v>0.5283018867924528</v>
      </c>
      <c r="L95" s="14" t="n">
        <v>-0.09264754982060322</v>
      </c>
      <c r="M95" s="14" t="n">
        <v>-0.2439449377630506</v>
      </c>
      <c r="N95" s="15" t="n">
        <v>0</v>
      </c>
      <c r="O95" s="24" t="n">
        <v>0.8333333333333334</v>
      </c>
      <c r="P95" s="12" t="inlineStr">
        <is>
          <t>Draft Kings</t>
        </is>
      </c>
      <c r="Q95" s="12" t="n"/>
    </row>
    <row r="96">
      <c r="A96" s="17" t="inlineStr">
        <is>
          <t>PASS</t>
        </is>
      </c>
      <c r="B96" s="17" t="inlineStr">
        <is>
          <t>KENT @ OSU</t>
        </is>
      </c>
      <c r="C96" s="17" t="inlineStr">
        <is>
          <t>2026-09-19 16:00</t>
        </is>
      </c>
      <c r="D96" s="25" t="n">
        <v>3</v>
      </c>
      <c r="E96" s="17" t="inlineStr">
        <is>
          <t>TOTAL</t>
        </is>
      </c>
      <c r="F96" s="17" t="inlineStr">
        <is>
          <t>Over 56.5</t>
        </is>
      </c>
      <c r="G96" s="26" t="n">
        <v>56.5</v>
      </c>
      <c r="H96" s="18" t="n">
        <v>-115</v>
      </c>
      <c r="I96" s="20" t="n">
        <v>0.4009576536243855</v>
      </c>
      <c r="J96" s="20" t="n">
        <v>0.5108342361863488</v>
      </c>
      <c r="K96" s="20" t="n">
        <v>0.5348837209302325</v>
      </c>
      <c r="L96" s="19" t="n">
        <v>-0.09297003077329549</v>
      </c>
      <c r="M96" s="19" t="n">
        <v>-0.2503835171370185</v>
      </c>
      <c r="N96" s="20" t="n">
        <v>0</v>
      </c>
      <c r="O96" s="27" t="n">
        <v>0.75</v>
      </c>
      <c r="P96" s="17" t="inlineStr">
        <is>
          <t>Draft Kings</t>
        </is>
      </c>
      <c r="Q96" s="17" t="n"/>
    </row>
    <row r="97">
      <c r="A97" s="12" t="inlineStr">
        <is>
          <t>PASS</t>
        </is>
      </c>
      <c r="B97" s="12" t="inlineStr">
        <is>
          <t>LSU @ MISS</t>
        </is>
      </c>
      <c r="C97" s="12" t="inlineStr">
        <is>
          <t>2026-09-19 23:30</t>
        </is>
      </c>
      <c r="D97" s="22" t="n">
        <v>3</v>
      </c>
      <c r="E97" s="12" t="inlineStr">
        <is>
          <t>TOTAL</t>
        </is>
      </c>
      <c r="F97" s="12" t="inlineStr">
        <is>
          <t>Over 58.5</t>
        </is>
      </c>
      <c r="G97" s="23" t="n">
        <v>58.5</v>
      </c>
      <c r="H97" s="13" t="n">
        <v>-112</v>
      </c>
      <c r="I97" s="15" t="n">
        <v>0.392602764416928</v>
      </c>
      <c r="J97" s="15" t="n">
        <v>0.5043297540699688</v>
      </c>
      <c r="K97" s="15" t="n">
        <v>0.5283018867924528</v>
      </c>
      <c r="L97" s="14" t="n">
        <v>-0.09322512225222136</v>
      </c>
      <c r="M97" s="14" t="n">
        <v>-0.2568590530679578</v>
      </c>
      <c r="N97" s="15" t="n">
        <v>0</v>
      </c>
      <c r="O97" s="24" t="n">
        <v>0.839</v>
      </c>
      <c r="P97" s="12" t="inlineStr">
        <is>
          <t>Draft Kings</t>
        </is>
      </c>
      <c r="Q97" s="12" t="n"/>
    </row>
    <row r="98">
      <c r="A98" s="17" t="inlineStr">
        <is>
          <t>PASS</t>
        </is>
      </c>
      <c r="B98" s="17" t="inlineStr">
        <is>
          <t>VT @ MD</t>
        </is>
      </c>
      <c r="C98" s="17" t="inlineStr">
        <is>
          <t>2026-09-19 23:30</t>
        </is>
      </c>
      <c r="D98" s="25" t="n">
        <v>3</v>
      </c>
      <c r="E98" s="17" t="inlineStr">
        <is>
          <t>ML</t>
        </is>
      </c>
      <c r="F98" s="17" t="inlineStr">
        <is>
          <t>VT ML</t>
        </is>
      </c>
      <c r="G98" s="26" t="n"/>
      <c r="H98" s="18" t="n">
        <v>-148</v>
      </c>
      <c r="I98" s="20" t="n">
        <v>0.4449137308568708</v>
      </c>
      <c r="J98" s="20" t="n">
        <v>0.5720596355604638</v>
      </c>
      <c r="K98" s="20" t="n">
        <v>0.5967741935483871</v>
      </c>
      <c r="L98" s="19" t="n">
        <v>-0.0932517334530385</v>
      </c>
      <c r="M98" s="19" t="n">
        <v>-0.2544688834290273</v>
      </c>
      <c r="N98" s="20" t="n">
        <v>0</v>
      </c>
      <c r="O98" s="27" t="n">
        <v>0.839</v>
      </c>
      <c r="P98" s="17" t="inlineStr">
        <is>
          <t>Draft Kings</t>
        </is>
      </c>
      <c r="Q98" s="17" t="n"/>
    </row>
    <row r="99">
      <c r="A99" s="12" t="inlineStr">
        <is>
          <t>PASS</t>
        </is>
      </c>
      <c r="B99" s="12" t="inlineStr">
        <is>
          <t>WVU @ UVA</t>
        </is>
      </c>
      <c r="C99" s="12" t="inlineStr">
        <is>
          <t>2026-09-19 23:30</t>
        </is>
      </c>
      <c r="D99" s="22" t="n">
        <v>3</v>
      </c>
      <c r="E99" s="12" t="inlineStr">
        <is>
          <t>ATS</t>
        </is>
      </c>
      <c r="F99" s="12" t="inlineStr">
        <is>
          <t>UVA -9.5</t>
        </is>
      </c>
      <c r="G99" s="23" t="n">
        <v>-9.5</v>
      </c>
      <c r="H99" s="13" t="n">
        <v>-110</v>
      </c>
      <c r="I99" s="15" t="n">
        <v>0.3715904788056428</v>
      </c>
      <c r="J99" s="15" t="n">
        <v>0.5</v>
      </c>
      <c r="K99" s="15" t="n">
        <v>0.5238095238095238</v>
      </c>
      <c r="L99" s="14" t="n">
        <v>-0.09415140133739124</v>
      </c>
      <c r="M99" s="14" t="n">
        <v>-0.2905999950074091</v>
      </c>
      <c r="N99" s="15" t="n">
        <v>0</v>
      </c>
      <c r="O99" s="24" t="n">
        <v>0.839</v>
      </c>
      <c r="P99" s="12" t="inlineStr">
        <is>
          <t>Draft Kings</t>
        </is>
      </c>
      <c r="Q99" s="12" t="n"/>
    </row>
    <row r="100">
      <c r="A100" s="17" t="inlineStr">
        <is>
          <t>PASS</t>
        </is>
      </c>
      <c r="B100" s="17" t="inlineStr">
        <is>
          <t>UGA @ ARK</t>
        </is>
      </c>
      <c r="C100" s="17" t="inlineStr">
        <is>
          <t>2026-09-19 16:00</t>
        </is>
      </c>
      <c r="D100" s="25" t="n">
        <v>3</v>
      </c>
      <c r="E100" s="17" t="inlineStr">
        <is>
          <t>ML</t>
        </is>
      </c>
      <c r="F100" s="17" t="inlineStr">
        <is>
          <t>UGA ML</t>
        </is>
      </c>
      <c r="G100" s="26" t="n"/>
      <c r="H100" s="18" t="n">
        <v>-900</v>
      </c>
      <c r="I100" s="20" t="n">
        <v>0.6384799883284319</v>
      </c>
      <c r="J100" s="20" t="n">
        <v>0.863013698630137</v>
      </c>
      <c r="K100" s="20" t="n">
        <v>0.9</v>
      </c>
      <c r="L100" s="19" t="n">
        <v>-0.09420902949859848</v>
      </c>
      <c r="M100" s="19" t="n">
        <v>-0.2905777907461867</v>
      </c>
      <c r="N100" s="20" t="n">
        <v>0</v>
      </c>
      <c r="O100" s="27" t="n">
        <v>0.839</v>
      </c>
      <c r="P100" s="17" t="inlineStr">
        <is>
          <t>Draft 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UK @ TA&amp;M</t>
        </is>
      </c>
      <c r="C101" s="12" t="inlineStr">
        <is>
          <t>2026-09-19 19:30</t>
        </is>
      </c>
      <c r="D101" s="22" t="n">
        <v>3</v>
      </c>
      <c r="E101" s="12" t="inlineStr">
        <is>
          <t>ATS</t>
        </is>
      </c>
      <c r="F101" s="12" t="inlineStr">
        <is>
          <t>TA&amp;M -15.5</t>
        </is>
      </c>
      <c r="G101" s="23" t="n">
        <v>-15.5</v>
      </c>
      <c r="H101" s="13" t="n">
        <v>-110</v>
      </c>
      <c r="I101" s="15" t="n">
        <v>0.3687718079799396</v>
      </c>
      <c r="J101" s="15" t="n">
        <v>0.5</v>
      </c>
      <c r="K101" s="15" t="n">
        <v>0.5238095238095238</v>
      </c>
      <c r="L101" s="14" t="n">
        <v>-0.09424599015552616</v>
      </c>
      <c r="M101" s="14" t="n">
        <v>-0.295981093856479</v>
      </c>
      <c r="N101" s="15" t="n">
        <v>0</v>
      </c>
      <c r="O101" s="24" t="n">
        <v>0.75</v>
      </c>
      <c r="P101" s="12" t="inlineStr">
        <is>
          <t>Draft Kings</t>
        </is>
      </c>
      <c r="Q101" s="12" t="n"/>
    </row>
    <row r="102">
      <c r="A102" s="17" t="inlineStr">
        <is>
          <t>PASS</t>
        </is>
      </c>
      <c r="B102" s="17" t="inlineStr">
        <is>
          <t>VT @ MD</t>
        </is>
      </c>
      <c r="C102" s="17" t="inlineStr">
        <is>
          <t>2026-09-19 23:30</t>
        </is>
      </c>
      <c r="D102" s="25" t="n">
        <v>3</v>
      </c>
      <c r="E102" s="17" t="inlineStr">
        <is>
          <t>ATS</t>
        </is>
      </c>
      <c r="F102" s="17" t="inlineStr">
        <is>
          <t>VT -3</t>
        </is>
      </c>
      <c r="G102" s="26" t="n">
        <v>3</v>
      </c>
      <c r="H102" s="18" t="n">
        <v>-112</v>
      </c>
      <c r="I102" s="20" t="n">
        <v>0.3658094793836693</v>
      </c>
      <c r="J102" s="20" t="n">
        <v>0.5043297540699688</v>
      </c>
      <c r="K102" s="20" t="n">
        <v>0.5283018867924528</v>
      </c>
      <c r="L102" s="19" t="n">
        <v>-0.09441632610252669</v>
      </c>
      <c r="M102" s="19" t="n">
        <v>-0.2930881355732494</v>
      </c>
      <c r="N102" s="20" t="n">
        <v>0.0471</v>
      </c>
      <c r="O102" s="27" t="n">
        <v>0.839</v>
      </c>
      <c r="P102" s="17" t="inlineStr">
        <is>
          <t>Draft Kings</t>
        </is>
      </c>
      <c r="Q102" s="17" t="n"/>
    </row>
    <row r="103">
      <c r="A103" s="12" t="inlineStr">
        <is>
          <t>PASS</t>
        </is>
      </c>
      <c r="B103" s="12" t="inlineStr">
        <is>
          <t>MIA @ WAKE</t>
        </is>
      </c>
      <c r="C103" s="12" t="inlineStr">
        <is>
          <t>2026-09-18 23:30</t>
        </is>
      </c>
      <c r="D103" s="22" t="n">
        <v>3</v>
      </c>
      <c r="E103" s="12" t="inlineStr">
        <is>
          <t>ML</t>
        </is>
      </c>
      <c r="F103" s="12" t="inlineStr">
        <is>
          <t>MIA ML</t>
        </is>
      </c>
      <c r="G103" s="23" t="n"/>
      <c r="H103" s="13" t="n">
        <v>-1800</v>
      </c>
      <c r="I103" s="15" t="n">
        <v>0.6605220662452306</v>
      </c>
      <c r="J103" s="15" t="n">
        <v>0.912442396313364</v>
      </c>
      <c r="K103" s="15" t="n">
        <v>0.9473684210526315</v>
      </c>
      <c r="L103" s="14" t="n">
        <v>-0.09443361273520971</v>
      </c>
      <c r="M103" s="14" t="n">
        <v>-0.3027822634078121</v>
      </c>
      <c r="N103" s="15" t="n">
        <v>0</v>
      </c>
      <c r="O103" s="24" t="n">
        <v>0.839</v>
      </c>
      <c r="P103" s="12" t="inlineStr">
        <is>
          <t>Draft 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FSU @ ALA</t>
        </is>
      </c>
      <c r="C104" s="17" t="inlineStr">
        <is>
          <t>2026-09-19 19:30</t>
        </is>
      </c>
      <c r="D104" s="25" t="n">
        <v>3</v>
      </c>
      <c r="E104" s="17" t="inlineStr">
        <is>
          <t>ATS</t>
        </is>
      </c>
      <c r="F104" s="17" t="inlineStr">
        <is>
          <t>ALA -17.5</t>
        </is>
      </c>
      <c r="G104" s="26" t="n">
        <v>-17.5</v>
      </c>
      <c r="H104" s="18" t="n">
        <v>-105</v>
      </c>
      <c r="I104" s="20" t="n">
        <v>0.3280775844706046</v>
      </c>
      <c r="J104" s="20" t="n">
        <v>0.4891657638136511</v>
      </c>
      <c r="K104" s="20" t="n">
        <v>0.5121951219512195</v>
      </c>
      <c r="L104" s="19" t="n">
        <v>-0.09481489570397317</v>
      </c>
      <c r="M104" s="19" t="n">
        <v>-0.3594675731764385</v>
      </c>
      <c r="N104" s="20" t="n">
        <v>0</v>
      </c>
      <c r="O104" s="27" t="n">
        <v>0.839</v>
      </c>
      <c r="P104" s="17" t="inlineStr">
        <is>
          <t>Draft Kings</t>
        </is>
      </c>
      <c r="Q104" s="17" t="inlineStr">
        <is>
          <t>raw model/market disagreement exceeds the safety limit</t>
        </is>
      </c>
    </row>
    <row r="105">
      <c r="A105" s="12" t="inlineStr">
        <is>
          <t>PASS</t>
        </is>
      </c>
      <c r="B105" s="12" t="inlineStr">
        <is>
          <t>UGA @ ARK</t>
        </is>
      </c>
      <c r="C105" s="12" t="inlineStr">
        <is>
          <t>2026-09-19 16:00</t>
        </is>
      </c>
      <c r="D105" s="22" t="n">
        <v>3</v>
      </c>
      <c r="E105" s="12" t="inlineStr">
        <is>
          <t>ATS</t>
        </is>
      </c>
      <c r="F105" s="12" t="inlineStr">
        <is>
          <t>UGA -17.5</t>
        </is>
      </c>
      <c r="G105" s="23" t="n">
        <v>17.5</v>
      </c>
      <c r="H105" s="13" t="n">
        <v>-110</v>
      </c>
      <c r="I105" s="15" t="n">
        <v>0.2736778957208859</v>
      </c>
      <c r="J105" s="15" t="n">
        <v>0.5</v>
      </c>
      <c r="K105" s="15" t="n">
        <v>0.5238095238095238</v>
      </c>
      <c r="L105" s="14" t="n">
        <v>-0.09498619052559149</v>
      </c>
      <c r="M105" s="14" t="n">
        <v>-0.4775240172601269</v>
      </c>
      <c r="N105" s="15" t="n">
        <v>0</v>
      </c>
      <c r="O105" s="24" t="n">
        <v>0.839</v>
      </c>
      <c r="P105" s="12" t="inlineStr">
        <is>
          <t>Draft 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MSU @ ND</t>
        </is>
      </c>
      <c r="C106" s="17" t="inlineStr">
        <is>
          <t>2026-09-19 23:30</t>
        </is>
      </c>
      <c r="D106" s="25" t="n">
        <v>3</v>
      </c>
      <c r="E106" s="17" t="inlineStr">
        <is>
          <t>ATS</t>
        </is>
      </c>
      <c r="F106" s="17" t="inlineStr">
        <is>
          <t>ND -29.5</t>
        </is>
      </c>
      <c r="G106" s="26" t="n">
        <v>-29.5</v>
      </c>
      <c r="H106" s="18" t="n">
        <v>-105</v>
      </c>
      <c r="I106" s="20" t="n">
        <v>0.2620089378839889</v>
      </c>
      <c r="J106" s="20" t="n">
        <v>0.4891657638136511</v>
      </c>
      <c r="K106" s="20" t="n">
        <v>0.5121951219512195</v>
      </c>
      <c r="L106" s="19" t="n">
        <v>-0.09498921251820865</v>
      </c>
      <c r="M106" s="19" t="n">
        <v>-0.4884587403217359</v>
      </c>
      <c r="N106" s="20" t="n">
        <v>0</v>
      </c>
      <c r="O106" s="27" t="n">
        <v>0.8333333333333334</v>
      </c>
      <c r="P106" s="17" t="inlineStr">
        <is>
          <t>Draft 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MIA @ WAKE</t>
        </is>
      </c>
      <c r="C107" s="12" t="inlineStr">
        <is>
          <t>2026-09-18 23:30</t>
        </is>
      </c>
      <c r="D107" s="22" t="n">
        <v>3</v>
      </c>
      <c r="E107" s="12" t="inlineStr">
        <is>
          <t>ATS</t>
        </is>
      </c>
      <c r="F107" s="12" t="inlineStr">
        <is>
          <t>MIA -22.5</t>
        </is>
      </c>
      <c r="G107" s="23" t="n">
        <v>22.5</v>
      </c>
      <c r="H107" s="13" t="n">
        <v>-108</v>
      </c>
      <c r="I107" s="15" t="n">
        <v>0.2578632747217273</v>
      </c>
      <c r="J107" s="15" t="n">
        <v>0.4956702459300312</v>
      </c>
      <c r="K107" s="15" t="n">
        <v>0.5192307692307693</v>
      </c>
      <c r="L107" s="14" t="n">
        <v>-0.09499219824444322</v>
      </c>
      <c r="M107" s="14" t="n">
        <v>-0.5033744338692658</v>
      </c>
      <c r="N107" s="15" t="n">
        <v>0</v>
      </c>
      <c r="O107" s="24" t="n">
        <v>0.839</v>
      </c>
      <c r="P107" s="12" t="inlineStr">
        <is>
          <t>Draft 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UTSA @ TEX</t>
        </is>
      </c>
      <c r="C108" s="17" t="inlineStr">
        <is>
          <t>2026-09-20 00:00</t>
        </is>
      </c>
      <c r="D108" s="25" t="n">
        <v>3</v>
      </c>
      <c r="E108" s="17" t="inlineStr">
        <is>
          <t>ATS</t>
        </is>
      </c>
      <c r="F108" s="17" t="inlineStr">
        <is>
          <t>TEX -29.5</t>
        </is>
      </c>
      <c r="G108" s="26" t="n">
        <v>-29.5</v>
      </c>
      <c r="H108" s="18" t="n">
        <v>-115</v>
      </c>
      <c r="I108" s="20" t="n">
        <v>0.2649399704665141</v>
      </c>
      <c r="J108" s="20" t="n">
        <v>0.5108342361863488</v>
      </c>
      <c r="K108" s="20" t="n">
        <v>0.5348837209302325</v>
      </c>
      <c r="L108" s="19" t="n">
        <v>-0.09499245502268756</v>
      </c>
      <c r="M108" s="19" t="n">
        <v>-0.5046774465191257</v>
      </c>
      <c r="N108" s="20" t="n">
        <v>0</v>
      </c>
      <c r="O108" s="27" t="n">
        <v>0.75</v>
      </c>
      <c r="P108" s="17" t="inlineStr">
        <is>
          <t>Draft 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WKU @ IU</t>
        </is>
      </c>
      <c r="C109" s="12" t="inlineStr">
        <is>
          <t>2026-09-19 20:00</t>
        </is>
      </c>
      <c r="D109" s="22" t="n">
        <v>3</v>
      </c>
      <c r="E109" s="12" t="inlineStr">
        <is>
          <t>ATS</t>
        </is>
      </c>
      <c r="F109" s="12" t="inlineStr">
        <is>
          <t>IU -44.5</t>
        </is>
      </c>
      <c r="G109" s="23" t="n">
        <v>-44.5</v>
      </c>
      <c r="H109" s="13" t="n">
        <v>-108</v>
      </c>
      <c r="I109" s="15" t="n">
        <v>0.2487396142707562</v>
      </c>
      <c r="J109" s="15" t="n">
        <v>0.4956702459300312</v>
      </c>
      <c r="K109" s="15" t="n">
        <v>0.5192307692307693</v>
      </c>
      <c r="L109" s="14" t="n">
        <v>-0.09499470452753851</v>
      </c>
      <c r="M109" s="14" t="n">
        <v>-0.5209459280711362</v>
      </c>
      <c r="N109" s="15" t="n">
        <v>0</v>
      </c>
      <c r="O109" s="24" t="n">
        <v>0.8333333333333334</v>
      </c>
      <c r="P109" s="12" t="inlineStr">
        <is>
          <t>Draft 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KENT @ OSU</t>
        </is>
      </c>
      <c r="C110" s="17" t="inlineStr">
        <is>
          <t>2026-09-19 16:00</t>
        </is>
      </c>
      <c r="D110" s="25" t="n">
        <v>3</v>
      </c>
      <c r="E110" s="17" t="inlineStr">
        <is>
          <t>ATS</t>
        </is>
      </c>
      <c r="F110" s="17" t="inlineStr">
        <is>
          <t>OSU -52.5</t>
        </is>
      </c>
      <c r="G110" s="26" t="n">
        <v>-52.5</v>
      </c>
      <c r="H110" s="18" t="n">
        <v>-118</v>
      </c>
      <c r="I110" s="20" t="n">
        <v>0.2587752973534717</v>
      </c>
      <c r="J110" s="20" t="n">
        <v>0.5173641257162701</v>
      </c>
      <c r="K110" s="20" t="n">
        <v>0.5412844036697247</v>
      </c>
      <c r="L110" s="19" t="n">
        <v>-0.09499488472814782</v>
      </c>
      <c r="M110" s="19" t="n">
        <v>-0.5219236031944336</v>
      </c>
      <c r="N110" s="20" t="n">
        <v>0</v>
      </c>
      <c r="O110" s="27" t="n">
        <v>0.75</v>
      </c>
      <c r="P110" s="17" t="inlineStr">
        <is>
          <t>Draft Kings</t>
        </is>
      </c>
      <c r="Q11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VT @ MD</t>
        </is>
      </c>
      <c r="C11" s="17" t="inlineStr">
        <is>
          <t>ML</t>
        </is>
      </c>
      <c r="D11" s="17" t="inlineStr">
        <is>
          <t>MD ML</t>
        </is>
      </c>
      <c r="E11" s="18" t="n">
        <v>124</v>
      </c>
      <c r="F11" s="21" t="n">
        <v>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BEST BET</t>
        </is>
      </c>
      <c r="L11" s="19" t="n">
        <v>0.0946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ATS</t>
        </is>
      </c>
      <c r="D12" s="12" t="inlineStr">
        <is>
          <t>AUB +1.5</t>
        </is>
      </c>
      <c r="E12" s="13" t="n">
        <v>-115</v>
      </c>
      <c r="F12" s="16" t="n">
        <v>6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0.0876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FLA @ AUB</t>
        </is>
      </c>
      <c r="C13" s="17" t="inlineStr">
        <is>
          <t>ML</t>
        </is>
      </c>
      <c r="D13" s="17" t="inlineStr">
        <is>
          <t>AUB ML</t>
        </is>
      </c>
      <c r="E13" s="18" t="n">
        <v>110</v>
      </c>
      <c r="F13" s="21" t="n">
        <v>5.5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0.0917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MSST @ SC</t>
        </is>
      </c>
      <c r="C14" s="12" t="inlineStr">
        <is>
          <t>ML</t>
        </is>
      </c>
      <c r="D14" s="12" t="inlineStr">
        <is>
          <t>MSST ML</t>
        </is>
      </c>
      <c r="E14" s="13" t="n">
        <v>240</v>
      </c>
      <c r="F14" s="16" t="n">
        <v>2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0.08450000000000001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WKU @ IU</t>
        </is>
      </c>
      <c r="C15" s="17" t="inlineStr">
        <is>
          <t>TOTAL</t>
        </is>
      </c>
      <c r="D15" s="17" t="inlineStr">
        <is>
          <t>Under 59.5</t>
        </is>
      </c>
      <c r="E15" s="18" t="n">
        <v>-108</v>
      </c>
      <c r="F15" s="21" t="n">
        <v>6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0.093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FSU @ ALA</t>
        </is>
      </c>
      <c r="C16" s="12" t="inlineStr">
        <is>
          <t>ML</t>
        </is>
      </c>
      <c r="D16" s="12" t="inlineStr">
        <is>
          <t>FSU ML</t>
        </is>
      </c>
      <c r="E16" s="13" t="n">
        <v>440</v>
      </c>
      <c r="F16" s="16" t="n">
        <v>1.5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0.0949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SMU @ LOU</t>
        </is>
      </c>
      <c r="C17" s="17" t="inlineStr">
        <is>
          <t>TOTAL</t>
        </is>
      </c>
      <c r="D17" s="17" t="inlineStr">
        <is>
          <t>Under 56.5</t>
        </is>
      </c>
      <c r="E17" s="18" t="n">
        <v>-112</v>
      </c>
      <c r="F17" s="21" t="n">
        <v>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UK @ TA&amp;M</t>
        </is>
      </c>
      <c r="C18" s="12" t="inlineStr">
        <is>
          <t>ML</t>
        </is>
      </c>
      <c r="D18" s="12" t="inlineStr">
        <is>
          <t>UK ML</t>
        </is>
      </c>
      <c r="E18" s="13" t="n">
        <v>525</v>
      </c>
      <c r="F18" s="16" t="n">
        <v>1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0.095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2026-09-19</t>
        </is>
      </c>
      <c r="B19" s="17" t="inlineStr">
        <is>
          <t>ASU @ KU</t>
        </is>
      </c>
      <c r="C19" s="17" t="inlineStr">
        <is>
          <t>ML</t>
        </is>
      </c>
      <c r="D19" s="17" t="inlineStr">
        <is>
          <t>KU ML</t>
        </is>
      </c>
      <c r="E19" s="18" t="n">
        <v>170</v>
      </c>
      <c r="F19" s="21" t="n">
        <v>3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0.08890000000000001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ASU @ KU</t>
        </is>
      </c>
      <c r="C20" s="12" t="inlineStr">
        <is>
          <t>TOTAL</t>
        </is>
      </c>
      <c r="D20" s="12" t="inlineStr">
        <is>
          <t>Under 56.5</t>
        </is>
      </c>
      <c r="E20" s="13" t="n">
        <v>-108</v>
      </c>
      <c r="F20" s="16" t="n">
        <v>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0.0888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UNC @ CLEM</t>
        </is>
      </c>
      <c r="C21" s="17" t="inlineStr">
        <is>
          <t>ML</t>
        </is>
      </c>
      <c r="D21" s="17" t="inlineStr">
        <is>
          <t>UNC ML</t>
        </is>
      </c>
      <c r="E21" s="18" t="n">
        <v>320</v>
      </c>
      <c r="F21" s="21" t="n">
        <v>2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2026-09-19</t>
        </is>
      </c>
      <c r="B22" s="12" t="inlineStr">
        <is>
          <t>UNC @ CLEM</t>
        </is>
      </c>
      <c r="C22" s="12" t="inlineStr">
        <is>
          <t>TOTAL</t>
        </is>
      </c>
      <c r="D22" s="12" t="inlineStr">
        <is>
          <t>Over 44.5</t>
        </is>
      </c>
      <c r="E22" s="13" t="n">
        <v>-108</v>
      </c>
      <c r="F22" s="16" t="n">
        <v>6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0.09229999999999999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2026-09-19</t>
        </is>
      </c>
      <c r="B23" s="17" t="inlineStr">
        <is>
          <t>KENT @ OSU</t>
        </is>
      </c>
      <c r="C23" s="17" t="inlineStr">
        <is>
          <t>TOTAL</t>
        </is>
      </c>
      <c r="D23" s="17" t="inlineStr">
        <is>
          <t>Under 56.5</t>
        </is>
      </c>
      <c r="E23" s="18" t="n">
        <v>-105</v>
      </c>
      <c r="F23" s="21" t="n">
        <v>6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0.09329999999999999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2026-09-19</t>
        </is>
      </c>
      <c r="B24" s="12" t="inlineStr">
        <is>
          <t>HOU @ TTU</t>
        </is>
      </c>
      <c r="C24" s="12" t="inlineStr">
        <is>
          <t>ATS</t>
        </is>
      </c>
      <c r="D24" s="12" t="inlineStr">
        <is>
          <t>HOU +13.5</t>
        </is>
      </c>
      <c r="E24" s="13" t="n">
        <v>-115</v>
      </c>
      <c r="F24" s="16" t="n">
        <v>7.5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0.09379999999999999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2026-09-17</t>
        </is>
      </c>
      <c r="B25" s="17" t="inlineStr">
        <is>
          <t>SYR @ PITT</t>
        </is>
      </c>
      <c r="C25" s="17" t="inlineStr">
        <is>
          <t>ML</t>
        </is>
      </c>
      <c r="D25" s="17" t="inlineStr">
        <is>
          <t>SYR ML</t>
        </is>
      </c>
      <c r="E25" s="18" t="n">
        <v>295</v>
      </c>
      <c r="F25" s="21" t="n">
        <v>2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0.0936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2026-09-13</t>
        </is>
      </c>
      <c r="B26" s="12" t="inlineStr">
        <is>
          <t>NMSU @ HAW</t>
        </is>
      </c>
      <c r="C26" s="12" t="inlineStr">
        <is>
          <t>ATS</t>
        </is>
      </c>
      <c r="D26" s="12" t="inlineStr">
        <is>
          <t>NMSU +11.5</t>
        </is>
      </c>
      <c r="E26" s="13" t="n">
        <v>-108</v>
      </c>
      <c r="F26" s="16" t="n">
        <v>25</v>
      </c>
      <c r="G26" s="12" t="inlineStr">
        <is>
          <t>Win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0.0994</v>
      </c>
      <c r="M26" s="14" t="n">
        <v>0.1282</v>
      </c>
      <c r="N26" s="12" t="inlineStr">
        <is>
          <t>NMSU 19 - HAW 29</t>
        </is>
      </c>
      <c r="O26" s="12" t="inlineStr">
        <is>
          <t>DraftKings</t>
        </is>
      </c>
    </row>
    <row r="27">
      <c r="A27" s="17" t="inlineStr">
        <is>
          <t>2026-09-13</t>
        </is>
      </c>
      <c r="B27" s="17" t="inlineStr">
        <is>
          <t>NMSU @ HAW</t>
        </is>
      </c>
      <c r="C27" s="17" t="inlineStr">
        <is>
          <t>ML</t>
        </is>
      </c>
      <c r="D27" s="17" t="inlineStr">
        <is>
          <t>NMSU ML</t>
        </is>
      </c>
      <c r="E27" s="18" t="n">
        <v>300</v>
      </c>
      <c r="F27" s="21" t="n">
        <v>2.5</v>
      </c>
      <c r="G27" s="17" t="inlineStr">
        <is>
          <t>Loss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0.0949</v>
      </c>
      <c r="M27" s="19" t="n">
        <v>0.0357</v>
      </c>
      <c r="N27" s="17" t="inlineStr">
        <is>
          <t>NMSU 19 - HAW 29</t>
        </is>
      </c>
      <c r="O27" s="17" t="inlineStr">
        <is>
          <t>DraftKings</t>
        </is>
      </c>
    </row>
    <row r="28">
      <c r="A28" s="12" t="inlineStr">
        <is>
          <t>2026-09-13</t>
        </is>
      </c>
      <c r="B28" s="12" t="inlineStr">
        <is>
          <t>UL @ USC</t>
        </is>
      </c>
      <c r="C28" s="12" t="inlineStr">
        <is>
          <t>TOTAL</t>
        </is>
      </c>
      <c r="D28" s="12" t="inlineStr">
        <is>
          <t>Under 59.5</t>
        </is>
      </c>
      <c r="E28" s="13" t="n">
        <v>-112</v>
      </c>
      <c r="F28" s="16" t="n">
        <v>18.5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0.1106</v>
      </c>
      <c r="M28" s="14" t="n">
        <v>0.0255</v>
      </c>
      <c r="N28" s="12" t="inlineStr">
        <is>
          <t>UL 30 - USC 49</t>
        </is>
      </c>
      <c r="O28" s="12" t="inlineStr">
        <is>
          <t>DraftKings</t>
        </is>
      </c>
    </row>
    <row r="29">
      <c r="A29" s="17" t="inlineStr">
        <is>
          <t>2026-09-13</t>
        </is>
      </c>
      <c r="B29" s="17" t="inlineStr">
        <is>
          <t>SAC @ FRES</t>
        </is>
      </c>
      <c r="C29" s="17" t="inlineStr">
        <is>
          <t>ML</t>
        </is>
      </c>
      <c r="D29" s="17" t="inlineStr">
        <is>
          <t>SAC ML</t>
        </is>
      </c>
      <c r="E29" s="18" t="n">
        <v>600</v>
      </c>
      <c r="F29" s="21" t="n">
        <v>1</v>
      </c>
      <c r="G29" s="17" t="inlineStr">
        <is>
          <t>Loss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BEST BET</t>
        </is>
      </c>
      <c r="L29" s="19" t="n">
        <v>0.095</v>
      </c>
      <c r="M29" s="19" t="n">
        <v>0</v>
      </c>
      <c r="N29" s="17" t="inlineStr">
        <is>
          <t>SAC 3 - FRES 49</t>
        </is>
      </c>
      <c r="O29" s="17" t="inlineStr">
        <is>
          <t>DraftKings</t>
        </is>
      </c>
    </row>
    <row r="30">
      <c r="A30" s="12" t="inlineStr">
        <is>
          <t>2026-09-13</t>
        </is>
      </c>
      <c r="B30" s="12" t="inlineStr">
        <is>
          <t>ARK @ UTAH</t>
        </is>
      </c>
      <c r="C30" s="12" t="inlineStr">
        <is>
          <t>ATS</t>
        </is>
      </c>
      <c r="D30" s="12" t="inlineStr">
        <is>
          <t>ARK +9.5</t>
        </is>
      </c>
      <c r="E30" s="13" t="n">
        <v>-105</v>
      </c>
      <c r="F30" s="16" t="n">
        <v>23.5</v>
      </c>
      <c r="G30" s="12" t="inlineStr">
        <is>
          <t>Loss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0.09180000000000001</v>
      </c>
      <c r="M30" s="14" t="n">
        <v>-0.0634</v>
      </c>
      <c r="N30" s="12" t="inlineStr">
        <is>
          <t>ARK 10 - UTAH 43</t>
        </is>
      </c>
      <c r="O30" s="12" t="inlineStr">
        <is>
          <t>Draft Kings</t>
        </is>
      </c>
    </row>
    <row r="31">
      <c r="A31" s="17" t="inlineStr">
        <is>
          <t>2026-09-13</t>
        </is>
      </c>
      <c r="B31" s="17" t="inlineStr">
        <is>
          <t>ARK @ UTAH</t>
        </is>
      </c>
      <c r="C31" s="17" t="inlineStr">
        <is>
          <t>ML</t>
        </is>
      </c>
      <c r="D31" s="17" t="inlineStr">
        <is>
          <t>ARK ML</t>
        </is>
      </c>
      <c r="E31" s="18" t="n">
        <v>380</v>
      </c>
      <c r="F31" s="21" t="n">
        <v>2</v>
      </c>
      <c r="G31" s="17" t="inlineStr">
        <is>
          <t>Loss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0.0948</v>
      </c>
      <c r="M31" s="19" t="n">
        <v>0</v>
      </c>
      <c r="N31" s="17" t="inlineStr">
        <is>
          <t>ARK 10 - UTAH 43</t>
        </is>
      </c>
      <c r="O31" s="17" t="inlineStr">
        <is>
          <t>DraftKings</t>
        </is>
      </c>
    </row>
    <row r="32">
      <c r="A32" s="12" t="inlineStr">
        <is>
          <t>2026-09-13</t>
        </is>
      </c>
      <c r="B32" s="12" t="inlineStr">
        <is>
          <t>NDSU @ AFA</t>
        </is>
      </c>
      <c r="C32" s="12" t="inlineStr">
        <is>
          <t>ML</t>
        </is>
      </c>
      <c r="D32" s="12" t="inlineStr">
        <is>
          <t>AFA ML</t>
        </is>
      </c>
      <c r="E32" s="13" t="n">
        <v>180</v>
      </c>
      <c r="F32" s="16" t="n">
        <v>4</v>
      </c>
      <c r="G32" s="12" t="inlineStr">
        <is>
          <t>Loss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0.095</v>
      </c>
      <c r="M32" s="14" t="n">
        <v>0.1307</v>
      </c>
      <c r="N32" s="12" t="inlineStr">
        <is>
          <t>NDSU 38 - AFA 32</t>
        </is>
      </c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CLT @ MISS</t>
        </is>
      </c>
      <c r="C33" s="17" t="inlineStr">
        <is>
          <t>TOTAL</t>
        </is>
      </c>
      <c r="D33" s="17" t="inlineStr">
        <is>
          <t>Under 61.5</t>
        </is>
      </c>
      <c r="E33" s="18" t="n">
        <v>-108</v>
      </c>
      <c r="F33" s="21" t="n">
        <v>18.5</v>
      </c>
      <c r="G33" s="17" t="inlineStr">
        <is>
          <t>Win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0.1108</v>
      </c>
      <c r="M33" s="19" t="n">
        <v>0.06</v>
      </c>
      <c r="N33" s="17" t="inlineStr">
        <is>
          <t>CLT 9 - MISS 41</t>
        </is>
      </c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OSU @ TEX</t>
        </is>
      </c>
      <c r="C34" s="12" t="inlineStr">
        <is>
          <t>TOTAL</t>
        </is>
      </c>
      <c r="D34" s="12" t="inlineStr">
        <is>
          <t>Over 47.5</t>
        </is>
      </c>
      <c r="E34" s="13" t="n">
        <v>-110</v>
      </c>
      <c r="F34" s="16" t="n">
        <v>25</v>
      </c>
      <c r="G34" s="12" t="inlineStr">
        <is>
          <t>Loss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0.1189</v>
      </c>
      <c r="M34" s="14" t="n">
        <v>0.1011</v>
      </c>
      <c r="N34" s="12" t="inlineStr">
        <is>
          <t>OSU 23 - TEX 24</t>
        </is>
      </c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TTU @ ORST</t>
        </is>
      </c>
      <c r="C35" s="17" t="inlineStr">
        <is>
          <t>TOTAL</t>
        </is>
      </c>
      <c r="D35" s="17" t="inlineStr">
        <is>
          <t>Over 49.5</t>
        </is>
      </c>
      <c r="E35" s="18" t="n">
        <v>-108</v>
      </c>
      <c r="F35" s="21" t="n">
        <v>25</v>
      </c>
      <c r="G35" s="17" t="inlineStr">
        <is>
          <t>Win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0.1092</v>
      </c>
      <c r="M35" s="19" t="n">
        <v>0.09</v>
      </c>
      <c r="N35" s="17" t="inlineStr">
        <is>
          <t>TTU 35 - ORST 24</t>
        </is>
      </c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ISU @ IOWA</t>
        </is>
      </c>
      <c r="C36" s="12" t="inlineStr">
        <is>
          <t>ATS</t>
        </is>
      </c>
      <c r="D36" s="12" t="inlineStr">
        <is>
          <t>ISU +12.5</t>
        </is>
      </c>
      <c r="E36" s="13" t="n">
        <v>-110</v>
      </c>
      <c r="F36" s="16" t="n">
        <v>25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0.1201</v>
      </c>
      <c r="M36" s="14" t="n">
        <v>-0.0491</v>
      </c>
      <c r="N36" s="12" t="inlineStr">
        <is>
          <t>ISU 13 - IOWA 16</t>
        </is>
      </c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ISU @ IOWA</t>
        </is>
      </c>
      <c r="C37" s="17" t="inlineStr">
        <is>
          <t>ML</t>
        </is>
      </c>
      <c r="D37" s="17" t="inlineStr">
        <is>
          <t>ISU ML</t>
        </is>
      </c>
      <c r="E37" s="18" t="n">
        <v>550</v>
      </c>
      <c r="F37" s="21" t="n">
        <v>19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0.128</v>
      </c>
      <c r="M37" s="19" t="n">
        <v>0.0216</v>
      </c>
      <c r="N37" s="17" t="inlineStr">
        <is>
          <t>ISU 13 - IOWA 16</t>
        </is>
      </c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GASO @ CLEM</t>
        </is>
      </c>
      <c r="C38" s="12" t="inlineStr">
        <is>
          <t>TOTAL</t>
        </is>
      </c>
      <c r="D38" s="12" t="inlineStr">
        <is>
          <t>Under 57.5</t>
        </is>
      </c>
      <c r="E38" s="13" t="n">
        <v>-108</v>
      </c>
      <c r="F38" s="16" t="n">
        <v>24</v>
      </c>
      <c r="G38" s="12" t="inlineStr">
        <is>
          <t>Win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0.0882</v>
      </c>
      <c r="M38" s="14" t="n">
        <v>0.0757</v>
      </c>
      <c r="N38" s="12" t="inlineStr">
        <is>
          <t>GASO 7 - CLEM 22</t>
        </is>
      </c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NAVY @ FAU</t>
        </is>
      </c>
      <c r="C39" s="17" t="inlineStr">
        <is>
          <t>ML</t>
        </is>
      </c>
      <c r="D39" s="17" t="inlineStr">
        <is>
          <t>FAU ML</t>
        </is>
      </c>
      <c r="E39" s="18" t="n">
        <v>195</v>
      </c>
      <c r="F39" s="21" t="n">
        <v>18.5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0.1327</v>
      </c>
      <c r="M39" s="19" t="n">
        <v>0.0398</v>
      </c>
      <c r="N39" s="17" t="inlineStr">
        <is>
          <t>NAVY 30 - FAU 38</t>
        </is>
      </c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SDSU @ UCLA</t>
        </is>
      </c>
      <c r="C40" s="12" t="inlineStr">
        <is>
          <t>ML</t>
        </is>
      </c>
      <c r="D40" s="12" t="inlineStr">
        <is>
          <t>SDSU ML</t>
        </is>
      </c>
      <c r="E40" s="13" t="n">
        <v>380</v>
      </c>
      <c r="F40" s="16" t="n">
        <v>2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0.09470000000000001</v>
      </c>
      <c r="M40" s="14" t="n">
        <v>0</v>
      </c>
      <c r="N40" s="12" t="inlineStr">
        <is>
          <t>SDSU 10 - UCLA 28</t>
        </is>
      </c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SDSU @ UCLA</t>
        </is>
      </c>
      <c r="C41" s="17" t="inlineStr">
        <is>
          <t>TOTAL</t>
        </is>
      </c>
      <c r="D41" s="17" t="inlineStr">
        <is>
          <t>Over 48.5</t>
        </is>
      </c>
      <c r="E41" s="18" t="n">
        <v>-110</v>
      </c>
      <c r="F41" s="21" t="n">
        <v>25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0.1218</v>
      </c>
      <c r="M41" s="19" t="n">
        <v>0.1754</v>
      </c>
      <c r="N41" s="17" t="inlineStr">
        <is>
          <t>SDSU 10 - UCLA 28</t>
        </is>
      </c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USA @ TULN</t>
        </is>
      </c>
      <c r="C42" s="12" t="inlineStr">
        <is>
          <t>ML</t>
        </is>
      </c>
      <c r="D42" s="12" t="inlineStr">
        <is>
          <t>USA ML</t>
        </is>
      </c>
      <c r="E42" s="13" t="n">
        <v>330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0.09470000000000001</v>
      </c>
      <c r="M42" s="14" t="n">
        <v>0.0174</v>
      </c>
      <c r="N42" s="12" t="inlineStr">
        <is>
          <t>USA 24 - TULN 28</t>
        </is>
      </c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MTSU @ MRSH</t>
        </is>
      </c>
      <c r="C43" s="17" t="inlineStr">
        <is>
          <t>ML</t>
        </is>
      </c>
      <c r="D43" s="17" t="inlineStr">
        <is>
          <t>MTSU ML</t>
        </is>
      </c>
      <c r="E43" s="18" t="n">
        <v>490</v>
      </c>
      <c r="F43" s="21" t="n">
        <v>1.5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0.095</v>
      </c>
      <c r="M43" s="19" t="n">
        <v>0.0305</v>
      </c>
      <c r="N43" s="17" t="inlineStr">
        <is>
          <t>MTSU 26 - MRSH 28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MTSU @ MRSH</t>
        </is>
      </c>
      <c r="C44" s="12" t="inlineStr">
        <is>
          <t>TOTAL</t>
        </is>
      </c>
      <c r="D44" s="12" t="inlineStr">
        <is>
          <t>Under 57.5</t>
        </is>
      </c>
      <c r="E44" s="13" t="n">
        <v>-105</v>
      </c>
      <c r="F44" s="16" t="n">
        <v>14.5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0.07820000000000001</v>
      </c>
      <c r="M44" s="14" t="n">
        <v>0.0716</v>
      </c>
      <c r="N44" s="12" t="inlineStr">
        <is>
          <t>MTSU 26 - MRSH 28</t>
        </is>
      </c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MEM @ BOIS</t>
        </is>
      </c>
      <c r="C45" s="17" t="inlineStr">
        <is>
          <t>ML</t>
        </is>
      </c>
      <c r="D45" s="17" t="inlineStr">
        <is>
          <t>MEM ML</t>
        </is>
      </c>
      <c r="E45" s="18" t="n">
        <v>300</v>
      </c>
      <c r="F45" s="21" t="n">
        <v>2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0.0944</v>
      </c>
      <c r="M45" s="19" t="n">
        <v>0</v>
      </c>
      <c r="N45" s="17" t="inlineStr">
        <is>
          <t>MEM 20 - BOIS 38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BUFF @ FIU</t>
        </is>
      </c>
      <c r="C46" s="12" t="inlineStr">
        <is>
          <t>ML</t>
        </is>
      </c>
      <c r="D46" s="12" t="inlineStr">
        <is>
          <t>BUFF ML</t>
        </is>
      </c>
      <c r="E46" s="13" t="n">
        <v>340</v>
      </c>
      <c r="F46" s="16" t="n">
        <v>2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0.0946</v>
      </c>
      <c r="M46" s="14" t="n">
        <v>0.0108</v>
      </c>
      <c r="N46" s="12" t="inlineStr">
        <is>
          <t>BUFF 20 - FIU 33</t>
        </is>
      </c>
      <c r="O46" s="12" t="inlineStr">
        <is>
          <t>DraftKings</t>
        </is>
      </c>
    </row>
    <row r="47">
      <c r="A47" s="17" t="inlineStr">
        <is>
          <t>2026-09-12</t>
        </is>
      </c>
      <c r="B47" s="17" t="inlineStr">
        <is>
          <t>JVST @ OHIO</t>
        </is>
      </c>
      <c r="C47" s="17" t="inlineStr">
        <is>
          <t>TOTAL</t>
        </is>
      </c>
      <c r="D47" s="17" t="inlineStr">
        <is>
          <t>Over 48.5</t>
        </is>
      </c>
      <c r="E47" s="18" t="n">
        <v>-110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0.1159</v>
      </c>
      <c r="M47" s="19" t="n">
        <v>0.06</v>
      </c>
      <c r="N47" s="17" t="inlineStr">
        <is>
          <t>JVST 27 - OHIO 29</t>
        </is>
      </c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UNLV @ UNT</t>
        </is>
      </c>
      <c r="C48" s="12" t="inlineStr">
        <is>
          <t>ATS</t>
        </is>
      </c>
      <c r="D48" s="12" t="inlineStr">
        <is>
          <t>UNT +5.5</t>
        </is>
      </c>
      <c r="E48" s="13" t="n">
        <v>-105</v>
      </c>
      <c r="F48" s="16" t="n">
        <v>18.5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0.1238</v>
      </c>
      <c r="M48" s="14" t="n">
        <v>0.0625</v>
      </c>
      <c r="N48" s="12" t="inlineStr">
        <is>
          <t>UNLV 6 - UNT 44</t>
        </is>
      </c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UNLV @ UNT</t>
        </is>
      </c>
      <c r="C49" s="17" t="inlineStr">
        <is>
          <t>ML</t>
        </is>
      </c>
      <c r="D49" s="17" t="inlineStr">
        <is>
          <t>UNT ML</t>
        </is>
      </c>
      <c r="E49" s="18" t="n">
        <v>185</v>
      </c>
      <c r="F49" s="21" t="n">
        <v>24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GOOD</t>
        </is>
      </c>
      <c r="L49" s="19" t="n">
        <v>0.1187</v>
      </c>
      <c r="M49" s="19" t="n">
        <v>0.07290000000000001</v>
      </c>
      <c r="N49" s="17" t="inlineStr">
        <is>
          <t>UNLV 6 - UNT 44</t>
        </is>
      </c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UCF @ PITT</t>
        </is>
      </c>
      <c r="C50" s="12" t="inlineStr">
        <is>
          <t>ATS</t>
        </is>
      </c>
      <c r="D50" s="12" t="inlineStr">
        <is>
          <t>UCF +8.5</t>
        </is>
      </c>
      <c r="E50" s="13" t="n">
        <v>-110</v>
      </c>
      <c r="F50" s="16" t="n">
        <v>15.5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0.0569</v>
      </c>
      <c r="M50" s="14" t="n">
        <v>0.0259</v>
      </c>
      <c r="N50" s="12" t="inlineStr">
        <is>
          <t>UCF 7 - PITT 12</t>
        </is>
      </c>
      <c r="O50" s="12" t="inlineStr">
        <is>
          <t>Draft Kings</t>
        </is>
      </c>
    </row>
    <row r="51">
      <c r="A51" s="17" t="inlineStr">
        <is>
          <t>2026-09-12</t>
        </is>
      </c>
      <c r="B51" s="17" t="inlineStr">
        <is>
          <t>UCF @ PITT</t>
        </is>
      </c>
      <c r="C51" s="17" t="inlineStr">
        <is>
          <t>TOTAL</t>
        </is>
      </c>
      <c r="D51" s="17" t="inlineStr">
        <is>
          <t>Over 51.5</t>
        </is>
      </c>
      <c r="E51" s="18" t="n">
        <v>-108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0.1061</v>
      </c>
      <c r="M51" s="19" t="n">
        <v>0.12</v>
      </c>
      <c r="N51" s="17" t="inlineStr">
        <is>
          <t>UCF 7 - PITT 12</t>
        </is>
      </c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CAL @ SYR</t>
        </is>
      </c>
      <c r="C52" s="12" t="inlineStr">
        <is>
          <t>ATS</t>
        </is>
      </c>
      <c r="D52" s="12" t="inlineStr">
        <is>
          <t>SYR +1.5</t>
        </is>
      </c>
      <c r="E52" s="13" t="n">
        <v>-108</v>
      </c>
      <c r="F52" s="16" t="n">
        <v>23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0.0987</v>
      </c>
      <c r="M52" s="14" t="n">
        <v>0.125</v>
      </c>
      <c r="N52" s="12" t="inlineStr">
        <is>
          <t>CAL 21 - SYR 18</t>
        </is>
      </c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EMU @ MSU</t>
        </is>
      </c>
      <c r="C53" s="17" t="inlineStr">
        <is>
          <t>ML</t>
        </is>
      </c>
      <c r="D53" s="17" t="inlineStr">
        <is>
          <t>EMU ML</t>
        </is>
      </c>
      <c r="E53" s="18" t="n">
        <v>550</v>
      </c>
      <c r="F53" s="21" t="n">
        <v>16.5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0.1106</v>
      </c>
      <c r="M53" s="19" t="n">
        <v>-0.011</v>
      </c>
      <c r="N53" s="17" t="inlineStr">
        <is>
          <t>EMU 7 - MSU 35</t>
        </is>
      </c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OU @ MICH</t>
        </is>
      </c>
      <c r="C54" s="12" t="inlineStr">
        <is>
          <t>ML</t>
        </is>
      </c>
      <c r="D54" s="12" t="inlineStr">
        <is>
          <t>MICH ML</t>
        </is>
      </c>
      <c r="E54" s="13" t="n">
        <v>170</v>
      </c>
      <c r="F54" s="16" t="n">
        <v>20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0.1101</v>
      </c>
      <c r="M54" s="14" t="n">
        <v>0</v>
      </c>
      <c r="N54" s="12" t="inlineStr">
        <is>
          <t>OU 10 - MICH 17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OU @ MICH</t>
        </is>
      </c>
      <c r="C55" s="17" t="inlineStr">
        <is>
          <t>TOTAL</t>
        </is>
      </c>
      <c r="D55" s="17" t="inlineStr">
        <is>
          <t>Over 46.5</t>
        </is>
      </c>
      <c r="E55" s="18" t="n">
        <v>-105</v>
      </c>
      <c r="F55" s="21" t="n">
        <v>23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0.0851</v>
      </c>
      <c r="M55" s="19" t="n">
        <v>-0.083</v>
      </c>
      <c r="N55" s="17" t="inlineStr">
        <is>
          <t>OU 10 - MICH 17</t>
        </is>
      </c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ASU @ TA&amp;M</t>
        </is>
      </c>
      <c r="C56" s="12" t="inlineStr">
        <is>
          <t>ATS</t>
        </is>
      </c>
      <c r="D56" s="12" t="inlineStr">
        <is>
          <t>ASU +14.5</t>
        </is>
      </c>
      <c r="E56" s="13" t="n">
        <v>-110</v>
      </c>
      <c r="F56" s="16" t="n">
        <v>26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0.1221</v>
      </c>
      <c r="M56" s="14" t="n">
        <v>0.0045</v>
      </c>
      <c r="N56" s="12" t="inlineStr">
        <is>
          <t>ASU 20 - TA&amp;M 48</t>
        </is>
      </c>
      <c r="O56" s="12" t="inlineStr">
        <is>
          <t>Draft Kings</t>
        </is>
      </c>
    </row>
    <row r="57">
      <c r="A57" s="17" t="inlineStr">
        <is>
          <t>2026-09-12</t>
        </is>
      </c>
      <c r="B57" s="17" t="inlineStr">
        <is>
          <t>ASU @ TA&amp;M</t>
        </is>
      </c>
      <c r="C57" s="17" t="inlineStr">
        <is>
          <t>ML</t>
        </is>
      </c>
      <c r="D57" s="17" t="inlineStr">
        <is>
          <t>ASU ML</t>
        </is>
      </c>
      <c r="E57" s="18" t="n">
        <v>410</v>
      </c>
      <c r="F57" s="21" t="n">
        <v>16.5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0.1061</v>
      </c>
      <c r="M57" s="19" t="n">
        <v>-0.0266</v>
      </c>
      <c r="N57" s="17" t="inlineStr">
        <is>
          <t>ASU 20 - TA&amp;M 48</t>
        </is>
      </c>
      <c r="O57" s="17" t="inlineStr">
        <is>
          <t>DraftKings</t>
        </is>
      </c>
    </row>
    <row r="58">
      <c r="A58" s="12" t="inlineStr">
        <is>
          <t>2026-09-12</t>
        </is>
      </c>
      <c r="B58" s="12" t="inlineStr">
        <is>
          <t>ASU @ TA&amp;M</t>
        </is>
      </c>
      <c r="C58" s="12" t="inlineStr">
        <is>
          <t>TOTAL</t>
        </is>
      </c>
      <c r="D58" s="12" t="inlineStr">
        <is>
          <t>Over 50.5</t>
        </is>
      </c>
      <c r="E58" s="13" t="n">
        <v>-112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0.09660000000000001</v>
      </c>
      <c r="M58" s="14" t="n">
        <v>0</v>
      </c>
      <c r="N58" s="12" t="inlineStr">
        <is>
          <t>ASU 20 - TA&amp;M 48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WSU @ KSU</t>
        </is>
      </c>
      <c r="C59" s="17" t="inlineStr">
        <is>
          <t>ML</t>
        </is>
      </c>
      <c r="D59" s="17" t="inlineStr">
        <is>
          <t>WSU ML</t>
        </is>
      </c>
      <c r="E59" s="18" t="n">
        <v>575</v>
      </c>
      <c r="F59" s="21" t="n">
        <v>1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BEST BET</t>
        </is>
      </c>
      <c r="L59" s="19" t="n">
        <v>0.095</v>
      </c>
      <c r="M59" s="19" t="n">
        <v>-0.0148</v>
      </c>
      <c r="N59" s="17" t="inlineStr">
        <is>
          <t>WSU 7 - KSU 34</t>
        </is>
      </c>
      <c r="O59" s="17" t="inlineStr">
        <is>
          <t>DraftKings</t>
        </is>
      </c>
    </row>
    <row r="60">
      <c r="A60" s="12" t="inlineStr">
        <is>
          <t>2026-09-12</t>
        </is>
      </c>
      <c r="B60" s="12" t="inlineStr">
        <is>
          <t>ORE @ OKST</t>
        </is>
      </c>
      <c r="C60" s="12" t="inlineStr">
        <is>
          <t>TOTAL</t>
        </is>
      </c>
      <c r="D60" s="12" t="inlineStr">
        <is>
          <t>Under 60.5</t>
        </is>
      </c>
      <c r="E60" s="13" t="n">
        <v>-112</v>
      </c>
      <c r="F60" s="16" t="n">
        <v>26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0.1106</v>
      </c>
      <c r="M60" s="14" t="n">
        <v>0.1409</v>
      </c>
      <c r="N60" s="12" t="inlineStr">
        <is>
          <t>ORE 31 - OKST 39</t>
        </is>
      </c>
      <c r="O60" s="12" t="inlineStr">
        <is>
          <t>Draft Kings</t>
        </is>
      </c>
    </row>
    <row r="61">
      <c r="A61" s="17" t="inlineStr">
        <is>
          <t>2026-09-12</t>
        </is>
      </c>
      <c r="B61" s="17" t="inlineStr">
        <is>
          <t>ODU @ VT</t>
        </is>
      </c>
      <c r="C61" s="17" t="inlineStr">
        <is>
          <t>ML</t>
        </is>
      </c>
      <c r="D61" s="17" t="inlineStr">
        <is>
          <t>ODU ML</t>
        </is>
      </c>
      <c r="E61" s="18" t="n">
        <v>455</v>
      </c>
      <c r="F61" s="21" t="n">
        <v>15.5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0.1006</v>
      </c>
      <c r="M61" s="19" t="n">
        <v>-0.0625</v>
      </c>
      <c r="N61" s="17" t="inlineStr">
        <is>
          <t>ODU 21 - VT 44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WAKE @ PUR</t>
        </is>
      </c>
      <c r="C62" s="12" t="inlineStr">
        <is>
          <t>ATS</t>
        </is>
      </c>
      <c r="D62" s="12" t="inlineStr">
        <is>
          <t>PUR +3.5</t>
        </is>
      </c>
      <c r="E62" s="13" t="n">
        <v>-115</v>
      </c>
      <c r="F62" s="16" t="n">
        <v>26</v>
      </c>
      <c r="G62" s="12" t="inlineStr">
        <is>
          <t>Win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0.0922</v>
      </c>
      <c r="M62" s="14" t="n">
        <v>0.0014</v>
      </c>
      <c r="N62" s="12" t="inlineStr">
        <is>
          <t>WAKE 38 - PUR 36</t>
        </is>
      </c>
      <c r="O62" s="12" t="inlineStr">
        <is>
          <t>Draft Kings</t>
        </is>
      </c>
    </row>
    <row r="63">
      <c r="A63" s="17" t="inlineStr">
        <is>
          <t>2026-09-12</t>
        </is>
      </c>
      <c r="B63" s="17" t="inlineStr">
        <is>
          <t>WAKE @ PUR</t>
        </is>
      </c>
      <c r="C63" s="17" t="inlineStr">
        <is>
          <t>ML</t>
        </is>
      </c>
      <c r="D63" s="17" t="inlineStr">
        <is>
          <t>PUR ML</t>
        </is>
      </c>
      <c r="E63" s="18" t="n">
        <v>164</v>
      </c>
      <c r="F63" s="21" t="n">
        <v>4.5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0.0949</v>
      </c>
      <c r="M63" s="19" t="n">
        <v>0.056</v>
      </c>
      <c r="N63" s="17" t="inlineStr">
        <is>
          <t>WAKE 38 - PUR 36</t>
        </is>
      </c>
      <c r="O63" s="17" t="inlineStr">
        <is>
          <t>DraftKings</t>
        </is>
      </c>
    </row>
    <row r="64">
      <c r="A64" s="12" t="inlineStr">
        <is>
          <t>2026-09-12</t>
        </is>
      </c>
      <c r="B64" s="12" t="inlineStr">
        <is>
          <t>WAKE @ PUR</t>
        </is>
      </c>
      <c r="C64" s="12" t="inlineStr">
        <is>
          <t>TOTAL</t>
        </is>
      </c>
      <c r="D64" s="12" t="inlineStr">
        <is>
          <t>Over 49.5</t>
        </is>
      </c>
      <c r="E64" s="13" t="n">
        <v>-110</v>
      </c>
      <c r="F64" s="16" t="n">
        <v>25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0.1129</v>
      </c>
      <c r="M64" s="14" t="n">
        <v>0.0254</v>
      </c>
      <c r="N64" s="12" t="inlineStr">
        <is>
          <t>WAKE 38 - PUR 36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PSU @ TEM</t>
        </is>
      </c>
      <c r="C65" s="17" t="inlineStr">
        <is>
          <t>TOTAL</t>
        </is>
      </c>
      <c r="D65" s="17" t="inlineStr">
        <is>
          <t>Over 51.5</t>
        </is>
      </c>
      <c r="E65" s="18" t="n">
        <v>-105</v>
      </c>
      <c r="F65" s="21" t="n">
        <v>25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0.09859999999999999</v>
      </c>
      <c r="M65" s="19" t="n">
        <v>-0.0072</v>
      </c>
      <c r="N65" s="17" t="inlineStr">
        <is>
          <t>PSU 27 - TEM 9</t>
        </is>
      </c>
      <c r="O65" s="17" t="inlineStr">
        <is>
          <t>DraftKings</t>
        </is>
      </c>
    </row>
    <row r="66">
      <c r="A66" s="12" t="inlineStr">
        <is>
          <t>2026-09-12</t>
        </is>
      </c>
      <c r="B66" s="12" t="inlineStr">
        <is>
          <t>APP @ ECU</t>
        </is>
      </c>
      <c r="C66" s="12" t="inlineStr">
        <is>
          <t>ATS</t>
        </is>
      </c>
      <c r="D66" s="12" t="inlineStr">
        <is>
          <t>APP +10</t>
        </is>
      </c>
      <c r="E66" s="13" t="n">
        <v>-110</v>
      </c>
      <c r="F66" s="16" t="n">
        <v>22.5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0.0818</v>
      </c>
      <c r="M66" s="14" t="n">
        <v>0.0829</v>
      </c>
      <c r="N66" s="12" t="inlineStr">
        <is>
          <t>APP 27 - ECU 24</t>
        </is>
      </c>
      <c r="O66" s="12" t="inlineStr">
        <is>
          <t>Draft Kings</t>
        </is>
      </c>
    </row>
    <row r="67">
      <c r="A67" s="17" t="inlineStr">
        <is>
          <t>2026-09-12</t>
        </is>
      </c>
      <c r="B67" s="17" t="inlineStr">
        <is>
          <t>MIZ @ KU</t>
        </is>
      </c>
      <c r="C67" s="17" t="inlineStr">
        <is>
          <t>ATS</t>
        </is>
      </c>
      <c r="D67" s="17" t="inlineStr">
        <is>
          <t>KU +6.5</t>
        </is>
      </c>
      <c r="E67" s="18" t="n">
        <v>-105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0.1173</v>
      </c>
      <c r="M67" s="19" t="n">
        <v>0.06610000000000001</v>
      </c>
      <c r="N67" s="17" t="inlineStr">
        <is>
          <t>MIZ 38 - KU 21</t>
        </is>
      </c>
      <c r="O67" s="17" t="inlineStr">
        <is>
          <t>Draft Kings</t>
        </is>
      </c>
    </row>
    <row r="68">
      <c r="A68" s="12" t="inlineStr">
        <is>
          <t>2026-09-12</t>
        </is>
      </c>
      <c r="B68" s="12" t="inlineStr">
        <is>
          <t>MIZ @ KU</t>
        </is>
      </c>
      <c r="C68" s="12" t="inlineStr">
        <is>
          <t>ML</t>
        </is>
      </c>
      <c r="D68" s="12" t="inlineStr">
        <is>
          <t>KU ML</t>
        </is>
      </c>
      <c r="E68" s="13" t="n">
        <v>205</v>
      </c>
      <c r="F68" s="16" t="n">
        <v>22.5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0.1213</v>
      </c>
      <c r="M68" s="14" t="n">
        <v>0.0567</v>
      </c>
      <c r="N68" s="12" t="inlineStr">
        <is>
          <t>MIZ 38 - KU 21</t>
        </is>
      </c>
      <c r="O68" s="12" t="inlineStr">
        <is>
          <t>DraftKings</t>
        </is>
      </c>
    </row>
    <row r="69">
      <c r="A69" s="17" t="inlineStr">
        <is>
          <t>2026-09-07</t>
        </is>
      </c>
      <c r="B69" s="17" t="inlineStr">
        <is>
          <t>SMU @ FSU</t>
        </is>
      </c>
      <c r="C69" s="17" t="inlineStr">
        <is>
          <t>ML</t>
        </is>
      </c>
      <c r="D69" s="17" t="inlineStr">
        <is>
          <t>FSU ML</t>
        </is>
      </c>
      <c r="E69" s="18" t="n">
        <v>130</v>
      </c>
      <c r="F69" s="21" t="n">
        <v>21.5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0.0935</v>
      </c>
      <c r="M69" s="19" t="n">
        <v>0.0116</v>
      </c>
      <c r="N69" s="17" t="inlineStr">
        <is>
          <t>SMU 27 - FSU 24</t>
        </is>
      </c>
      <c r="O69" s="17" t="inlineStr">
        <is>
          <t>Draft Kings</t>
        </is>
      </c>
    </row>
    <row r="70">
      <c r="A70" s="12" t="inlineStr">
        <is>
          <t>2026-09-06</t>
        </is>
      </c>
      <c r="B70" s="12" t="inlineStr">
        <is>
          <t>UNLV @ HAW</t>
        </is>
      </c>
      <c r="C70" s="12" t="inlineStr">
        <is>
          <t>ATS</t>
        </is>
      </c>
      <c r="D70" s="12" t="inlineStr">
        <is>
          <t>HAW +3</t>
        </is>
      </c>
      <c r="E70" s="13" t="n">
        <v>-108</v>
      </c>
      <c r="F70" s="16" t="n">
        <v>23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GOOD</t>
        </is>
      </c>
      <c r="L70" s="14" t="n">
        <v>0.08989999999999999</v>
      </c>
      <c r="M70" s="14" t="n">
        <v>0</v>
      </c>
      <c r="N70" s="12" t="inlineStr">
        <is>
          <t>UNLV 21 - HAW 6</t>
        </is>
      </c>
      <c r="O70" s="12" t="inlineStr">
        <is>
          <t>Draft Kings</t>
        </is>
      </c>
    </row>
    <row r="71">
      <c r="A71" s="17" t="inlineStr">
        <is>
          <t>2026-09-06</t>
        </is>
      </c>
      <c r="B71" s="17" t="inlineStr">
        <is>
          <t>UNLV @ HAW</t>
        </is>
      </c>
      <c r="C71" s="17" t="inlineStr">
        <is>
          <t>ML</t>
        </is>
      </c>
      <c r="D71" s="17" t="inlineStr">
        <is>
          <t>HAW ML</t>
        </is>
      </c>
      <c r="E71" s="18" t="n">
        <v>136</v>
      </c>
      <c r="F71" s="21" t="n">
        <v>24.5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GOOD</t>
        </is>
      </c>
      <c r="L71" s="19" t="n">
        <v>0.1085</v>
      </c>
      <c r="M71" s="19" t="n">
        <v>0.0111</v>
      </c>
      <c r="N71" s="17" t="inlineStr">
        <is>
          <t>UNLV 21 - HAW 6</t>
        </is>
      </c>
      <c r="O71" s="17" t="inlineStr">
        <is>
          <t>DraftKings</t>
        </is>
      </c>
    </row>
    <row r="72">
      <c r="A72" s="12" t="inlineStr">
        <is>
          <t>2026-09-06</t>
        </is>
      </c>
      <c r="B72" s="12" t="inlineStr">
        <is>
          <t>CMU @ UNM</t>
        </is>
      </c>
      <c r="C72" s="12" t="inlineStr">
        <is>
          <t>ATS</t>
        </is>
      </c>
      <c r="D72" s="12" t="inlineStr">
        <is>
          <t>CMU +10.5</t>
        </is>
      </c>
      <c r="E72" s="13" t="n">
        <v>-112</v>
      </c>
      <c r="F72" s="16" t="n">
        <v>25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0.0988</v>
      </c>
      <c r="M72" s="14" t="n">
        <v>-0.0045</v>
      </c>
      <c r="N72" s="12" t="inlineStr">
        <is>
          <t>CMU 7 - UNM 38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CLEM @ LSU</t>
        </is>
      </c>
      <c r="C73" s="17" t="inlineStr">
        <is>
          <t>ATS</t>
        </is>
      </c>
      <c r="D73" s="17" t="inlineStr">
        <is>
          <t>CLEM +10.5</t>
        </is>
      </c>
      <c r="E73" s="18" t="n">
        <v>-110</v>
      </c>
      <c r="F73" s="21" t="n">
        <v>25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</v>
      </c>
      <c r="M73" s="19" t="n">
        <v>0.0236</v>
      </c>
      <c r="N73" s="17" t="inlineStr">
        <is>
          <t>CLEM 10 - LSU 51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CLEM @ LSU</t>
        </is>
      </c>
      <c r="C74" s="12" t="inlineStr">
        <is>
          <t>ML</t>
        </is>
      </c>
      <c r="D74" s="12" t="inlineStr">
        <is>
          <t>CLEM ML</t>
        </is>
      </c>
      <c r="E74" s="13" t="n">
        <v>275</v>
      </c>
      <c r="F74" s="16" t="n">
        <v>15.5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0.0896</v>
      </c>
      <c r="M74" s="14" t="n">
        <v>-0.0069</v>
      </c>
      <c r="N74" s="12" t="inlineStr">
        <is>
          <t>CLEM 10 - LSU 51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CLEM @ LSU</t>
        </is>
      </c>
      <c r="C75" s="17" t="inlineStr">
        <is>
          <t>TOTAL</t>
        </is>
      </c>
      <c r="D75" s="17" t="inlineStr">
        <is>
          <t>Over 50.5</t>
        </is>
      </c>
      <c r="E75" s="18" t="n">
        <v>-112</v>
      </c>
      <c r="F75" s="21" t="n">
        <v>25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0.0901</v>
      </c>
      <c r="M75" s="19" t="n">
        <v>-0.0345</v>
      </c>
      <c r="N75" s="17" t="inlineStr">
        <is>
          <t>CLEM 10 - LSU 51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WMU @ MICH</t>
        </is>
      </c>
      <c r="C76" s="12" t="inlineStr">
        <is>
          <t>TOTAL</t>
        </is>
      </c>
      <c r="D76" s="12" t="inlineStr">
        <is>
          <t>Over 47.5</t>
        </is>
      </c>
      <c r="E76" s="13" t="n">
        <v>-115</v>
      </c>
      <c r="F76" s="16" t="n">
        <v>25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0.1073</v>
      </c>
      <c r="M76" s="14" t="n">
        <v>0.0443</v>
      </c>
      <c r="N76" s="12" t="inlineStr">
        <is>
          <t>WMU 12 - MICH 13</t>
        </is>
      </c>
      <c r="O76" s="12" t="inlineStr">
        <is>
          <t>Draft Kings</t>
        </is>
      </c>
    </row>
    <row r="77">
      <c r="A77" s="17" t="inlineStr">
        <is>
          <t>2026-09-05</t>
        </is>
      </c>
      <c r="B77" s="17" t="inlineStr">
        <is>
          <t>ARST @ MEM</t>
        </is>
      </c>
      <c r="C77" s="17" t="inlineStr">
        <is>
          <t>ATS</t>
        </is>
      </c>
      <c r="D77" s="17" t="inlineStr">
        <is>
          <t>ARST +11.5</t>
        </is>
      </c>
      <c r="E77" s="18" t="n">
        <v>-112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0.1011</v>
      </c>
      <c r="M77" s="19" t="n">
        <v>0.0159</v>
      </c>
      <c r="N77" s="17" t="inlineStr">
        <is>
          <t>ARST 24 - MEM 42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FIU @ USF</t>
        </is>
      </c>
      <c r="C78" s="12" t="inlineStr">
        <is>
          <t>ATS</t>
        </is>
      </c>
      <c r="D78" s="12" t="inlineStr">
        <is>
          <t>FIU +14.5</t>
        </is>
      </c>
      <c r="E78" s="13" t="n">
        <v>-115</v>
      </c>
      <c r="F78" s="16" t="n">
        <v>26</v>
      </c>
      <c r="G78" s="12" t="inlineStr">
        <is>
          <t>Win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0.1214</v>
      </c>
      <c r="M78" s="14" t="n">
        <v>0</v>
      </c>
      <c r="N78" s="12" t="inlineStr">
        <is>
          <t>FIU 9 - USF 19</t>
        </is>
      </c>
      <c r="O78" s="12" t="inlineStr">
        <is>
          <t>Draft Kings</t>
        </is>
      </c>
    </row>
    <row r="79">
      <c r="A79" s="17" t="inlineStr">
        <is>
          <t>2026-09-05</t>
        </is>
      </c>
      <c r="B79" s="17" t="inlineStr">
        <is>
          <t>FIU @ USF</t>
        </is>
      </c>
      <c r="C79" s="17" t="inlineStr">
        <is>
          <t>ML</t>
        </is>
      </c>
      <c r="D79" s="17" t="inlineStr">
        <is>
          <t>FIU ML</t>
        </is>
      </c>
      <c r="E79" s="18" t="n">
        <v>425</v>
      </c>
      <c r="F79" s="21" t="n">
        <v>18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0.1165</v>
      </c>
      <c r="M79" s="19" t="n">
        <v>-0.015</v>
      </c>
      <c r="N79" s="17" t="inlineStr">
        <is>
          <t>FIU 9 - USF 19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FIU @ USF</t>
        </is>
      </c>
      <c r="C80" s="12" t="inlineStr">
        <is>
          <t>TOTAL</t>
        </is>
      </c>
      <c r="D80" s="12" t="inlineStr">
        <is>
          <t>Over 53.5</t>
        </is>
      </c>
      <c r="E80" s="13" t="n">
        <v>-115</v>
      </c>
      <c r="F80" s="16" t="n">
        <v>25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0.09329999999999999</v>
      </c>
      <c r="M80" s="14" t="n">
        <v>-0.0227</v>
      </c>
      <c r="N80" s="12" t="inlineStr">
        <is>
          <t>FIU 9 - USF 19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SHSU @ TROY</t>
        </is>
      </c>
      <c r="C81" s="17" t="inlineStr">
        <is>
          <t>ML</t>
        </is>
      </c>
      <c r="D81" s="17" t="inlineStr">
        <is>
          <t>SHSU ML</t>
        </is>
      </c>
      <c r="E81" s="18" t="n">
        <v>600</v>
      </c>
      <c r="F81" s="21" t="n">
        <v>19.5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0.1337</v>
      </c>
      <c r="M81" s="19" t="n">
        <v>0.0053</v>
      </c>
      <c r="N81" s="17" t="inlineStr">
        <is>
          <t>SHSU 21 - TROY 24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WYO @ CSU</t>
        </is>
      </c>
      <c r="C82" s="12" t="inlineStr">
        <is>
          <t>TOTAL</t>
        </is>
      </c>
      <c r="D82" s="12" t="inlineStr">
        <is>
          <t>Over 47.5</t>
        </is>
      </c>
      <c r="E82" s="13" t="n">
        <v>-112</v>
      </c>
      <c r="F82" s="16" t="n">
        <v>25</v>
      </c>
      <c r="G82" s="12" t="inlineStr">
        <is>
          <t>Win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0.1091</v>
      </c>
      <c r="M82" s="14" t="n">
        <v>-0.0345</v>
      </c>
      <c r="N82" s="12" t="inlineStr">
        <is>
          <t>WYO 13 - CSU 35</t>
        </is>
      </c>
      <c r="O82" s="12" t="inlineStr">
        <is>
          <t>Draft Kings</t>
        </is>
      </c>
    </row>
    <row r="83">
      <c r="A83" s="17" t="inlineStr">
        <is>
          <t>2026-09-05</t>
        </is>
      </c>
      <c r="B83" s="17" t="inlineStr">
        <is>
          <t>OKST @ TLSA</t>
        </is>
      </c>
      <c r="C83" s="17" t="inlineStr">
        <is>
          <t>TOTAL</t>
        </is>
      </c>
      <c r="D83" s="17" t="inlineStr">
        <is>
          <t>Under 60.5</t>
        </is>
      </c>
      <c r="E83" s="18" t="n">
        <v>-102</v>
      </c>
      <c r="F83" s="21" t="n">
        <v>25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0.1091</v>
      </c>
      <c r="M83" s="19" t="n">
        <v>0.1089</v>
      </c>
      <c r="N83" s="17" t="inlineStr">
        <is>
          <t>OKST 10 - TLSA 24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BAY @ AUB</t>
        </is>
      </c>
      <c r="C84" s="12" t="inlineStr">
        <is>
          <t>ATS</t>
        </is>
      </c>
      <c r="D84" s="12" t="inlineStr">
        <is>
          <t>BAY +7</t>
        </is>
      </c>
      <c r="E84" s="13" t="n">
        <v>-105</v>
      </c>
      <c r="F84" s="16" t="n">
        <v>26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0.099</v>
      </c>
      <c r="M84" s="14" t="n">
        <v>0</v>
      </c>
      <c r="N84" s="12" t="inlineStr">
        <is>
          <t>BAY 16 - AUB 17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BAY @ AUB</t>
        </is>
      </c>
      <c r="C85" s="17" t="inlineStr">
        <is>
          <t>ML</t>
        </is>
      </c>
      <c r="D85" s="17" t="inlineStr">
        <is>
          <t>BAY ML</t>
        </is>
      </c>
      <c r="E85" s="18" t="n">
        <v>240</v>
      </c>
      <c r="F85" s="21" t="n">
        <v>18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0.0969</v>
      </c>
      <c r="M85" s="19" t="n">
        <v>0.0184</v>
      </c>
      <c r="N85" s="17" t="inlineStr">
        <is>
          <t>BAY 16 - AUB 17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BAY @ AUB</t>
        </is>
      </c>
      <c r="C86" s="12" t="inlineStr">
        <is>
          <t>TOTAL</t>
        </is>
      </c>
      <c r="D86" s="12" t="inlineStr">
        <is>
          <t>Under 59.5</t>
        </is>
      </c>
      <c r="E86" s="13" t="n">
        <v>-115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0.098</v>
      </c>
      <c r="M86" s="14" t="n">
        <v>0.0373</v>
      </c>
      <c r="N86" s="12" t="inlineStr">
        <is>
          <t>BAY 16 - AUB 17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BC @ CIN</t>
        </is>
      </c>
      <c r="C87" s="17" t="inlineStr">
        <is>
          <t>TOTAL</t>
        </is>
      </c>
      <c r="D87" s="17" t="inlineStr">
        <is>
          <t>Over 49.5</t>
        </is>
      </c>
      <c r="E87" s="18" t="n">
        <v>-115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0.1042</v>
      </c>
      <c r="M87" s="19" t="n">
        <v>0.0301</v>
      </c>
      <c r="N87" s="17" t="inlineStr">
        <is>
          <t>BC 15 - CIN 34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TULN @ DUKE</t>
        </is>
      </c>
      <c r="C88" s="12" t="inlineStr">
        <is>
          <t>TOTAL</t>
        </is>
      </c>
      <c r="D88" s="12" t="inlineStr">
        <is>
          <t>Over 51.5</t>
        </is>
      </c>
      <c r="E88" s="13" t="n">
        <v>-108</v>
      </c>
      <c r="F88" s="16" t="n">
        <v>25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0.1029</v>
      </c>
      <c r="M88" s="14" t="n">
        <v>-0.0143</v>
      </c>
      <c r="N88" s="12" t="inlineStr">
        <is>
          <t>TULN 3 - DUKE 17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BOIS @ ORE</t>
        </is>
      </c>
      <c r="C89" s="17" t="inlineStr">
        <is>
          <t>TOTAL</t>
        </is>
      </c>
      <c r="D89" s="17" t="inlineStr">
        <is>
          <t>Over 51.5</t>
        </is>
      </c>
      <c r="E89" s="18" t="n">
        <v>-108</v>
      </c>
      <c r="F89" s="21" t="n">
        <v>23.5</v>
      </c>
      <c r="G89" s="17" t="inlineStr">
        <is>
          <t>Win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0.0898</v>
      </c>
      <c r="M89" s="19" t="n">
        <v>0.0091</v>
      </c>
      <c r="N89" s="17" t="inlineStr">
        <is>
          <t>BOIS 27 - ORE 34</t>
        </is>
      </c>
      <c r="O89" s="17" t="inlineStr">
        <is>
          <t>Draft Kings</t>
        </is>
      </c>
    </row>
    <row r="90">
      <c r="A90" s="12" t="inlineStr">
        <is>
          <t>2026-09-05</t>
        </is>
      </c>
      <c r="B90" s="12" t="inlineStr">
        <is>
          <t>MRSH @ PSU</t>
        </is>
      </c>
      <c r="C90" s="12" t="inlineStr">
        <is>
          <t>TOTAL</t>
        </is>
      </c>
      <c r="D90" s="12" t="inlineStr">
        <is>
          <t>Over 52.5</t>
        </is>
      </c>
      <c r="E90" s="13" t="n">
        <v>-102</v>
      </c>
      <c r="F90" s="16" t="n">
        <v>24.5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0.0925</v>
      </c>
      <c r="M90" s="14" t="n">
        <v>0</v>
      </c>
      <c r="N90" s="12" t="inlineStr">
        <is>
          <t>MRSH 0 - PSU 45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M-OH @ PITT</t>
        </is>
      </c>
      <c r="C91" s="17" t="inlineStr">
        <is>
          <t>ML</t>
        </is>
      </c>
      <c r="D91" s="17" t="inlineStr">
        <is>
          <t>M-OH ML</t>
        </is>
      </c>
      <c r="E91" s="18" t="n">
        <v>550</v>
      </c>
      <c r="F91" s="21" t="n">
        <v>19</v>
      </c>
      <c r="G91" s="17" t="inlineStr">
        <is>
          <t>Loss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GOOD</t>
        </is>
      </c>
      <c r="L91" s="19" t="n">
        <v>0.1283</v>
      </c>
      <c r="M91" s="19" t="n">
        <v>0</v>
      </c>
      <c r="N91" s="17" t="inlineStr">
        <is>
          <t>M-OH 14 - PITT 59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BALL @ OSU</t>
        </is>
      </c>
      <c r="C92" s="12" t="inlineStr">
        <is>
          <t>TOTAL</t>
        </is>
      </c>
      <c r="D92" s="12" t="inlineStr">
        <is>
          <t>Under 56.5</t>
        </is>
      </c>
      <c r="E92" s="13" t="n">
        <v>-105</v>
      </c>
      <c r="F92" s="16" t="n">
        <v>22.5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0.0886</v>
      </c>
      <c r="M92" s="14" t="n">
        <v>0.0161</v>
      </c>
      <c r="N92" s="12" t="inlineStr">
        <is>
          <t>BALL 3 - OSU 56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ORST @ HOU</t>
        </is>
      </c>
      <c r="C93" s="17" t="inlineStr">
        <is>
          <t>TOTAL</t>
        </is>
      </c>
      <c r="D93" s="17" t="inlineStr">
        <is>
          <t>Over 49.5</t>
        </is>
      </c>
      <c r="E93" s="18" t="n">
        <v>-110</v>
      </c>
      <c r="F93" s="21" t="n">
        <v>25</v>
      </c>
      <c r="G93" s="17" t="inlineStr">
        <is>
          <t>Win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0.0973</v>
      </c>
      <c r="M93" s="19" t="n">
        <v>0.0475</v>
      </c>
      <c r="N93" s="17" t="inlineStr">
        <is>
          <t>ORST 20 - HOU 33</t>
        </is>
      </c>
      <c r="O93" s="17" t="inlineStr">
        <is>
          <t>DraftKings</t>
        </is>
      </c>
    </row>
    <row r="94">
      <c r="A94" s="12" t="inlineStr">
        <is>
          <t>2026-09-05</t>
        </is>
      </c>
      <c r="B94" s="12" t="inlineStr">
        <is>
          <t>UNT @ IU</t>
        </is>
      </c>
      <c r="C94" s="12" t="inlineStr">
        <is>
          <t>TOTAL</t>
        </is>
      </c>
      <c r="D94" s="12" t="inlineStr">
        <is>
          <t>Over 55.5</t>
        </is>
      </c>
      <c r="E94" s="13" t="n">
        <v>-108</v>
      </c>
      <c r="F94" s="16" t="n">
        <v>23.5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0.0898</v>
      </c>
      <c r="M94" s="14" t="n">
        <v>0.03</v>
      </c>
      <c r="N94" s="12" t="inlineStr">
        <is>
          <t>UNT 16 - IU 52</t>
        </is>
      </c>
      <c r="O94" s="12" t="inlineStr">
        <is>
          <t>DraftKings</t>
        </is>
      </c>
    </row>
    <row r="95">
      <c r="A95" s="17" t="inlineStr">
        <is>
          <t>2026-09-05</t>
        </is>
      </c>
      <c r="B95" s="17" t="inlineStr">
        <is>
          <t>OHIO @ NEB</t>
        </is>
      </c>
      <c r="C95" s="17" t="inlineStr">
        <is>
          <t>TOTAL</t>
        </is>
      </c>
      <c r="D95" s="17" t="inlineStr">
        <is>
          <t>Over 47.5</t>
        </is>
      </c>
      <c r="E95" s="18" t="n">
        <v>-108</v>
      </c>
      <c r="F95" s="21" t="n">
        <v>25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0.1092</v>
      </c>
      <c r="M95" s="19" t="n">
        <v>-0.0254</v>
      </c>
      <c r="N95" s="17" t="inlineStr">
        <is>
          <t>OHIO 21 - NEB 49</t>
        </is>
      </c>
      <c r="O95" s="17" t="inlineStr">
        <is>
          <t>DraftKings</t>
        </is>
      </c>
    </row>
    <row r="96">
      <c r="A96" s="12" t="inlineStr">
        <is>
          <t>2026-09-05</t>
        </is>
      </c>
      <c r="B96" s="12" t="inlineStr">
        <is>
          <t>LIB @ JMU</t>
        </is>
      </c>
      <c r="C96" s="12" t="inlineStr">
        <is>
          <t>TOTAL</t>
        </is>
      </c>
      <c r="D96" s="12" t="inlineStr">
        <is>
          <t>Over 50.5</t>
        </is>
      </c>
      <c r="E96" s="13" t="n">
        <v>-112</v>
      </c>
      <c r="F96" s="16" t="n">
        <v>25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0.0982</v>
      </c>
      <c r="M96" s="14" t="n">
        <v>0</v>
      </c>
      <c r="N96" s="12" t="inlineStr">
        <is>
          <t>LIB 13 - JMU 20</t>
        </is>
      </c>
      <c r="O96" s="12" t="inlineStr">
        <is>
          <t>DraftKings</t>
        </is>
      </c>
    </row>
    <row r="97">
      <c r="A97" s="17" t="inlineStr">
        <is>
          <t>2026-09-05</t>
        </is>
      </c>
      <c r="B97" s="17" t="inlineStr">
        <is>
          <t>MIA @ STAN</t>
        </is>
      </c>
      <c r="C97" s="17" t="inlineStr">
        <is>
          <t>TOTAL</t>
        </is>
      </c>
      <c r="D97" s="17" t="inlineStr">
        <is>
          <t>Over 48.5</t>
        </is>
      </c>
      <c r="E97" s="18" t="n">
        <v>100</v>
      </c>
      <c r="F97" s="21" t="n">
        <v>25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0.1103</v>
      </c>
      <c r="M97" s="19" t="n">
        <v>-0.0362</v>
      </c>
      <c r="N97" s="17" t="inlineStr">
        <is>
          <t>MIA 45 - STAN 6</t>
        </is>
      </c>
      <c r="O97" s="17" t="inlineStr">
        <is>
          <t>Draft Kings</t>
        </is>
      </c>
    </row>
    <row r="98">
      <c r="A98" s="12" t="inlineStr">
        <is>
          <t>2026-09-05</t>
        </is>
      </c>
      <c r="B98" s="12" t="inlineStr">
        <is>
          <t>TOL @ MSU</t>
        </is>
      </c>
      <c r="C98" s="12" t="inlineStr">
        <is>
          <t>ATS</t>
        </is>
      </c>
      <c r="D98" s="12" t="inlineStr">
        <is>
          <t>TOL +10</t>
        </is>
      </c>
      <c r="E98" s="13" t="n">
        <v>-105</v>
      </c>
      <c r="F98" s="16" t="n">
        <v>25</v>
      </c>
      <c r="G98" s="12" t="inlineStr">
        <is>
          <t>Push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0.111</v>
      </c>
      <c r="M98" s="14" t="n">
        <v>0.0241</v>
      </c>
      <c r="N98" s="12" t="inlineStr">
        <is>
          <t>TOL 20 - MSU 30</t>
        </is>
      </c>
      <c r="O98" s="12" t="inlineStr">
        <is>
          <t>Draft Kings</t>
        </is>
      </c>
    </row>
    <row r="99">
      <c r="A99" s="17" t="inlineStr">
        <is>
          <t>2026-09-04</t>
        </is>
      </c>
      <c r="B99" s="17" t="inlineStr">
        <is>
          <t>COLO @ GT</t>
        </is>
      </c>
      <c r="C99" s="17" t="inlineStr">
        <is>
          <t>TOTAL</t>
        </is>
      </c>
      <c r="D99" s="17" t="inlineStr">
        <is>
          <t>Over 50.5</t>
        </is>
      </c>
      <c r="E99" s="18" t="n">
        <v>-115</v>
      </c>
      <c r="F99" s="21" t="n">
        <v>21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0.0784</v>
      </c>
      <c r="M99" s="19" t="n">
        <v>0.0189</v>
      </c>
      <c r="N99" s="17" t="inlineStr">
        <is>
          <t>COLO 14 - GT 13</t>
        </is>
      </c>
      <c r="O99" s="17" t="inlineStr">
        <is>
          <t>DraftKings</t>
        </is>
      </c>
    </row>
    <row r="100">
      <c r="A100" s="12" t="inlineStr">
        <is>
          <t>2026-09-03</t>
        </is>
      </c>
      <c r="B100" s="12" t="inlineStr">
        <is>
          <t>AKR @ WAKE</t>
        </is>
      </c>
      <c r="C100" s="12" t="inlineStr">
        <is>
          <t>TOTAL</t>
        </is>
      </c>
      <c r="D100" s="12" t="inlineStr">
        <is>
          <t>Over 48.5</t>
        </is>
      </c>
      <c r="E100" s="13" t="n">
        <v>-112</v>
      </c>
      <c r="F100" s="16" t="n">
        <v>24.5</v>
      </c>
      <c r="G100" s="12" t="inlineStr">
        <is>
          <t>Win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0.0917</v>
      </c>
      <c r="M100" s="14" t="n">
        <v>0.0509</v>
      </c>
      <c r="N100" s="12" t="inlineStr">
        <is>
          <t>AKR 16 - WAKE 38</t>
        </is>
      </c>
      <c r="O100" s="12" t="inlineStr">
        <is>
          <t>DraftKings</t>
        </is>
      </c>
    </row>
    <row r="101">
      <c r="A101" s="17" t="inlineStr">
        <is>
          <t>2026-08-29</t>
        </is>
      </c>
      <c r="B101" s="17" t="inlineStr">
        <is>
          <t>HAW @ STAN</t>
        </is>
      </c>
      <c r="C101" s="17" t="inlineStr">
        <is>
          <t>TOTAL</t>
        </is>
      </c>
      <c r="D101" s="17" t="inlineStr">
        <is>
          <t>Over 49.5</t>
        </is>
      </c>
      <c r="E101" s="18" t="n">
        <v>-105</v>
      </c>
      <c r="F101" s="21" t="n">
        <v>21.5</v>
      </c>
      <c r="G101" s="17" t="inlineStr">
        <is>
          <t>Win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0.0834</v>
      </c>
      <c r="M101" s="19" t="n">
        <v>-0.0139</v>
      </c>
      <c r="N101" s="17" t="inlineStr">
        <is>
          <t>HAW 27 - STAN 37</t>
        </is>
      </c>
      <c r="O101" s="17" t="inlineStr">
        <is>
          <t>Draft Kings</t>
        </is>
      </c>
    </row>
    <row r="102">
      <c r="A102" s="12" t="inlineStr">
        <is>
          <t>2026-08-29</t>
        </is>
      </c>
      <c r="B102" s="12" t="inlineStr">
        <is>
          <t>SAC @ EMU</t>
        </is>
      </c>
      <c r="C102" s="12" t="inlineStr">
        <is>
          <t>ATS</t>
        </is>
      </c>
      <c r="D102" s="12" t="inlineStr">
        <is>
          <t>SAC +8.5</t>
        </is>
      </c>
      <c r="E102" s="13" t="n">
        <v>-108</v>
      </c>
      <c r="F102" s="16" t="n">
        <v>25</v>
      </c>
      <c r="G102" s="12" t="inlineStr">
        <is>
          <t>Loss</t>
        </is>
      </c>
      <c r="H102" s="16">
        <f>IF(OR($G102="",$G102="Pending"),"",ROUND(IF($G102="Win",IF($E102&gt;0,$F102*$E102/100,$F102*100/-$E102),IF($G102="Loss",-$F102,0)),2))</f>
        <v/>
      </c>
      <c r="I102" s="16">
        <f>Settings!$B$5+SUM($H$6:$H102)</f>
        <v/>
      </c>
      <c r="J102" s="14">
        <f>IFERROR(SUM($H$6:$H102)/SUMIF($G$6:$G102,"&lt;&gt;Pending",$F$6:$F102),"")</f>
        <v/>
      </c>
      <c r="K102" s="12" t="inlineStr">
        <is>
          <t>LEAN</t>
        </is>
      </c>
      <c r="L102" s="14" t="n">
        <v>0.1065</v>
      </c>
      <c r="M102" s="14" t="n">
        <v>0.0046</v>
      </c>
      <c r="N102" s="12" t="inlineStr">
        <is>
          <t>SAC 17 - EMU 28</t>
        </is>
      </c>
      <c r="O102" s="12" t="inlineStr">
        <is>
          <t>DraftKings</t>
        </is>
      </c>
    </row>
    <row r="103">
      <c r="A103" s="17" t="inlineStr">
        <is>
          <t>2026-08-29</t>
        </is>
      </c>
      <c r="B103" s="17" t="inlineStr">
        <is>
          <t>SAC @ EMU</t>
        </is>
      </c>
      <c r="C103" s="17" t="inlineStr">
        <is>
          <t>ML</t>
        </is>
      </c>
      <c r="D103" s="17" t="inlineStr">
        <is>
          <t>SAC ML</t>
        </is>
      </c>
      <c r="E103" s="18" t="n">
        <v>280</v>
      </c>
      <c r="F103" s="21" t="n">
        <v>18</v>
      </c>
      <c r="G103" s="17" t="inlineStr">
        <is>
          <t>Loss</t>
        </is>
      </c>
      <c r="H103" s="21">
        <f>IF(OR($G103="",$G103="Pending"),"",ROUND(IF($G103="Win",IF($E103&gt;0,$F103*$E103/100,$F103*100/-$E103),IF($G103="Loss",-$F103,0)),2))</f>
        <v/>
      </c>
      <c r="I103" s="21">
        <f>Settings!$B$5+SUM($H$6:$H103)</f>
        <v/>
      </c>
      <c r="J103" s="19">
        <f>IFERROR(SUM($H$6:$H103)/SUMIF($G$6:$G103,"&lt;&gt;Pending",$F$6:$F103),"")</f>
        <v/>
      </c>
      <c r="K103" s="17" t="inlineStr">
        <is>
          <t>LEAN</t>
        </is>
      </c>
      <c r="L103" s="19" t="n">
        <v>0.1055</v>
      </c>
      <c r="M103" s="19" t="n">
        <v>0</v>
      </c>
      <c r="N103" s="17" t="inlineStr">
        <is>
          <t>SAC 17 - EMU 28</t>
        </is>
      </c>
      <c r="O103" s="17" t="inlineStr">
        <is>
          <t>Draft Kings</t>
        </is>
      </c>
    </row>
    <row r="104">
      <c r="A104" s="12" t="inlineStr">
        <is>
          <t>2026-08-29</t>
        </is>
      </c>
      <c r="B104" s="12" t="inlineStr">
        <is>
          <t>UNC @ TCU</t>
        </is>
      </c>
      <c r="C104" s="12" t="inlineStr">
        <is>
          <t>ATS</t>
        </is>
      </c>
      <c r="D104" s="12" t="inlineStr">
        <is>
          <t>UNC +7.5</t>
        </is>
      </c>
      <c r="E104" s="13" t="n">
        <v>-108</v>
      </c>
      <c r="F104" s="16" t="n">
        <v>21</v>
      </c>
      <c r="G104" s="12" t="inlineStr">
        <is>
          <t>Win</t>
        </is>
      </c>
      <c r="H104" s="16">
        <f>IF(OR($G104="",$G104="Pending"),"",ROUND(IF($G104="Win",IF($E104&gt;0,$F104*$E104/100,$F104*100/-$E104),IF($G104="Loss",-$F104,0)),2))</f>
        <v/>
      </c>
      <c r="I104" s="16">
        <f>Settings!$B$5+SUM($H$6:$H104)</f>
        <v/>
      </c>
      <c r="J104" s="14">
        <f>IFERROR(SUM($H$6:$H104)/SUMIF($G$6:$G104,"&lt;&gt;Pending",$F$6:$F104),"")</f>
        <v/>
      </c>
      <c r="K104" s="12" t="inlineStr">
        <is>
          <t>LEAN</t>
        </is>
      </c>
      <c r="L104" s="14" t="n">
        <v>0.0801</v>
      </c>
      <c r="M104" s="14" t="n">
        <v>-0.009299999999999999</v>
      </c>
      <c r="N104" s="12" t="inlineStr">
        <is>
          <t>UNC 15 - TCU 10</t>
        </is>
      </c>
      <c r="O104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2.53</v>
      </c>
      <c r="E5" s="23" t="n">
        <v>3.66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2.52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2.28</v>
      </c>
      <c r="D7" s="23" t="n">
        <v>1.5</v>
      </c>
      <c r="E7" s="23" t="n">
        <v>1.51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2.22</v>
      </c>
      <c r="D8" s="26" t="n">
        <v>1.14</v>
      </c>
      <c r="E8" s="26" t="n">
        <v>2.34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2.18</v>
      </c>
      <c r="D9" s="23" t="n">
        <v>2.06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</v>
      </c>
      <c r="D10" s="26" t="n">
        <v>0.37</v>
      </c>
      <c r="E10" s="26" t="n">
        <v>3.05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NDSU</t>
        </is>
      </c>
      <c r="C11" s="23" t="n">
        <v>2.07</v>
      </c>
      <c r="D11" s="23" t="n">
        <v>0.93</v>
      </c>
      <c r="E11" s="23" t="n">
        <v>3.01</v>
      </c>
      <c r="F11" s="22" t="n">
        <v>3</v>
      </c>
      <c r="G11" s="12" t="inlineStr">
        <is>
          <t>1-0</t>
        </is>
      </c>
    </row>
    <row r="12">
      <c r="A12" s="25" t="n">
        <v>8</v>
      </c>
      <c r="B12" s="17" t="inlineStr">
        <is>
          <t>MIZ</t>
        </is>
      </c>
      <c r="C12" s="26" t="n">
        <v>2.04</v>
      </c>
      <c r="D12" s="26" t="n">
        <v>0.99</v>
      </c>
      <c r="E12" s="26" t="n">
        <v>1.96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ND</t>
        </is>
      </c>
      <c r="C13" s="23" t="n">
        <v>1.96</v>
      </c>
      <c r="D13" s="23" t="n">
        <v>1.58</v>
      </c>
      <c r="E13" s="23" t="n">
        <v>2.5</v>
      </c>
      <c r="F13" s="22" t="n">
        <v>2</v>
      </c>
      <c r="G13" s="12" t="inlineStr">
        <is>
          <t>—</t>
        </is>
      </c>
    </row>
    <row r="14">
      <c r="A14" s="25" t="n">
        <v>10</v>
      </c>
      <c r="B14" s="17" t="inlineStr">
        <is>
          <t>TTU</t>
        </is>
      </c>
      <c r="C14" s="26" t="n">
        <v>1.74</v>
      </c>
      <c r="D14" s="26" t="n">
        <v>0.52</v>
      </c>
      <c r="E14" s="26" t="n">
        <v>2.49</v>
      </c>
      <c r="F14" s="25" t="n">
        <v>2</v>
      </c>
      <c r="G14" s="17" t="inlineStr">
        <is>
          <t>0-1</t>
        </is>
      </c>
    </row>
    <row r="15">
      <c r="A15" s="22" t="n">
        <v>11</v>
      </c>
      <c r="B15" s="12" t="inlineStr">
        <is>
          <t>GAST</t>
        </is>
      </c>
      <c r="C15" s="23" t="n">
        <v>1.69</v>
      </c>
      <c r="D15" s="23" t="n">
        <v>0.61</v>
      </c>
      <c r="E15" s="23" t="n">
        <v>1.35</v>
      </c>
      <c r="F15" s="22" t="n">
        <v>2</v>
      </c>
      <c r="G15" s="12" t="inlineStr">
        <is>
          <t>2-0</t>
        </is>
      </c>
    </row>
    <row r="16">
      <c r="A16" s="25" t="n">
        <v>12</v>
      </c>
      <c r="B16" s="17" t="inlineStr">
        <is>
          <t>UCLA</t>
        </is>
      </c>
      <c r="C16" s="26" t="n">
        <v>1.6</v>
      </c>
      <c r="D16" s="26" t="n">
        <v>-0.17</v>
      </c>
      <c r="E16" s="26" t="n">
        <v>1.22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MASS</t>
        </is>
      </c>
      <c r="C17" s="23" t="n">
        <v>1.55</v>
      </c>
      <c r="D17" s="23" t="n">
        <v>-0.65</v>
      </c>
      <c r="E17" s="23" t="n">
        <v>0.9399999999999999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UTSA</t>
        </is>
      </c>
      <c r="C18" s="26" t="n">
        <v>1.5</v>
      </c>
      <c r="D18" s="26" t="n">
        <v>0.8</v>
      </c>
      <c r="E18" s="26" t="n">
        <v>1.07</v>
      </c>
      <c r="F18" s="25" t="n">
        <v>2</v>
      </c>
      <c r="G18" s="17" t="inlineStr">
        <is>
          <t>—</t>
        </is>
      </c>
    </row>
    <row r="19">
      <c r="A19" s="22" t="n">
        <v>15</v>
      </c>
      <c r="B19" s="12" t="inlineStr">
        <is>
          <t>SMU</t>
        </is>
      </c>
      <c r="C19" s="23" t="n">
        <v>1.49</v>
      </c>
      <c r="D19" s="23" t="n">
        <v>0.93</v>
      </c>
      <c r="E19" s="23" t="n">
        <v>1.97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OSU</t>
        </is>
      </c>
      <c r="C20" s="26" t="n">
        <v>1.45</v>
      </c>
      <c r="D20" s="26" t="n">
        <v>0.73</v>
      </c>
      <c r="E20" s="26" t="n">
        <v>2.96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MTST</t>
        </is>
      </c>
      <c r="C21" s="23" t="n">
        <v>1.37</v>
      </c>
      <c r="D21" s="23" t="n">
        <v>-0.34</v>
      </c>
      <c r="E21" s="23" t="n">
        <v>1.41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1.34</v>
      </c>
      <c r="D22" s="26" t="n">
        <v>2.2</v>
      </c>
      <c r="E22" s="26" t="n">
        <v>3.2</v>
      </c>
      <c r="F22" s="25" t="n">
        <v>2</v>
      </c>
      <c r="G22" s="17" t="inlineStr">
        <is>
          <t>—</t>
        </is>
      </c>
    </row>
    <row r="23">
      <c r="A23" s="22" t="n">
        <v>19</v>
      </c>
      <c r="B23" s="12" t="inlineStr">
        <is>
          <t>IDST</t>
        </is>
      </c>
      <c r="C23" s="23" t="n">
        <v>1.28</v>
      </c>
      <c r="D23" s="23" t="n">
        <v>0.18</v>
      </c>
      <c r="E23" s="23" t="n">
        <v>0.9399999999999999</v>
      </c>
      <c r="F23" s="22" t="n">
        <v>1</v>
      </c>
      <c r="G23" s="12" t="inlineStr">
        <is>
          <t>1-0</t>
        </is>
      </c>
    </row>
    <row r="24">
      <c r="A24" s="25" t="n">
        <v>20</v>
      </c>
      <c r="B24" s="17" t="inlineStr">
        <is>
          <t>WMU</t>
        </is>
      </c>
      <c r="C24" s="26" t="n">
        <v>1.26</v>
      </c>
      <c r="D24" s="26" t="n">
        <v>-0.43</v>
      </c>
      <c r="E24" s="26" t="n">
        <v>2.44</v>
      </c>
      <c r="F24" s="25" t="n">
        <v>2</v>
      </c>
      <c r="G24" s="17" t="inlineStr">
        <is>
          <t>2-0</t>
        </is>
      </c>
    </row>
    <row r="25">
      <c r="A25" s="22" t="n">
        <v>21</v>
      </c>
      <c r="B25" s="12" t="inlineStr">
        <is>
          <t>APP</t>
        </is>
      </c>
      <c r="C25" s="23" t="n">
        <v>1.25</v>
      </c>
      <c r="D25" s="23" t="n">
        <v>0.26</v>
      </c>
      <c r="E25" s="23" t="n">
        <v>1.55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1.22</v>
      </c>
      <c r="D26" s="26" t="n">
        <v>2.18</v>
      </c>
      <c r="E26" s="26" t="n">
        <v>1.96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ISU</t>
        </is>
      </c>
      <c r="C27" s="23" t="n">
        <v>1.16</v>
      </c>
      <c r="D27" s="23" t="n">
        <v>-0.68</v>
      </c>
      <c r="E27" s="23" t="n">
        <v>2.27</v>
      </c>
      <c r="F27" s="22" t="n">
        <v>2</v>
      </c>
      <c r="G27" s="12" t="inlineStr">
        <is>
          <t>1-1</t>
        </is>
      </c>
    </row>
    <row r="28">
      <c r="A28" s="25" t="n">
        <v>24</v>
      </c>
      <c r="B28" s="17" t="inlineStr">
        <is>
          <t>TA&amp;M</t>
        </is>
      </c>
      <c r="C28" s="26" t="n">
        <v>1.16</v>
      </c>
      <c r="D28" s="26" t="n">
        <v>1.19</v>
      </c>
      <c r="E28" s="26" t="n">
        <v>2.19</v>
      </c>
      <c r="F28" s="25" t="n">
        <v>2</v>
      </c>
      <c r="G28" s="17" t="inlineStr">
        <is>
          <t>1-0</t>
        </is>
      </c>
    </row>
    <row r="29">
      <c r="A29" s="22" t="n">
        <v>25</v>
      </c>
      <c r="B29" s="12" t="inlineStr">
        <is>
          <t>UGA</t>
        </is>
      </c>
      <c r="C29" s="23" t="n">
        <v>1.14</v>
      </c>
      <c r="D29" s="23" t="n">
        <v>2.57</v>
      </c>
      <c r="E29" s="23" t="n">
        <v>2.19</v>
      </c>
      <c r="F29" s="22" t="n">
        <v>2</v>
      </c>
      <c r="G29" s="12" t="inlineStr">
        <is>
          <t>—</t>
        </is>
      </c>
    </row>
    <row r="30">
      <c r="A30" s="25" t="n">
        <v>26</v>
      </c>
      <c r="B30" s="17" t="inlineStr">
        <is>
          <t>WAKE</t>
        </is>
      </c>
      <c r="C30" s="26" t="n">
        <v>1.14</v>
      </c>
      <c r="D30" s="26" t="n">
        <v>0.53</v>
      </c>
      <c r="E30" s="26" t="n">
        <v>1.04</v>
      </c>
      <c r="F30" s="25" t="n">
        <v>2</v>
      </c>
      <c r="G30" s="17" t="inlineStr">
        <is>
          <t>0-1</t>
        </is>
      </c>
    </row>
    <row r="31">
      <c r="A31" s="22" t="n">
        <v>27</v>
      </c>
      <c r="B31" s="12" t="inlineStr">
        <is>
          <t>COLO</t>
        </is>
      </c>
      <c r="C31" s="23" t="n">
        <v>1.06</v>
      </c>
      <c r="D31" s="23" t="n">
        <v>-0.48</v>
      </c>
      <c r="E31" s="23" t="n">
        <v>1.24</v>
      </c>
      <c r="F31" s="22" t="n">
        <v>2</v>
      </c>
      <c r="G31" s="12" t="inlineStr">
        <is>
          <t>—</t>
        </is>
      </c>
    </row>
    <row r="32">
      <c r="A32" s="25" t="n">
        <v>28</v>
      </c>
      <c r="B32" s="17" t="inlineStr">
        <is>
          <t>LSU</t>
        </is>
      </c>
      <c r="C32" s="26" t="n">
        <v>1.03</v>
      </c>
      <c r="D32" s="26" t="n">
        <v>0.59</v>
      </c>
      <c r="E32" s="26" t="n">
        <v>1.98</v>
      </c>
      <c r="F32" s="25" t="n">
        <v>2</v>
      </c>
      <c r="G32" s="17" t="inlineStr">
        <is>
          <t>0-1</t>
        </is>
      </c>
    </row>
    <row r="33">
      <c r="A33" s="22" t="n">
        <v>29</v>
      </c>
      <c r="B33" s="12" t="inlineStr">
        <is>
          <t>TAR</t>
        </is>
      </c>
      <c r="C33" s="23" t="n">
        <v>1.02</v>
      </c>
      <c r="D33" s="23" t="n">
        <v>-0.32</v>
      </c>
      <c r="E33" s="23" t="n">
        <v>1.11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UVA</t>
        </is>
      </c>
      <c r="C34" s="26" t="n">
        <v>1.01</v>
      </c>
      <c r="D34" s="26" t="n">
        <v>0.73</v>
      </c>
      <c r="E34" s="26" t="n">
        <v>2.67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MEM</t>
        </is>
      </c>
      <c r="C35" s="23" t="n">
        <v>1</v>
      </c>
      <c r="D35" s="23" t="n">
        <v>0.05</v>
      </c>
      <c r="E35" s="23" t="n">
        <v>1.09</v>
      </c>
      <c r="F35" s="22" t="n">
        <v>3</v>
      </c>
      <c r="G35" s="12" t="inlineStr">
        <is>
          <t>1-1</t>
        </is>
      </c>
    </row>
    <row r="36">
      <c r="A36" s="25" t="n">
        <v>32</v>
      </c>
      <c r="B36" s="17" t="inlineStr">
        <is>
          <t>UNM</t>
        </is>
      </c>
      <c r="C36" s="26" t="n">
        <v>1</v>
      </c>
      <c r="D36" s="26" t="n">
        <v>1.28</v>
      </c>
      <c r="E36" s="26" t="n">
        <v>2.25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KSU</t>
        </is>
      </c>
      <c r="C37" s="23" t="n">
        <v>0.99</v>
      </c>
      <c r="D37" s="23" t="n">
        <v>1.32</v>
      </c>
      <c r="E37" s="23" t="n">
        <v>2.09</v>
      </c>
      <c r="F37" s="22" t="n">
        <v>2</v>
      </c>
      <c r="G37" s="12" t="inlineStr">
        <is>
          <t>1-0</t>
        </is>
      </c>
    </row>
    <row r="38">
      <c r="A38" s="25" t="n">
        <v>34</v>
      </c>
      <c r="B38" s="17" t="inlineStr">
        <is>
          <t>OU</t>
        </is>
      </c>
      <c r="C38" s="26" t="n">
        <v>0.97</v>
      </c>
      <c r="D38" s="26" t="n">
        <v>-0.44</v>
      </c>
      <c r="E38" s="26" t="n">
        <v>2.86</v>
      </c>
      <c r="F38" s="25" t="n">
        <v>2</v>
      </c>
      <c r="G38" s="17" t="inlineStr">
        <is>
          <t>—</t>
        </is>
      </c>
    </row>
    <row r="39">
      <c r="A39" s="22" t="n">
        <v>35</v>
      </c>
      <c r="B39" s="12" t="inlineStr">
        <is>
          <t>SC</t>
        </is>
      </c>
      <c r="C39" s="23" t="n">
        <v>0.96</v>
      </c>
      <c r="D39" s="23" t="n">
        <v>0.74</v>
      </c>
      <c r="E39" s="23" t="n">
        <v>2.32</v>
      </c>
      <c r="F39" s="22" t="n">
        <v>2</v>
      </c>
      <c r="G39" s="12" t="inlineStr">
        <is>
          <t>—</t>
        </is>
      </c>
    </row>
    <row r="40">
      <c r="A40" s="25" t="n">
        <v>36</v>
      </c>
      <c r="B40" s="17" t="inlineStr">
        <is>
          <t>TOL</t>
        </is>
      </c>
      <c r="C40" s="26" t="n">
        <v>0.96</v>
      </c>
      <c r="D40" s="26" t="n">
        <v>0.87</v>
      </c>
      <c r="E40" s="26" t="n">
        <v>2.14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UCF</t>
        </is>
      </c>
      <c r="C41" s="23" t="n">
        <v>0.96</v>
      </c>
      <c r="D41" s="23" t="n">
        <v>0.23</v>
      </c>
      <c r="E41" s="23" t="n">
        <v>2.38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FLA</t>
        </is>
      </c>
      <c r="C42" s="26" t="n">
        <v>0.92</v>
      </c>
      <c r="D42" s="26" t="n">
        <v>1.34</v>
      </c>
      <c r="E42" s="26" t="n">
        <v>1.65</v>
      </c>
      <c r="F42" s="25" t="n">
        <v>2</v>
      </c>
      <c r="G42" s="17" t="inlineStr">
        <is>
          <t>0-1</t>
        </is>
      </c>
    </row>
    <row r="43">
      <c r="A43" s="22" t="n">
        <v>39</v>
      </c>
      <c r="B43" s="12" t="inlineStr">
        <is>
          <t>ILST</t>
        </is>
      </c>
      <c r="C43" s="23" t="n">
        <v>0.9</v>
      </c>
      <c r="D43" s="23" t="n">
        <v>-0.04</v>
      </c>
      <c r="E43" s="23" t="n">
        <v>0.6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ARIZ</t>
        </is>
      </c>
      <c r="C44" s="26" t="n">
        <v>0.87</v>
      </c>
      <c r="D44" s="26" t="n">
        <v>-0.41</v>
      </c>
      <c r="E44" s="26" t="n">
        <v>2.08</v>
      </c>
      <c r="F44" s="25" t="n">
        <v>2</v>
      </c>
      <c r="G44" s="17" t="inlineStr">
        <is>
          <t>—</t>
        </is>
      </c>
    </row>
    <row r="45">
      <c r="A45" s="22" t="n">
        <v>41</v>
      </c>
      <c r="B45" s="12" t="inlineStr">
        <is>
          <t>USA</t>
        </is>
      </c>
      <c r="C45" s="23" t="n">
        <v>0.87</v>
      </c>
      <c r="D45" s="23" t="n">
        <v>-0.2</v>
      </c>
      <c r="E45" s="23" t="n">
        <v>0.92</v>
      </c>
      <c r="F45" s="22" t="n">
        <v>2</v>
      </c>
      <c r="G45" s="12" t="inlineStr">
        <is>
          <t>2-0</t>
        </is>
      </c>
    </row>
    <row r="46">
      <c r="A46" s="25" t="n">
        <v>42</v>
      </c>
      <c r="B46" s="17" t="inlineStr">
        <is>
          <t>NEB</t>
        </is>
      </c>
      <c r="C46" s="26" t="n">
        <v>0.86</v>
      </c>
      <c r="D46" s="26" t="n">
        <v>1.18</v>
      </c>
      <c r="E46" s="26" t="n">
        <v>1.32</v>
      </c>
      <c r="F46" s="25" t="n">
        <v>2</v>
      </c>
      <c r="G46" s="17" t="inlineStr">
        <is>
          <t>1-0</t>
        </is>
      </c>
    </row>
    <row r="47">
      <c r="A47" s="22" t="n">
        <v>43</v>
      </c>
      <c r="B47" s="12" t="inlineStr">
        <is>
          <t>DUKE</t>
        </is>
      </c>
      <c r="C47" s="23" t="n">
        <v>0.85</v>
      </c>
      <c r="D47" s="23" t="n">
        <v>-0.31</v>
      </c>
      <c r="E47" s="23" t="n">
        <v>1.53</v>
      </c>
      <c r="F47" s="22" t="n">
        <v>2</v>
      </c>
      <c r="G47" s="12" t="inlineStr">
        <is>
          <t>—</t>
        </is>
      </c>
    </row>
    <row r="48">
      <c r="A48" s="25" t="n">
        <v>44</v>
      </c>
      <c r="B48" s="17" t="inlineStr">
        <is>
          <t>NAVY</t>
        </is>
      </c>
      <c r="C48" s="26" t="n">
        <v>0.85</v>
      </c>
      <c r="D48" s="26" t="n">
        <v>0.23</v>
      </c>
      <c r="E48" s="26" t="n">
        <v>0.83</v>
      </c>
      <c r="F48" s="25" t="n">
        <v>2</v>
      </c>
      <c r="G48" s="17" t="inlineStr">
        <is>
          <t>—</t>
        </is>
      </c>
    </row>
    <row r="49">
      <c r="A49" s="22" t="n">
        <v>45</v>
      </c>
      <c r="B49" s="12" t="inlineStr">
        <is>
          <t>MTSU</t>
        </is>
      </c>
      <c r="C49" s="23" t="n">
        <v>0.84</v>
      </c>
      <c r="D49" s="23" t="n">
        <v>-0.41</v>
      </c>
      <c r="E49" s="23" t="n">
        <v>0.89</v>
      </c>
      <c r="F49" s="22" t="n">
        <v>2</v>
      </c>
      <c r="G49" s="12" t="inlineStr">
        <is>
          <t>1-0</t>
        </is>
      </c>
    </row>
    <row r="50">
      <c r="A50" s="25" t="n">
        <v>46</v>
      </c>
      <c r="B50" s="17" t="inlineStr">
        <is>
          <t>CCU</t>
        </is>
      </c>
      <c r="C50" s="26" t="n">
        <v>0.83</v>
      </c>
      <c r="D50" s="26" t="n">
        <v>-0.19</v>
      </c>
      <c r="E50" s="26" t="n">
        <v>0.98</v>
      </c>
      <c r="F50" s="25" t="n">
        <v>2</v>
      </c>
      <c r="G50" s="17" t="inlineStr">
        <is>
          <t>1-0</t>
        </is>
      </c>
    </row>
    <row r="51">
      <c r="A51" s="22" t="n">
        <v>47</v>
      </c>
      <c r="B51" s="12" t="inlineStr">
        <is>
          <t>USF</t>
        </is>
      </c>
      <c r="C51" s="23" t="n">
        <v>0.82</v>
      </c>
      <c r="D51" s="23" t="n">
        <v>-0.08</v>
      </c>
      <c r="E51" s="23" t="n">
        <v>1.84</v>
      </c>
      <c r="F51" s="22" t="n">
        <v>2</v>
      </c>
      <c r="G51" s="12" t="inlineStr">
        <is>
          <t>0-1</t>
        </is>
      </c>
    </row>
    <row r="52">
      <c r="A52" s="25" t="n">
        <v>48</v>
      </c>
      <c r="B52" s="17" t="inlineStr">
        <is>
          <t>TLSA</t>
        </is>
      </c>
      <c r="C52" s="26" t="n">
        <v>0.8100000000000001</v>
      </c>
      <c r="D52" s="26" t="n">
        <v>-1.15</v>
      </c>
      <c r="E52" s="26" t="n">
        <v>1.63</v>
      </c>
      <c r="F52" s="25" t="n">
        <v>2</v>
      </c>
      <c r="G52" s="17" t="inlineStr">
        <is>
          <t>0-1</t>
        </is>
      </c>
    </row>
    <row r="53">
      <c r="A53" s="22" t="n">
        <v>49</v>
      </c>
      <c r="B53" s="12" t="inlineStr">
        <is>
          <t>DEL</t>
        </is>
      </c>
      <c r="C53" s="23" t="n">
        <v>0.79</v>
      </c>
      <c r="D53" s="23" t="n">
        <v>0.07000000000000001</v>
      </c>
      <c r="E53" s="23" t="n">
        <v>0.89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JVST</t>
        </is>
      </c>
      <c r="C54" s="26" t="n">
        <v>0.78</v>
      </c>
      <c r="D54" s="26" t="n">
        <v>-0.42</v>
      </c>
      <c r="E54" s="26" t="n">
        <v>1.69</v>
      </c>
      <c r="F54" s="25" t="n">
        <v>3</v>
      </c>
      <c r="G54" s="17" t="inlineStr">
        <is>
          <t>1-2</t>
        </is>
      </c>
    </row>
    <row r="55">
      <c r="A55" s="22" t="n">
        <v>51</v>
      </c>
      <c r="B55" s="12" t="inlineStr">
        <is>
          <t>MISS</t>
        </is>
      </c>
      <c r="C55" s="23" t="n">
        <v>0.78</v>
      </c>
      <c r="D55" s="23" t="n">
        <v>0.71</v>
      </c>
      <c r="E55" s="23" t="n">
        <v>0.98</v>
      </c>
      <c r="F55" s="22" t="n">
        <v>2</v>
      </c>
      <c r="G55" s="12" t="inlineStr">
        <is>
          <t>0-1</t>
        </is>
      </c>
    </row>
    <row r="56">
      <c r="A56" s="25" t="n">
        <v>52</v>
      </c>
      <c r="B56" s="17" t="inlineStr">
        <is>
          <t>CIT</t>
        </is>
      </c>
      <c r="C56" s="26" t="n">
        <v>0.72</v>
      </c>
      <c r="D56" s="26" t="n">
        <v>0.48</v>
      </c>
      <c r="E56" s="26" t="n">
        <v>-0.38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USC</t>
        </is>
      </c>
      <c r="C57" s="23" t="n">
        <v>0.72</v>
      </c>
      <c r="D57" s="23" t="n">
        <v>1.12</v>
      </c>
      <c r="E57" s="23" t="n">
        <v>1.41</v>
      </c>
      <c r="F57" s="22" t="n">
        <v>3</v>
      </c>
      <c r="G57" s="12" t="inlineStr">
        <is>
          <t>—</t>
        </is>
      </c>
    </row>
    <row r="58">
      <c r="A58" s="25" t="n">
        <v>54</v>
      </c>
      <c r="B58" s="17" t="inlineStr">
        <is>
          <t>GWEB</t>
        </is>
      </c>
      <c r="C58" s="26" t="n">
        <v>0.7</v>
      </c>
      <c r="D58" s="26" t="n">
        <v>-0.14</v>
      </c>
      <c r="E58" s="26" t="n">
        <v>0.45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VT</t>
        </is>
      </c>
      <c r="C59" s="23" t="n">
        <v>0.67</v>
      </c>
      <c r="D59" s="23" t="n">
        <v>1.36</v>
      </c>
      <c r="E59" s="23" t="n">
        <v>1.31</v>
      </c>
      <c r="F59" s="22" t="n">
        <v>2</v>
      </c>
      <c r="G59" s="12" t="inlineStr">
        <is>
          <t>1-0</t>
        </is>
      </c>
    </row>
    <row r="60">
      <c r="A60" s="25" t="n">
        <v>56</v>
      </c>
      <c r="B60" s="17" t="inlineStr">
        <is>
          <t>UNC</t>
        </is>
      </c>
      <c r="C60" s="26" t="n">
        <v>0.66</v>
      </c>
      <c r="D60" s="26" t="n">
        <v>-1.17</v>
      </c>
      <c r="E60" s="26" t="n">
        <v>2.58</v>
      </c>
      <c r="F60" s="25" t="n">
        <v>2</v>
      </c>
      <c r="G60" s="17" t="inlineStr">
        <is>
          <t>—</t>
        </is>
      </c>
    </row>
    <row r="61">
      <c r="A61" s="22" t="n">
        <v>57</v>
      </c>
      <c r="B61" s="12" t="inlineStr">
        <is>
          <t>AUB</t>
        </is>
      </c>
      <c r="C61" s="23" t="n">
        <v>0.62</v>
      </c>
      <c r="D61" s="23" t="n">
        <v>-0.74</v>
      </c>
      <c r="E61" s="23" t="n">
        <v>1.83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BOIS</t>
        </is>
      </c>
      <c r="C62" s="26" t="n">
        <v>0.6</v>
      </c>
      <c r="D62" s="26" t="n">
        <v>0.05</v>
      </c>
      <c r="E62" s="26" t="n">
        <v>0.95</v>
      </c>
      <c r="F62" s="25" t="n">
        <v>2</v>
      </c>
      <c r="G62" s="17" t="inlineStr">
        <is>
          <t>1-0</t>
        </is>
      </c>
    </row>
    <row r="63">
      <c r="A63" s="22" t="n">
        <v>59</v>
      </c>
      <c r="B63" s="12" t="inlineStr">
        <is>
          <t>SDSU</t>
        </is>
      </c>
      <c r="C63" s="23" t="n">
        <v>0.59</v>
      </c>
      <c r="D63" s="23" t="n">
        <v>-0.36</v>
      </c>
      <c r="E63" s="23" t="n">
        <v>1.53</v>
      </c>
      <c r="F63" s="22" t="n">
        <v>2</v>
      </c>
      <c r="G63" s="12" t="inlineStr">
        <is>
          <t>0-1</t>
        </is>
      </c>
    </row>
    <row r="64">
      <c r="A64" s="25" t="n">
        <v>60</v>
      </c>
      <c r="B64" s="17" t="inlineStr">
        <is>
          <t>COLG</t>
        </is>
      </c>
      <c r="C64" s="26" t="n">
        <v>0.57</v>
      </c>
      <c r="D64" s="26" t="n">
        <v>-0.8</v>
      </c>
      <c r="E64" s="26" t="n">
        <v>1.01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0.5600000000000001</v>
      </c>
      <c r="D65" s="23" t="n">
        <v>0.72</v>
      </c>
      <c r="E65" s="23" t="n">
        <v>1.35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CSU</t>
        </is>
      </c>
      <c r="C66" s="26" t="n">
        <v>0.5600000000000001</v>
      </c>
      <c r="D66" s="26" t="n">
        <v>0.19</v>
      </c>
      <c r="E66" s="26" t="n">
        <v>0.55</v>
      </c>
      <c r="F66" s="25" t="n">
        <v>2</v>
      </c>
      <c r="G66" s="17" t="inlineStr">
        <is>
          <t>2-0</t>
        </is>
      </c>
    </row>
    <row r="67">
      <c r="A67" s="22" t="n">
        <v>63</v>
      </c>
      <c r="B67" s="12" t="inlineStr">
        <is>
          <t>NMSU</t>
        </is>
      </c>
      <c r="C67" s="23" t="n">
        <v>0.55</v>
      </c>
      <c r="D67" s="23" t="n">
        <v>-0.66</v>
      </c>
      <c r="E67" s="23" t="n">
        <v>1.03</v>
      </c>
      <c r="F67" s="22" t="n">
        <v>3</v>
      </c>
      <c r="G67" s="12" t="inlineStr">
        <is>
          <t>1-1</t>
        </is>
      </c>
    </row>
    <row r="68">
      <c r="A68" s="25" t="n">
        <v>64</v>
      </c>
      <c r="B68" s="17" t="inlineStr">
        <is>
          <t>ALB</t>
        </is>
      </c>
      <c r="C68" s="26" t="n">
        <v>0.53</v>
      </c>
      <c r="D68" s="26" t="n">
        <v>-0.49</v>
      </c>
      <c r="E68" s="26" t="n">
        <v>0.73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SJSU</t>
        </is>
      </c>
      <c r="C69" s="23" t="n">
        <v>0.52</v>
      </c>
      <c r="D69" s="23" t="n">
        <v>-0.77</v>
      </c>
      <c r="E69" s="23" t="n">
        <v>0.58</v>
      </c>
      <c r="F69" s="22" t="n">
        <v>3</v>
      </c>
      <c r="G69" s="12" t="inlineStr">
        <is>
          <t>1-0</t>
        </is>
      </c>
    </row>
    <row r="70">
      <c r="A70" s="25" t="n">
        <v>66</v>
      </c>
      <c r="B70" s="17" t="inlineStr">
        <is>
          <t>GASO</t>
        </is>
      </c>
      <c r="C70" s="26" t="n">
        <v>0.51</v>
      </c>
      <c r="D70" s="26" t="n">
        <v>-1.27</v>
      </c>
      <c r="E70" s="26" t="n">
        <v>1.86</v>
      </c>
      <c r="F70" s="25" t="n">
        <v>2</v>
      </c>
      <c r="G70" s="17" t="inlineStr">
        <is>
          <t>1-0</t>
        </is>
      </c>
    </row>
    <row r="71">
      <c r="A71" s="22" t="n">
        <v>67</v>
      </c>
      <c r="B71" s="12" t="inlineStr">
        <is>
          <t>LOU</t>
        </is>
      </c>
      <c r="C71" s="23" t="n">
        <v>0.48</v>
      </c>
      <c r="D71" s="23" t="n">
        <v>1.29</v>
      </c>
      <c r="E71" s="23" t="n">
        <v>0.99</v>
      </c>
      <c r="F71" s="22" t="n">
        <v>2</v>
      </c>
      <c r="G71" s="12" t="inlineStr">
        <is>
          <t>1-0</t>
        </is>
      </c>
    </row>
    <row r="72">
      <c r="A72" s="25" t="n">
        <v>68</v>
      </c>
      <c r="B72" s="17" t="inlineStr">
        <is>
          <t>BAY</t>
        </is>
      </c>
      <c r="C72" s="26" t="n">
        <v>0.45</v>
      </c>
      <c r="D72" s="26" t="n">
        <v>-0.14</v>
      </c>
      <c r="E72" s="26" t="n">
        <v>1.83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ARST</t>
        </is>
      </c>
      <c r="C73" s="23" t="n">
        <v>0.44</v>
      </c>
      <c r="D73" s="23" t="n">
        <v>0.22</v>
      </c>
      <c r="E73" s="23" t="n">
        <v>0.8100000000000001</v>
      </c>
      <c r="F73" s="22" t="n">
        <v>2</v>
      </c>
      <c r="G73" s="12" t="inlineStr">
        <is>
          <t>1-1</t>
        </is>
      </c>
    </row>
    <row r="74">
      <c r="A74" s="25" t="n">
        <v>70</v>
      </c>
      <c r="B74" s="17" t="inlineStr">
        <is>
          <t>BYU</t>
        </is>
      </c>
      <c r="C74" s="26" t="n">
        <v>0.39</v>
      </c>
      <c r="D74" s="26" t="n">
        <v>0.74</v>
      </c>
      <c r="E74" s="26" t="n">
        <v>2.04</v>
      </c>
      <c r="F74" s="25" t="n">
        <v>2</v>
      </c>
      <c r="G74" s="17" t="inlineStr">
        <is>
          <t>—</t>
        </is>
      </c>
    </row>
    <row r="75">
      <c r="A75" s="22" t="n">
        <v>71</v>
      </c>
      <c r="B75" s="12" t="inlineStr">
        <is>
          <t>TCU</t>
        </is>
      </c>
      <c r="C75" s="23" t="n">
        <v>0.39</v>
      </c>
      <c r="D75" s="23" t="n">
        <v>0.05</v>
      </c>
      <c r="E75" s="23" t="n">
        <v>1.7</v>
      </c>
      <c r="F75" s="22" t="n">
        <v>2</v>
      </c>
      <c r="G75" s="12" t="inlineStr">
        <is>
          <t>—</t>
        </is>
      </c>
    </row>
    <row r="76">
      <c r="A76" s="25" t="n">
        <v>72</v>
      </c>
      <c r="B76" s="17" t="inlineStr">
        <is>
          <t>UNCO</t>
        </is>
      </c>
      <c r="C76" s="26" t="n">
        <v>0.38</v>
      </c>
      <c r="D76" s="26" t="n">
        <v>-0.62</v>
      </c>
      <c r="E76" s="26" t="n">
        <v>0.76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UL</t>
        </is>
      </c>
      <c r="C77" s="23" t="n">
        <v>0.37</v>
      </c>
      <c r="D77" s="23" t="n">
        <v>-0.01</v>
      </c>
      <c r="E77" s="23" t="n">
        <v>0.5</v>
      </c>
      <c r="F77" s="22" t="n">
        <v>2</v>
      </c>
      <c r="G77" s="12" t="inlineStr">
        <is>
          <t>—</t>
        </is>
      </c>
    </row>
    <row r="78">
      <c r="A78" s="25" t="n">
        <v>74</v>
      </c>
      <c r="B78" s="17" t="inlineStr">
        <is>
          <t>HOU</t>
        </is>
      </c>
      <c r="C78" s="26" t="n">
        <v>0.36</v>
      </c>
      <c r="D78" s="26" t="n">
        <v>1.48</v>
      </c>
      <c r="E78" s="26" t="n">
        <v>1.56</v>
      </c>
      <c r="F78" s="25" t="n">
        <v>2</v>
      </c>
      <c r="G78" s="17" t="inlineStr">
        <is>
          <t>1-0</t>
        </is>
      </c>
    </row>
    <row r="79">
      <c r="A79" s="22" t="n">
        <v>75</v>
      </c>
      <c r="B79" s="12" t="inlineStr">
        <is>
          <t>CP</t>
        </is>
      </c>
      <c r="C79" s="23" t="n">
        <v>0.34</v>
      </c>
      <c r="D79" s="23" t="n">
        <v>-0.34</v>
      </c>
      <c r="E79" s="23" t="n">
        <v>0.29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AKR</t>
        </is>
      </c>
      <c r="C80" s="26" t="n">
        <v>0.28</v>
      </c>
      <c r="D80" s="26" t="n">
        <v>-0.48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JMU</t>
        </is>
      </c>
      <c r="C81" s="23" t="n">
        <v>0.28</v>
      </c>
      <c r="D81" s="23" t="n">
        <v>1.98</v>
      </c>
      <c r="E81" s="23" t="n">
        <v>2.39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UNT</t>
        </is>
      </c>
      <c r="C82" s="26" t="n">
        <v>0.27</v>
      </c>
      <c r="D82" s="26" t="n">
        <v>1.04</v>
      </c>
      <c r="E82" s="26" t="n">
        <v>0.57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0.8100000000000001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SAC</t>
        </is>
      </c>
      <c r="C84" s="26" t="n">
        <v>0.19</v>
      </c>
      <c r="D84" s="26" t="n">
        <v>-0.64</v>
      </c>
      <c r="E84" s="26" t="n">
        <v>1.03</v>
      </c>
      <c r="F84" s="25" t="n">
        <v>3</v>
      </c>
      <c r="G84" s="17" t="inlineStr">
        <is>
          <t>0-1</t>
        </is>
      </c>
    </row>
    <row r="85">
      <c r="A85" s="22" t="n">
        <v>81</v>
      </c>
      <c r="B85" s="12" t="inlineStr">
        <is>
          <t>ORE</t>
        </is>
      </c>
      <c r="C85" s="23" t="n">
        <v>0.18</v>
      </c>
      <c r="D85" s="23" t="n">
        <v>0.52</v>
      </c>
      <c r="E85" s="23" t="n">
        <v>0.76</v>
      </c>
      <c r="F85" s="22" t="n">
        <v>2</v>
      </c>
      <c r="G85" s="12" t="inlineStr">
        <is>
          <t>—</t>
        </is>
      </c>
    </row>
    <row r="86">
      <c r="A86" s="25" t="n">
        <v>82</v>
      </c>
      <c r="B86" s="17" t="inlineStr">
        <is>
          <t>MSU</t>
        </is>
      </c>
      <c r="C86" s="26" t="n">
        <v>0.15</v>
      </c>
      <c r="D86" s="26" t="n">
        <v>-0.67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FRES</t>
        </is>
      </c>
      <c r="C87" s="23" t="n">
        <v>0.14</v>
      </c>
      <c r="D87" s="23" t="n">
        <v>-0.92</v>
      </c>
      <c r="E87" s="23" t="n">
        <v>1.81</v>
      </c>
      <c r="F87" s="22" t="n">
        <v>2</v>
      </c>
      <c r="G87" s="12" t="inlineStr">
        <is>
          <t>—</t>
        </is>
      </c>
    </row>
    <row r="88">
      <c r="A88" s="25" t="n">
        <v>84</v>
      </c>
      <c r="B88" s="17" t="inlineStr">
        <is>
          <t>FIU</t>
        </is>
      </c>
      <c r="C88" s="26" t="n">
        <v>0.13</v>
      </c>
      <c r="D88" s="26" t="n">
        <v>-0.91</v>
      </c>
      <c r="E88" s="26" t="n">
        <v>1.12</v>
      </c>
      <c r="F88" s="25" t="n">
        <v>2</v>
      </c>
      <c r="G88" s="17" t="inlineStr">
        <is>
          <t>2-0</t>
        </is>
      </c>
    </row>
    <row r="89">
      <c r="A89" s="22" t="n">
        <v>85</v>
      </c>
      <c r="B89" s="12" t="inlineStr">
        <is>
          <t>PITT</t>
        </is>
      </c>
      <c r="C89" s="23" t="n">
        <v>0.07000000000000001</v>
      </c>
      <c r="D89" s="23" t="n">
        <v>-0.01</v>
      </c>
      <c r="E89" s="23" t="n">
        <v>1.82</v>
      </c>
      <c r="F89" s="22" t="n">
        <v>2</v>
      </c>
      <c r="G89" s="12" t="inlineStr">
        <is>
          <t>—</t>
        </is>
      </c>
    </row>
    <row r="90">
      <c r="A90" s="25" t="n">
        <v>86</v>
      </c>
      <c r="B90" s="17" t="inlineStr">
        <is>
          <t>LT</t>
        </is>
      </c>
      <c r="C90" s="26" t="n">
        <v>0.05</v>
      </c>
      <c r="D90" s="26" t="n">
        <v>1.06</v>
      </c>
      <c r="E90" s="26" t="n">
        <v>1.09</v>
      </c>
      <c r="F90" s="25" t="n">
        <v>2</v>
      </c>
      <c r="G90" s="17" t="inlineStr">
        <is>
          <t>2-0</t>
        </is>
      </c>
    </row>
    <row r="91">
      <c r="A91" s="22" t="n">
        <v>87</v>
      </c>
      <c r="B91" s="12" t="inlineStr">
        <is>
          <t>ODU</t>
        </is>
      </c>
      <c r="C91" s="23" t="n">
        <v>0.05</v>
      </c>
      <c r="D91" s="23" t="n">
        <v>-0.41</v>
      </c>
      <c r="E91" s="23" t="n">
        <v>1.3</v>
      </c>
      <c r="F91" s="22" t="n">
        <v>2</v>
      </c>
      <c r="G91" s="12" t="inlineStr">
        <is>
          <t>0-1</t>
        </is>
      </c>
    </row>
    <row r="92">
      <c r="A92" s="25" t="n">
        <v>88</v>
      </c>
      <c r="B92" s="17" t="inlineStr">
        <is>
          <t>MOST</t>
        </is>
      </c>
      <c r="C92" s="26" t="n">
        <v>0.04</v>
      </c>
      <c r="D92" s="26" t="n">
        <v>-0.85</v>
      </c>
      <c r="E92" s="26" t="n">
        <v>0.22</v>
      </c>
      <c r="F92" s="25" t="n">
        <v>2</v>
      </c>
      <c r="G92" s="17" t="inlineStr">
        <is>
          <t>1-1</t>
        </is>
      </c>
    </row>
    <row r="93">
      <c r="A93" s="22" t="n">
        <v>89</v>
      </c>
      <c r="B93" s="12" t="inlineStr">
        <is>
          <t>WVU</t>
        </is>
      </c>
      <c r="C93" s="23" t="n">
        <v>0.04</v>
      </c>
      <c r="D93" s="23" t="n">
        <v>-0.06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0.77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-0.59</v>
      </c>
      <c r="E95" s="23" t="n">
        <v>0.59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NU</t>
        </is>
      </c>
      <c r="C96" s="26" t="n">
        <v>0.01</v>
      </c>
      <c r="D96" s="26" t="n">
        <v>-0.66</v>
      </c>
      <c r="E96" s="26" t="n">
        <v>1.03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IOWA</t>
        </is>
      </c>
      <c r="C97" s="23" t="n">
        <v>0</v>
      </c>
      <c r="D97" s="23" t="n">
        <v>-0.8100000000000001</v>
      </c>
      <c r="E97" s="23" t="n">
        <v>2.6</v>
      </c>
      <c r="F97" s="22" t="n">
        <v>2</v>
      </c>
      <c r="G97" s="12" t="inlineStr">
        <is>
          <t>0-1</t>
        </is>
      </c>
    </row>
    <row r="98">
      <c r="A98" s="25" t="n">
        <v>94</v>
      </c>
      <c r="B98" s="17" t="inlineStr">
        <is>
          <t>SDST</t>
        </is>
      </c>
      <c r="C98" s="26" t="n">
        <v>-0.01</v>
      </c>
      <c r="D98" s="26" t="n">
        <v>-0.58</v>
      </c>
      <c r="E98" s="26" t="n">
        <v>0.14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UNLV</t>
        </is>
      </c>
      <c r="C99" s="23" t="n">
        <v>-0.01</v>
      </c>
      <c r="D99" s="23" t="n">
        <v>-1.52</v>
      </c>
      <c r="E99" s="23" t="n">
        <v>1.3</v>
      </c>
      <c r="F99" s="22" t="n">
        <v>3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-0.04</v>
      </c>
      <c r="D100" s="26" t="n">
        <v>-0.58</v>
      </c>
      <c r="E100" s="26" t="n">
        <v>0.82</v>
      </c>
      <c r="F100" s="25" t="n">
        <v>2</v>
      </c>
      <c r="G100" s="17" t="inlineStr">
        <is>
          <t>—</t>
        </is>
      </c>
    </row>
    <row r="101">
      <c r="A101" s="22" t="n">
        <v>97</v>
      </c>
      <c r="B101" s="12" t="inlineStr">
        <is>
          <t>UTEP</t>
        </is>
      </c>
      <c r="C101" s="23" t="n">
        <v>-0.05</v>
      </c>
      <c r="D101" s="23" t="n">
        <v>-0.82</v>
      </c>
      <c r="E101" s="23" t="n">
        <v>0.05</v>
      </c>
      <c r="F101" s="22" t="n">
        <v>2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-0.06</v>
      </c>
      <c r="D102" s="26" t="n">
        <v>-0.38</v>
      </c>
      <c r="E102" s="26" t="n">
        <v>0.04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VAN</t>
        </is>
      </c>
      <c r="C103" s="23" t="n">
        <v>-0.06</v>
      </c>
      <c r="D103" s="23" t="n">
        <v>-0.06</v>
      </c>
      <c r="E103" s="23" t="n">
        <v>1.17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UNA</t>
        </is>
      </c>
      <c r="C104" s="26" t="n">
        <v>-0.07000000000000001</v>
      </c>
      <c r="D104" s="26" t="n">
        <v>-0.7</v>
      </c>
      <c r="E104" s="26" t="n">
        <v>0.19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ULM</t>
        </is>
      </c>
      <c r="C105" s="23" t="n">
        <v>-0.09</v>
      </c>
      <c r="D105" s="23" t="n">
        <v>-1.62</v>
      </c>
      <c r="E105" s="23" t="n">
        <v>-0.55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TEX</t>
        </is>
      </c>
      <c r="C106" s="26" t="n">
        <v>-0.1</v>
      </c>
      <c r="D106" s="26" t="n">
        <v>0.43</v>
      </c>
      <c r="E106" s="26" t="n">
        <v>1.54</v>
      </c>
      <c r="F106" s="25" t="n">
        <v>2</v>
      </c>
      <c r="G106" s="17" t="inlineStr">
        <is>
          <t>—</t>
        </is>
      </c>
    </row>
    <row r="107">
      <c r="A107" s="22" t="n">
        <v>103</v>
      </c>
      <c r="B107" s="12" t="inlineStr">
        <is>
          <t>APSU</t>
        </is>
      </c>
      <c r="C107" s="23" t="n">
        <v>-0.11</v>
      </c>
      <c r="D107" s="23" t="n">
        <v>-0.85</v>
      </c>
      <c r="E107" s="23" t="n">
        <v>0.57</v>
      </c>
      <c r="F107" s="22" t="n">
        <v>1</v>
      </c>
      <c r="G107" s="12" t="inlineStr">
        <is>
          <t>1-0</t>
        </is>
      </c>
    </row>
    <row r="108">
      <c r="A108" s="25" t="n">
        <v>104</v>
      </c>
      <c r="B108" s="17" t="inlineStr">
        <is>
          <t>RICE</t>
        </is>
      </c>
      <c r="C108" s="26" t="n">
        <v>-0.13</v>
      </c>
      <c r="D108" s="26" t="n">
        <v>-2.22</v>
      </c>
      <c r="E108" s="26" t="n">
        <v>0.14</v>
      </c>
      <c r="F108" s="25" t="n">
        <v>2</v>
      </c>
      <c r="G108" s="17" t="inlineStr">
        <is>
          <t>1-0</t>
        </is>
      </c>
    </row>
    <row r="109">
      <c r="A109" s="22" t="n">
        <v>105</v>
      </c>
      <c r="B109" s="12" t="inlineStr">
        <is>
          <t>BALL</t>
        </is>
      </c>
      <c r="C109" s="23" t="n">
        <v>-0.24</v>
      </c>
      <c r="D109" s="23" t="n">
        <v>-1.54</v>
      </c>
      <c r="E109" s="23" t="n">
        <v>-0.29</v>
      </c>
      <c r="F109" s="22" t="n">
        <v>2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-0.26</v>
      </c>
      <c r="D110" s="26" t="n">
        <v>-0.78</v>
      </c>
      <c r="E110" s="26" t="n">
        <v>0.21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LIB</t>
        </is>
      </c>
      <c r="C111" s="23" t="n">
        <v>-0.26</v>
      </c>
      <c r="D111" s="23" t="n">
        <v>-1.32</v>
      </c>
      <c r="E111" s="23" t="n">
        <v>1.2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WOF</t>
        </is>
      </c>
      <c r="C112" s="26" t="n">
        <v>-0.26</v>
      </c>
      <c r="D112" s="26" t="n">
        <v>-0.7</v>
      </c>
      <c r="E112" s="26" t="n">
        <v>-0.03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WSU</t>
        </is>
      </c>
      <c r="C113" s="23" t="n">
        <v>-0.27</v>
      </c>
      <c r="D113" s="23" t="n">
        <v>-1.89</v>
      </c>
      <c r="E113" s="23" t="n">
        <v>1.55</v>
      </c>
      <c r="F113" s="22" t="n">
        <v>2</v>
      </c>
      <c r="G113" s="12" t="inlineStr">
        <is>
          <t>—</t>
        </is>
      </c>
    </row>
    <row r="114">
      <c r="A114" s="25" t="n">
        <v>110</v>
      </c>
      <c r="B114" s="17" t="inlineStr">
        <is>
          <t>TULN</t>
        </is>
      </c>
      <c r="C114" s="26" t="n">
        <v>-0.32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KENT</t>
        </is>
      </c>
      <c r="C115" s="23" t="n">
        <v>-0.33</v>
      </c>
      <c r="D115" s="23" t="n">
        <v>-1.56</v>
      </c>
      <c r="E115" s="23" t="n">
        <v>-0.39</v>
      </c>
      <c r="F115" s="22" t="n">
        <v>2</v>
      </c>
      <c r="G115" s="12" t="inlineStr">
        <is>
          <t>—</t>
        </is>
      </c>
    </row>
    <row r="116">
      <c r="A116" s="25" t="n">
        <v>112</v>
      </c>
      <c r="B116" s="17" t="inlineStr">
        <is>
          <t>MUR</t>
        </is>
      </c>
      <c r="C116" s="26" t="n">
        <v>-0.35</v>
      </c>
      <c r="D116" s="26" t="n">
        <v>-0.66</v>
      </c>
      <c r="E116" s="26" t="n">
        <v>-0.1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ARMY</t>
        </is>
      </c>
      <c r="C117" s="23" t="n">
        <v>-0.37</v>
      </c>
      <c r="D117" s="23" t="n">
        <v>-0.01</v>
      </c>
      <c r="E117" s="23" t="n">
        <v>1.62</v>
      </c>
      <c r="F117" s="22" t="n">
        <v>2</v>
      </c>
      <c r="G117" s="12" t="inlineStr">
        <is>
          <t>—</t>
        </is>
      </c>
    </row>
    <row r="118">
      <c r="A118" s="25" t="n">
        <v>114</v>
      </c>
      <c r="B118" s="17" t="inlineStr">
        <is>
          <t>BUFF</t>
        </is>
      </c>
      <c r="C118" s="26" t="n">
        <v>-0.39</v>
      </c>
      <c r="D118" s="26" t="n">
        <v>-1.39</v>
      </c>
      <c r="E118" s="26" t="n">
        <v>0.84</v>
      </c>
      <c r="F118" s="25" t="n">
        <v>2</v>
      </c>
      <c r="G118" s="17" t="inlineStr">
        <is>
          <t>0-1</t>
        </is>
      </c>
    </row>
    <row r="119">
      <c r="A119" s="22" t="n">
        <v>115</v>
      </c>
      <c r="B119" s="12" t="inlineStr">
        <is>
          <t>SELA</t>
        </is>
      </c>
      <c r="C119" s="23" t="n">
        <v>-0.39</v>
      </c>
      <c r="D119" s="23" t="n">
        <v>-0.73</v>
      </c>
      <c r="E119" s="23" t="n">
        <v>-0.13</v>
      </c>
      <c r="F119" s="22" t="n">
        <v>1</v>
      </c>
      <c r="G119" s="12" t="inlineStr">
        <is>
          <t>0-1</t>
        </is>
      </c>
    </row>
    <row r="120">
      <c r="A120" s="25" t="n">
        <v>116</v>
      </c>
      <c r="B120" s="17" t="inlineStr">
        <is>
          <t>STBK</t>
        </is>
      </c>
      <c r="C120" s="26" t="n">
        <v>-0.39</v>
      </c>
      <c r="D120" s="26" t="n">
        <v>-0.6</v>
      </c>
      <c r="E120" s="26" t="n">
        <v>-0.31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-0.41</v>
      </c>
      <c r="D121" s="23" t="n">
        <v>-1.49</v>
      </c>
      <c r="E121" s="23" t="n">
        <v>0.29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-0.43</v>
      </c>
      <c r="D122" s="26" t="n">
        <v>-1.55</v>
      </c>
      <c r="E122" s="26" t="n">
        <v>0.89</v>
      </c>
      <c r="F122" s="25" t="n">
        <v>2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-0.43</v>
      </c>
      <c r="D123" s="23" t="n">
        <v>-0.64</v>
      </c>
      <c r="E123" s="23" t="n">
        <v>-0.16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FAMU</t>
        </is>
      </c>
      <c r="C124" s="26" t="n">
        <v>-0.45</v>
      </c>
      <c r="D124" s="26" t="n">
        <v>-0.88</v>
      </c>
      <c r="E124" s="26" t="n">
        <v>-2.01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UAPB</t>
        </is>
      </c>
      <c r="C125" s="23" t="n">
        <v>-0.45</v>
      </c>
      <c r="D125" s="23" t="n">
        <v>-0.59</v>
      </c>
      <c r="E125" s="23" t="n">
        <v>-0.9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IDHO</t>
        </is>
      </c>
      <c r="C126" s="26" t="n">
        <v>-0.46</v>
      </c>
      <c r="D126" s="26" t="n">
        <v>-0.6</v>
      </c>
      <c r="E126" s="26" t="n">
        <v>-1.13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-0.47</v>
      </c>
      <c r="D127" s="23" t="n">
        <v>-0.9</v>
      </c>
      <c r="E127" s="23" t="n">
        <v>-0.9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-0.47</v>
      </c>
      <c r="D128" s="26" t="n">
        <v>-1.22</v>
      </c>
      <c r="E128" s="26" t="n">
        <v>-1.2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-0.47</v>
      </c>
      <c r="D129" s="23" t="n">
        <v>-0.62</v>
      </c>
      <c r="E129" s="23" t="n">
        <v>-0.55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NCAT</t>
        </is>
      </c>
      <c r="C130" s="26" t="n">
        <v>-0.47</v>
      </c>
      <c r="D130" s="26" t="n">
        <v>-0.82</v>
      </c>
      <c r="E130" s="26" t="n">
        <v>-1.17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SHU</t>
        </is>
      </c>
      <c r="C131" s="23" t="n">
        <v>-0.47</v>
      </c>
      <c r="D131" s="23" t="n">
        <v>-0.82</v>
      </c>
      <c r="E131" s="23" t="n">
        <v>-0.03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AFA</t>
        </is>
      </c>
      <c r="C132" s="26" t="n">
        <v>-0.48</v>
      </c>
      <c r="D132" s="26" t="n">
        <v>-0.35</v>
      </c>
      <c r="E132" s="26" t="n">
        <v>0.78</v>
      </c>
      <c r="F132" s="25" t="n">
        <v>2</v>
      </c>
      <c r="G132" s="17" t="inlineStr">
        <is>
          <t>1-0</t>
        </is>
      </c>
    </row>
    <row r="133">
      <c r="A133" s="22" t="n">
        <v>129</v>
      </c>
      <c r="B133" s="12" t="inlineStr">
        <is>
          <t>ARK</t>
        </is>
      </c>
      <c r="C133" s="23" t="n">
        <v>-0.5</v>
      </c>
      <c r="D133" s="23" t="n">
        <v>-0.92</v>
      </c>
      <c r="E133" s="23" t="n">
        <v>0.19</v>
      </c>
      <c r="F133" s="22" t="n">
        <v>2</v>
      </c>
      <c r="G133" s="12" t="inlineStr">
        <is>
          <t>—</t>
        </is>
      </c>
    </row>
    <row r="134">
      <c r="A134" s="25" t="n">
        <v>130</v>
      </c>
      <c r="B134" s="17" t="inlineStr">
        <is>
          <t>MONM</t>
        </is>
      </c>
      <c r="C134" s="26" t="n">
        <v>-0.5</v>
      </c>
      <c r="D134" s="26" t="n">
        <v>-0.5</v>
      </c>
      <c r="E134" s="26" t="n">
        <v>-0.67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-0.5</v>
      </c>
      <c r="D135" s="23" t="n">
        <v>-1</v>
      </c>
      <c r="E135" s="23" t="n">
        <v>-0.15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RGV</t>
        </is>
      </c>
      <c r="C136" s="26" t="n">
        <v>-0.5</v>
      </c>
      <c r="D136" s="26" t="n">
        <v>-0.48</v>
      </c>
      <c r="E136" s="26" t="n">
        <v>-0.36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UCD</t>
        </is>
      </c>
      <c r="C137" s="23" t="n">
        <v>-0.5</v>
      </c>
      <c r="D137" s="23" t="n">
        <v>-0.84</v>
      </c>
      <c r="E137" s="23" t="n">
        <v>-1.07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</t>
        </is>
      </c>
      <c r="C138" s="26" t="n">
        <v>-0.51</v>
      </c>
      <c r="D138" s="26" t="n">
        <v>-1.19</v>
      </c>
      <c r="E138" s="26" t="n">
        <v>-0.89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-0.51</v>
      </c>
      <c r="D139" s="23" t="n">
        <v>-0.9</v>
      </c>
      <c r="E139" s="23" t="n">
        <v>0.08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SEMO</t>
        </is>
      </c>
      <c r="C140" s="26" t="n">
        <v>-0.51</v>
      </c>
      <c r="D140" s="26" t="n">
        <v>-0.75</v>
      </c>
      <c r="E140" s="26" t="n">
        <v>-0.11</v>
      </c>
      <c r="F140" s="25" t="n">
        <v>1</v>
      </c>
      <c r="G140" s="17" t="inlineStr">
        <is>
          <t>1-0</t>
        </is>
      </c>
    </row>
    <row r="141">
      <c r="A141" s="22" t="n">
        <v>137</v>
      </c>
      <c r="B141" s="12" t="inlineStr">
        <is>
          <t>TNST</t>
        </is>
      </c>
      <c r="C141" s="23" t="n">
        <v>-0.51</v>
      </c>
      <c r="D141" s="23" t="n">
        <v>-1.18</v>
      </c>
      <c r="E141" s="23" t="n">
        <v>-1.28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BCU</t>
        </is>
      </c>
      <c r="C142" s="26" t="n">
        <v>-0.52</v>
      </c>
      <c r="D142" s="26" t="n">
        <v>-1.02</v>
      </c>
      <c r="E142" s="26" t="n">
        <v>-1.79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HOW</t>
        </is>
      </c>
      <c r="C143" s="23" t="n">
        <v>-0.52</v>
      </c>
      <c r="D143" s="23" t="n">
        <v>-1.29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-0.52</v>
      </c>
      <c r="D144" s="26" t="n">
        <v>-1.19</v>
      </c>
      <c r="E144" s="26" t="n">
        <v>-1.62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-1.77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CCSU</t>
        </is>
      </c>
      <c r="C146" s="26" t="n">
        <v>-0.53</v>
      </c>
      <c r="D146" s="26" t="n">
        <v>-0.8</v>
      </c>
      <c r="E146" s="26" t="n">
        <v>-1.39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-0.53</v>
      </c>
      <c r="D147" s="23" t="n">
        <v>-1.4</v>
      </c>
      <c r="E147" s="23" t="n">
        <v>0.3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EKU</t>
        </is>
      </c>
      <c r="C148" s="26" t="n">
        <v>-0.54</v>
      </c>
      <c r="D148" s="26" t="n">
        <v>-1</v>
      </c>
      <c r="E148" s="26" t="n">
        <v>-0.67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LAM</t>
        </is>
      </c>
      <c r="C149" s="23" t="n">
        <v>-0.54</v>
      </c>
      <c r="D149" s="23" t="n">
        <v>-1.05</v>
      </c>
      <c r="E149" s="23" t="n">
        <v>-0.1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ETSU</t>
        </is>
      </c>
      <c r="C150" s="26" t="n">
        <v>-0.55</v>
      </c>
      <c r="D150" s="26" t="n">
        <v>-1.13</v>
      </c>
      <c r="E150" s="26" t="n">
        <v>-0.08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</t>
        </is>
      </c>
      <c r="C151" s="23" t="n">
        <v>-0.55</v>
      </c>
      <c r="D151" s="23" t="n">
        <v>-1.02</v>
      </c>
      <c r="E151" s="23" t="n">
        <v>-0.39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USU</t>
        </is>
      </c>
      <c r="C152" s="26" t="n">
        <v>-0.55</v>
      </c>
      <c r="D152" s="26" t="n">
        <v>-1.41</v>
      </c>
      <c r="E152" s="26" t="n">
        <v>0.96</v>
      </c>
      <c r="F152" s="25" t="n">
        <v>2</v>
      </c>
      <c r="G152" s="17" t="inlineStr">
        <is>
          <t>0-1</t>
        </is>
      </c>
    </row>
    <row r="153">
      <c r="A153" s="22" t="n">
        <v>149</v>
      </c>
      <c r="B153" s="12" t="inlineStr">
        <is>
          <t>VILL</t>
        </is>
      </c>
      <c r="C153" s="23" t="n">
        <v>-0.55</v>
      </c>
      <c r="D153" s="23" t="n">
        <v>-0.72</v>
      </c>
      <c r="E153" s="23" t="n">
        <v>-1.13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WCU</t>
        </is>
      </c>
      <c r="C154" s="26" t="n">
        <v>-0.55</v>
      </c>
      <c r="D154" s="26" t="n">
        <v>-0.85</v>
      </c>
      <c r="E154" s="26" t="n">
        <v>-1.28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ALCN</t>
        </is>
      </c>
      <c r="C155" s="23" t="n">
        <v>-0.5600000000000001</v>
      </c>
      <c r="D155" s="23" t="n">
        <v>-1.23</v>
      </c>
      <c r="E155" s="23" t="n">
        <v>-0.72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BRY</t>
        </is>
      </c>
      <c r="C156" s="26" t="n">
        <v>-0.5600000000000001</v>
      </c>
      <c r="D156" s="26" t="n">
        <v>-1.16</v>
      </c>
      <c r="E156" s="26" t="n">
        <v>-0.99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CAM</t>
        </is>
      </c>
      <c r="C157" s="23" t="n">
        <v>-0.5600000000000001</v>
      </c>
      <c r="D157" s="23" t="n">
        <v>-1.29</v>
      </c>
      <c r="E157" s="23" t="n">
        <v>-0.87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GRAM</t>
        </is>
      </c>
      <c r="C158" s="26" t="n">
        <v>-0.5600000000000001</v>
      </c>
      <c r="D158" s="26" t="n">
        <v>-1.03</v>
      </c>
      <c r="E158" s="26" t="n">
        <v>-1.48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-0.5600000000000001</v>
      </c>
      <c r="D159" s="23" t="n">
        <v>-1.24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PV</t>
        </is>
      </c>
      <c r="C160" s="26" t="n">
        <v>-0.5600000000000001</v>
      </c>
      <c r="D160" s="26" t="n">
        <v>-1.18</v>
      </c>
      <c r="E160" s="26" t="n">
        <v>-0.39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SOU</t>
        </is>
      </c>
      <c r="C161" s="23" t="n">
        <v>-0.5600000000000001</v>
      </c>
      <c r="D161" s="23" t="n">
        <v>-1.06</v>
      </c>
      <c r="E161" s="23" t="n">
        <v>-2.08</v>
      </c>
      <c r="F161" s="22" t="n">
        <v>1</v>
      </c>
      <c r="G161" s="12" t="inlineStr">
        <is>
          <t>0-1</t>
        </is>
      </c>
    </row>
    <row r="162">
      <c r="A162" s="25" t="n">
        <v>158</v>
      </c>
      <c r="B162" s="17" t="inlineStr">
        <is>
          <t>UNH</t>
        </is>
      </c>
      <c r="C162" s="26" t="n">
        <v>-0.5600000000000001</v>
      </c>
      <c r="D162" s="26" t="n">
        <v>-1.11</v>
      </c>
      <c r="E162" s="26" t="n">
        <v>-1.45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UTU</t>
        </is>
      </c>
      <c r="C163" s="23" t="n">
        <v>-0.5600000000000001</v>
      </c>
      <c r="D163" s="23" t="n">
        <v>-0.88</v>
      </c>
      <c r="E163" s="23" t="n">
        <v>-1.27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MORG</t>
        </is>
      </c>
      <c r="C164" s="26" t="n">
        <v>-0.57</v>
      </c>
      <c r="D164" s="26" t="n">
        <v>-1.05</v>
      </c>
      <c r="E164" s="26" t="n">
        <v>-1.69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MVSU</t>
        </is>
      </c>
      <c r="C165" s="23" t="n">
        <v>-0.57</v>
      </c>
      <c r="D165" s="23" t="n">
        <v>-1.28</v>
      </c>
      <c r="E165" s="23" t="n">
        <v>-0.78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RICH</t>
        </is>
      </c>
      <c r="C166" s="26" t="n">
        <v>-0.57</v>
      </c>
      <c r="D166" s="26" t="n">
        <v>-1.37</v>
      </c>
      <c r="E166" s="26" t="n">
        <v>-1.84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RMU</t>
        </is>
      </c>
      <c r="C167" s="23" t="n">
        <v>-0.57</v>
      </c>
      <c r="D167" s="23" t="n">
        <v>-0.9</v>
      </c>
      <c r="E167" s="23" t="n">
        <v>-0.47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SUU</t>
        </is>
      </c>
      <c r="C168" s="26" t="n">
        <v>-0.57</v>
      </c>
      <c r="D168" s="26" t="n">
        <v>-0.11</v>
      </c>
      <c r="E168" s="26" t="n">
        <v>-1.09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LIN</t>
        </is>
      </c>
      <c r="C169" s="23" t="n">
        <v>-0.58</v>
      </c>
      <c r="D169" s="23" t="n">
        <v>-0.8</v>
      </c>
      <c r="E169" s="23" t="n">
        <v>-0.5600000000000001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NWST</t>
        </is>
      </c>
      <c r="C170" s="26" t="n">
        <v>-0.58</v>
      </c>
      <c r="D170" s="26" t="n">
        <v>-1.16</v>
      </c>
      <c r="E170" s="26" t="n">
        <v>-2.31</v>
      </c>
      <c r="F170" s="25" t="n">
        <v>1</v>
      </c>
      <c r="G170" s="17" t="inlineStr">
        <is>
          <t>0-1</t>
        </is>
      </c>
    </row>
    <row r="171">
      <c r="A171" s="22" t="n">
        <v>167</v>
      </c>
      <c r="B171" s="12" t="inlineStr">
        <is>
          <t>PUR</t>
        </is>
      </c>
      <c r="C171" s="23" t="n">
        <v>-0.58</v>
      </c>
      <c r="D171" s="23" t="n">
        <v>-0.46</v>
      </c>
      <c r="E171" s="23" t="n">
        <v>-0.34</v>
      </c>
      <c r="F171" s="22" t="n">
        <v>2</v>
      </c>
      <c r="G171" s="12" t="inlineStr">
        <is>
          <t>0-1</t>
        </is>
      </c>
    </row>
    <row r="172">
      <c r="A172" s="25" t="n">
        <v>168</v>
      </c>
      <c r="B172" s="17" t="inlineStr">
        <is>
          <t>WEB</t>
        </is>
      </c>
      <c r="C172" s="26" t="n">
        <v>-0.58</v>
      </c>
      <c r="D172" s="26" t="n">
        <v>-0.4</v>
      </c>
      <c r="E172" s="26" t="n">
        <v>-1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LIU</t>
        </is>
      </c>
      <c r="C173" s="23" t="n">
        <v>-0.59</v>
      </c>
      <c r="D173" s="23" t="n">
        <v>-1.07</v>
      </c>
      <c r="E173" s="23" t="n">
        <v>-0.72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PRST</t>
        </is>
      </c>
      <c r="C174" s="26" t="n">
        <v>-0.59</v>
      </c>
      <c r="D174" s="26" t="n">
        <v>-0.5</v>
      </c>
      <c r="E174" s="26" t="n">
        <v>-1.03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TROY</t>
        </is>
      </c>
      <c r="C175" s="23" t="n">
        <v>-0.59</v>
      </c>
      <c r="D175" s="23" t="n">
        <v>-1.18</v>
      </c>
      <c r="E175" s="23" t="n">
        <v>1.2</v>
      </c>
      <c r="F175" s="22" t="n">
        <v>2</v>
      </c>
      <c r="G175" s="12" t="inlineStr">
        <is>
          <t>0-1</t>
        </is>
      </c>
    </row>
    <row r="176">
      <c r="A176" s="25" t="n">
        <v>172</v>
      </c>
      <c r="B176" s="17" t="inlineStr">
        <is>
          <t>TXSO</t>
        </is>
      </c>
      <c r="C176" s="26" t="n">
        <v>-0.59</v>
      </c>
      <c r="D176" s="26" t="n">
        <v>-0.96</v>
      </c>
      <c r="E176" s="26" t="n">
        <v>-0.77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WAG</t>
        </is>
      </c>
      <c r="C177" s="23" t="n">
        <v>-0.59</v>
      </c>
      <c r="D177" s="23" t="n">
        <v>-1.23</v>
      </c>
      <c r="E177" s="23" t="n">
        <v>-2.58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WIU</t>
        </is>
      </c>
      <c r="C178" s="26" t="n">
        <v>-0.59</v>
      </c>
      <c r="D178" s="26" t="n">
        <v>-1</v>
      </c>
      <c r="E178" s="26" t="n">
        <v>-0.1</v>
      </c>
      <c r="F178" s="25" t="n">
        <v>1</v>
      </c>
      <c r="G178" s="17" t="inlineStr">
        <is>
          <t>1-0</t>
        </is>
      </c>
    </row>
    <row r="179">
      <c r="A179" s="22" t="n">
        <v>175</v>
      </c>
      <c r="B179" s="12" t="inlineStr">
        <is>
          <t>DUQ</t>
        </is>
      </c>
      <c r="C179" s="23" t="n">
        <v>-0.6</v>
      </c>
      <c r="D179" s="23" t="n">
        <v>-1.41</v>
      </c>
      <c r="E179" s="23" t="n">
        <v>-0.01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SHSU</t>
        </is>
      </c>
      <c r="C180" s="26" t="n">
        <v>-0.61</v>
      </c>
      <c r="D180" s="26" t="n">
        <v>-1.75</v>
      </c>
      <c r="E180" s="26" t="n">
        <v>0.34</v>
      </c>
      <c r="F180" s="25" t="n">
        <v>2</v>
      </c>
      <c r="G180" s="17" t="inlineStr">
        <is>
          <t>2-0</t>
        </is>
      </c>
    </row>
    <row r="181">
      <c r="A181" s="22" t="n">
        <v>177</v>
      </c>
      <c r="B181" s="12" t="inlineStr">
        <is>
          <t>SYR</t>
        </is>
      </c>
      <c r="C181" s="23" t="n">
        <v>-0.61</v>
      </c>
      <c r="D181" s="23" t="n">
        <v>-0.3</v>
      </c>
      <c r="E181" s="23" t="n">
        <v>0.99</v>
      </c>
      <c r="F181" s="22" t="n">
        <v>2</v>
      </c>
      <c r="G181" s="12" t="inlineStr">
        <is>
          <t>—</t>
        </is>
      </c>
    </row>
    <row r="182">
      <c r="A182" s="25" t="n">
        <v>178</v>
      </c>
      <c r="B182" s="17" t="inlineStr">
        <is>
          <t>YSU</t>
        </is>
      </c>
      <c r="C182" s="26" t="n">
        <v>-0.61</v>
      </c>
      <c r="D182" s="26" t="n">
        <v>-0.64</v>
      </c>
      <c r="E182" s="26" t="n">
        <v>-0.46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UTM</t>
        </is>
      </c>
      <c r="C183" s="23" t="n">
        <v>-0.62</v>
      </c>
      <c r="D183" s="23" t="n">
        <v>-1.13</v>
      </c>
      <c r="E183" s="23" t="n">
        <v>-0.79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EIU</t>
        </is>
      </c>
      <c r="C184" s="26" t="n">
        <v>-0.63</v>
      </c>
      <c r="D184" s="26" t="n">
        <v>-1.08</v>
      </c>
      <c r="E184" s="26" t="n">
        <v>-1.23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LAF</t>
        </is>
      </c>
      <c r="C185" s="23" t="n">
        <v>-0.64</v>
      </c>
      <c r="D185" s="23" t="n">
        <v>-1.08</v>
      </c>
      <c r="E185" s="23" t="n">
        <v>-0.95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WYO</t>
        </is>
      </c>
      <c r="C186" s="26" t="n">
        <v>-0.66</v>
      </c>
      <c r="D186" s="26" t="n">
        <v>-2.15</v>
      </c>
      <c r="E186" s="26" t="n">
        <v>1.29</v>
      </c>
      <c r="F186" s="25" t="n">
        <v>2</v>
      </c>
      <c r="G186" s="17" t="inlineStr">
        <is>
          <t>0-1</t>
        </is>
      </c>
    </row>
    <row r="187">
      <c r="A187" s="22" t="n">
        <v>183</v>
      </c>
      <c r="B187" s="12" t="inlineStr">
        <is>
          <t>BC</t>
        </is>
      </c>
      <c r="C187" s="23" t="n">
        <v>-0.67</v>
      </c>
      <c r="D187" s="23" t="n">
        <v>-1.29</v>
      </c>
      <c r="E187" s="23" t="n">
        <v>0.26</v>
      </c>
      <c r="F187" s="22" t="n">
        <v>2</v>
      </c>
      <c r="G187" s="12" t="inlineStr">
        <is>
          <t>—</t>
        </is>
      </c>
    </row>
    <row r="188">
      <c r="A188" s="25" t="n">
        <v>184</v>
      </c>
      <c r="B188" s="17" t="inlineStr">
        <is>
          <t>WASH</t>
        </is>
      </c>
      <c r="C188" s="26" t="n">
        <v>-0.67</v>
      </c>
      <c r="D188" s="26" t="n">
        <v>-1.38</v>
      </c>
      <c r="E188" s="26" t="n">
        <v>1.91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NORF</t>
        </is>
      </c>
      <c r="C189" s="23" t="n">
        <v>-0.7</v>
      </c>
      <c r="D189" s="23" t="n">
        <v>-1.82</v>
      </c>
      <c r="E189" s="23" t="n">
        <v>-0.87</v>
      </c>
      <c r="F189" s="22" t="n">
        <v>2</v>
      </c>
      <c r="G189" s="12" t="inlineStr">
        <is>
          <t>1-1</t>
        </is>
      </c>
    </row>
    <row r="190">
      <c r="A190" s="25" t="n">
        <v>186</v>
      </c>
      <c r="B190" s="17" t="inlineStr">
        <is>
          <t>FSU</t>
        </is>
      </c>
      <c r="C190" s="26" t="n">
        <v>-0.73</v>
      </c>
      <c r="D190" s="26" t="n">
        <v>-0.6</v>
      </c>
      <c r="E190" s="26" t="n">
        <v>0.92</v>
      </c>
      <c r="F190" s="25" t="n">
        <v>2</v>
      </c>
      <c r="G190" s="17" t="inlineStr">
        <is>
          <t>0-1</t>
        </is>
      </c>
    </row>
    <row r="191">
      <c r="A191" s="22" t="n">
        <v>187</v>
      </c>
      <c r="B191" s="12" t="inlineStr">
        <is>
          <t>CAL</t>
        </is>
      </c>
      <c r="C191" s="23" t="n">
        <v>-0.74</v>
      </c>
      <c r="D191" s="23" t="n">
        <v>-1.03</v>
      </c>
      <c r="E191" s="23" t="n">
        <v>0.25</v>
      </c>
      <c r="F191" s="22" t="n">
        <v>2</v>
      </c>
      <c r="G191" s="12" t="inlineStr">
        <is>
          <t>—</t>
        </is>
      </c>
    </row>
    <row r="192">
      <c r="A192" s="25" t="n">
        <v>188</v>
      </c>
      <c r="B192" s="17" t="inlineStr">
        <is>
          <t>UAB</t>
        </is>
      </c>
      <c r="C192" s="26" t="n">
        <v>-0.76</v>
      </c>
      <c r="D192" s="26" t="n">
        <v>-0.99</v>
      </c>
      <c r="E192" s="26" t="n">
        <v>-0.35</v>
      </c>
      <c r="F192" s="25" t="n">
        <v>2</v>
      </c>
      <c r="G192" s="17" t="inlineStr">
        <is>
          <t>—</t>
        </is>
      </c>
    </row>
    <row r="193">
      <c r="A193" s="22" t="n">
        <v>189</v>
      </c>
      <c r="B193" s="12" t="inlineStr">
        <is>
          <t>ILL</t>
        </is>
      </c>
      <c r="C193" s="23" t="n">
        <v>-0.77</v>
      </c>
      <c r="D193" s="23" t="n">
        <v>-0.43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WIS</t>
        </is>
      </c>
      <c r="C194" s="26" t="n">
        <v>-0.77</v>
      </c>
      <c r="D194" s="26" t="n">
        <v>-1.57</v>
      </c>
      <c r="E194" s="26" t="n">
        <v>1.2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KENN</t>
        </is>
      </c>
      <c r="C195" s="23" t="n">
        <v>-0.83</v>
      </c>
      <c r="D195" s="23" t="n">
        <v>-0.64</v>
      </c>
      <c r="E195" s="23" t="n">
        <v>1.3</v>
      </c>
      <c r="F195" s="22" t="n">
        <v>2</v>
      </c>
      <c r="G195" s="12" t="inlineStr">
        <is>
          <t>0-1</t>
        </is>
      </c>
    </row>
    <row r="196">
      <c r="A196" s="25" t="n">
        <v>192</v>
      </c>
      <c r="B196" s="17" t="inlineStr">
        <is>
          <t>FAU</t>
        </is>
      </c>
      <c r="C196" s="26" t="n">
        <v>-0.89</v>
      </c>
      <c r="D196" s="26" t="n">
        <v>-0.21</v>
      </c>
      <c r="E196" s="26" t="n">
        <v>-1.72</v>
      </c>
      <c r="F196" s="25" t="n">
        <v>2</v>
      </c>
      <c r="G196" s="17" t="inlineStr">
        <is>
          <t>—</t>
        </is>
      </c>
    </row>
    <row r="197">
      <c r="A197" s="22" t="n">
        <v>193</v>
      </c>
      <c r="B197" s="12" t="inlineStr">
        <is>
          <t>FOR</t>
        </is>
      </c>
      <c r="C197" s="23" t="n">
        <v>-0.93</v>
      </c>
      <c r="D197" s="23" t="n">
        <v>-2.09</v>
      </c>
      <c r="E197" s="23" t="n">
        <v>-0.51</v>
      </c>
      <c r="F197" s="22" t="n">
        <v>2</v>
      </c>
      <c r="G197" s="12" t="inlineStr">
        <is>
          <t>0-1</t>
        </is>
      </c>
    </row>
    <row r="198">
      <c r="A198" s="25" t="n">
        <v>194</v>
      </c>
      <c r="B198" s="17" t="inlineStr">
        <is>
          <t>NEV</t>
        </is>
      </c>
      <c r="C198" s="26" t="n">
        <v>-0.9399999999999999</v>
      </c>
      <c r="D198" s="26" t="n">
        <v>-1.57</v>
      </c>
      <c r="E198" s="26" t="n">
        <v>1.03</v>
      </c>
      <c r="F198" s="25" t="n">
        <v>2</v>
      </c>
      <c r="G198" s="17" t="inlineStr">
        <is>
          <t>—</t>
        </is>
      </c>
    </row>
    <row r="199">
      <c r="A199" s="22" t="n">
        <v>195</v>
      </c>
      <c r="B199" s="12" t="inlineStr">
        <is>
          <t>TOW</t>
        </is>
      </c>
      <c r="C199" s="23" t="n">
        <v>-0.9399999999999999</v>
      </c>
      <c r="D199" s="23" t="n">
        <v>-1.29</v>
      </c>
      <c r="E199" s="23" t="n">
        <v>-0.61</v>
      </c>
      <c r="F199" s="22" t="n">
        <v>2</v>
      </c>
      <c r="G199" s="12" t="inlineStr">
        <is>
          <t>—</t>
        </is>
      </c>
    </row>
    <row r="200">
      <c r="A200" s="25" t="n">
        <v>196</v>
      </c>
      <c r="B200" s="17" t="inlineStr">
        <is>
          <t>MICH</t>
        </is>
      </c>
      <c r="C200" s="26" t="n">
        <v>-0.96</v>
      </c>
      <c r="D200" s="26" t="n">
        <v>-1.92</v>
      </c>
      <c r="E200" s="26" t="n">
        <v>2.05</v>
      </c>
      <c r="F200" s="25" t="n">
        <v>2</v>
      </c>
      <c r="G200" s="17" t="inlineStr">
        <is>
          <t>0-1</t>
        </is>
      </c>
    </row>
    <row r="201">
      <c r="A201" s="22" t="n">
        <v>197</v>
      </c>
      <c r="B201" s="12" t="inlineStr">
        <is>
          <t>WKU</t>
        </is>
      </c>
      <c r="C201" s="23" t="n">
        <v>-0.97</v>
      </c>
      <c r="D201" s="23" t="n">
        <v>-0.79</v>
      </c>
      <c r="E201" s="23" t="n">
        <v>-1.45</v>
      </c>
      <c r="F201" s="22" t="n">
        <v>2</v>
      </c>
      <c r="G201" s="12" t="inlineStr">
        <is>
          <t>—</t>
        </is>
      </c>
    </row>
    <row r="202">
      <c r="A202" s="25" t="n">
        <v>198</v>
      </c>
      <c r="B202" s="17" t="inlineStr">
        <is>
          <t>MERC</t>
        </is>
      </c>
      <c r="C202" s="26" t="n">
        <v>-0.98</v>
      </c>
      <c r="D202" s="26" t="n">
        <v>-1.4</v>
      </c>
      <c r="E202" s="26" t="n">
        <v>-2.32</v>
      </c>
      <c r="F202" s="25" t="n">
        <v>2</v>
      </c>
      <c r="G202" s="17" t="inlineStr">
        <is>
          <t>—</t>
        </is>
      </c>
    </row>
    <row r="203">
      <c r="A203" s="22" t="n">
        <v>199</v>
      </c>
      <c r="B203" s="12" t="inlineStr">
        <is>
          <t>RUTG</t>
        </is>
      </c>
      <c r="C203" s="23" t="n">
        <v>-0.98</v>
      </c>
      <c r="D203" s="23" t="n">
        <v>-1.12</v>
      </c>
      <c r="E203" s="23" t="n">
        <v>-0.22</v>
      </c>
      <c r="F203" s="22" t="n">
        <v>2</v>
      </c>
      <c r="G203" s="12" t="inlineStr">
        <is>
          <t>0-1</t>
        </is>
      </c>
    </row>
    <row r="204">
      <c r="A204" s="25" t="n">
        <v>200</v>
      </c>
      <c r="B204" s="17" t="inlineStr">
        <is>
          <t>KU</t>
        </is>
      </c>
      <c r="C204" s="26" t="n">
        <v>-0.99</v>
      </c>
      <c r="D204" s="26" t="n">
        <v>-0.3</v>
      </c>
      <c r="E204" s="26" t="n">
        <v>0.5600000000000001</v>
      </c>
      <c r="F204" s="25" t="n">
        <v>2</v>
      </c>
      <c r="G204" s="17" t="inlineStr">
        <is>
          <t>—</t>
        </is>
      </c>
    </row>
    <row r="205">
      <c r="A205" s="22" t="n">
        <v>201</v>
      </c>
      <c r="B205" s="12" t="inlineStr">
        <is>
          <t>OHIO</t>
        </is>
      </c>
      <c r="C205" s="23" t="n">
        <v>-1.02</v>
      </c>
      <c r="D205" s="23" t="n">
        <v>-0.73</v>
      </c>
      <c r="E205" s="23" t="n">
        <v>0.05</v>
      </c>
      <c r="F205" s="22" t="n">
        <v>2</v>
      </c>
      <c r="G205" s="12" t="inlineStr">
        <is>
          <t>1-0</t>
        </is>
      </c>
    </row>
    <row r="206">
      <c r="A206" s="25" t="n">
        <v>202</v>
      </c>
      <c r="B206" s="17" t="inlineStr">
        <is>
          <t>MRSH</t>
        </is>
      </c>
      <c r="C206" s="26" t="n">
        <v>-1.03</v>
      </c>
      <c r="D206" s="26" t="n">
        <v>-1.46</v>
      </c>
      <c r="E206" s="26" t="n">
        <v>-0.23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CMU</t>
        </is>
      </c>
      <c r="C207" s="23" t="n">
        <v>-1.06</v>
      </c>
      <c r="D207" s="23" t="n">
        <v>-2.34</v>
      </c>
      <c r="E207" s="23" t="n">
        <v>1.29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ECU</t>
        </is>
      </c>
      <c r="C208" s="26" t="n">
        <v>-1.12</v>
      </c>
      <c r="D208" s="26" t="n">
        <v>-1.09</v>
      </c>
      <c r="E208" s="26" t="n">
        <v>0.18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WES</t>
        </is>
      </c>
      <c r="C209" s="23" t="n">
        <v>-1.13</v>
      </c>
      <c r="D209" s="23" t="n">
        <v>-2.12</v>
      </c>
      <c r="E209" s="23" t="n">
        <v>-1.23</v>
      </c>
      <c r="F209" s="22" t="n">
        <v>2</v>
      </c>
      <c r="G209" s="12" t="inlineStr">
        <is>
          <t>0-1</t>
        </is>
      </c>
    </row>
    <row r="210">
      <c r="A210" s="25" t="n">
        <v>206</v>
      </c>
      <c r="B210" s="17" t="inlineStr">
        <is>
          <t>ORST</t>
        </is>
      </c>
      <c r="C210" s="26" t="n">
        <v>-1.14</v>
      </c>
      <c r="D210" s="26" t="n">
        <v>-1.45</v>
      </c>
      <c r="E210" s="26" t="n">
        <v>-0.02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TEM</t>
        </is>
      </c>
      <c r="C211" s="23" t="n">
        <v>-1.24</v>
      </c>
      <c r="D211" s="23" t="n">
        <v>-1.37</v>
      </c>
      <c r="E211" s="23" t="n">
        <v>0.55</v>
      </c>
      <c r="F211" s="22" t="n">
        <v>2</v>
      </c>
      <c r="G211" s="12" t="inlineStr">
        <is>
          <t>—</t>
        </is>
      </c>
    </row>
    <row r="212">
      <c r="A212" s="25" t="n">
        <v>208</v>
      </c>
      <c r="B212" s="17" t="inlineStr">
        <is>
          <t>CONN</t>
        </is>
      </c>
      <c r="C212" s="26" t="n">
        <v>-1.25</v>
      </c>
      <c r="D212" s="26" t="n">
        <v>0.04</v>
      </c>
      <c r="E212" s="26" t="n">
        <v>0.55</v>
      </c>
      <c r="F212" s="25" t="n">
        <v>2</v>
      </c>
      <c r="G212" s="17" t="inlineStr">
        <is>
          <t>—</t>
        </is>
      </c>
    </row>
    <row r="213">
      <c r="A213" s="22" t="n">
        <v>209</v>
      </c>
      <c r="B213" s="12" t="inlineStr">
        <is>
          <t>TXST</t>
        </is>
      </c>
      <c r="C213" s="23" t="n">
        <v>-1.33</v>
      </c>
      <c r="D213" s="23" t="n">
        <v>-0.97</v>
      </c>
      <c r="E213" s="23" t="n">
        <v>-0.96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MINN</t>
        </is>
      </c>
      <c r="C214" s="26" t="n">
        <v>-1.36</v>
      </c>
      <c r="D214" s="26" t="n">
        <v>-0.75</v>
      </c>
      <c r="E214" s="26" t="n">
        <v>0.78</v>
      </c>
      <c r="F214" s="25" t="n">
        <v>2</v>
      </c>
      <c r="G214" s="17" t="inlineStr">
        <is>
          <t>—</t>
        </is>
      </c>
    </row>
    <row r="215">
      <c r="A215" s="22" t="n">
        <v>211</v>
      </c>
      <c r="B215" s="12" t="inlineStr">
        <is>
          <t>HAW</t>
        </is>
      </c>
      <c r="C215" s="23" t="n">
        <v>-1.39</v>
      </c>
      <c r="D215" s="23" t="n">
        <v>-1.76</v>
      </c>
      <c r="E215" s="23" t="n">
        <v>0.72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UK</t>
        </is>
      </c>
      <c r="C216" s="26" t="n">
        <v>-1.49</v>
      </c>
      <c r="D216" s="26" t="n">
        <v>-0.97</v>
      </c>
      <c r="E216" s="26" t="n">
        <v>0.06</v>
      </c>
      <c r="F216" s="25" t="n">
        <v>2</v>
      </c>
      <c r="G216" s="17" t="inlineStr">
        <is>
          <t>—</t>
        </is>
      </c>
    </row>
    <row r="217">
      <c r="A217" s="22" t="n">
        <v>213</v>
      </c>
      <c r="B217" s="12" t="inlineStr">
        <is>
          <t>NIU</t>
        </is>
      </c>
      <c r="C217" s="23" t="n">
        <v>-1.5</v>
      </c>
      <c r="D217" s="23" t="n">
        <v>-2.36</v>
      </c>
      <c r="E217" s="23" t="n">
        <v>0.1</v>
      </c>
      <c r="F217" s="22" t="n">
        <v>2</v>
      </c>
      <c r="G217" s="12" t="inlineStr">
        <is>
          <t>0-1</t>
        </is>
      </c>
    </row>
    <row r="218">
      <c r="A218" s="25" t="n">
        <v>214</v>
      </c>
      <c r="B218" s="17" t="inlineStr">
        <is>
          <t>CLT</t>
        </is>
      </c>
      <c r="C218" s="26" t="n">
        <v>-1.52</v>
      </c>
      <c r="D218" s="26" t="n">
        <v>-1.59</v>
      </c>
      <c r="E218" s="26" t="n">
        <v>-1.15</v>
      </c>
      <c r="F218" s="25" t="n">
        <v>2</v>
      </c>
      <c r="G218" s="17" t="inlineStr">
        <is>
          <t>1-0</t>
        </is>
      </c>
    </row>
    <row r="219">
      <c r="A219" s="22" t="n">
        <v>215</v>
      </c>
      <c r="B219" s="12" t="inlineStr">
        <is>
          <t>BGSU</t>
        </is>
      </c>
      <c r="C219" s="23" t="n">
        <v>-1.53</v>
      </c>
      <c r="D219" s="23" t="n">
        <v>-2.44</v>
      </c>
      <c r="E219" s="23" t="n">
        <v>-0.18</v>
      </c>
      <c r="F219" s="22" t="n">
        <v>2</v>
      </c>
      <c r="G219" s="12" t="inlineStr">
        <is>
          <t>0-1</t>
        </is>
      </c>
    </row>
    <row r="220">
      <c r="A220" s="25" t="n">
        <v>216</v>
      </c>
      <c r="B220" s="17" t="inlineStr">
        <is>
          <t>EMU</t>
        </is>
      </c>
      <c r="C220" s="26" t="n">
        <v>-1.69</v>
      </c>
      <c r="D220" s="26" t="n">
        <v>-2.21</v>
      </c>
      <c r="E220" s="26" t="n">
        <v>0.47</v>
      </c>
      <c r="F220" s="25" t="n">
        <v>3</v>
      </c>
      <c r="G220" s="17" t="inlineStr">
        <is>
          <t>1-1</t>
        </is>
      </c>
    </row>
    <row r="221">
      <c r="A221" s="22" t="n">
        <v>217</v>
      </c>
      <c r="B221" s="12" t="inlineStr">
        <is>
          <t>STAN</t>
        </is>
      </c>
      <c r="C221" s="23" t="n">
        <v>-2.28</v>
      </c>
      <c r="D221" s="23" t="n">
        <v>-1.83</v>
      </c>
      <c r="E221" s="23" t="n">
        <v>-0.6899999999999999</v>
      </c>
      <c r="F221" s="22" t="n">
        <v>2</v>
      </c>
      <c r="G221" s="12" t="inlineStr">
        <is>
          <t>1-0</t>
        </is>
      </c>
    </row>
    <row r="222">
      <c r="A222" s="25" t="n">
        <v>218</v>
      </c>
      <c r="B222" s="17" t="inlineStr">
        <is>
          <t>GT</t>
        </is>
      </c>
      <c r="C222" s="26" t="n">
        <v>-2.29</v>
      </c>
      <c r="D222" s="26" t="n">
        <v>-1.55</v>
      </c>
      <c r="E222" s="26" t="n">
        <v>0.14</v>
      </c>
      <c r="F222" s="25" t="n">
        <v>2</v>
      </c>
      <c r="G22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45</v>
      </c>
      <c r="G156" s="17" t="inlineStr">
        <is>
          <t>Final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24</v>
      </c>
      <c r="G171" s="12" t="inlineStr">
        <is>
          <t>Final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35</v>
      </c>
      <c r="F172" s="25" t="n">
        <v>24</v>
      </c>
      <c r="G172" s="17" t="inlineStr">
        <is>
          <t>Final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Final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63</v>
      </c>
      <c r="G178" s="17" t="inlineStr">
        <is>
          <t>Final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44</v>
      </c>
      <c r="G179" s="12" t="inlineStr">
        <is>
          <t>Final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43</v>
      </c>
      <c r="G180" s="17" t="inlineStr">
        <is>
          <t>Final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20</v>
      </c>
      <c r="F181" s="22" t="n">
        <v>30</v>
      </c>
      <c r="G181" s="12" t="inlineStr">
        <is>
          <t>Final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51</v>
      </c>
      <c r="G182" s="17" t="inlineStr">
        <is>
          <t>Final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22</v>
      </c>
      <c r="G183" s="12" t="inlineStr">
        <is>
          <t>Final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38</v>
      </c>
      <c r="F184" s="25" t="n">
        <v>32</v>
      </c>
      <c r="G184" s="17" t="inlineStr">
        <is>
          <t>Final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10</v>
      </c>
      <c r="F185" s="22" t="n">
        <v>43</v>
      </c>
      <c r="G185" s="12" t="inlineStr">
        <is>
          <t>Final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3</v>
      </c>
      <c r="F186" s="25" t="n">
        <v>49</v>
      </c>
      <c r="G186" s="17" t="inlineStr">
        <is>
          <t>Final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20</v>
      </c>
      <c r="F187" s="22" t="n">
        <v>7</v>
      </c>
      <c r="G187" s="12" t="inlineStr">
        <is>
          <t>Final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30</v>
      </c>
      <c r="F188" s="25" t="n">
        <v>49</v>
      </c>
      <c r="G188" s="17" t="inlineStr">
        <is>
          <t>Final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19</v>
      </c>
      <c r="F189" s="22" t="n">
        <v>29</v>
      </c>
      <c r="G189" s="12" t="inlineStr">
        <is>
          <t>Final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53.5</v>
      </c>
      <c r="K190" s="18" t="n">
        <v>300</v>
      </c>
      <c r="L190" s="18" t="n">
        <v>-380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22.5</v>
      </c>
      <c r="J191" s="29" t="n">
        <v>54.5</v>
      </c>
      <c r="K191" s="13" t="n">
        <v>-1800</v>
      </c>
      <c r="L191" s="13" t="n">
        <v>1000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-10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56.5</v>
      </c>
      <c r="K198" s="18" t="n">
        <v>-205</v>
      </c>
      <c r="L198" s="18" t="n">
        <v>170</v>
      </c>
      <c r="M198" s="17" t="inlineStr">
        <is>
          <t>Draft 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>
        <v>-52.5</v>
      </c>
      <c r="J202" s="30" t="n">
        <v>56.5</v>
      </c>
      <c r="K202" s="18" t="n"/>
      <c r="L202" s="18" t="n"/>
      <c r="M202" s="17" t="inlineStr">
        <is>
          <t>Draft Kings</t>
        </is>
      </c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48.5</v>
      </c>
      <c r="K212" s="18" t="n">
        <v>525</v>
      </c>
      <c r="L212" s="18" t="n">
        <v>-850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59.5</v>
      </c>
      <c r="K222" s="18" t="n"/>
      <c r="L222" s="18" t="n"/>
      <c r="M222" s="17" t="inlineStr">
        <is>
          <t>Draft 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-5.5</v>
      </c>
      <c r="J226" s="30" t="n">
        <v>56.5</v>
      </c>
      <c r="K226" s="18" t="n">
        <v>180</v>
      </c>
      <c r="L226" s="18" t="n">
        <v>-218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-142</v>
      </c>
      <c r="L246" s="18" t="n">
        <v>120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>
        <v>-3</v>
      </c>
      <c r="J249" s="29" t="n">
        <v>45.5</v>
      </c>
      <c r="K249" s="13" t="n">
        <v>124</v>
      </c>
      <c r="L249" s="13" t="n">
        <v>-148</v>
      </c>
      <c r="M249" s="12" t="inlineStr">
        <is>
          <t>Draft Kings</t>
        </is>
      </c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-9.5</v>
      </c>
      <c r="J250" s="30" t="n">
        <v>53.5</v>
      </c>
      <c r="K250" s="18" t="n">
        <v>280</v>
      </c>
      <c r="L250" s="18" t="n">
        <v>-355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3</v>
      </c>
      <c r="J251" s="29" t="n">
        <v>54.5</v>
      </c>
      <c r="K251" s="13" t="n">
        <v>-148</v>
      </c>
      <c r="L251" s="13" t="n">
        <v>124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 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>
        <v>-29.5</v>
      </c>
      <c r="J254" s="30" t="n">
        <v>57.5</v>
      </c>
      <c r="K254" s="18" t="n">
        <v>2000</v>
      </c>
      <c r="L254" s="18" t="n">
        <v>-6500</v>
      </c>
      <c r="M254" s="17" t="inlineStr">
        <is>
          <t>Draft Kings</t>
        </is>
      </c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20</v>
      </c>
      <c r="C5" s="15" t="n">
        <v>0.303</v>
      </c>
      <c r="D5" s="15" t="n">
        <v>0</v>
      </c>
      <c r="E5" s="14" t="n">
        <v>-0.303</v>
      </c>
    </row>
    <row r="6">
      <c r="A6" s="17" t="inlineStr">
        <is>
          <t>45-50%</t>
        </is>
      </c>
      <c r="B6" s="25" t="n">
        <v>5</v>
      </c>
      <c r="C6" s="20" t="n">
        <v>0.4812</v>
      </c>
      <c r="D6" s="20" t="n">
        <v>0.6</v>
      </c>
      <c r="E6" s="19" t="n">
        <v>0.1188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44</v>
      </c>
      <c r="C9" s="15" t="n">
        <v>0.6251</v>
      </c>
      <c r="D9" s="15" t="n">
        <v>0.5</v>
      </c>
      <c r="E9" s="14" t="n">
        <v>-0.1251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0.0238873417721519</v>
      </c>
    </row>
    <row r="13">
      <c r="A13" s="3" t="inlineStr">
        <is>
          <t>Bets beating the close</t>
        </is>
      </c>
      <c r="B13" s="35" t="n">
        <v>0.5949367088607594</v>
      </c>
    </row>
    <row r="14">
      <c r="A14" s="3" t="inlineStr">
        <is>
          <t>Brier score</t>
        </is>
      </c>
      <c r="B14" s="36" t="n">
        <v>0.2185</v>
      </c>
    </row>
    <row r="15">
      <c r="A15" s="3" t="inlineStr">
        <is>
          <t>Settled bets</t>
        </is>
      </c>
      <c r="B15" s="37" t="n">
        <v>79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630</v>
      </c>
    </row>
    <row r="5">
      <c r="A5" s="3" t="inlineStr">
        <is>
          <t>Settled</t>
        </is>
      </c>
      <c r="B5" s="39" t="n">
        <v>571</v>
      </c>
    </row>
    <row r="6">
      <c r="A6" s="3" t="inlineStr">
        <is>
          <t>Pending</t>
        </is>
      </c>
      <c r="B6" s="39" t="n">
        <v>58</v>
      </c>
    </row>
    <row r="7">
      <c r="A7" s="3" t="inlineStr">
        <is>
          <t>Brier (all settled)</t>
        </is>
      </c>
      <c r="B7" s="40" t="n">
        <v>0.2503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70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36</v>
      </c>
      <c r="C13" s="15" t="n">
        <v>0.35</v>
      </c>
      <c r="D13" s="15" t="n">
        <v>0.3056</v>
      </c>
      <c r="E13" s="14" t="n">
        <v>-0.0444</v>
      </c>
    </row>
    <row r="14">
      <c r="A14" s="17" t="inlineStr">
        <is>
          <t>40-50%</t>
        </is>
      </c>
      <c r="B14" s="25" t="n">
        <v>32</v>
      </c>
      <c r="C14" s="20" t="n">
        <v>0.45</v>
      </c>
      <c r="D14" s="20" t="n">
        <v>0.5</v>
      </c>
      <c r="E14" s="19" t="n">
        <v>0.04999999999999999</v>
      </c>
    </row>
    <row r="15">
      <c r="A15" s="12" t="inlineStr">
        <is>
          <t>50-60%</t>
        </is>
      </c>
      <c r="B15" s="22" t="n">
        <v>215</v>
      </c>
      <c r="C15" s="15" t="n">
        <v>0.55</v>
      </c>
      <c r="D15" s="15" t="n">
        <v>0.4744</v>
      </c>
      <c r="E15" s="14" t="n">
        <v>-0.07560000000000006</v>
      </c>
    </row>
    <row r="16">
      <c r="A16" s="17" t="inlineStr">
        <is>
          <t>60-70%</t>
        </is>
      </c>
      <c r="B16" s="25" t="n">
        <v>93</v>
      </c>
      <c r="C16" s="20" t="n">
        <v>0.65</v>
      </c>
      <c r="D16" s="20" t="n">
        <v>0.4624</v>
      </c>
      <c r="E16" s="19" t="n">
        <v>-0.1876</v>
      </c>
    </row>
    <row r="17">
      <c r="A17" s="12" t="inlineStr">
        <is>
          <t>70-80%</t>
        </is>
      </c>
      <c r="B17" s="22" t="n">
        <v>114</v>
      </c>
      <c r="C17" s="15" t="n">
        <v>0.75</v>
      </c>
      <c r="D17" s="15" t="n">
        <v>0.3772</v>
      </c>
      <c r="E17" s="14" t="n">
        <v>-0.3728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BEST BET</t>
        </is>
      </c>
      <c r="B21" s="22" t="n">
        <v>1</v>
      </c>
      <c r="C21" s="15" t="n">
        <v>1</v>
      </c>
    </row>
    <row r="22">
      <c r="A22" s="17" t="inlineStr">
        <is>
          <t>GOOD</t>
        </is>
      </c>
      <c r="B22" s="25" t="n">
        <v>2</v>
      </c>
      <c r="C22" s="20" t="n">
        <v>0.5</v>
      </c>
    </row>
    <row r="23">
      <c r="A23" s="12" t="inlineStr">
        <is>
          <t>LEAN</t>
        </is>
      </c>
      <c r="B23" s="22" t="n">
        <v>22</v>
      </c>
      <c r="C23" s="15" t="n">
        <v>0.3636</v>
      </c>
    </row>
    <row r="24">
      <c r="A24" s="17" t="inlineStr">
        <is>
          <t>PASS</t>
        </is>
      </c>
      <c r="B24" s="25" t="n">
        <v>546</v>
      </c>
      <c r="C24" s="20" t="n">
        <v>0.3773</v>
      </c>
    </row>
    <row r="26">
      <c r="A26" s="3" t="inlineStr">
        <is>
          <t>ACCURACY BY MARKET</t>
        </is>
      </c>
    </row>
    <row r="27">
      <c r="A27" s="11" t="inlineStr">
        <is>
          <t>Market</t>
        </is>
      </c>
      <c r="B27" s="11" t="inlineStr">
        <is>
          <t>N</t>
        </is>
      </c>
      <c r="C27" s="11" t="inlineStr">
        <is>
          <t>Win Rate</t>
        </is>
      </c>
      <c r="D27" s="11" t="inlineStr">
        <is>
          <t>Brier</t>
        </is>
      </c>
    </row>
    <row r="28">
      <c r="A28" s="12" t="inlineStr">
        <is>
          <t>ATS</t>
        </is>
      </c>
      <c r="B28" s="22" t="n">
        <v>187</v>
      </c>
      <c r="C28" s="15" t="n">
        <v>0.3957</v>
      </c>
      <c r="D28" s="41" t="n">
        <v>0.3298</v>
      </c>
    </row>
    <row r="29">
      <c r="A29" s="17" t="inlineStr">
        <is>
          <t>ML</t>
        </is>
      </c>
      <c r="B29" s="25" t="n">
        <v>146</v>
      </c>
      <c r="C29" s="20" t="n">
        <v>0.1438</v>
      </c>
      <c r="D29" s="42" t="n">
        <v>0.1349</v>
      </c>
    </row>
    <row r="30">
      <c r="A30" s="12" t="inlineStr">
        <is>
          <t>TOTAL</t>
        </is>
      </c>
      <c r="B30" s="22" t="n">
        <v>238</v>
      </c>
      <c r="C30" s="15" t="n">
        <v>0.5084</v>
      </c>
      <c r="D30" s="41" t="n">
        <v>0.2586</v>
      </c>
    </row>
    <row r="32">
      <c r="A32" s="3" t="inlineStr">
        <is>
          <t>WEEK TREND</t>
        </is>
      </c>
    </row>
    <row r="33">
      <c r="A33" s="11" t="inlineStr">
        <is>
          <t>Week</t>
        </is>
      </c>
      <c r="B33" s="11" t="inlineStr">
        <is>
          <t>Predictions Settled</t>
        </is>
      </c>
      <c r="C33" s="11" t="inlineStr">
        <is>
          <t>Win Rate</t>
        </is>
      </c>
      <c r="D33" s="11" t="inlineStr">
        <is>
          <t>Brier</t>
        </is>
      </c>
    </row>
    <row r="34">
      <c r="A34" s="12" t="inlineStr">
        <is>
          <t>1</t>
        </is>
      </c>
      <c r="B34" s="22" t="n">
        <v>300</v>
      </c>
      <c r="C34" s="15" t="n">
        <v>0.37</v>
      </c>
      <c r="D34" s="41" t="n">
        <v>0.2542</v>
      </c>
    </row>
    <row r="35">
      <c r="A35" s="17" t="inlineStr">
        <is>
          <t>2</t>
        </is>
      </c>
      <c r="B35" s="25" t="n">
        <v>271</v>
      </c>
      <c r="C35" s="20" t="n">
        <v>0.3875</v>
      </c>
      <c r="D35" s="42" t="n">
        <v>0.2459</v>
      </c>
    </row>
    <row r="37">
      <c r="A37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8"/>
    <row r="39"/>
  </sheetData>
  <mergeCells count="1">
    <mergeCell ref="A37:E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2026-09-13T13:07:56Z</dcterms:created>
  <dcterms:modified xsi:type="dcterms:W3CDTF">2026-09-13T13:07:57Z</dcterms:modified>
</cp:coreProperties>
</file>
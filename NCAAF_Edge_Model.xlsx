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30" headerRowCount="1">
  <autoFilter ref="A4:Q33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2026-09-13T21:08:00+00:00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Ledger'!$G$6:$G$113,"&lt;&gt;Pending",'Bet Ledger'!$H$6:$H$113)</f>
        <v/>
      </c>
    </row>
    <row r="6">
      <c r="A6" s="3" t="inlineStr">
        <is>
          <t>Total Staked</t>
        </is>
      </c>
      <c r="B6" s="5">
        <f>SUMIF('Bet Ledger'!$G$6:$G$113,"&lt;&gt;Pending",'Bet Ledger'!$F$6:$F$113)</f>
        <v/>
      </c>
    </row>
    <row r="7">
      <c r="A7" s="3" t="inlineStr">
        <is>
          <t>Profit / Loss</t>
        </is>
      </c>
      <c r="B7" s="5">
        <f>SUMIF('Bet Ledger'!$G$6:$G$113,"&lt;&gt;Pending",'Bet Ledger'!$H$6:$H$113)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Ledger'!$G$6:$G$113,"&lt;&gt;Pending",'Bet Ledger'!$G$6:$G$113,"&lt;&gt;")</f>
        <v/>
      </c>
    </row>
    <row r="10">
      <c r="A10" s="3" t="inlineStr">
        <is>
          <t>Wins</t>
        </is>
      </c>
      <c r="B10" s="7">
        <f>COUNTIF('Bet Ledger'!$G$6:$G$113,"Win")</f>
        <v/>
      </c>
    </row>
    <row r="11">
      <c r="A11" s="3" t="inlineStr">
        <is>
          <t>Losses</t>
        </is>
      </c>
      <c r="B11" s="7">
        <f>COUNTIF('Bet Ledger'!$G$6:$G$113,"Loss")</f>
        <v/>
      </c>
    </row>
    <row r="12">
      <c r="A12" s="3" t="inlineStr">
        <is>
          <t>Pushes</t>
        </is>
      </c>
      <c r="B12" s="7">
        <f>COUNTIF('Bet Ledger'!$G$6:$G$113,"Push")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Ledger'!$G$6:$G$113,"Pending")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LIB</t>
        </is>
      </c>
      <c r="C21" s="12" t="inlineStr">
        <is>
          <t>ML</t>
        </is>
      </c>
      <c r="D21" s="12" t="inlineStr">
        <is>
          <t>BALL ML</t>
        </is>
      </c>
      <c r="E21" s="13" t="n">
        <v>600</v>
      </c>
      <c r="F21" s="14" t="n">
        <v>0.09499999282949401</v>
      </c>
      <c r="G21" s="15" t="n">
        <v>0.2482050030880608</v>
      </c>
      <c r="H21" s="16" t="n"/>
      <c r="I21" s="12" t="inlineStr">
        <is>
          <t>2026-09-19 20:00</t>
        </is>
      </c>
    </row>
    <row r="22">
      <c r="A22" s="17" t="inlineStr">
        <is>
          <t>BEST BET</t>
        </is>
      </c>
      <c r="B22" s="17" t="inlineStr">
        <is>
          <t>M-OH @ CIN</t>
        </is>
      </c>
      <c r="C22" s="17" t="inlineStr">
        <is>
          <t>ML</t>
        </is>
      </c>
      <c r="D22" s="17" t="inlineStr">
        <is>
          <t>M-OH ML</t>
        </is>
      </c>
      <c r="E22" s="18" t="n">
        <v>525</v>
      </c>
      <c r="F22" s="19" t="n">
        <v>0.09499960674902244</v>
      </c>
      <c r="G22" s="20" t="n">
        <v>0.2489266660052243</v>
      </c>
      <c r="H22" s="21" t="n"/>
      <c r="I22" s="17" t="inlineStr">
        <is>
          <t>2026-09-19 19:30</t>
        </is>
      </c>
    </row>
    <row r="23">
      <c r="A23" s="12" t="inlineStr">
        <is>
          <t>BEST BET</t>
        </is>
      </c>
      <c r="B23" s="12" t="inlineStr">
        <is>
          <t>PUR @ UCLA</t>
        </is>
      </c>
      <c r="C23" s="12" t="inlineStr">
        <is>
          <t>ML</t>
        </is>
      </c>
      <c r="D23" s="12" t="inlineStr">
        <is>
          <t>PUR ML</t>
        </is>
      </c>
      <c r="E23" s="13" t="n">
        <v>550</v>
      </c>
      <c r="F23" s="14" t="n">
        <v>0.09499680168949906</v>
      </c>
      <c r="G23" s="15" t="n">
        <v>0.2245760618243008</v>
      </c>
      <c r="H23" s="16" t="n"/>
      <c r="I23" s="12" t="inlineStr">
        <is>
          <t>2026-09-20 03:00</t>
        </is>
      </c>
    </row>
    <row r="24">
      <c r="A24" s="17" t="inlineStr">
        <is>
          <t>BEST BET</t>
        </is>
      </c>
      <c r="B24" s="17" t="inlineStr">
        <is>
          <t>UK @ TA&amp;M</t>
        </is>
      </c>
      <c r="C24" s="17" t="inlineStr">
        <is>
          <t>ML</t>
        </is>
      </c>
      <c r="D24" s="17" t="inlineStr">
        <is>
          <t>UK ML</t>
        </is>
      </c>
      <c r="E24" s="18" t="n">
        <v>525</v>
      </c>
      <c r="F24" s="19" t="n">
        <v>0.09498690378139235</v>
      </c>
      <c r="G24" s="20" t="n">
        <v>0.2207433466428926</v>
      </c>
      <c r="H24" s="21" t="n"/>
      <c r="I24" s="17" t="inlineStr">
        <is>
          <t>2026-09-19 19:30</t>
        </is>
      </c>
    </row>
    <row r="25">
      <c r="A25" s="12" t="inlineStr">
        <is>
          <t>BEST BET</t>
        </is>
      </c>
      <c r="B25" s="12" t="inlineStr">
        <is>
          <t>WVU @ UVA</t>
        </is>
      </c>
      <c r="C25" s="12" t="inlineStr">
        <is>
          <t>ML</t>
        </is>
      </c>
      <c r="D25" s="12" t="inlineStr">
        <is>
          <t>WVU ML</t>
        </is>
      </c>
      <c r="E25" s="13" t="n">
        <v>285</v>
      </c>
      <c r="F25" s="14" t="n">
        <v>0.0949763507603297</v>
      </c>
      <c r="G25" s="15" t="n">
        <v>0.3556123658730137</v>
      </c>
      <c r="H25" s="16" t="n"/>
      <c r="I25" s="12" t="inlineStr">
        <is>
          <t>2026-09-19 23:30</t>
        </is>
      </c>
    </row>
    <row r="26">
      <c r="A26" s="17" t="inlineStr">
        <is>
          <t>BEST BET</t>
        </is>
      </c>
      <c r="B26" s="17" t="inlineStr">
        <is>
          <t>CONN @ USM</t>
        </is>
      </c>
      <c r="C26" s="17" t="inlineStr">
        <is>
          <t>ML</t>
        </is>
      </c>
      <c r="D26" s="17" t="inlineStr">
        <is>
          <t>USM ML</t>
        </is>
      </c>
      <c r="E26" s="18" t="n">
        <v>140</v>
      </c>
      <c r="F26" s="19" t="n">
        <v>0.09481541182709922</v>
      </c>
      <c r="G26" s="20" t="n">
        <v>0.5322581550306781</v>
      </c>
      <c r="H26" s="21" t="n"/>
      <c r="I26" s="17" t="inlineStr">
        <is>
          <t>2026-09-19 23:00</t>
        </is>
      </c>
    </row>
    <row r="27">
      <c r="A27" s="12" t="inlineStr">
        <is>
          <t>BEST BET</t>
        </is>
      </c>
      <c r="B27" s="12" t="inlineStr">
        <is>
          <t>VT @ MD</t>
        </is>
      </c>
      <c r="C27" s="12" t="inlineStr">
        <is>
          <t>ML</t>
        </is>
      </c>
      <c r="D27" s="12" t="inlineStr">
        <is>
          <t>MD ML</t>
        </is>
      </c>
      <c r="E27" s="13" t="n">
        <v>130</v>
      </c>
      <c r="F27" s="14" t="n">
        <v>0.09476523129803091</v>
      </c>
      <c r="G27" s="15" t="n">
        <v>0.5496197664000578</v>
      </c>
      <c r="H27" s="16" t="n"/>
      <c r="I27" s="12" t="inlineStr">
        <is>
          <t>2026-09-19 23:30</t>
        </is>
      </c>
    </row>
    <row r="28">
      <c r="A28" s="17" t="inlineStr">
        <is>
          <t>BEST BET</t>
        </is>
      </c>
      <c r="B28" s="17" t="inlineStr">
        <is>
          <t>UNT @ TXST</t>
        </is>
      </c>
      <c r="C28" s="17" t="inlineStr">
        <is>
          <t>TOTAL</t>
        </is>
      </c>
      <c r="D28" s="17" t="inlineStr">
        <is>
          <t>Under 62.5</t>
        </is>
      </c>
      <c r="E28" s="18" t="n">
        <v>-108</v>
      </c>
      <c r="F28" s="19" t="n">
        <v>0.09451261540505713</v>
      </c>
      <c r="G28" s="20" t="n">
        <v>0.6360688300112881</v>
      </c>
      <c r="H28" s="21" t="n"/>
      <c r="I28" s="17" t="inlineStr">
        <is>
          <t>2026-09-19 16:00</t>
        </is>
      </c>
    </row>
    <row r="29">
      <c r="A29" s="12" t="inlineStr">
        <is>
          <t>BEST BET</t>
        </is>
      </c>
      <c r="B29" s="12" t="inlineStr">
        <is>
          <t>KENT @ OSU</t>
        </is>
      </c>
      <c r="C29" s="12" t="inlineStr">
        <is>
          <t>TOTAL</t>
        </is>
      </c>
      <c r="D29" s="12" t="inlineStr">
        <is>
          <t>Under 58.5</t>
        </is>
      </c>
      <c r="E29" s="13" t="n">
        <v>-110</v>
      </c>
      <c r="F29" s="14" t="n">
        <v>0.09440149865338747</v>
      </c>
      <c r="G29" s="15" t="n">
        <v>0.6367333954374146</v>
      </c>
      <c r="H29" s="16" t="n"/>
      <c r="I29" s="12" t="inlineStr">
        <is>
          <t>2026-09-19 16:00</t>
        </is>
      </c>
    </row>
    <row r="30">
      <c r="A30" s="17" t="inlineStr">
        <is>
          <t>GOOD</t>
        </is>
      </c>
      <c r="B30" s="17" t="inlineStr">
        <is>
          <t>MRSH @ MOST</t>
        </is>
      </c>
      <c r="C30" s="17" t="inlineStr">
        <is>
          <t>ML</t>
        </is>
      </c>
      <c r="D30" s="17" t="inlineStr">
        <is>
          <t>MOST ML</t>
        </is>
      </c>
      <c r="E30" s="18" t="n">
        <v>136</v>
      </c>
      <c r="F30" s="19" t="n">
        <v>0.09479070498311536</v>
      </c>
      <c r="G30" s="20" t="n">
        <v>0.5381636583559086</v>
      </c>
      <c r="H30" s="21" t="n"/>
      <c r="I30" s="17" t="inlineStr">
        <is>
          <t>2026-09-19 22:30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LIB</t>
        </is>
      </c>
      <c r="C5" s="12" t="inlineStr">
        <is>
          <t>2026-09-19 20:00</t>
        </is>
      </c>
      <c r="D5" s="22" t="n">
        <v>3</v>
      </c>
      <c r="E5" s="12" t="inlineStr">
        <is>
          <t>ML</t>
        </is>
      </c>
      <c r="F5" s="12" t="inlineStr">
        <is>
          <t>BALL ML</t>
        </is>
      </c>
      <c r="G5" s="23" t="n"/>
      <c r="H5" s="13" t="n">
        <v>600</v>
      </c>
      <c r="I5" s="15" t="n">
        <v>0.2482050030880608</v>
      </c>
      <c r="J5" s="15" t="n">
        <v>0.136986301369863</v>
      </c>
      <c r="K5" s="15" t="n">
        <v>0.1428571428571428</v>
      </c>
      <c r="L5" s="14" t="n">
        <v>0.09499999282949401</v>
      </c>
      <c r="M5" s="14" t="n">
        <v>0.7374350216164256</v>
      </c>
      <c r="N5" s="15" t="n">
        <v>0</v>
      </c>
      <c r="O5" s="24" t="n">
        <v>0.8333333333333334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M-OH @ CIN</t>
        </is>
      </c>
      <c r="C6" s="17" t="inlineStr">
        <is>
          <t>2026-09-19 19:30</t>
        </is>
      </c>
      <c r="D6" s="25" t="n">
        <v>3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525</v>
      </c>
      <c r="I6" s="20" t="n">
        <v>0.2489266660052243</v>
      </c>
      <c r="J6" s="20" t="n">
        <v>0.1534988713318285</v>
      </c>
      <c r="K6" s="20" t="n">
        <v>0.16</v>
      </c>
      <c r="L6" s="19" t="n">
        <v>0.09499960674902244</v>
      </c>
      <c r="M6" s="19" t="n">
        <v>0.5557916625326518</v>
      </c>
      <c r="N6" s="20" t="n">
        <v>0</v>
      </c>
      <c r="O6" s="27" t="n">
        <v>0.8333333333333334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PUR @ UCLA</t>
        </is>
      </c>
      <c r="C7" s="12" t="inlineStr">
        <is>
          <t>2026-09-20 03:00</t>
        </is>
      </c>
      <c r="D7" s="22" t="n">
        <v>3</v>
      </c>
      <c r="E7" s="12" t="inlineStr">
        <is>
          <t>ML</t>
        </is>
      </c>
      <c r="F7" s="12" t="inlineStr">
        <is>
          <t>PUR ML</t>
        </is>
      </c>
      <c r="G7" s="23" t="n"/>
      <c r="H7" s="13" t="n">
        <v>550</v>
      </c>
      <c r="I7" s="15" t="n">
        <v>0.2245760618243008</v>
      </c>
      <c r="J7" s="15" t="n">
        <v>0.1475409836065574</v>
      </c>
      <c r="K7" s="15" t="n">
        <v>0.1538461538461539</v>
      </c>
      <c r="L7" s="14" t="n">
        <v>0.09499680168949906</v>
      </c>
      <c r="M7" s="14" t="n">
        <v>0.4597444018579551</v>
      </c>
      <c r="N7" s="15" t="n">
        <v>0</v>
      </c>
      <c r="O7" s="24" t="n">
        <v>0.75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UK @ TA&amp;M</t>
        </is>
      </c>
      <c r="C8" s="17" t="inlineStr">
        <is>
          <t>2026-09-19 19:30</t>
        </is>
      </c>
      <c r="D8" s="25" t="n">
        <v>3</v>
      </c>
      <c r="E8" s="17" t="inlineStr">
        <is>
          <t>ML</t>
        </is>
      </c>
      <c r="F8" s="17" t="inlineStr">
        <is>
          <t>UK ML</t>
        </is>
      </c>
      <c r="G8" s="26" t="n"/>
      <c r="H8" s="18" t="n">
        <v>525</v>
      </c>
      <c r="I8" s="20" t="n">
        <v>0.2207433466428926</v>
      </c>
      <c r="J8" s="20" t="n">
        <v>0.1516966067864272</v>
      </c>
      <c r="K8" s="20" t="n">
        <v>0.16</v>
      </c>
      <c r="L8" s="19" t="n">
        <v>0.09498690378139235</v>
      </c>
      <c r="M8" s="19" t="n">
        <v>0.379645916518079</v>
      </c>
      <c r="N8" s="20" t="n">
        <v>0</v>
      </c>
      <c r="O8" s="27" t="n">
        <v>0.839</v>
      </c>
      <c r="P8" s="17" t="inlineStr">
        <is>
          <t>Draft Kings</t>
        </is>
      </c>
      <c r="Q8" s="17" t="n"/>
    </row>
    <row r="9">
      <c r="A9" s="12" t="inlineStr">
        <is>
          <t>BEST BET</t>
        </is>
      </c>
      <c r="B9" s="12" t="inlineStr">
        <is>
          <t>WVU @ UVA</t>
        </is>
      </c>
      <c r="C9" s="12" t="inlineStr">
        <is>
          <t>2026-09-19 23:30</t>
        </is>
      </c>
      <c r="D9" s="22" t="n">
        <v>3</v>
      </c>
      <c r="E9" s="12" t="inlineStr">
        <is>
          <t>ML</t>
        </is>
      </c>
      <c r="F9" s="12" t="inlineStr">
        <is>
          <t>WVU ML</t>
        </is>
      </c>
      <c r="G9" s="23" t="n"/>
      <c r="H9" s="13" t="n">
        <v>285</v>
      </c>
      <c r="I9" s="15" t="n">
        <v>0.3556123658730137</v>
      </c>
      <c r="J9" s="15" t="n">
        <v>0.2491874322860238</v>
      </c>
      <c r="K9" s="15" t="n">
        <v>0.2597402597402597</v>
      </c>
      <c r="L9" s="14" t="n">
        <v>0.0949763507603297</v>
      </c>
      <c r="M9" s="14" t="n">
        <v>0.3691076086111027</v>
      </c>
      <c r="N9" s="15" t="n">
        <v>0</v>
      </c>
      <c r="O9" s="24" t="n">
        <v>0.839</v>
      </c>
      <c r="P9" s="12" t="inlineStr">
        <is>
          <t>Draft Kings</t>
        </is>
      </c>
      <c r="Q9" s="12" t="n"/>
    </row>
    <row r="10">
      <c r="A10" s="17" t="inlineStr">
        <is>
          <t>BEST BET</t>
        </is>
      </c>
      <c r="B10" s="17" t="inlineStr">
        <is>
          <t>CONN @ USM</t>
        </is>
      </c>
      <c r="C10" s="17" t="inlineStr">
        <is>
          <t>2026-09-19 23:00</t>
        </is>
      </c>
      <c r="D10" s="25" t="n">
        <v>3</v>
      </c>
      <c r="E10" s="17" t="inlineStr">
        <is>
          <t>ML</t>
        </is>
      </c>
      <c r="F10" s="17" t="inlineStr">
        <is>
          <t>USM ML</t>
        </is>
      </c>
      <c r="G10" s="26" t="n"/>
      <c r="H10" s="18" t="n">
        <v>140</v>
      </c>
      <c r="I10" s="20" t="n">
        <v>0.5322581550306781</v>
      </c>
      <c r="J10" s="20" t="n">
        <v>0.4003612281757977</v>
      </c>
      <c r="K10" s="20" t="n">
        <v>0.4166666666666667</v>
      </c>
      <c r="L10" s="19" t="n">
        <v>0.09481541182709922</v>
      </c>
      <c r="M10" s="19" t="n">
        <v>0.2774195720736274</v>
      </c>
      <c r="N10" s="20" t="n">
        <v>0</v>
      </c>
      <c r="O10" s="27" t="n">
        <v>0.8333333333333334</v>
      </c>
      <c r="P10" s="17" t="inlineStr">
        <is>
          <t>Draft Kings</t>
        </is>
      </c>
      <c r="Q10" s="17" t="n"/>
    </row>
    <row r="11">
      <c r="A11" s="12" t="inlineStr">
        <is>
          <t>BEST BET</t>
        </is>
      </c>
      <c r="B11" s="12" t="inlineStr">
        <is>
          <t>VT @ MD</t>
        </is>
      </c>
      <c r="C11" s="12" t="inlineStr">
        <is>
          <t>2026-09-19 23:30</t>
        </is>
      </c>
      <c r="D11" s="22" t="n">
        <v>3</v>
      </c>
      <c r="E11" s="12" t="inlineStr">
        <is>
          <t>ML</t>
        </is>
      </c>
      <c r="F11" s="12" t="inlineStr">
        <is>
          <t>MD ML</t>
        </is>
      </c>
      <c r="G11" s="23" t="n"/>
      <c r="H11" s="13" t="n">
        <v>130</v>
      </c>
      <c r="I11" s="15" t="n">
        <v>0.5496197664000578</v>
      </c>
      <c r="J11" s="15" t="n">
        <v>0.4170073589533933</v>
      </c>
      <c r="K11" s="15" t="n">
        <v>0.4347826086956522</v>
      </c>
      <c r="L11" s="14" t="n">
        <v>0.09476523129803091</v>
      </c>
      <c r="M11" s="14" t="n">
        <v>0.2641254627201328</v>
      </c>
      <c r="N11" s="15" t="n">
        <v>0</v>
      </c>
      <c r="O11" s="24" t="n">
        <v>0.839</v>
      </c>
      <c r="P11" s="12" t="inlineStr">
        <is>
          <t>Draft Kings</t>
        </is>
      </c>
      <c r="Q11" s="12" t="n"/>
    </row>
    <row r="12">
      <c r="A12" s="17" t="inlineStr">
        <is>
          <t>BEST BET</t>
        </is>
      </c>
      <c r="B12" s="17" t="inlineStr">
        <is>
          <t>UNT @ TXST</t>
        </is>
      </c>
      <c r="C12" s="17" t="inlineStr">
        <is>
          <t>2026-09-19 16:00</t>
        </is>
      </c>
      <c r="D12" s="25" t="n">
        <v>3</v>
      </c>
      <c r="E12" s="17" t="inlineStr">
        <is>
          <t>TOTAL</t>
        </is>
      </c>
      <c r="F12" s="17" t="inlineStr">
        <is>
          <t>Under 62.5</t>
        </is>
      </c>
      <c r="G12" s="26" t="n">
        <v>62.5</v>
      </c>
      <c r="H12" s="18" t="n">
        <v>-108</v>
      </c>
      <c r="I12" s="20" t="n">
        <v>0.6360688300112881</v>
      </c>
      <c r="J12" s="20" t="n">
        <v>0.4956702459300312</v>
      </c>
      <c r="K12" s="20" t="n">
        <v>0.5192307692307693</v>
      </c>
      <c r="L12" s="19" t="n">
        <v>0.09451261540505713</v>
      </c>
      <c r="M12" s="19" t="n">
        <v>0.2250214503921104</v>
      </c>
      <c r="N12" s="20" t="n">
        <v>0</v>
      </c>
      <c r="O12" s="27" t="n">
        <v>0.8333333333333334</v>
      </c>
      <c r="P12" s="17" t="inlineStr">
        <is>
          <t>Draft Kings</t>
        </is>
      </c>
      <c r="Q12" s="17" t="n"/>
    </row>
    <row r="13">
      <c r="A13" s="12" t="inlineStr">
        <is>
          <t>BEST BET</t>
        </is>
      </c>
      <c r="B13" s="12" t="inlineStr">
        <is>
          <t>KENT @ OSU</t>
        </is>
      </c>
      <c r="C13" s="12" t="inlineStr">
        <is>
          <t>2026-09-19 16:00</t>
        </is>
      </c>
      <c r="D13" s="22" t="n">
        <v>3</v>
      </c>
      <c r="E13" s="12" t="inlineStr">
        <is>
          <t>TOTAL</t>
        </is>
      </c>
      <c r="F13" s="12" t="inlineStr">
        <is>
          <t>Under 58.5</t>
        </is>
      </c>
      <c r="G13" s="23" t="n">
        <v>58.5</v>
      </c>
      <c r="H13" s="13" t="n">
        <v>-110</v>
      </c>
      <c r="I13" s="15" t="n">
        <v>0.6367333954374146</v>
      </c>
      <c r="J13" s="15" t="n">
        <v>0.5</v>
      </c>
      <c r="K13" s="15" t="n">
        <v>0.5238095238095238</v>
      </c>
      <c r="L13" s="14" t="n">
        <v>0.09440149865338747</v>
      </c>
      <c r="M13" s="14" t="n">
        <v>0.2155819367441552</v>
      </c>
      <c r="N13" s="15" t="n">
        <v>0</v>
      </c>
      <c r="O13" s="24" t="n">
        <v>0.839</v>
      </c>
      <c r="P13" s="12" t="inlineStr">
        <is>
          <t>Draft Kings</t>
        </is>
      </c>
      <c r="Q13" s="12" t="n"/>
    </row>
    <row r="14">
      <c r="A14" s="17" t="inlineStr">
        <is>
          <t>GOOD</t>
        </is>
      </c>
      <c r="B14" s="17" t="inlineStr">
        <is>
          <t>MRSH @ MOST</t>
        </is>
      </c>
      <c r="C14" s="17" t="inlineStr">
        <is>
          <t>2026-09-19 22:30</t>
        </is>
      </c>
      <c r="D14" s="25" t="n">
        <v>3</v>
      </c>
      <c r="E14" s="17" t="inlineStr">
        <is>
          <t>ML</t>
        </is>
      </c>
      <c r="F14" s="17" t="inlineStr">
        <is>
          <t>MOST ML</t>
        </is>
      </c>
      <c r="G14" s="26" t="n"/>
      <c r="H14" s="18" t="n">
        <v>136</v>
      </c>
      <c r="I14" s="20" t="n">
        <v>0.5381636583559086</v>
      </c>
      <c r="J14" s="20" t="n">
        <v>0.4066302458405761</v>
      </c>
      <c r="K14" s="20" t="n">
        <v>0.423728813559322</v>
      </c>
      <c r="L14" s="19" t="n">
        <v>0.09479070498311536</v>
      </c>
      <c r="M14" s="19" t="n">
        <v>0.2700662337199444</v>
      </c>
      <c r="N14" s="20" t="n">
        <v>0</v>
      </c>
      <c r="O14" s="27" t="n">
        <v>0.75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1100</v>
      </c>
      <c r="I15" s="15" t="n">
        <v>0.3358451173129113</v>
      </c>
      <c r="J15" s="15" t="n">
        <v>0.08029197080291971</v>
      </c>
      <c r="K15" s="15" t="n">
        <v>0.08333333333333333</v>
      </c>
      <c r="L15" s="14" t="n">
        <v>0.095</v>
      </c>
      <c r="M15" s="14" t="n">
        <v>3.030141407754935</v>
      </c>
      <c r="N15" s="15" t="n">
        <v>0</v>
      </c>
      <c r="O15" s="24" t="n">
        <v>0.839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UGA @ ARK</t>
        </is>
      </c>
      <c r="C16" s="17" t="inlineStr">
        <is>
          <t>2026-09-19 16:00</t>
        </is>
      </c>
      <c r="D16" s="25" t="n">
        <v>3</v>
      </c>
      <c r="E16" s="17" t="inlineStr">
        <is>
          <t>ML</t>
        </is>
      </c>
      <c r="F16" s="17" t="inlineStr">
        <is>
          <t>ARK ML</t>
        </is>
      </c>
      <c r="G16" s="26" t="n"/>
      <c r="H16" s="18" t="n">
        <v>1600</v>
      </c>
      <c r="I16" s="20" t="n">
        <v>0.3214595933028641</v>
      </c>
      <c r="J16" s="20" t="n">
        <v>0.05686546463245493</v>
      </c>
      <c r="K16" s="20" t="n">
        <v>0.05882352941176471</v>
      </c>
      <c r="L16" s="19" t="n">
        <v>0.095</v>
      </c>
      <c r="M16" s="19" t="n">
        <v>4.464813086148689</v>
      </c>
      <c r="N16" s="20" t="n">
        <v>0</v>
      </c>
      <c r="O16" s="27" t="n">
        <v>0.839</v>
      </c>
      <c r="P16" s="17" t="inlineStr">
        <is>
          <t>Draft 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AKR @ MINN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AKR ML</t>
        </is>
      </c>
      <c r="G17" s="23" t="n"/>
      <c r="H17" s="13" t="n">
        <v>1800</v>
      </c>
      <c r="I17" s="15" t="n">
        <v>0.2275312068156152</v>
      </c>
      <c r="J17" s="15" t="n">
        <v>0.05094905094905094</v>
      </c>
      <c r="K17" s="15" t="n">
        <v>0.05263157894736842</v>
      </c>
      <c r="L17" s="14" t="n">
        <v>0.095</v>
      </c>
      <c r="M17" s="14" t="n">
        <v>3.323092929496689</v>
      </c>
      <c r="N17" s="15" t="n">
        <v>0</v>
      </c>
      <c r="O17" s="24" t="n">
        <v>0.8333333333333334</v>
      </c>
      <c r="P17" s="12" t="inlineStr">
        <is>
          <t>Draft 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EMU @ WIS</t>
        </is>
      </c>
      <c r="C18" s="17" t="inlineStr">
        <is>
          <t>2026-09-19 16:30</t>
        </is>
      </c>
      <c r="D18" s="25" t="n">
        <v>3</v>
      </c>
      <c r="E18" s="17" t="inlineStr">
        <is>
          <t>ML</t>
        </is>
      </c>
      <c r="F18" s="17" t="inlineStr">
        <is>
          <t>EMU ML</t>
        </is>
      </c>
      <c r="G18" s="26" t="n"/>
      <c r="H18" s="18" t="n">
        <v>1400</v>
      </c>
      <c r="I18" s="20" t="n">
        <v>0.1994248898835949</v>
      </c>
      <c r="J18" s="20" t="n">
        <v>0.06432748538011696</v>
      </c>
      <c r="K18" s="20" t="n">
        <v>0.06666666666666667</v>
      </c>
      <c r="L18" s="19" t="n">
        <v>0.095</v>
      </c>
      <c r="M18" s="19" t="n">
        <v>1.991373348253923</v>
      </c>
      <c r="N18" s="20" t="n">
        <v>0</v>
      </c>
      <c r="O18" s="27" t="n">
        <v>0.8333333333333334</v>
      </c>
      <c r="P18" s="17" t="inlineStr">
        <is>
          <t>Draft 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USU @ UTAH</t>
        </is>
      </c>
      <c r="C19" s="12" t="inlineStr">
        <is>
          <t>2026-09-19 19:30</t>
        </is>
      </c>
      <c r="D19" s="22" t="n">
        <v>3</v>
      </c>
      <c r="E19" s="12" t="inlineStr">
        <is>
          <t>ML</t>
        </is>
      </c>
      <c r="F19" s="12" t="inlineStr">
        <is>
          <t>USU ML</t>
        </is>
      </c>
      <c r="G19" s="23" t="n"/>
      <c r="H19" s="13" t="n">
        <v>2000</v>
      </c>
      <c r="I19" s="15" t="n">
        <v>0.1837630030986662</v>
      </c>
      <c r="J19" s="15" t="n">
        <v>0.0461215932914046</v>
      </c>
      <c r="K19" s="15" t="n">
        <v>0.04761904761904762</v>
      </c>
      <c r="L19" s="14" t="n">
        <v>0.095</v>
      </c>
      <c r="M19" s="14" t="n">
        <v>2.859023065071991</v>
      </c>
      <c r="N19" s="15" t="n">
        <v>0</v>
      </c>
      <c r="O19" s="24" t="n">
        <v>0.8333333333333334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USC @ RUTG</t>
        </is>
      </c>
      <c r="C20" s="17" t="inlineStr">
        <is>
          <t>2026-09-19 19:30</t>
        </is>
      </c>
      <c r="D20" s="25" t="n">
        <v>3</v>
      </c>
      <c r="E20" s="17" t="inlineStr">
        <is>
          <t>ML</t>
        </is>
      </c>
      <c r="F20" s="17" t="inlineStr">
        <is>
          <t>RUTG ML</t>
        </is>
      </c>
      <c r="G20" s="26" t="n"/>
      <c r="H20" s="18" t="n">
        <v>1400</v>
      </c>
      <c r="I20" s="20" t="n">
        <v>0.3390220968195178</v>
      </c>
      <c r="J20" s="20" t="n">
        <v>0.06432748538011696</v>
      </c>
      <c r="K20" s="20" t="n">
        <v>0.06666666666666667</v>
      </c>
      <c r="L20" s="19" t="n">
        <v>0.095</v>
      </c>
      <c r="M20" s="19" t="n">
        <v>4.085331452292767</v>
      </c>
      <c r="N20" s="20" t="n">
        <v>0</v>
      </c>
      <c r="O20" s="27" t="n">
        <v>0.75</v>
      </c>
      <c r="P20" s="17" t="inlineStr">
        <is>
          <t>Draft 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TROY @ MIZ</t>
        </is>
      </c>
      <c r="C21" s="12" t="inlineStr">
        <is>
          <t>2026-09-19 23:00</t>
        </is>
      </c>
      <c r="D21" s="22" t="n">
        <v>3</v>
      </c>
      <c r="E21" s="12" t="inlineStr">
        <is>
          <t>ML</t>
        </is>
      </c>
      <c r="F21" s="12" t="inlineStr">
        <is>
          <t>TROY ML</t>
        </is>
      </c>
      <c r="G21" s="23" t="n"/>
      <c r="H21" s="13" t="n">
        <v>2000</v>
      </c>
      <c r="I21" s="15" t="n">
        <v>0.1682052507748195</v>
      </c>
      <c r="J21" s="15" t="n">
        <v>0.0461215932914046</v>
      </c>
      <c r="K21" s="15" t="n">
        <v>0.04761904761904762</v>
      </c>
      <c r="L21" s="14" t="n">
        <v>0.095</v>
      </c>
      <c r="M21" s="14" t="n">
        <v>2.53231026627121</v>
      </c>
      <c r="N21" s="15" t="n">
        <v>0</v>
      </c>
      <c r="O21" s="24" t="n">
        <v>0.75</v>
      </c>
      <c r="P21" s="12" t="inlineStr">
        <is>
          <t>Draft 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UNM @ OU</t>
        </is>
      </c>
      <c r="C22" s="17" t="inlineStr">
        <is>
          <t>2026-09-19 23:30</t>
        </is>
      </c>
      <c r="D22" s="25" t="n">
        <v>3</v>
      </c>
      <c r="E22" s="17" t="inlineStr">
        <is>
          <t>ML</t>
        </is>
      </c>
      <c r="F22" s="17" t="inlineStr">
        <is>
          <t>UNM ML</t>
        </is>
      </c>
      <c r="G22" s="26" t="n"/>
      <c r="H22" s="18" t="n">
        <v>1200</v>
      </c>
      <c r="I22" s="20" t="n">
        <v>0.2169393650222422</v>
      </c>
      <c r="J22" s="20" t="n">
        <v>0.0741839762611276</v>
      </c>
      <c r="K22" s="20" t="n">
        <v>0.07692307692307693</v>
      </c>
      <c r="L22" s="19" t="n">
        <v>0.095</v>
      </c>
      <c r="M22" s="19" t="n">
        <v>1.820211745289149</v>
      </c>
      <c r="N22" s="20" t="n">
        <v>0</v>
      </c>
      <c r="O22" s="27" t="n">
        <v>0.8333333333333334</v>
      </c>
      <c r="P22" s="17" t="inlineStr">
        <is>
          <t>Draft 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BYU @ CSU</t>
        </is>
      </c>
      <c r="C23" s="12" t="inlineStr">
        <is>
          <t>2026-09-19 23:30</t>
        </is>
      </c>
      <c r="D23" s="22" t="n">
        <v>3</v>
      </c>
      <c r="E23" s="12" t="inlineStr">
        <is>
          <t>ML</t>
        </is>
      </c>
      <c r="F23" s="12" t="inlineStr">
        <is>
          <t>CSU ML</t>
        </is>
      </c>
      <c r="G23" s="23" t="n"/>
      <c r="H23" s="13" t="n">
        <v>800</v>
      </c>
      <c r="I23" s="15" t="n">
        <v>0.3761655565550687</v>
      </c>
      <c r="J23" s="15" t="n">
        <v>0.1066176470588235</v>
      </c>
      <c r="K23" s="15" t="n">
        <v>0.1111111111111111</v>
      </c>
      <c r="L23" s="14" t="n">
        <v>0.095</v>
      </c>
      <c r="M23" s="14" t="n">
        <v>2.385490008995618</v>
      </c>
      <c r="N23" s="15" t="n">
        <v>0</v>
      </c>
      <c r="O23" s="24" t="n">
        <v>0.8333333333333334</v>
      </c>
      <c r="P23" s="12" t="inlineStr">
        <is>
          <t>Draft 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MSU @ ND</t>
        </is>
      </c>
      <c r="C24" s="17" t="inlineStr">
        <is>
          <t>2026-09-19 23:30</t>
        </is>
      </c>
      <c r="D24" s="25" t="n">
        <v>3</v>
      </c>
      <c r="E24" s="17" t="inlineStr">
        <is>
          <t>ML</t>
        </is>
      </c>
      <c r="F24" s="17" t="inlineStr">
        <is>
          <t>MSU ML</t>
        </is>
      </c>
      <c r="G24" s="26" t="n"/>
      <c r="H24" s="18" t="n">
        <v>2200</v>
      </c>
      <c r="I24" s="20" t="n">
        <v>0.1766118144924604</v>
      </c>
      <c r="J24" s="20" t="n">
        <v>0.04216553878188443</v>
      </c>
      <c r="K24" s="20" t="n">
        <v>0.04347826086956522</v>
      </c>
      <c r="L24" s="19" t="n">
        <v>0.095</v>
      </c>
      <c r="M24" s="19" t="n">
        <v>3.06207173332659</v>
      </c>
      <c r="N24" s="20" t="n">
        <v>0</v>
      </c>
      <c r="O24" s="27" t="n">
        <v>0.839</v>
      </c>
      <c r="P24" s="17" t="inlineStr">
        <is>
          <t>Draft 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KENN @ TENN</t>
        </is>
      </c>
      <c r="C25" s="12" t="inlineStr">
        <is>
          <t>2026-09-19 23:45</t>
        </is>
      </c>
      <c r="D25" s="22" t="n">
        <v>3</v>
      </c>
      <c r="E25" s="12" t="inlineStr">
        <is>
          <t>ML</t>
        </is>
      </c>
      <c r="F25" s="12" t="inlineStr">
        <is>
          <t>KENN ML</t>
        </is>
      </c>
      <c r="G25" s="23" t="n"/>
      <c r="H25" s="13" t="n">
        <v>4000</v>
      </c>
      <c r="I25" s="15" t="n">
        <v>0.1523664626836582</v>
      </c>
      <c r="J25" s="15" t="n">
        <v>0.02385600685681634</v>
      </c>
      <c r="K25" s="15" t="n">
        <v>0.02439024390243903</v>
      </c>
      <c r="L25" s="14" t="n">
        <v>0.095</v>
      </c>
      <c r="M25" s="14" t="n">
        <v>5.247024970029985</v>
      </c>
      <c r="N25" s="15" t="n">
        <v>0</v>
      </c>
      <c r="O25" s="24" t="n">
        <v>0.8333333333333334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UTSA @ TEX</t>
        </is>
      </c>
      <c r="C26" s="17" t="inlineStr">
        <is>
          <t>2026-09-20 00:00</t>
        </is>
      </c>
      <c r="D26" s="25" t="n">
        <v>3</v>
      </c>
      <c r="E26" s="17" t="inlineStr">
        <is>
          <t>ML</t>
        </is>
      </c>
      <c r="F26" s="17" t="inlineStr">
        <is>
          <t>UTSA ML</t>
        </is>
      </c>
      <c r="G26" s="26" t="n"/>
      <c r="H26" s="18" t="n">
        <v>2000</v>
      </c>
      <c r="I26" s="20" t="n">
        <v>0.2245573435600018</v>
      </c>
      <c r="J26" s="20" t="n">
        <v>0.0461215932914046</v>
      </c>
      <c r="K26" s="20" t="n">
        <v>0.04761904761904762</v>
      </c>
      <c r="L26" s="19" t="n">
        <v>0.095</v>
      </c>
      <c r="M26" s="19" t="n">
        <v>3.715704214760038</v>
      </c>
      <c r="N26" s="20" t="n">
        <v>0</v>
      </c>
      <c r="O26" s="27" t="n">
        <v>0.839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NDSU @ SAC</t>
        </is>
      </c>
      <c r="C27" s="12" t="inlineStr">
        <is>
          <t>2026-09-20 02:30</t>
        </is>
      </c>
      <c r="D27" s="22" t="n">
        <v>3</v>
      </c>
      <c r="E27" s="12" t="inlineStr">
        <is>
          <t>ML</t>
        </is>
      </c>
      <c r="F27" s="12" t="inlineStr">
        <is>
          <t>SAC ML</t>
        </is>
      </c>
      <c r="G27" s="23" t="n"/>
      <c r="H27" s="13" t="n">
        <v>2200</v>
      </c>
      <c r="I27" s="15" t="n">
        <v>0.3156576773054368</v>
      </c>
      <c r="J27" s="15" t="n">
        <v>0.04216553878188443</v>
      </c>
      <c r="K27" s="15" t="n">
        <v>0.04347826086956522</v>
      </c>
      <c r="L27" s="14" t="n">
        <v>0.095</v>
      </c>
      <c r="M27" s="14" t="n">
        <v>6.260126578025047</v>
      </c>
      <c r="N27" s="15" t="n">
        <v>0</v>
      </c>
      <c r="O27" s="24" t="n">
        <v>0.75</v>
      </c>
      <c r="P27" s="12" t="inlineStr">
        <is>
          <t>Draft 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GAST @ UCF</t>
        </is>
      </c>
      <c r="C28" s="17" t="inlineStr">
        <is>
          <t>2026-09-19 23:00</t>
        </is>
      </c>
      <c r="D28" s="25" t="n">
        <v>3</v>
      </c>
      <c r="E28" s="17" t="inlineStr">
        <is>
          <t>ML</t>
        </is>
      </c>
      <c r="F28" s="17" t="inlineStr">
        <is>
          <t>GAST ML</t>
        </is>
      </c>
      <c r="G28" s="26" t="n"/>
      <c r="H28" s="18" t="n">
        <v>1000</v>
      </c>
      <c r="I28" s="20" t="n">
        <v>0.2331918486983878</v>
      </c>
      <c r="J28" s="20" t="n">
        <v>0.08755760368663595</v>
      </c>
      <c r="K28" s="20" t="n">
        <v>0.09090909090909091</v>
      </c>
      <c r="L28" s="19" t="n">
        <v>0.09499999999999989</v>
      </c>
      <c r="M28" s="19" t="n">
        <v>1.565110335682266</v>
      </c>
      <c r="N28" s="20" t="n">
        <v>0</v>
      </c>
      <c r="O28" s="27" t="n">
        <v>0.8333333333333334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BGSU @ ISU</t>
        </is>
      </c>
      <c r="C29" s="12" t="inlineStr">
        <is>
          <t>2026-09-19 16:00</t>
        </is>
      </c>
      <c r="D29" s="22" t="n">
        <v>3</v>
      </c>
      <c r="E29" s="12" t="inlineStr">
        <is>
          <t>ML</t>
        </is>
      </c>
      <c r="F29" s="12" t="inlineStr">
        <is>
          <t>BGSU ML</t>
        </is>
      </c>
      <c r="G29" s="23" t="n"/>
      <c r="H29" s="13" t="n">
        <v>1300</v>
      </c>
      <c r="I29" s="15" t="n">
        <v>0.1788385965173125</v>
      </c>
      <c r="J29" s="15" t="n">
        <v>0.06888361045130641</v>
      </c>
      <c r="K29" s="15" t="n">
        <v>0.07142857142857142</v>
      </c>
      <c r="L29" s="14" t="n">
        <v>0.09499999999999952</v>
      </c>
      <c r="M29" s="14" t="n">
        <v>1.503740351242375</v>
      </c>
      <c r="N29" s="15" t="n">
        <v>0</v>
      </c>
      <c r="O29" s="24" t="n">
        <v>0.8333333333333334</v>
      </c>
      <c r="P29" s="12" t="inlineStr">
        <is>
          <t>Draft 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ARST @ TCU</t>
        </is>
      </c>
      <c r="C30" s="17" t="inlineStr">
        <is>
          <t>2026-09-20 00:00</t>
        </is>
      </c>
      <c r="D30" s="25" t="n">
        <v>3</v>
      </c>
      <c r="E30" s="17" t="inlineStr">
        <is>
          <t>ML</t>
        </is>
      </c>
      <c r="F30" s="17" t="inlineStr">
        <is>
          <t>ARST ML</t>
        </is>
      </c>
      <c r="G30" s="26" t="n"/>
      <c r="H30" s="18" t="n">
        <v>850</v>
      </c>
      <c r="I30" s="20" t="n">
        <v>0.235592293906731</v>
      </c>
      <c r="J30" s="20" t="n">
        <v>0.101141924959217</v>
      </c>
      <c r="K30" s="20" t="n">
        <v>0.1052631578947368</v>
      </c>
      <c r="L30" s="19" t="n">
        <v>0.09499999999986675</v>
      </c>
      <c r="M30" s="19" t="n">
        <v>1.238126792113944</v>
      </c>
      <c r="N30" s="20" t="n">
        <v>0</v>
      </c>
      <c r="O30" s="27" t="n">
        <v>0.8333333333333334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TULN @ KSU</t>
        </is>
      </c>
      <c r="C31" s="12" t="inlineStr">
        <is>
          <t>2026-09-19 16:00</t>
        </is>
      </c>
      <c r="D31" s="22" t="n">
        <v>3</v>
      </c>
      <c r="E31" s="12" t="inlineStr">
        <is>
          <t>ML</t>
        </is>
      </c>
      <c r="F31" s="12" t="inlineStr">
        <is>
          <t>TULN ML</t>
        </is>
      </c>
      <c r="G31" s="23" t="n"/>
      <c r="H31" s="13" t="n">
        <v>900</v>
      </c>
      <c r="I31" s="15" t="n">
        <v>0.2100285497246921</v>
      </c>
      <c r="J31" s="15" t="n">
        <v>0.096045197740113</v>
      </c>
      <c r="K31" s="15" t="n">
        <v>0.1</v>
      </c>
      <c r="L31" s="14" t="n">
        <v>0.09499999999732031</v>
      </c>
      <c r="M31" s="14" t="n">
        <v>1.100285497246921</v>
      </c>
      <c r="N31" s="15" t="n">
        <v>0</v>
      </c>
      <c r="O31" s="24" t="n">
        <v>0.8333333333333334</v>
      </c>
      <c r="P31" s="12" t="inlineStr">
        <is>
          <t>Draft 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WMU @ RICE</t>
        </is>
      </c>
      <c r="C32" s="17" t="inlineStr">
        <is>
          <t>2026-09-19 23:00</t>
        </is>
      </c>
      <c r="D32" s="25" t="n">
        <v>3</v>
      </c>
      <c r="E32" s="17" t="inlineStr">
        <is>
          <t>ML</t>
        </is>
      </c>
      <c r="F32" s="17" t="inlineStr">
        <is>
          <t>RICE ML</t>
        </is>
      </c>
      <c r="G32" s="26" t="n"/>
      <c r="H32" s="18" t="n">
        <v>410</v>
      </c>
      <c r="I32" s="20" t="n">
        <v>0.3956439786384431</v>
      </c>
      <c r="J32" s="20" t="n">
        <v>0.1881331403762663</v>
      </c>
      <c r="K32" s="20" t="n">
        <v>0.196078431372549</v>
      </c>
      <c r="L32" s="19" t="n">
        <v>0.09499999998436927</v>
      </c>
      <c r="M32" s="19" t="n">
        <v>1.01778429105606</v>
      </c>
      <c r="N32" s="20" t="n">
        <v>0</v>
      </c>
      <c r="O32" s="27" t="n">
        <v>0.8333333333333334</v>
      </c>
      <c r="P32" s="17" t="inlineStr">
        <is>
          <t>Draft 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LT @ BAY</t>
        </is>
      </c>
      <c r="C33" s="12" t="inlineStr">
        <is>
          <t>2026-09-19 20:00</t>
        </is>
      </c>
      <c r="D33" s="22" t="n">
        <v>3</v>
      </c>
      <c r="E33" s="12" t="inlineStr">
        <is>
          <t>ML</t>
        </is>
      </c>
      <c r="F33" s="12" t="inlineStr">
        <is>
          <t>LT ML</t>
        </is>
      </c>
      <c r="G33" s="23" t="n"/>
      <c r="H33" s="13" t="n">
        <v>750</v>
      </c>
      <c r="I33" s="15" t="n">
        <v>0.2352858536522798</v>
      </c>
      <c r="J33" s="15" t="n">
        <v>0.1130434782608696</v>
      </c>
      <c r="K33" s="15" t="n">
        <v>0.1176470588235294</v>
      </c>
      <c r="L33" s="14" t="n">
        <v>0.09499999997535674</v>
      </c>
      <c r="M33" s="14" t="n">
        <v>0.9999297560443785</v>
      </c>
      <c r="N33" s="15" t="n">
        <v>0</v>
      </c>
      <c r="O33" s="24" t="n">
        <v>0.8333333333333334</v>
      </c>
      <c r="P33" s="12" t="inlineStr">
        <is>
          <t>Draft 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FSU @ ALA</t>
        </is>
      </c>
      <c r="C34" s="17" t="inlineStr">
        <is>
          <t>2026-09-19 19:30</t>
        </is>
      </c>
      <c r="D34" s="25" t="n">
        <v>3</v>
      </c>
      <c r="E34" s="17" t="inlineStr">
        <is>
          <t>ML</t>
        </is>
      </c>
      <c r="F34" s="17" t="inlineStr">
        <is>
          <t>FSU ML</t>
        </is>
      </c>
      <c r="G34" s="26" t="n"/>
      <c r="H34" s="18" t="n">
        <v>750</v>
      </c>
      <c r="I34" s="20" t="n">
        <v>0.2161839205030376</v>
      </c>
      <c r="J34" s="20" t="n">
        <v>0.1130434782608696</v>
      </c>
      <c r="K34" s="20" t="n">
        <v>0.1176470588235294</v>
      </c>
      <c r="L34" s="19" t="n">
        <v>0.09499999913567538</v>
      </c>
      <c r="M34" s="19" t="n">
        <v>0.8375633242758194</v>
      </c>
      <c r="N34" s="20" t="n">
        <v>0</v>
      </c>
      <c r="O34" s="27" t="n">
        <v>0.839</v>
      </c>
      <c r="P34" s="17" t="inlineStr">
        <is>
          <t>Draft Kings</t>
        </is>
      </c>
      <c r="Q34" s="17" t="inlineStr">
        <is>
          <t>price outside allowed range</t>
        </is>
      </c>
    </row>
    <row r="35">
      <c r="A35" s="12" t="inlineStr">
        <is>
          <t>PASS</t>
        </is>
      </c>
      <c r="B35" s="12" t="inlineStr">
        <is>
          <t>CLT @ APP</t>
        </is>
      </c>
      <c r="C35" s="12" t="inlineStr">
        <is>
          <t>2026-09-19 22:00</t>
        </is>
      </c>
      <c r="D35" s="22" t="n">
        <v>3</v>
      </c>
      <c r="E35" s="12" t="inlineStr">
        <is>
          <t>ML</t>
        </is>
      </c>
      <c r="F35" s="12" t="inlineStr">
        <is>
          <t>CLT ML</t>
        </is>
      </c>
      <c r="G35" s="23" t="n"/>
      <c r="H35" s="13" t="n">
        <v>750</v>
      </c>
      <c r="I35" s="15" t="n">
        <v>0.199924316017577</v>
      </c>
      <c r="J35" s="15" t="n">
        <v>0.1130434782608696</v>
      </c>
      <c r="K35" s="15" t="n">
        <v>0.1176470588235294</v>
      </c>
      <c r="L35" s="14" t="n">
        <v>0.09499998214475068</v>
      </c>
      <c r="M35" s="14" t="n">
        <v>0.6993566861494043</v>
      </c>
      <c r="N35" s="15" t="n">
        <v>0</v>
      </c>
      <c r="O35" s="24" t="n">
        <v>0.75</v>
      </c>
      <c r="P35" s="12" t="inlineStr">
        <is>
          <t>Draft 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FRES @ SJSU</t>
        </is>
      </c>
      <c r="C36" s="17" t="inlineStr">
        <is>
          <t>2026-09-20 03:00</t>
        </is>
      </c>
      <c r="D36" s="25" t="n">
        <v>3</v>
      </c>
      <c r="E36" s="17" t="inlineStr">
        <is>
          <t>ML</t>
        </is>
      </c>
      <c r="F36" s="17" t="inlineStr">
        <is>
          <t>SJSU ML</t>
        </is>
      </c>
      <c r="G36" s="26" t="n"/>
      <c r="H36" s="18" t="n">
        <v>225</v>
      </c>
      <c r="I36" s="20" t="n">
        <v>0.473164672079137</v>
      </c>
      <c r="J36" s="20" t="n">
        <v>0.2949668357393679</v>
      </c>
      <c r="K36" s="20" t="n">
        <v>0.3076923076923077</v>
      </c>
      <c r="L36" s="19" t="n">
        <v>0.09499943090951561</v>
      </c>
      <c r="M36" s="19" t="n">
        <v>0.5377851842571955</v>
      </c>
      <c r="N36" s="20" t="n">
        <v>0</v>
      </c>
      <c r="O36" s="27" t="n">
        <v>0.75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KENT @ OSU</t>
        </is>
      </c>
      <c r="C37" s="12" t="inlineStr">
        <is>
          <t>2026-09-19 16:00</t>
        </is>
      </c>
      <c r="D37" s="22" t="n">
        <v>3</v>
      </c>
      <c r="E37" s="12" t="inlineStr">
        <is>
          <t>ATS</t>
        </is>
      </c>
      <c r="F37" s="12" t="inlineStr">
        <is>
          <t>KENT +51.5</t>
        </is>
      </c>
      <c r="G37" s="23" t="n">
        <v>-51.5</v>
      </c>
      <c r="H37" s="13" t="n">
        <v>100</v>
      </c>
      <c r="I37" s="15" t="n">
        <v>0.7390061288972345</v>
      </c>
      <c r="J37" s="15" t="n">
        <v>0.4782608695652174</v>
      </c>
      <c r="K37" s="15" t="n">
        <v>0.5</v>
      </c>
      <c r="L37" s="14" t="n">
        <v>0.09499803206013253</v>
      </c>
      <c r="M37" s="14" t="n">
        <v>0.478012257794469</v>
      </c>
      <c r="N37" s="15" t="n">
        <v>0</v>
      </c>
      <c r="O37" s="24" t="n">
        <v>0.839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NEV @ MTSU</t>
        </is>
      </c>
      <c r="C38" s="17" t="inlineStr">
        <is>
          <t>2026-09-19 23:00</t>
        </is>
      </c>
      <c r="D38" s="25" t="n">
        <v>3</v>
      </c>
      <c r="E38" s="17" t="inlineStr">
        <is>
          <t>ML</t>
        </is>
      </c>
      <c r="F38" s="17" t="inlineStr">
        <is>
          <t>MTSU ML</t>
        </is>
      </c>
      <c r="G38" s="26" t="n"/>
      <c r="H38" s="18" t="n">
        <v>185</v>
      </c>
      <c r="I38" s="20" t="n">
        <v>0.5168626616841727</v>
      </c>
      <c r="J38" s="20" t="n">
        <v>0.3363518758085381</v>
      </c>
      <c r="K38" s="20" t="n">
        <v>0.3508771929824561</v>
      </c>
      <c r="L38" s="19" t="n">
        <v>0.09499764533244796</v>
      </c>
      <c r="M38" s="19" t="n">
        <v>0.4730585857998924</v>
      </c>
      <c r="N38" s="20" t="n">
        <v>0</v>
      </c>
      <c r="O38" s="27" t="n">
        <v>0.75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UTSA @ TEX</t>
        </is>
      </c>
      <c r="C39" s="12" t="inlineStr">
        <is>
          <t>2026-09-20 00:00</t>
        </is>
      </c>
      <c r="D39" s="22" t="n">
        <v>3</v>
      </c>
      <c r="E39" s="12" t="inlineStr">
        <is>
          <t>ATS</t>
        </is>
      </c>
      <c r="F39" s="12" t="inlineStr">
        <is>
          <t>UTSA +29.5</t>
        </is>
      </c>
      <c r="G39" s="23" t="n">
        <v>-29.5</v>
      </c>
      <c r="H39" s="13" t="n">
        <v>-105</v>
      </c>
      <c r="I39" s="15" t="n">
        <v>0.7350600295334859</v>
      </c>
      <c r="J39" s="15" t="n">
        <v>0.4891657638136511</v>
      </c>
      <c r="K39" s="15" t="n">
        <v>0.5121951219512195</v>
      </c>
      <c r="L39" s="14" t="n">
        <v>0.0949951837332116</v>
      </c>
      <c r="M39" s="14" t="n">
        <v>0.4351172005177582</v>
      </c>
      <c r="N39" s="15" t="n">
        <v>0</v>
      </c>
      <c r="O39" s="24" t="n">
        <v>0.839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USC @ RUTG</t>
        </is>
      </c>
      <c r="C40" s="17" t="inlineStr">
        <is>
          <t>2026-09-19 19:30</t>
        </is>
      </c>
      <c r="D40" s="25" t="n">
        <v>3</v>
      </c>
      <c r="E40" s="17" t="inlineStr">
        <is>
          <t>ATS</t>
        </is>
      </c>
      <c r="F40" s="17" t="inlineStr">
        <is>
          <t>RUTG +24.5</t>
        </is>
      </c>
      <c r="G40" s="26" t="n">
        <v>24.5</v>
      </c>
      <c r="H40" s="18" t="n">
        <v>-108</v>
      </c>
      <c r="I40" s="20" t="n">
        <v>0.7419152716784398</v>
      </c>
      <c r="J40" s="20" t="n">
        <v>0.4956702459300312</v>
      </c>
      <c r="K40" s="20" t="n">
        <v>0.5192307692307693</v>
      </c>
      <c r="L40" s="19" t="n">
        <v>0.09499454806190252</v>
      </c>
      <c r="M40" s="19" t="n">
        <v>0.4288738565658843</v>
      </c>
      <c r="N40" s="20" t="n">
        <v>0</v>
      </c>
      <c r="O40" s="27" t="n">
        <v>0.75</v>
      </c>
      <c r="P40" s="17" t="inlineStr">
        <is>
          <t>Draft 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UTEP @ MICH</t>
        </is>
      </c>
      <c r="C41" s="12" t="inlineStr">
        <is>
          <t>2026-09-19 19:30</t>
        </is>
      </c>
      <c r="D41" s="22" t="n">
        <v>3</v>
      </c>
      <c r="E41" s="12" t="inlineStr">
        <is>
          <t>ATS</t>
        </is>
      </c>
      <c r="F41" s="12" t="inlineStr">
        <is>
          <t>UTEP +36.5</t>
        </is>
      </c>
      <c r="G41" s="23" t="n">
        <v>-36.5</v>
      </c>
      <c r="H41" s="13" t="n">
        <v>-110</v>
      </c>
      <c r="I41" s="15" t="n">
        <v>0.7471040495246031</v>
      </c>
      <c r="J41" s="15" t="n">
        <v>0.5</v>
      </c>
      <c r="K41" s="15" t="n">
        <v>0.5238095238095238</v>
      </c>
      <c r="L41" s="14" t="n">
        <v>0.09499424327912803</v>
      </c>
      <c r="M41" s="14" t="n">
        <v>0.4262895490924241</v>
      </c>
      <c r="N41" s="15" t="n">
        <v>0</v>
      </c>
      <c r="O41" s="24" t="n">
        <v>0.75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WKU @ IU</t>
        </is>
      </c>
      <c r="C42" s="17" t="inlineStr">
        <is>
          <t>2026-09-19 20:00</t>
        </is>
      </c>
      <c r="D42" s="25" t="n">
        <v>3</v>
      </c>
      <c r="E42" s="17" t="inlineStr">
        <is>
          <t>ATS</t>
        </is>
      </c>
      <c r="F42" s="17" t="inlineStr">
        <is>
          <t>WKU +44.5</t>
        </is>
      </c>
      <c r="G42" s="26" t="n">
        <v>-44.5</v>
      </c>
      <c r="H42" s="18" t="n">
        <v>-112</v>
      </c>
      <c r="I42" s="20" t="n">
        <v>0.7512603857292438</v>
      </c>
      <c r="J42" s="20" t="n">
        <v>0.5043297540699688</v>
      </c>
      <c r="K42" s="20" t="n">
        <v>0.5283018867924528</v>
      </c>
      <c r="L42" s="19" t="n">
        <v>0.09499365969172073</v>
      </c>
      <c r="M42" s="19" t="n">
        <v>0.4220285872732115</v>
      </c>
      <c r="N42" s="20" t="n">
        <v>0</v>
      </c>
      <c r="O42" s="27" t="n">
        <v>0.839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BUFF @ PSU</t>
        </is>
      </c>
      <c r="C43" s="12" t="inlineStr">
        <is>
          <t>2026-09-19 16:00</t>
        </is>
      </c>
      <c r="D43" s="22" t="n">
        <v>3</v>
      </c>
      <c r="E43" s="12" t="inlineStr">
        <is>
          <t>ATS</t>
        </is>
      </c>
      <c r="F43" s="12" t="inlineStr">
        <is>
          <t>BUFF +39.5</t>
        </is>
      </c>
      <c r="G43" s="23" t="n">
        <v>-39.5</v>
      </c>
      <c r="H43" s="13" t="n">
        <v>-112</v>
      </c>
      <c r="I43" s="15" t="n">
        <v>0.749212447953386</v>
      </c>
      <c r="J43" s="15" t="n">
        <v>0.5043297540699688</v>
      </c>
      <c r="K43" s="15" t="n">
        <v>0.5283018867924528</v>
      </c>
      <c r="L43" s="14" t="n">
        <v>0.09499309384472582</v>
      </c>
      <c r="M43" s="14" t="n">
        <v>0.4181521336260521</v>
      </c>
      <c r="N43" s="15" t="n">
        <v>0</v>
      </c>
      <c r="O43" s="24" t="n">
        <v>0.8333333333333334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NDSU @ SAC</t>
        </is>
      </c>
      <c r="C44" s="17" t="inlineStr">
        <is>
          <t>2026-09-20 02:30</t>
        </is>
      </c>
      <c r="D44" s="25" t="n">
        <v>3</v>
      </c>
      <c r="E44" s="17" t="inlineStr">
        <is>
          <t>ATS</t>
        </is>
      </c>
      <c r="F44" s="17" t="inlineStr">
        <is>
          <t>SAC +27.5</t>
        </is>
      </c>
      <c r="G44" s="26" t="n">
        <v>27.5</v>
      </c>
      <c r="H44" s="18" t="n">
        <v>-112</v>
      </c>
      <c r="I44" s="20" t="n">
        <v>0.7481209651859557</v>
      </c>
      <c r="J44" s="20" t="n">
        <v>0.5043297540699688</v>
      </c>
      <c r="K44" s="20" t="n">
        <v>0.5283018867924528</v>
      </c>
      <c r="L44" s="19" t="n">
        <v>0.0949927719159032</v>
      </c>
      <c r="M44" s="19" t="n">
        <v>0.4160861126734161</v>
      </c>
      <c r="N44" s="20" t="n">
        <v>0</v>
      </c>
      <c r="O44" s="27" t="n">
        <v>0.75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KENN @ TENN</t>
        </is>
      </c>
      <c r="C45" s="12" t="inlineStr">
        <is>
          <t>2026-09-19 23:45</t>
        </is>
      </c>
      <c r="D45" s="22" t="n">
        <v>3</v>
      </c>
      <c r="E45" s="12" t="inlineStr">
        <is>
          <t>ATS</t>
        </is>
      </c>
      <c r="F45" s="12" t="inlineStr">
        <is>
          <t>KENN +34.5</t>
        </is>
      </c>
      <c r="G45" s="23" t="n">
        <v>-34.5</v>
      </c>
      <c r="H45" s="13" t="n">
        <v>-110</v>
      </c>
      <c r="I45" s="15" t="n">
        <v>0.7410621302111472</v>
      </c>
      <c r="J45" s="15" t="n">
        <v>0.5</v>
      </c>
      <c r="K45" s="15" t="n">
        <v>0.5238095238095238</v>
      </c>
      <c r="L45" s="14" t="n">
        <v>0.09499257571899786</v>
      </c>
      <c r="M45" s="14" t="n">
        <v>0.4147549758576448</v>
      </c>
      <c r="N45" s="15" t="n">
        <v>0</v>
      </c>
      <c r="O45" s="24" t="n">
        <v>0.8333333333333334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UGA @ ARK</t>
        </is>
      </c>
      <c r="C46" s="17" t="inlineStr">
        <is>
          <t>2026-09-19 16:00</t>
        </is>
      </c>
      <c r="D46" s="25" t="n">
        <v>3</v>
      </c>
      <c r="E46" s="17" t="inlineStr">
        <is>
          <t>ATS</t>
        </is>
      </c>
      <c r="F46" s="17" t="inlineStr">
        <is>
          <t>ARK +24.5</t>
        </is>
      </c>
      <c r="G46" s="26" t="n">
        <v>24.5</v>
      </c>
      <c r="H46" s="18" t="n">
        <v>-112</v>
      </c>
      <c r="I46" s="20" t="n">
        <v>0.74500791122563</v>
      </c>
      <c r="J46" s="20" t="n">
        <v>0.5043297540699688</v>
      </c>
      <c r="K46" s="20" t="n">
        <v>0.5283018867924528</v>
      </c>
      <c r="L46" s="19" t="n">
        <v>0.09499176890236465</v>
      </c>
      <c r="M46" s="19" t="n">
        <v>0.410193546248514</v>
      </c>
      <c r="N46" s="20" t="n">
        <v>0</v>
      </c>
      <c r="O46" s="27" t="n">
        <v>0.839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USU @ UTAH</t>
        </is>
      </c>
      <c r="C47" s="12" t="inlineStr">
        <is>
          <t>2026-09-19 19:30</t>
        </is>
      </c>
      <c r="D47" s="22" t="n">
        <v>3</v>
      </c>
      <c r="E47" s="12" t="inlineStr">
        <is>
          <t>ATS</t>
        </is>
      </c>
      <c r="F47" s="12" t="inlineStr">
        <is>
          <t>USU +27.5</t>
        </is>
      </c>
      <c r="G47" s="23" t="n">
        <v>-27.5</v>
      </c>
      <c r="H47" s="13" t="n">
        <v>-105</v>
      </c>
      <c r="I47" s="15" t="n">
        <v>0.721604898470963</v>
      </c>
      <c r="J47" s="15" t="n">
        <v>0.4891657638136511</v>
      </c>
      <c r="K47" s="15" t="n">
        <v>0.5121951219512195</v>
      </c>
      <c r="L47" s="14" t="n">
        <v>0.09499140604693387</v>
      </c>
      <c r="M47" s="14" t="n">
        <v>0.4088476589194991</v>
      </c>
      <c r="N47" s="15" t="n">
        <v>0</v>
      </c>
      <c r="O47" s="24" t="n">
        <v>0.8333333333333334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MIA @ WAKE</t>
        </is>
      </c>
      <c r="C48" s="17" t="inlineStr">
        <is>
          <t>2026-09-18 23:30</t>
        </is>
      </c>
      <c r="D48" s="25" t="n">
        <v>3</v>
      </c>
      <c r="E48" s="17" t="inlineStr">
        <is>
          <t>ATS</t>
        </is>
      </c>
      <c r="F48" s="17" t="inlineStr">
        <is>
          <t>WAKE +22.5</t>
        </is>
      </c>
      <c r="G48" s="26" t="n">
        <v>22.5</v>
      </c>
      <c r="H48" s="18" t="n">
        <v>-112</v>
      </c>
      <c r="I48" s="20" t="n">
        <v>0.7421367252782727</v>
      </c>
      <c r="J48" s="20" t="n">
        <v>0.5043297540699688</v>
      </c>
      <c r="K48" s="20" t="n">
        <v>0.5283018867924528</v>
      </c>
      <c r="L48" s="19" t="n">
        <v>0.09499072086787511</v>
      </c>
      <c r="M48" s="19" t="n">
        <v>0.4047588014195875</v>
      </c>
      <c r="N48" s="20" t="n">
        <v>0</v>
      </c>
      <c r="O48" s="27" t="n">
        <v>0.839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AKR @ MINN</t>
        </is>
      </c>
      <c r="C49" s="12" t="inlineStr">
        <is>
          <t>2026-09-19 16:00</t>
        </is>
      </c>
      <c r="D49" s="22" t="n">
        <v>3</v>
      </c>
      <c r="E49" s="12" t="inlineStr">
        <is>
          <t>ATS</t>
        </is>
      </c>
      <c r="F49" s="12" t="inlineStr">
        <is>
          <t>AKR +26.5</t>
        </is>
      </c>
      <c r="G49" s="23" t="n">
        <v>-26.5</v>
      </c>
      <c r="H49" s="13" t="n">
        <v>-110</v>
      </c>
      <c r="I49" s="15" t="n">
        <v>0.7338427925998331</v>
      </c>
      <c r="J49" s="15" t="n">
        <v>0.5</v>
      </c>
      <c r="K49" s="15" t="n">
        <v>0.5238095238095238</v>
      </c>
      <c r="L49" s="14" t="n">
        <v>0.09498993852197755</v>
      </c>
      <c r="M49" s="14" t="n">
        <v>0.400972604054227</v>
      </c>
      <c r="N49" s="15" t="n">
        <v>0</v>
      </c>
      <c r="O49" s="24" t="n">
        <v>0.8333333333333334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BYU @ CSU</t>
        </is>
      </c>
      <c r="C50" s="17" t="inlineStr">
        <is>
          <t>2026-09-19 23:30</t>
        </is>
      </c>
      <c r="D50" s="25" t="n">
        <v>3</v>
      </c>
      <c r="E50" s="17" t="inlineStr">
        <is>
          <t>ATS</t>
        </is>
      </c>
      <c r="F50" s="17" t="inlineStr">
        <is>
          <t>CSU +20.5</t>
        </is>
      </c>
      <c r="G50" s="26" t="n">
        <v>20.5</v>
      </c>
      <c r="H50" s="18" t="n">
        <v>-115</v>
      </c>
      <c r="I50" s="20" t="n">
        <v>0.7448659757389329</v>
      </c>
      <c r="J50" s="20" t="n">
        <v>0.5108342361863488</v>
      </c>
      <c r="K50" s="20" t="n">
        <v>0.5348837209302325</v>
      </c>
      <c r="L50" s="19" t="n">
        <v>0.09498769828701413</v>
      </c>
      <c r="M50" s="19" t="n">
        <v>0.392575519859744</v>
      </c>
      <c r="N50" s="20" t="n">
        <v>0</v>
      </c>
      <c r="O50" s="27" t="n">
        <v>0.8333333333333334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MSU @ ND</t>
        </is>
      </c>
      <c r="C51" s="12" t="inlineStr">
        <is>
          <t>2026-09-19 23:30</t>
        </is>
      </c>
      <c r="D51" s="22" t="n">
        <v>3</v>
      </c>
      <c r="E51" s="12" t="inlineStr">
        <is>
          <t>ATS</t>
        </is>
      </c>
      <c r="F51" s="12" t="inlineStr">
        <is>
          <t>MSU +29.5</t>
        </is>
      </c>
      <c r="G51" s="23" t="n">
        <v>-29.5</v>
      </c>
      <c r="H51" s="13" t="n">
        <v>-115</v>
      </c>
      <c r="I51" s="15" t="n">
        <v>0.7379910621160111</v>
      </c>
      <c r="J51" s="15" t="n">
        <v>0.5108342361863488</v>
      </c>
      <c r="K51" s="15" t="n">
        <v>0.5348837209302325</v>
      </c>
      <c r="L51" s="14" t="n">
        <v>0.09498366927967276</v>
      </c>
      <c r="M51" s="14" t="n">
        <v>0.3797224204777596</v>
      </c>
      <c r="N51" s="15" t="n">
        <v>0</v>
      </c>
      <c r="O51" s="24" t="n">
        <v>0.839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TROY @ MIZ</t>
        </is>
      </c>
      <c r="C52" s="17" t="inlineStr">
        <is>
          <t>2026-09-19 23:00</t>
        </is>
      </c>
      <c r="D52" s="25" t="n">
        <v>3</v>
      </c>
      <c r="E52" s="17" t="inlineStr">
        <is>
          <t>ATS</t>
        </is>
      </c>
      <c r="F52" s="17" t="inlineStr">
        <is>
          <t>TROY +27.5</t>
        </is>
      </c>
      <c r="G52" s="26" t="n">
        <v>-27.5</v>
      </c>
      <c r="H52" s="18" t="n">
        <v>-112</v>
      </c>
      <c r="I52" s="20" t="n">
        <v>0.7243174596753599</v>
      </c>
      <c r="J52" s="20" t="n">
        <v>0.5043297540699688</v>
      </c>
      <c r="K52" s="20" t="n">
        <v>0.5283018867924528</v>
      </c>
      <c r="L52" s="19" t="n">
        <v>0.09498047769507655</v>
      </c>
      <c r="M52" s="19" t="n">
        <v>0.3710294772426455</v>
      </c>
      <c r="N52" s="20" t="n">
        <v>0</v>
      </c>
      <c r="O52" s="27" t="n">
        <v>0.75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UNM @ OU</t>
        </is>
      </c>
      <c r="C53" s="12" t="inlineStr">
        <is>
          <t>2026-09-19 23:30</t>
        </is>
      </c>
      <c r="D53" s="22" t="n">
        <v>3</v>
      </c>
      <c r="E53" s="12" t="inlineStr">
        <is>
          <t>ATS</t>
        </is>
      </c>
      <c r="F53" s="12" t="inlineStr">
        <is>
          <t>UNM +23.5</t>
        </is>
      </c>
      <c r="G53" s="23" t="n">
        <v>-23.5</v>
      </c>
      <c r="H53" s="13" t="n">
        <v>-110</v>
      </c>
      <c r="I53" s="15" t="n">
        <v>0.7168370876660393</v>
      </c>
      <c r="J53" s="15" t="n">
        <v>0.5</v>
      </c>
      <c r="K53" s="15" t="n">
        <v>0.5238095238095238</v>
      </c>
      <c r="L53" s="14" t="n">
        <v>0.09497941241239026</v>
      </c>
      <c r="M53" s="14" t="n">
        <v>0.3685071673624387</v>
      </c>
      <c r="N53" s="15" t="n">
        <v>0</v>
      </c>
      <c r="O53" s="24" t="n">
        <v>0.8333333333333334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EMU @ WIS</t>
        </is>
      </c>
      <c r="C54" s="17" t="inlineStr">
        <is>
          <t>2026-09-19 16:30</t>
        </is>
      </c>
      <c r="D54" s="25" t="n">
        <v>3</v>
      </c>
      <c r="E54" s="17" t="inlineStr">
        <is>
          <t>ATS</t>
        </is>
      </c>
      <c r="F54" s="17" t="inlineStr">
        <is>
          <t>EMU +24.5</t>
        </is>
      </c>
      <c r="G54" s="26" t="n">
        <v>-24.5</v>
      </c>
      <c r="H54" s="18" t="n">
        <v>-112</v>
      </c>
      <c r="I54" s="20" t="n">
        <v>0.7198765230832718</v>
      </c>
      <c r="J54" s="20" t="n">
        <v>0.5043297540699688</v>
      </c>
      <c r="K54" s="20" t="n">
        <v>0.5283018867924528</v>
      </c>
      <c r="L54" s="19" t="n">
        <v>0.09497650193169432</v>
      </c>
      <c r="M54" s="19" t="n">
        <v>0.3626234186933357</v>
      </c>
      <c r="N54" s="20" t="n">
        <v>0</v>
      </c>
      <c r="O54" s="27" t="n">
        <v>0.8333333333333334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GAST @ UCF</t>
        </is>
      </c>
      <c r="C55" s="12" t="inlineStr">
        <is>
          <t>2026-09-19 23:00</t>
        </is>
      </c>
      <c r="D55" s="22" t="n">
        <v>3</v>
      </c>
      <c r="E55" s="12" t="inlineStr">
        <is>
          <t>ATS</t>
        </is>
      </c>
      <c r="F55" s="12" t="inlineStr">
        <is>
          <t>GAST +21</t>
        </is>
      </c>
      <c r="G55" s="23" t="n">
        <v>-21</v>
      </c>
      <c r="H55" s="13" t="n">
        <v>-110</v>
      </c>
      <c r="I55" s="15" t="n">
        <v>0.7112266772305191</v>
      </c>
      <c r="J55" s="15" t="n">
        <v>0.5</v>
      </c>
      <c r="K55" s="15" t="n">
        <v>0.5238095238095238</v>
      </c>
      <c r="L55" s="14" t="n">
        <v>0.09497392733919935</v>
      </c>
      <c r="M55" s="14" t="n">
        <v>0.3522863194931411</v>
      </c>
      <c r="N55" s="15" t="n">
        <v>0.0154</v>
      </c>
      <c r="O55" s="24" t="n">
        <v>0.8333333333333334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ARST @ TCU</t>
        </is>
      </c>
      <c r="C56" s="17" t="inlineStr">
        <is>
          <t>2026-09-20 00:00</t>
        </is>
      </c>
      <c r="D56" s="25" t="n">
        <v>3</v>
      </c>
      <c r="E56" s="17" t="inlineStr">
        <is>
          <t>ATS</t>
        </is>
      </c>
      <c r="F56" s="17" t="inlineStr">
        <is>
          <t>ARST +20.5</t>
        </is>
      </c>
      <c r="G56" s="26" t="n">
        <v>-20.5</v>
      </c>
      <c r="H56" s="18" t="n">
        <v>-108</v>
      </c>
      <c r="I56" s="20" t="n">
        <v>0.6999595809701984</v>
      </c>
      <c r="J56" s="20" t="n">
        <v>0.4956702459300312</v>
      </c>
      <c r="K56" s="20" t="n">
        <v>0.5192307692307693</v>
      </c>
      <c r="L56" s="19" t="n">
        <v>0.09496761109593181</v>
      </c>
      <c r="M56" s="19" t="n">
        <v>0.3480703040907525</v>
      </c>
      <c r="N56" s="20" t="n">
        <v>0</v>
      </c>
      <c r="O56" s="27" t="n">
        <v>0.8333333333333334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BGSU @ ISU</t>
        </is>
      </c>
      <c r="C57" s="12" t="inlineStr">
        <is>
          <t>2026-09-19 16:00</t>
        </is>
      </c>
      <c r="D57" s="22" t="n">
        <v>3</v>
      </c>
      <c r="E57" s="12" t="inlineStr">
        <is>
          <t>ATS</t>
        </is>
      </c>
      <c r="F57" s="12" t="inlineStr">
        <is>
          <t>BGSU +22.5</t>
        </is>
      </c>
      <c r="G57" s="23" t="n">
        <v>-22.5</v>
      </c>
      <c r="H57" s="13" t="n">
        <v>-108</v>
      </c>
      <c r="I57" s="15" t="n">
        <v>0.6935490743223429</v>
      </c>
      <c r="J57" s="15" t="n">
        <v>0.4956702459300312</v>
      </c>
      <c r="K57" s="15" t="n">
        <v>0.5192307692307693</v>
      </c>
      <c r="L57" s="14" t="n">
        <v>0.09495747737113969</v>
      </c>
      <c r="M57" s="14" t="n">
        <v>0.3357241431393272</v>
      </c>
      <c r="N57" s="15" t="n">
        <v>0</v>
      </c>
      <c r="O57" s="24" t="n">
        <v>0.8333333333333334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WMU @ RICE</t>
        </is>
      </c>
      <c r="C58" s="17" t="inlineStr">
        <is>
          <t>2026-09-19 23:00</t>
        </is>
      </c>
      <c r="D58" s="25" t="n">
        <v>3</v>
      </c>
      <c r="E58" s="17" t="inlineStr">
        <is>
          <t>ATS</t>
        </is>
      </c>
      <c r="F58" s="17" t="inlineStr">
        <is>
          <t>RICE +12.5</t>
        </is>
      </c>
      <c r="G58" s="26" t="n">
        <v>12.5</v>
      </c>
      <c r="H58" s="18" t="n">
        <v>-112</v>
      </c>
      <c r="I58" s="20" t="n">
        <v>0.7037496964112111</v>
      </c>
      <c r="J58" s="20" t="n">
        <v>0.5043297540699688</v>
      </c>
      <c r="K58" s="20" t="n">
        <v>0.5283018867924528</v>
      </c>
      <c r="L58" s="19" t="n">
        <v>0.09495393772971714</v>
      </c>
      <c r="M58" s="19" t="n">
        <v>0.3320976396355066</v>
      </c>
      <c r="N58" s="20" t="n">
        <v>0</v>
      </c>
      <c r="O58" s="27" t="n">
        <v>0.8333333333333334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TULN @ KSU</t>
        </is>
      </c>
      <c r="C59" s="12" t="inlineStr">
        <is>
          <t>2026-09-19 16:00</t>
        </is>
      </c>
      <c r="D59" s="22" t="n">
        <v>3</v>
      </c>
      <c r="E59" s="12" t="inlineStr">
        <is>
          <t>ATS</t>
        </is>
      </c>
      <c r="F59" s="12" t="inlineStr">
        <is>
          <t>TULN +19.5</t>
        </is>
      </c>
      <c r="G59" s="23" t="n">
        <v>-19.5</v>
      </c>
      <c r="H59" s="13" t="n">
        <v>-108</v>
      </c>
      <c r="I59" s="15" t="n">
        <v>0.680823997810805</v>
      </c>
      <c r="J59" s="15" t="n">
        <v>0.4956702459300312</v>
      </c>
      <c r="K59" s="15" t="n">
        <v>0.5192307692307693</v>
      </c>
      <c r="L59" s="14" t="n">
        <v>0.09492700806983066</v>
      </c>
      <c r="M59" s="14" t="n">
        <v>0.3112165883763653</v>
      </c>
      <c r="N59" s="15" t="n">
        <v>0</v>
      </c>
      <c r="O59" s="24" t="n">
        <v>0.8333333333333334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LT @ BAY</t>
        </is>
      </c>
      <c r="C60" s="17" t="inlineStr">
        <is>
          <t>2026-09-19 20:00</t>
        </is>
      </c>
      <c r="D60" s="25" t="n">
        <v>3</v>
      </c>
      <c r="E60" s="17" t="inlineStr">
        <is>
          <t>ATS</t>
        </is>
      </c>
      <c r="F60" s="17" t="inlineStr">
        <is>
          <t>LT +17.5</t>
        </is>
      </c>
      <c r="G60" s="26" t="n">
        <v>-17.5</v>
      </c>
      <c r="H60" s="18" t="n">
        <v>-108</v>
      </c>
      <c r="I60" s="20" t="n">
        <v>0.677147013297546</v>
      </c>
      <c r="J60" s="20" t="n">
        <v>0.4956702459300312</v>
      </c>
      <c r="K60" s="20" t="n">
        <v>0.5192307692307693</v>
      </c>
      <c r="L60" s="19" t="n">
        <v>0.09491467591796214</v>
      </c>
      <c r="M60" s="19" t="n">
        <v>0.3041349885730515</v>
      </c>
      <c r="N60" s="20" t="n">
        <v>0</v>
      </c>
      <c r="O60" s="27" t="n">
        <v>0.8333333333333334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FRES @ SJSU</t>
        </is>
      </c>
      <c r="C61" s="12" t="inlineStr">
        <is>
          <t>2026-09-20 03:00</t>
        </is>
      </c>
      <c r="D61" s="22" t="n">
        <v>3</v>
      </c>
      <c r="E61" s="12" t="inlineStr">
        <is>
          <t>ATS</t>
        </is>
      </c>
      <c r="F61" s="12" t="inlineStr">
        <is>
          <t>SJSU +7</t>
        </is>
      </c>
      <c r="G61" s="23" t="n">
        <v>7</v>
      </c>
      <c r="H61" s="13" t="n">
        <v>-105</v>
      </c>
      <c r="I61" s="15" t="n">
        <v>0.6681871782141168</v>
      </c>
      <c r="J61" s="15" t="n">
        <v>0.4891657638136511</v>
      </c>
      <c r="K61" s="15" t="n">
        <v>0.5121951219512195</v>
      </c>
      <c r="L61" s="14" t="n">
        <v>0.09491440421333923</v>
      </c>
      <c r="M61" s="14" t="n">
        <v>0.2946883075828168</v>
      </c>
      <c r="N61" s="15" t="n">
        <v>0.0324</v>
      </c>
      <c r="O61" s="24" t="n">
        <v>0.75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CLT @ APP</t>
        </is>
      </c>
      <c r="C62" s="17" t="inlineStr">
        <is>
          <t>2026-09-19 22:00</t>
        </is>
      </c>
      <c r="D62" s="25" t="n">
        <v>3</v>
      </c>
      <c r="E62" s="17" t="inlineStr">
        <is>
          <t>ATS</t>
        </is>
      </c>
      <c r="F62" s="17" t="inlineStr">
        <is>
          <t>CLT +20.5</t>
        </is>
      </c>
      <c r="G62" s="26" t="n">
        <v>-20.5</v>
      </c>
      <c r="H62" s="18" t="n">
        <v>-108</v>
      </c>
      <c r="I62" s="20" t="n">
        <v>0.6762039638817319</v>
      </c>
      <c r="J62" s="20" t="n">
        <v>0.4956702459300312</v>
      </c>
      <c r="K62" s="20" t="n">
        <v>0.5192307692307693</v>
      </c>
      <c r="L62" s="19" t="n">
        <v>0.09491119059313709</v>
      </c>
      <c r="M62" s="19" t="n">
        <v>0.3023187452537059</v>
      </c>
      <c r="N62" s="20" t="n">
        <v>0</v>
      </c>
      <c r="O62" s="27" t="n">
        <v>0.75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FSU @ ALA</t>
        </is>
      </c>
      <c r="C63" s="12" t="inlineStr">
        <is>
          <t>2026-09-19 19:30</t>
        </is>
      </c>
      <c r="D63" s="22" t="n">
        <v>3</v>
      </c>
      <c r="E63" s="12" t="inlineStr">
        <is>
          <t>ATS</t>
        </is>
      </c>
      <c r="F63" s="12" t="inlineStr">
        <is>
          <t>FSU +19.5</t>
        </is>
      </c>
      <c r="G63" s="23" t="n">
        <v>-19.5</v>
      </c>
      <c r="H63" s="13" t="n">
        <v>-112</v>
      </c>
      <c r="I63" s="15" t="n">
        <v>0.6836740203812834</v>
      </c>
      <c r="J63" s="15" t="n">
        <v>0.5043297540699688</v>
      </c>
      <c r="K63" s="15" t="n">
        <v>0.5283018867924528</v>
      </c>
      <c r="L63" s="14" t="n">
        <v>0.09489354622433568</v>
      </c>
      <c r="M63" s="14" t="n">
        <v>0.2940972528645722</v>
      </c>
      <c r="N63" s="15" t="n">
        <v>0</v>
      </c>
      <c r="O63" s="24" t="n">
        <v>0.839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NEV @ MTSU</t>
        </is>
      </c>
      <c r="C64" s="17" t="inlineStr">
        <is>
          <t>2026-09-19 23:00</t>
        </is>
      </c>
      <c r="D64" s="25" t="n">
        <v>3</v>
      </c>
      <c r="E64" s="17" t="inlineStr">
        <is>
          <t>ATS</t>
        </is>
      </c>
      <c r="F64" s="17" t="inlineStr">
        <is>
          <t>MTSU +6</t>
        </is>
      </c>
      <c r="G64" s="26" t="n">
        <v>6</v>
      </c>
      <c r="H64" s="18" t="n">
        <v>-110</v>
      </c>
      <c r="I64" s="20" t="n">
        <v>0.6742338587570276</v>
      </c>
      <c r="J64" s="20" t="n">
        <v>0.5</v>
      </c>
      <c r="K64" s="20" t="n">
        <v>0.5238095238095238</v>
      </c>
      <c r="L64" s="19" t="n">
        <v>0.0948762868544604</v>
      </c>
      <c r="M64" s="19" t="n">
        <v>0.2821769074461601</v>
      </c>
      <c r="N64" s="20" t="n">
        <v>0.0174</v>
      </c>
      <c r="O64" s="27" t="n">
        <v>0.75</v>
      </c>
      <c r="P64" s="17" t="inlineStr">
        <is>
          <t>Draft 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VT @ MD</t>
        </is>
      </c>
      <c r="C65" s="12" t="inlineStr">
        <is>
          <t>2026-09-19 23:30</t>
        </is>
      </c>
      <c r="D65" s="22" t="n">
        <v>3</v>
      </c>
      <c r="E65" s="12" t="inlineStr">
        <is>
          <t>ATS</t>
        </is>
      </c>
      <c r="F65" s="12" t="inlineStr">
        <is>
          <t>MD +3</t>
        </is>
      </c>
      <c r="G65" s="23" t="n">
        <v>3</v>
      </c>
      <c r="H65" s="13" t="n">
        <v>102</v>
      </c>
      <c r="I65" s="15" t="n">
        <v>0.6233121050204552</v>
      </c>
      <c r="J65" s="15" t="n">
        <v>0.4739134147382802</v>
      </c>
      <c r="K65" s="15" t="n">
        <v>0.495049504950495</v>
      </c>
      <c r="L65" s="14" t="n">
        <v>0.09475117783019171</v>
      </c>
      <c r="M65" s="14" t="n">
        <v>0.2468872918454634</v>
      </c>
      <c r="N65" s="15" t="n">
        <v>0.0471</v>
      </c>
      <c r="O65" s="24" t="n">
        <v>0.839</v>
      </c>
      <c r="P65" s="12" t="inlineStr">
        <is>
          <t>Draft 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FIU @ FAU</t>
        </is>
      </c>
      <c r="C66" s="17" t="inlineStr">
        <is>
          <t>2026-09-19 22:00</t>
        </is>
      </c>
      <c r="D66" s="25" t="n">
        <v>3</v>
      </c>
      <c r="E66" s="17" t="inlineStr">
        <is>
          <t>TOTAL</t>
        </is>
      </c>
      <c r="F66" s="17" t="inlineStr">
        <is>
          <t>Under 62.5</t>
        </is>
      </c>
      <c r="G66" s="26" t="n">
        <v>62.5</v>
      </c>
      <c r="H66" s="18" t="n">
        <v>-110</v>
      </c>
      <c r="I66" s="20" t="n">
        <v>0.6526021510022221</v>
      </c>
      <c r="J66" s="20" t="n">
        <v>0.5</v>
      </c>
      <c r="K66" s="20" t="n">
        <v>0.5238095238095238</v>
      </c>
      <c r="L66" s="19" t="n">
        <v>0.09469270537580907</v>
      </c>
      <c r="M66" s="19" t="n">
        <v>0.2458768337315149</v>
      </c>
      <c r="N66" s="20" t="n">
        <v>0</v>
      </c>
      <c r="O66" s="27" t="n">
        <v>0.8333333333333334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M-OH @ CIN</t>
        </is>
      </c>
      <c r="C67" s="12" t="inlineStr">
        <is>
          <t>2026-09-19 19:30</t>
        </is>
      </c>
      <c r="D67" s="22" t="n">
        <v>3</v>
      </c>
      <c r="E67" s="12" t="inlineStr">
        <is>
          <t>ATS</t>
        </is>
      </c>
      <c r="F67" s="12" t="inlineStr">
        <is>
          <t>M-OH +15.5</t>
        </is>
      </c>
      <c r="G67" s="23" t="n">
        <v>-15.5</v>
      </c>
      <c r="H67" s="13" t="n">
        <v>-112</v>
      </c>
      <c r="I67" s="15" t="n">
        <v>0.6563800088170846</v>
      </c>
      <c r="J67" s="15" t="n">
        <v>0.5043297540699688</v>
      </c>
      <c r="K67" s="15" t="n">
        <v>0.5283018867924528</v>
      </c>
      <c r="L67" s="14" t="n">
        <v>0.09466775375768377</v>
      </c>
      <c r="M67" s="14" t="n">
        <v>0.2424335881180528</v>
      </c>
      <c r="N67" s="15" t="n">
        <v>0</v>
      </c>
      <c r="O67" s="24" t="n">
        <v>0.8333333333333334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BALL @ LIB</t>
        </is>
      </c>
      <c r="C68" s="17" t="inlineStr">
        <is>
          <t>2026-09-19 20:00</t>
        </is>
      </c>
      <c r="D68" s="25" t="n">
        <v>3</v>
      </c>
      <c r="E68" s="17" t="inlineStr">
        <is>
          <t>ATS</t>
        </is>
      </c>
      <c r="F68" s="17" t="inlineStr">
        <is>
          <t>BALL +14.5</t>
        </is>
      </c>
      <c r="G68" s="26" t="n">
        <v>-14.5</v>
      </c>
      <c r="H68" s="18" t="n">
        <v>-112</v>
      </c>
      <c r="I68" s="20" t="n">
        <v>0.6532344295288193</v>
      </c>
      <c r="J68" s="20" t="n">
        <v>0.5043297540699688</v>
      </c>
      <c r="K68" s="20" t="n">
        <v>0.5283018867924528</v>
      </c>
      <c r="L68" s="19" t="n">
        <v>0.09462122611252799</v>
      </c>
      <c r="M68" s="19" t="n">
        <v>0.2364794558938363</v>
      </c>
      <c r="N68" s="20" t="n">
        <v>0</v>
      </c>
      <c r="O68" s="27" t="n">
        <v>0.8333333333333334</v>
      </c>
      <c r="P68" s="17" t="inlineStr">
        <is>
          <t>Draft 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MRSH @ MOST</t>
        </is>
      </c>
      <c r="C69" s="12" t="inlineStr">
        <is>
          <t>2026-09-19 22:30</t>
        </is>
      </c>
      <c r="D69" s="22" t="n">
        <v>3</v>
      </c>
      <c r="E69" s="12" t="inlineStr">
        <is>
          <t>ATS</t>
        </is>
      </c>
      <c r="F69" s="12" t="inlineStr">
        <is>
          <t>MOST +4</t>
        </is>
      </c>
      <c r="G69" s="23" t="n">
        <v>4</v>
      </c>
      <c r="H69" s="13" t="n">
        <v>-112</v>
      </c>
      <c r="I69" s="15" t="n">
        <v>0.6479566217985053</v>
      </c>
      <c r="J69" s="15" t="n">
        <v>0.5043297540699688</v>
      </c>
      <c r="K69" s="15" t="n">
        <v>0.5283018867924528</v>
      </c>
      <c r="L69" s="14" t="n">
        <v>0.09452810153158303</v>
      </c>
      <c r="M69" s="14" t="n">
        <v>0.2212121186807788</v>
      </c>
      <c r="N69" s="15" t="n">
        <v>0.0233</v>
      </c>
      <c r="O69" s="24" t="n">
        <v>0.75</v>
      </c>
      <c r="P69" s="12" t="inlineStr">
        <is>
          <t>Draft 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WYO @ CMU</t>
        </is>
      </c>
      <c r="C70" s="17" t="inlineStr">
        <is>
          <t>2026-09-19 17:00</t>
        </is>
      </c>
      <c r="D70" s="25" t="n">
        <v>3</v>
      </c>
      <c r="E70" s="17" t="inlineStr">
        <is>
          <t>TOTAL</t>
        </is>
      </c>
      <c r="F70" s="17" t="inlineStr">
        <is>
          <t>Over 39.5</t>
        </is>
      </c>
      <c r="G70" s="26" t="n">
        <v>39.5</v>
      </c>
      <c r="H70" s="18" t="n">
        <v>-110</v>
      </c>
      <c r="I70" s="20" t="n">
        <v>0.6412004786693809</v>
      </c>
      <c r="J70" s="20" t="n">
        <v>0.5</v>
      </c>
      <c r="K70" s="20" t="n">
        <v>0.5238095238095238</v>
      </c>
      <c r="L70" s="19" t="n">
        <v>0.0945038485118886</v>
      </c>
      <c r="M70" s="19" t="n">
        <v>0.2241100047324545</v>
      </c>
      <c r="N70" s="20" t="n">
        <v>0</v>
      </c>
      <c r="O70" s="27" t="n">
        <v>0.75</v>
      </c>
      <c r="P70" s="17" t="inlineStr">
        <is>
          <t>Draft Kings</t>
        </is>
      </c>
      <c r="Q70" s="17" t="inlineStr">
        <is>
          <t>outside the top 10 plays for this week</t>
        </is>
      </c>
    </row>
    <row r="71">
      <c r="A71" s="12" t="inlineStr">
        <is>
          <t>PASS</t>
        </is>
      </c>
      <c r="B71" s="12" t="inlineStr">
        <is>
          <t>UK @ TA&amp;M</t>
        </is>
      </c>
      <c r="C71" s="12" t="inlineStr">
        <is>
          <t>2026-09-19 19:30</t>
        </is>
      </c>
      <c r="D71" s="22" t="n">
        <v>3</v>
      </c>
      <c r="E71" s="12" t="inlineStr">
        <is>
          <t>ATS</t>
        </is>
      </c>
      <c r="F71" s="12" t="inlineStr">
        <is>
          <t>UK +15.5</t>
        </is>
      </c>
      <c r="G71" s="23" t="n">
        <v>-15.5</v>
      </c>
      <c r="H71" s="13" t="n">
        <v>-110</v>
      </c>
      <c r="I71" s="15" t="n">
        <v>0.6312281920200604</v>
      </c>
      <c r="J71" s="15" t="n">
        <v>0.5</v>
      </c>
      <c r="K71" s="15" t="n">
        <v>0.5238095238095238</v>
      </c>
      <c r="L71" s="14" t="n">
        <v>0.09424599015552616</v>
      </c>
      <c r="M71" s="14" t="n">
        <v>0.205072002947388</v>
      </c>
      <c r="N71" s="15" t="n">
        <v>0</v>
      </c>
      <c r="O71" s="24" t="n">
        <v>0.839</v>
      </c>
      <c r="P71" s="12" t="inlineStr">
        <is>
          <t>Draft Kings</t>
        </is>
      </c>
      <c r="Q71" s="12" t="inlineStr">
        <is>
          <t>correlated with a stronger play on the same game</t>
        </is>
      </c>
    </row>
    <row r="72">
      <c r="A72" s="17" t="inlineStr">
        <is>
          <t>PASS</t>
        </is>
      </c>
      <c r="B72" s="17" t="inlineStr">
        <is>
          <t>WVU @ UVA</t>
        </is>
      </c>
      <c r="C72" s="17" t="inlineStr">
        <is>
          <t>2026-09-19 23:30</t>
        </is>
      </c>
      <c r="D72" s="25" t="n">
        <v>3</v>
      </c>
      <c r="E72" s="17" t="inlineStr">
        <is>
          <t>ATS</t>
        </is>
      </c>
      <c r="F72" s="17" t="inlineStr">
        <is>
          <t>WVU +9.5</t>
        </is>
      </c>
      <c r="G72" s="26" t="n">
        <v>-9.5</v>
      </c>
      <c r="H72" s="18" t="n">
        <v>-112</v>
      </c>
      <c r="I72" s="20" t="n">
        <v>0.6305743982293416</v>
      </c>
      <c r="J72" s="20" t="n">
        <v>0.5043297540699688</v>
      </c>
      <c r="K72" s="20" t="n">
        <v>0.5283018867924528</v>
      </c>
      <c r="L72" s="19" t="n">
        <v>0.09402764633760297</v>
      </c>
      <c r="M72" s="19" t="n">
        <v>0.1935872537912537</v>
      </c>
      <c r="N72" s="20" t="n">
        <v>0</v>
      </c>
      <c r="O72" s="27" t="n">
        <v>0.839</v>
      </c>
      <c r="P72" s="17" t="inlineStr">
        <is>
          <t>Draft 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STAN @ DUKE</t>
        </is>
      </c>
      <c r="C73" s="12" t="inlineStr">
        <is>
          <t>2026-09-19 20:00</t>
        </is>
      </c>
      <c r="D73" s="22" t="n">
        <v>3</v>
      </c>
      <c r="E73" s="12" t="inlineStr">
        <is>
          <t>ML</t>
        </is>
      </c>
      <c r="F73" s="12" t="inlineStr">
        <is>
          <t>STAN ML</t>
        </is>
      </c>
      <c r="G73" s="23" t="n"/>
      <c r="H73" s="13" t="n">
        <v>320</v>
      </c>
      <c r="I73" s="15" t="n">
        <v>0.2845583717433293</v>
      </c>
      <c r="J73" s="15" t="n">
        <v>0.2284946236559139</v>
      </c>
      <c r="K73" s="15" t="n">
        <v>0.2380952380952381</v>
      </c>
      <c r="L73" s="14" t="n">
        <v>0.0939212228545363</v>
      </c>
      <c r="M73" s="14" t="n">
        <v>0.1951451613219832</v>
      </c>
      <c r="N73" s="15" t="n">
        <v>0</v>
      </c>
      <c r="O73" s="24" t="n">
        <v>0.8333333333333334</v>
      </c>
      <c r="P73" s="12" t="inlineStr">
        <is>
          <t>Draft 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CONN @ USM</t>
        </is>
      </c>
      <c r="C74" s="17" t="inlineStr">
        <is>
          <t>2026-09-19 23:00</t>
        </is>
      </c>
      <c r="D74" s="25" t="n">
        <v>3</v>
      </c>
      <c r="E74" s="17" t="inlineStr">
        <is>
          <t>ATS</t>
        </is>
      </c>
      <c r="F74" s="17" t="inlineStr">
        <is>
          <t>USM +3.5</t>
        </is>
      </c>
      <c r="G74" s="26" t="n">
        <v>3.5</v>
      </c>
      <c r="H74" s="18" t="n">
        <v>-118</v>
      </c>
      <c r="I74" s="20" t="n">
        <v>0.6429624471190705</v>
      </c>
      <c r="J74" s="20" t="n">
        <v>0.5173641257162701</v>
      </c>
      <c r="K74" s="20" t="n">
        <v>0.5412844036697247</v>
      </c>
      <c r="L74" s="19" t="n">
        <v>0.09386099837215443</v>
      </c>
      <c r="M74" s="19" t="n">
        <v>0.1878458768809945</v>
      </c>
      <c r="N74" s="20" t="n">
        <v>0</v>
      </c>
      <c r="O74" s="27" t="n">
        <v>0.8333333333333334</v>
      </c>
      <c r="P74" s="17" t="inlineStr">
        <is>
          <t>Draft 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PUR @ UCLA</t>
        </is>
      </c>
      <c r="C75" s="12" t="inlineStr">
        <is>
          <t>2026-09-20 03:00</t>
        </is>
      </c>
      <c r="D75" s="22" t="n">
        <v>3</v>
      </c>
      <c r="E75" s="12" t="inlineStr">
        <is>
          <t>ATS</t>
        </is>
      </c>
      <c r="F75" s="12" t="inlineStr">
        <is>
          <t>PUR +14</t>
        </is>
      </c>
      <c r="G75" s="23" t="n">
        <v>-14</v>
      </c>
      <c r="H75" s="13" t="n">
        <v>-112</v>
      </c>
      <c r="I75" s="15" t="n">
        <v>0.6241936250903672</v>
      </c>
      <c r="J75" s="15" t="n">
        <v>0.5043297540699688</v>
      </c>
      <c r="K75" s="15" t="n">
        <v>0.5283018867924528</v>
      </c>
      <c r="L75" s="14" t="n">
        <v>0.09373286148762275</v>
      </c>
      <c r="M75" s="14" t="n">
        <v>0.1748479682009353</v>
      </c>
      <c r="N75" s="15" t="n">
        <v>0.0367</v>
      </c>
      <c r="O75" s="24" t="n">
        <v>0.75</v>
      </c>
      <c r="P75" s="12" t="inlineStr">
        <is>
          <t>Draft 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KENN @ TENN</t>
        </is>
      </c>
      <c r="C76" s="17" t="inlineStr">
        <is>
          <t>2026-09-19 23:45</t>
        </is>
      </c>
      <c r="D76" s="25" t="n">
        <v>3</v>
      </c>
      <c r="E76" s="17" t="inlineStr">
        <is>
          <t>TOTAL</t>
        </is>
      </c>
      <c r="F76" s="17" t="inlineStr">
        <is>
          <t>Under 59.5</t>
        </is>
      </c>
      <c r="G76" s="26" t="n">
        <v>59.5</v>
      </c>
      <c r="H76" s="18" t="n">
        <v>-112</v>
      </c>
      <c r="I76" s="20" t="n">
        <v>0.6216650962431759</v>
      </c>
      <c r="J76" s="20" t="n">
        <v>0.5043297540699688</v>
      </c>
      <c r="K76" s="20" t="n">
        <v>0.5283018867924528</v>
      </c>
      <c r="L76" s="19" t="n">
        <v>0.09359284571321475</v>
      </c>
      <c r="M76" s="19" t="n">
        <v>0.1767232178888687</v>
      </c>
      <c r="N76" s="20" t="n">
        <v>0</v>
      </c>
      <c r="O76" s="27" t="n">
        <v>0.8333333333333334</v>
      </c>
      <c r="P76" s="17" t="inlineStr">
        <is>
          <t>Draft 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LSU @ MISS</t>
        </is>
      </c>
      <c r="C77" s="12" t="inlineStr">
        <is>
          <t>2026-09-19 23:30</t>
        </is>
      </c>
      <c r="D77" s="22" t="n">
        <v>3</v>
      </c>
      <c r="E77" s="12" t="inlineStr">
        <is>
          <t>ML</t>
        </is>
      </c>
      <c r="F77" s="12" t="inlineStr">
        <is>
          <t>MISS ML</t>
        </is>
      </c>
      <c r="G77" s="23" t="n"/>
      <c r="H77" s="13" t="n">
        <v>120</v>
      </c>
      <c r="I77" s="15" t="n">
        <v>0.5354167687571457</v>
      </c>
      <c r="J77" s="15" t="n">
        <v>0.4365079365079365</v>
      </c>
      <c r="K77" s="15" t="n">
        <v>0.4545454545454545</v>
      </c>
      <c r="L77" s="14" t="n">
        <v>0.09340281540085382</v>
      </c>
      <c r="M77" s="14" t="n">
        <v>0.1779168912657207</v>
      </c>
      <c r="N77" s="15" t="n">
        <v>0</v>
      </c>
      <c r="O77" s="24" t="n">
        <v>0.839</v>
      </c>
      <c r="P77" s="12" t="inlineStr">
        <is>
          <t>Draft 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SMU @ LOU</t>
        </is>
      </c>
      <c r="C78" s="17" t="inlineStr">
        <is>
          <t>2026-09-19 19:30</t>
        </is>
      </c>
      <c r="D78" s="25" t="n">
        <v>3</v>
      </c>
      <c r="E78" s="17" t="inlineStr">
        <is>
          <t>TOTAL</t>
        </is>
      </c>
      <c r="F78" s="17" t="inlineStr">
        <is>
          <t>Under 59.5</t>
        </is>
      </c>
      <c r="G78" s="26" t="n">
        <v>59.5</v>
      </c>
      <c r="H78" s="18" t="n">
        <v>-108</v>
      </c>
      <c r="I78" s="20" t="n">
        <v>0.607397238648856</v>
      </c>
      <c r="J78" s="20" t="n">
        <v>0.4956702459300312</v>
      </c>
      <c r="K78" s="20" t="n">
        <v>0.5192307692307693</v>
      </c>
      <c r="L78" s="19" t="n">
        <v>0.09336280766768033</v>
      </c>
      <c r="M78" s="19" t="n">
        <v>0.1698020892496486</v>
      </c>
      <c r="N78" s="20" t="n">
        <v>0</v>
      </c>
      <c r="O78" s="27" t="n">
        <v>0.839</v>
      </c>
      <c r="P78" s="17" t="inlineStr">
        <is>
          <t>Draft 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LSU @ MISS</t>
        </is>
      </c>
      <c r="C79" s="12" t="inlineStr">
        <is>
          <t>2026-09-19 23:30</t>
        </is>
      </c>
      <c r="D79" s="22" t="n">
        <v>3</v>
      </c>
      <c r="E79" s="12" t="inlineStr">
        <is>
          <t>TOTAL</t>
        </is>
      </c>
      <c r="F79" s="12" t="inlineStr">
        <is>
          <t>Under 58.5</t>
        </is>
      </c>
      <c r="G79" s="23" t="n">
        <v>58.5</v>
      </c>
      <c r="H79" s="13" t="n">
        <v>-108</v>
      </c>
      <c r="I79" s="15" t="n">
        <v>0.607397235583072</v>
      </c>
      <c r="J79" s="15" t="n">
        <v>0.4956702459300312</v>
      </c>
      <c r="K79" s="15" t="n">
        <v>0.5192307692307693</v>
      </c>
      <c r="L79" s="14" t="n">
        <v>0.0933628074563332</v>
      </c>
      <c r="M79" s="14" t="n">
        <v>0.1698020833451759</v>
      </c>
      <c r="N79" s="15" t="n">
        <v>0</v>
      </c>
      <c r="O79" s="24" t="n">
        <v>0.839</v>
      </c>
      <c r="P79" s="12" t="inlineStr">
        <is>
          <t>Draft 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JMU @ SDSU</t>
        </is>
      </c>
      <c r="C80" s="17" t="inlineStr">
        <is>
          <t>2026-09-20 02:00</t>
        </is>
      </c>
      <c r="D80" s="25" t="n">
        <v>3</v>
      </c>
      <c r="E80" s="17" t="inlineStr">
        <is>
          <t>TOTAL</t>
        </is>
      </c>
      <c r="F80" s="17" t="inlineStr">
        <is>
          <t>Over 46.5</t>
        </is>
      </c>
      <c r="G80" s="26" t="n">
        <v>46.5</v>
      </c>
      <c r="H80" s="18" t="n">
        <v>-110</v>
      </c>
      <c r="I80" s="20" t="n">
        <v>0.6061699858137528</v>
      </c>
      <c r="J80" s="20" t="n">
        <v>0.5</v>
      </c>
      <c r="K80" s="20" t="n">
        <v>0.5238095238095238</v>
      </c>
      <c r="L80" s="19" t="n">
        <v>0.09285029600564701</v>
      </c>
      <c r="M80" s="19" t="n">
        <v>0.1572336092808009</v>
      </c>
      <c r="N80" s="20" t="n">
        <v>0</v>
      </c>
      <c r="O80" s="27" t="n">
        <v>0.8333333333333334</v>
      </c>
      <c r="P80" s="17" t="inlineStr">
        <is>
          <t>Draft 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WKU @ IU</t>
        </is>
      </c>
      <c r="C81" s="12" t="inlineStr">
        <is>
          <t>2026-09-19 20:00</t>
        </is>
      </c>
      <c r="D81" s="22" t="n">
        <v>3</v>
      </c>
      <c r="E81" s="12" t="inlineStr">
        <is>
          <t>TOTAL</t>
        </is>
      </c>
      <c r="F81" s="12" t="inlineStr">
        <is>
          <t>Under 59.5</t>
        </is>
      </c>
      <c r="G81" s="23" t="n">
        <v>59.5</v>
      </c>
      <c r="H81" s="13" t="n">
        <v>-108</v>
      </c>
      <c r="I81" s="15" t="n">
        <v>0.6005746841012343</v>
      </c>
      <c r="J81" s="15" t="n">
        <v>0.4956702459300312</v>
      </c>
      <c r="K81" s="15" t="n">
        <v>0.5192307692307693</v>
      </c>
      <c r="L81" s="14" t="n">
        <v>0.09281882135272705</v>
      </c>
      <c r="M81" s="14" t="n">
        <v>0.1566623545653401</v>
      </c>
      <c r="N81" s="15" t="n">
        <v>0</v>
      </c>
      <c r="O81" s="24" t="n">
        <v>0.839</v>
      </c>
      <c r="P81" s="12" t="inlineStr">
        <is>
          <t>Draft Kings</t>
        </is>
      </c>
      <c r="Q81" s="12" t="inlineStr">
        <is>
          <t>outside the top 10 plays for this week</t>
        </is>
      </c>
    </row>
    <row r="82">
      <c r="A82" s="17" t="inlineStr">
        <is>
          <t>PASS</t>
        </is>
      </c>
      <c r="B82" s="17" t="inlineStr">
        <is>
          <t>MSST @ SC</t>
        </is>
      </c>
      <c r="C82" s="17" t="inlineStr">
        <is>
          <t>2026-09-19 20:15</t>
        </is>
      </c>
      <c r="D82" s="25" t="n">
        <v>3</v>
      </c>
      <c r="E82" s="17" t="inlineStr">
        <is>
          <t>TOTAL</t>
        </is>
      </c>
      <c r="F82" s="17" t="inlineStr">
        <is>
          <t>Under 58.5</t>
        </is>
      </c>
      <c r="G82" s="26" t="n">
        <v>58.5</v>
      </c>
      <c r="H82" s="18" t="n">
        <v>-112</v>
      </c>
      <c r="I82" s="20" t="n">
        <v>0.6100357480870129</v>
      </c>
      <c r="J82" s="20" t="n">
        <v>0.5043297540699688</v>
      </c>
      <c r="K82" s="20" t="n">
        <v>0.5283018867924528</v>
      </c>
      <c r="L82" s="19" t="n">
        <v>0.09272403315499447</v>
      </c>
      <c r="M82" s="19" t="n">
        <v>0.154710523164703</v>
      </c>
      <c r="N82" s="20" t="n">
        <v>0</v>
      </c>
      <c r="O82" s="27" t="n">
        <v>0.839</v>
      </c>
      <c r="P82" s="17" t="inlineStr">
        <is>
          <t>Draft 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ARST @ TCU</t>
        </is>
      </c>
      <c r="C83" s="12" t="inlineStr">
        <is>
          <t>2026-09-20 00:00</t>
        </is>
      </c>
      <c r="D83" s="22" t="n">
        <v>3</v>
      </c>
      <c r="E83" s="12" t="inlineStr">
        <is>
          <t>TOTAL</t>
        </is>
      </c>
      <c r="F83" s="12" t="inlineStr">
        <is>
          <t>Under 57.5</t>
        </is>
      </c>
      <c r="G83" s="23" t="n">
        <v>57.5</v>
      </c>
      <c r="H83" s="13" t="n">
        <v>-108</v>
      </c>
      <c r="I83" s="15" t="n">
        <v>0.5988454385128984</v>
      </c>
      <c r="J83" s="15" t="n">
        <v>0.4956702459300312</v>
      </c>
      <c r="K83" s="15" t="n">
        <v>0.5192307692307693</v>
      </c>
      <c r="L83" s="14" t="n">
        <v>0.09265464392311192</v>
      </c>
      <c r="M83" s="14" t="n">
        <v>0.153331955654471</v>
      </c>
      <c r="N83" s="15" t="n">
        <v>0</v>
      </c>
      <c r="O83" s="24" t="n">
        <v>0.8333333333333334</v>
      </c>
      <c r="P83" s="12" t="inlineStr">
        <is>
          <t>Draft 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LSU @ MISS</t>
        </is>
      </c>
      <c r="C84" s="17" t="inlineStr">
        <is>
          <t>2026-09-19 23:30</t>
        </is>
      </c>
      <c r="D84" s="25" t="n">
        <v>3</v>
      </c>
      <c r="E84" s="17" t="inlineStr">
        <is>
          <t>ATS</t>
        </is>
      </c>
      <c r="F84" s="17" t="inlineStr">
        <is>
          <t>MISS +2.5</t>
        </is>
      </c>
      <c r="G84" s="26" t="n">
        <v>2.5</v>
      </c>
      <c r="H84" s="18" t="n">
        <v>-105</v>
      </c>
      <c r="I84" s="20" t="n">
        <v>0.5906823083411566</v>
      </c>
      <c r="J84" s="20" t="n">
        <v>0.4891657638136511</v>
      </c>
      <c r="K84" s="20" t="n">
        <v>0.5121951219512195</v>
      </c>
      <c r="L84" s="19" t="n">
        <v>0.09262407023542003</v>
      </c>
      <c r="M84" s="19" t="n">
        <v>0.1532368877136867</v>
      </c>
      <c r="N84" s="20" t="n">
        <v>0</v>
      </c>
      <c r="O84" s="27" t="n">
        <v>0.839</v>
      </c>
      <c r="P84" s="17" t="inlineStr">
        <is>
          <t>Draft Kings</t>
        </is>
      </c>
      <c r="Q84" s="17" t="inlineStr">
        <is>
          <t>correlated with a stronger play on the same game</t>
        </is>
      </c>
    </row>
    <row r="85">
      <c r="A85" s="12" t="inlineStr">
        <is>
          <t>PASS</t>
        </is>
      </c>
      <c r="B85" s="12" t="inlineStr">
        <is>
          <t>UAB @ UL</t>
        </is>
      </c>
      <c r="C85" s="12" t="inlineStr">
        <is>
          <t>2026-09-20 00:00</t>
        </is>
      </c>
      <c r="D85" s="22" t="n">
        <v>3</v>
      </c>
      <c r="E85" s="12" t="inlineStr">
        <is>
          <t>ML</t>
        </is>
      </c>
      <c r="F85" s="12" t="inlineStr">
        <is>
          <t>UAB ML</t>
        </is>
      </c>
      <c r="G85" s="23" t="n"/>
      <c r="H85" s="13" t="n">
        <v>300</v>
      </c>
      <c r="I85" s="15" t="n">
        <v>0.288849902748193</v>
      </c>
      <c r="J85" s="15" t="n">
        <v>0.24</v>
      </c>
      <c r="K85" s="15" t="n">
        <v>0.25</v>
      </c>
      <c r="L85" s="14" t="n">
        <v>0.09241876921852425</v>
      </c>
      <c r="M85" s="14" t="n">
        <v>0.155399610992772</v>
      </c>
      <c r="N85" s="15" t="n">
        <v>0</v>
      </c>
      <c r="O85" s="24" t="n">
        <v>0.8333333333333334</v>
      </c>
      <c r="P85" s="12" t="inlineStr">
        <is>
          <t>Draft 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CCU @ DEL</t>
        </is>
      </c>
      <c r="C86" s="17" t="inlineStr">
        <is>
          <t>2026-09-19 15:30</t>
        </is>
      </c>
      <c r="D86" s="25" t="n">
        <v>3</v>
      </c>
      <c r="E86" s="17" t="inlineStr">
        <is>
          <t>TOTAL</t>
        </is>
      </c>
      <c r="F86" s="17" t="inlineStr">
        <is>
          <t>Under 57.5</t>
        </is>
      </c>
      <c r="G86" s="26" t="n">
        <v>57.5</v>
      </c>
      <c r="H86" s="18" t="n">
        <v>-108</v>
      </c>
      <c r="I86" s="20" t="n">
        <v>0.5953594965932315</v>
      </c>
      <c r="J86" s="20" t="n">
        <v>0.4956702459300312</v>
      </c>
      <c r="K86" s="20" t="n">
        <v>0.5192307692307693</v>
      </c>
      <c r="L86" s="19" t="n">
        <v>0.09228571673719346</v>
      </c>
      <c r="M86" s="19" t="n">
        <v>0.1466182897351127</v>
      </c>
      <c r="N86" s="20" t="n">
        <v>0</v>
      </c>
      <c r="O86" s="27" t="n">
        <v>0.8333333333333334</v>
      </c>
      <c r="P86" s="17" t="inlineStr">
        <is>
          <t>Draft 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ASU @ KU</t>
        </is>
      </c>
      <c r="C87" s="12" t="inlineStr">
        <is>
          <t>2026-09-19 16:00</t>
        </is>
      </c>
      <c r="D87" s="22" t="n">
        <v>3</v>
      </c>
      <c r="E87" s="12" t="inlineStr">
        <is>
          <t>ML</t>
        </is>
      </c>
      <c r="F87" s="12" t="inlineStr">
        <is>
          <t>KU ML</t>
        </is>
      </c>
      <c r="G87" s="23" t="n"/>
      <c r="H87" s="13" t="n">
        <v>185</v>
      </c>
      <c r="I87" s="15" t="n">
        <v>0.4036437946288706</v>
      </c>
      <c r="J87" s="15" t="n">
        <v>0.3363518758085381</v>
      </c>
      <c r="K87" s="15" t="n">
        <v>0.3508771929824561</v>
      </c>
      <c r="L87" s="14" t="n">
        <v>0.09222558621489992</v>
      </c>
      <c r="M87" s="14" t="n">
        <v>0.1503848146922813</v>
      </c>
      <c r="N87" s="15" t="n">
        <v>0</v>
      </c>
      <c r="O87" s="24" t="n">
        <v>0.839</v>
      </c>
      <c r="P87" s="12" t="inlineStr">
        <is>
          <t>Draft 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FLA @ AUB</t>
        </is>
      </c>
      <c r="C88" s="17" t="inlineStr">
        <is>
          <t>2026-09-19 23:00</t>
        </is>
      </c>
      <c r="D88" s="25" t="n">
        <v>3</v>
      </c>
      <c r="E88" s="17" t="inlineStr">
        <is>
          <t>ML</t>
        </is>
      </c>
      <c r="F88" s="17" t="inlineStr">
        <is>
          <t>AUB ML</t>
        </is>
      </c>
      <c r="G88" s="26" t="n"/>
      <c r="H88" s="18" t="n">
        <v>114</v>
      </c>
      <c r="I88" s="20" t="n">
        <v>0.5359671772647854</v>
      </c>
      <c r="J88" s="20" t="n">
        <v>0.448558885283451</v>
      </c>
      <c r="K88" s="20" t="n">
        <v>0.4672897196261682</v>
      </c>
      <c r="L88" s="19" t="n">
        <v>0.09190987409275203</v>
      </c>
      <c r="M88" s="19" t="n">
        <v>0.1469697593466406</v>
      </c>
      <c r="N88" s="20" t="n">
        <v>0</v>
      </c>
      <c r="O88" s="27" t="n">
        <v>0.839</v>
      </c>
      <c r="P88" s="17" t="inlineStr">
        <is>
          <t>Draft 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SYR @ PITT</t>
        </is>
      </c>
      <c r="C89" s="12" t="inlineStr">
        <is>
          <t>2026-09-17 23:30</t>
        </is>
      </c>
      <c r="D89" s="22" t="n">
        <v>3</v>
      </c>
      <c r="E89" s="12" t="inlineStr">
        <is>
          <t>ATS</t>
        </is>
      </c>
      <c r="F89" s="12" t="inlineStr">
        <is>
          <t>SYR +10.5</t>
        </is>
      </c>
      <c r="G89" s="23" t="n">
        <v>-10.5</v>
      </c>
      <c r="H89" s="13" t="n">
        <v>-108</v>
      </c>
      <c r="I89" s="15" t="n">
        <v>0.5907172898003605</v>
      </c>
      <c r="J89" s="15" t="n">
        <v>0.4956702459300312</v>
      </c>
      <c r="K89" s="15" t="n">
        <v>0.5192307692307693</v>
      </c>
      <c r="L89" s="14" t="n">
        <v>0.09170440105581325</v>
      </c>
      <c r="M89" s="14" t="n">
        <v>0.1376777433192129</v>
      </c>
      <c r="N89" s="15" t="n">
        <v>0</v>
      </c>
      <c r="O89" s="24" t="n">
        <v>0.839</v>
      </c>
      <c r="P89" s="12" t="inlineStr">
        <is>
          <t>Draft 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USU @ UTAH</t>
        </is>
      </c>
      <c r="C90" s="17" t="inlineStr">
        <is>
          <t>2026-09-19 19:30</t>
        </is>
      </c>
      <c r="D90" s="25" t="n">
        <v>3</v>
      </c>
      <c r="E90" s="17" t="inlineStr">
        <is>
          <t>TOTAL</t>
        </is>
      </c>
      <c r="F90" s="17" t="inlineStr">
        <is>
          <t>Under 57.5</t>
        </is>
      </c>
      <c r="G90" s="26" t="n">
        <v>57.5</v>
      </c>
      <c r="H90" s="18" t="n">
        <v>-115</v>
      </c>
      <c r="I90" s="20" t="n">
        <v>0.6064274336410572</v>
      </c>
      <c r="J90" s="20" t="n">
        <v>0.5108342361863488</v>
      </c>
      <c r="K90" s="20" t="n">
        <v>0.5348837209302325</v>
      </c>
      <c r="L90" s="19" t="n">
        <v>0.09137395048719593</v>
      </c>
      <c r="M90" s="19" t="n">
        <v>0.1337556368071939</v>
      </c>
      <c r="N90" s="20" t="n">
        <v>0</v>
      </c>
      <c r="O90" s="27" t="n">
        <v>0.8333333333333334</v>
      </c>
      <c r="P90" s="17" t="inlineStr">
        <is>
          <t>Draft 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SYR @ PITT</t>
        </is>
      </c>
      <c r="C91" s="12" t="inlineStr">
        <is>
          <t>2026-09-17 23:30</t>
        </is>
      </c>
      <c r="D91" s="22" t="n">
        <v>3</v>
      </c>
      <c r="E91" s="12" t="inlineStr">
        <is>
          <t>ML</t>
        </is>
      </c>
      <c r="F91" s="12" t="inlineStr">
        <is>
          <t>SYR ML</t>
        </is>
      </c>
      <c r="G91" s="23" t="n"/>
      <c r="H91" s="13" t="n">
        <v>285</v>
      </c>
      <c r="I91" s="15" t="n">
        <v>0.2949047760583842</v>
      </c>
      <c r="J91" s="15" t="n">
        <v>0.2491874322860238</v>
      </c>
      <c r="K91" s="15" t="n">
        <v>0.2597402597402597</v>
      </c>
      <c r="L91" s="14" t="n">
        <v>0.09108901372994783</v>
      </c>
      <c r="M91" s="14" t="n">
        <v>0.135383387824779</v>
      </c>
      <c r="N91" s="15" t="n">
        <v>0</v>
      </c>
      <c r="O91" s="24" t="n">
        <v>0.839</v>
      </c>
      <c r="P91" s="12" t="inlineStr">
        <is>
          <t>Draft 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FLA @ AUB</t>
        </is>
      </c>
      <c r="C92" s="17" t="inlineStr">
        <is>
          <t>2026-09-19 23:00</t>
        </is>
      </c>
      <c r="D92" s="25" t="n">
        <v>3</v>
      </c>
      <c r="E92" s="17" t="inlineStr">
        <is>
          <t>ATS</t>
        </is>
      </c>
      <c r="F92" s="17" t="inlineStr">
        <is>
          <t>AUB +2.5</t>
        </is>
      </c>
      <c r="G92" s="26" t="n">
        <v>2.5</v>
      </c>
      <c r="H92" s="18" t="n">
        <v>-110</v>
      </c>
      <c r="I92" s="20" t="n">
        <v>0.5909949778961293</v>
      </c>
      <c r="J92" s="20" t="n">
        <v>0.5</v>
      </c>
      <c r="K92" s="20" t="n">
        <v>0.5238095238095238</v>
      </c>
      <c r="L92" s="19" t="n">
        <v>0.090968218647438</v>
      </c>
      <c r="M92" s="19" t="n">
        <v>0.1282631396198832</v>
      </c>
      <c r="N92" s="20" t="n">
        <v>0</v>
      </c>
      <c r="O92" s="27" t="n">
        <v>0.839</v>
      </c>
      <c r="P92" s="17" t="inlineStr">
        <is>
          <t>Draft 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UAB @ UL</t>
        </is>
      </c>
      <c r="C93" s="12" t="inlineStr">
        <is>
          <t>2026-09-20 00:00</t>
        </is>
      </c>
      <c r="D93" s="22" t="n">
        <v>3</v>
      </c>
      <c r="E93" s="12" t="inlineStr">
        <is>
          <t>TOTAL</t>
        </is>
      </c>
      <c r="F93" s="12" t="inlineStr">
        <is>
          <t>Under 57.5</t>
        </is>
      </c>
      <c r="G93" s="23" t="n">
        <v>57.5</v>
      </c>
      <c r="H93" s="13" t="n">
        <v>-105</v>
      </c>
      <c r="I93" s="15" t="n">
        <v>0.5759934991191062</v>
      </c>
      <c r="J93" s="15" t="n">
        <v>0.4891657638136511</v>
      </c>
      <c r="K93" s="15" t="n">
        <v>0.5121951219512195</v>
      </c>
      <c r="L93" s="14" t="n">
        <v>0.09057797350409709</v>
      </c>
      <c r="M93" s="14" t="n">
        <v>0.1245587363753979</v>
      </c>
      <c r="N93" s="15" t="n">
        <v>0</v>
      </c>
      <c r="O93" s="24" t="n">
        <v>0.8333333333333334</v>
      </c>
      <c r="P93" s="12" t="inlineStr">
        <is>
          <t>Draft Kings</t>
        </is>
      </c>
      <c r="Q93" s="12" t="inlineStr">
        <is>
          <t>correlated with a stronger play on the same game</t>
        </is>
      </c>
    </row>
    <row r="94">
      <c r="A94" s="17" t="inlineStr">
        <is>
          <t>PASS</t>
        </is>
      </c>
      <c r="B94" s="17" t="inlineStr">
        <is>
          <t>UAB @ UL</t>
        </is>
      </c>
      <c r="C94" s="17" t="inlineStr">
        <is>
          <t>2026-09-20 00:00</t>
        </is>
      </c>
      <c r="D94" s="25" t="n">
        <v>3</v>
      </c>
      <c r="E94" s="17" t="inlineStr">
        <is>
          <t>ATS</t>
        </is>
      </c>
      <c r="F94" s="17" t="inlineStr">
        <is>
          <t>UAB +10</t>
        </is>
      </c>
      <c r="G94" s="26" t="n">
        <v>-10</v>
      </c>
      <c r="H94" s="18" t="n">
        <v>-108</v>
      </c>
      <c r="I94" s="20" t="n">
        <v>0.5829270117786479</v>
      </c>
      <c r="J94" s="20" t="n">
        <v>0.4956702459300312</v>
      </c>
      <c r="K94" s="20" t="n">
        <v>0.5192307692307693</v>
      </c>
      <c r="L94" s="19" t="n">
        <v>0.09044290533155404</v>
      </c>
      <c r="M94" s="19" t="n">
        <v>0.1179512864781052</v>
      </c>
      <c r="N94" s="20" t="n">
        <v>0.0385</v>
      </c>
      <c r="O94" s="27" t="n">
        <v>0.8333333333333334</v>
      </c>
      <c r="P94" s="17" t="inlineStr">
        <is>
          <t>Draft 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UK @ TA&amp;M</t>
        </is>
      </c>
      <c r="C95" s="12" t="inlineStr">
        <is>
          <t>2026-09-19 19:30</t>
        </is>
      </c>
      <c r="D95" s="22" t="n">
        <v>3</v>
      </c>
      <c r="E95" s="12" t="inlineStr">
        <is>
          <t>TOTAL</t>
        </is>
      </c>
      <c r="F95" s="12" t="inlineStr">
        <is>
          <t>Over 48.5</t>
        </is>
      </c>
      <c r="G95" s="23" t="n">
        <v>48.5</v>
      </c>
      <c r="H95" s="13" t="n">
        <v>-102</v>
      </c>
      <c r="I95" s="15" t="n">
        <v>0.567213885460838</v>
      </c>
      <c r="J95" s="15" t="n">
        <v>0.4826358742837298</v>
      </c>
      <c r="K95" s="15" t="n">
        <v>0.504950495049505</v>
      </c>
      <c r="L95" s="14" t="n">
        <v>0.09036776564654718</v>
      </c>
      <c r="M95" s="14" t="n">
        <v>0.123305930030287</v>
      </c>
      <c r="N95" s="15" t="n">
        <v>0</v>
      </c>
      <c r="O95" s="24" t="n">
        <v>0.839</v>
      </c>
      <c r="P95" s="12" t="inlineStr">
        <is>
          <t>Draft 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WMU @ RICE</t>
        </is>
      </c>
      <c r="C96" s="17" t="inlineStr">
        <is>
          <t>2026-09-19 23:00</t>
        </is>
      </c>
      <c r="D96" s="25" t="n">
        <v>3</v>
      </c>
      <c r="E96" s="17" t="inlineStr">
        <is>
          <t>TOTAL</t>
        </is>
      </c>
      <c r="F96" s="17" t="inlineStr">
        <is>
          <t>Over 44.5</t>
        </is>
      </c>
      <c r="G96" s="26" t="n">
        <v>44.5</v>
      </c>
      <c r="H96" s="18" t="n">
        <v>-112</v>
      </c>
      <c r="I96" s="20" t="n">
        <v>0.5926112421035912</v>
      </c>
      <c r="J96" s="20" t="n">
        <v>0.5043297540699688</v>
      </c>
      <c r="K96" s="20" t="n">
        <v>0.5283018867924528</v>
      </c>
      <c r="L96" s="19" t="n">
        <v>0.09034920395881789</v>
      </c>
      <c r="M96" s="19" t="n">
        <v>0.121728422553226</v>
      </c>
      <c r="N96" s="20" t="n">
        <v>0</v>
      </c>
      <c r="O96" s="27" t="n">
        <v>0.8333333333333334</v>
      </c>
      <c r="P96" s="17" t="inlineStr">
        <is>
          <t>Draft 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UTSA @ TEX</t>
        </is>
      </c>
      <c r="C97" s="12" t="inlineStr">
        <is>
          <t>2026-09-20 00:00</t>
        </is>
      </c>
      <c r="D97" s="22" t="n">
        <v>3</v>
      </c>
      <c r="E97" s="12" t="inlineStr">
        <is>
          <t>TOTAL</t>
        </is>
      </c>
      <c r="F97" s="12" t="inlineStr">
        <is>
          <t>Under 57.5</t>
        </is>
      </c>
      <c r="G97" s="23" t="n">
        <v>57.5</v>
      </c>
      <c r="H97" s="13" t="n">
        <v>-110</v>
      </c>
      <c r="I97" s="15" t="n">
        <v>0.5868562097839791</v>
      </c>
      <c r="J97" s="15" t="n">
        <v>0.5</v>
      </c>
      <c r="K97" s="15" t="n">
        <v>0.5238095238095238</v>
      </c>
      <c r="L97" s="14" t="n">
        <v>0.09021999910818522</v>
      </c>
      <c r="M97" s="14" t="n">
        <v>0.1203618550421419</v>
      </c>
      <c r="N97" s="15" t="n">
        <v>0</v>
      </c>
      <c r="O97" s="24" t="n">
        <v>0.839</v>
      </c>
      <c r="P97" s="12" t="inlineStr">
        <is>
          <t>Draft Kings</t>
        </is>
      </c>
      <c r="Q97" s="12" t="inlineStr">
        <is>
          <t>outside the top 10 plays for this week</t>
        </is>
      </c>
    </row>
    <row r="98">
      <c r="A98" s="17" t="inlineStr">
        <is>
          <t>PASS</t>
        </is>
      </c>
      <c r="B98" s="17" t="inlineStr">
        <is>
          <t>ASU @ KU</t>
        </is>
      </c>
      <c r="C98" s="17" t="inlineStr">
        <is>
          <t>2026-09-19 16:00</t>
        </is>
      </c>
      <c r="D98" s="25" t="n">
        <v>3</v>
      </c>
      <c r="E98" s="17" t="inlineStr">
        <is>
          <t>ATS</t>
        </is>
      </c>
      <c r="F98" s="17" t="inlineStr">
        <is>
          <t>KU +6</t>
        </is>
      </c>
      <c r="G98" s="26" t="n">
        <v>6</v>
      </c>
      <c r="H98" s="18" t="n">
        <v>-108</v>
      </c>
      <c r="I98" s="20" t="n">
        <v>0.5811585726875245</v>
      </c>
      <c r="J98" s="20" t="n">
        <v>0.4956702459300312</v>
      </c>
      <c r="K98" s="20" t="n">
        <v>0.5192307692307693</v>
      </c>
      <c r="L98" s="19" t="n">
        <v>0.09009660828137983</v>
      </c>
      <c r="M98" s="19" t="n">
        <v>0.1161077506143654</v>
      </c>
      <c r="N98" s="20" t="n">
        <v>0.0265</v>
      </c>
      <c r="O98" s="27" t="n">
        <v>0.839</v>
      </c>
      <c r="P98" s="17" t="inlineStr">
        <is>
          <t>Draft 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USC @ RUTG</t>
        </is>
      </c>
      <c r="C99" s="12" t="inlineStr">
        <is>
          <t>2026-09-19 19:30</t>
        </is>
      </c>
      <c r="D99" s="22" t="n">
        <v>3</v>
      </c>
      <c r="E99" s="12" t="inlineStr">
        <is>
          <t>TOTAL</t>
        </is>
      </c>
      <c r="F99" s="12" t="inlineStr">
        <is>
          <t>Under 57.5</t>
        </is>
      </c>
      <c r="G99" s="23" t="n">
        <v>57.5</v>
      </c>
      <c r="H99" s="13" t="n">
        <v>-108</v>
      </c>
      <c r="I99" s="15" t="n">
        <v>0.5810688156452991</v>
      </c>
      <c r="J99" s="15" t="n">
        <v>0.4956702459300312</v>
      </c>
      <c r="K99" s="15" t="n">
        <v>0.5192307692307693</v>
      </c>
      <c r="L99" s="14" t="n">
        <v>0.09007836475457424</v>
      </c>
      <c r="M99" s="14" t="n">
        <v>0.119095496798354</v>
      </c>
      <c r="N99" s="15" t="n">
        <v>0</v>
      </c>
      <c r="O99" s="24" t="n">
        <v>0.75</v>
      </c>
      <c r="P99" s="12" t="inlineStr">
        <is>
          <t>Draft 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GASO @ JVST</t>
        </is>
      </c>
      <c r="C100" s="17" t="inlineStr">
        <is>
          <t>2026-09-19 23:00</t>
        </is>
      </c>
      <c r="D100" s="25" t="n">
        <v>3</v>
      </c>
      <c r="E100" s="17" t="inlineStr">
        <is>
          <t>TOTAL</t>
        </is>
      </c>
      <c r="F100" s="17" t="inlineStr">
        <is>
          <t>Under 53.5</t>
        </is>
      </c>
      <c r="G100" s="26" t="n">
        <v>53.5</v>
      </c>
      <c r="H100" s="18" t="n">
        <v>-108</v>
      </c>
      <c r="I100" s="20" t="n">
        <v>0.5810687668947986</v>
      </c>
      <c r="J100" s="20" t="n">
        <v>0.4956702459300312</v>
      </c>
      <c r="K100" s="20" t="n">
        <v>0.5192307692307693</v>
      </c>
      <c r="L100" s="19" t="n">
        <v>0.09007835482788283</v>
      </c>
      <c r="M100" s="19" t="n">
        <v>0.119095402908501</v>
      </c>
      <c r="N100" s="20" t="n">
        <v>0</v>
      </c>
      <c r="O100" s="27" t="n">
        <v>0.75</v>
      </c>
      <c r="P100" s="17" t="inlineStr">
        <is>
          <t>Draft 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STAN @ DUKE</t>
        </is>
      </c>
      <c r="C101" s="12" t="inlineStr">
        <is>
          <t>2026-09-19 20:00</t>
        </is>
      </c>
      <c r="D101" s="22" t="n">
        <v>3</v>
      </c>
      <c r="E101" s="12" t="inlineStr">
        <is>
          <t>ATS</t>
        </is>
      </c>
      <c r="F101" s="12" t="inlineStr">
        <is>
          <t>STAN +10</t>
        </is>
      </c>
      <c r="G101" s="23" t="n">
        <v>-10</v>
      </c>
      <c r="H101" s="13" t="n">
        <v>-112</v>
      </c>
      <c r="I101" s="15" t="n">
        <v>0.5887745898476872</v>
      </c>
      <c r="J101" s="15" t="n">
        <v>0.5043297540699688</v>
      </c>
      <c r="K101" s="15" t="n">
        <v>0.5283018867924528</v>
      </c>
      <c r="L101" s="14" t="n">
        <v>0.08956449671341217</v>
      </c>
      <c r="M101" s="14" t="n">
        <v>0.1100706863096216</v>
      </c>
      <c r="N101" s="15" t="n">
        <v>0.0384</v>
      </c>
      <c r="O101" s="24" t="n">
        <v>0.8333333333333334</v>
      </c>
      <c r="P101" s="12" t="inlineStr">
        <is>
          <t>Draft 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WVU @ UVA</t>
        </is>
      </c>
      <c r="C102" s="17" t="inlineStr">
        <is>
          <t>2026-09-19 23:30</t>
        </is>
      </c>
      <c r="D102" s="25" t="n">
        <v>3</v>
      </c>
      <c r="E102" s="17" t="inlineStr">
        <is>
          <t>TOTAL</t>
        </is>
      </c>
      <c r="F102" s="17" t="inlineStr">
        <is>
          <t>Under 54.5</t>
        </is>
      </c>
      <c r="G102" s="26" t="n">
        <v>54.5</v>
      </c>
      <c r="H102" s="18" t="n">
        <v>-110</v>
      </c>
      <c r="I102" s="20" t="n">
        <v>0.5832336663593694</v>
      </c>
      <c r="J102" s="20" t="n">
        <v>0.5</v>
      </c>
      <c r="K102" s="20" t="n">
        <v>0.5238095238095238</v>
      </c>
      <c r="L102" s="19" t="n">
        <v>0.08945535805147735</v>
      </c>
      <c r="M102" s="19" t="n">
        <v>0.1134460903224324</v>
      </c>
      <c r="N102" s="20" t="n">
        <v>0</v>
      </c>
      <c r="O102" s="27" t="n">
        <v>0.839</v>
      </c>
      <c r="P102" s="17" t="inlineStr">
        <is>
          <t>Draft Kings</t>
        </is>
      </c>
      <c r="Q102" s="17" t="inlineStr">
        <is>
          <t>correlated with a stronger play on the same game</t>
        </is>
      </c>
    </row>
    <row r="103">
      <c r="A103" s="12" t="inlineStr">
        <is>
          <t>PASS</t>
        </is>
      </c>
      <c r="B103" s="12" t="inlineStr">
        <is>
          <t>FIU @ FAU</t>
        </is>
      </c>
      <c r="C103" s="12" t="inlineStr">
        <is>
          <t>2026-09-19 22:00</t>
        </is>
      </c>
      <c r="D103" s="22" t="n">
        <v>3</v>
      </c>
      <c r="E103" s="12" t="inlineStr">
        <is>
          <t>ML</t>
        </is>
      </c>
      <c r="F103" s="12" t="inlineStr">
        <is>
          <t>FIU ML</t>
        </is>
      </c>
      <c r="G103" s="23" t="n"/>
      <c r="H103" s="13" t="n">
        <v>225</v>
      </c>
      <c r="I103" s="15" t="n">
        <v>0.3410405987539735</v>
      </c>
      <c r="J103" s="15" t="n">
        <v>0.2949668357393679</v>
      </c>
      <c r="K103" s="15" t="n">
        <v>0.3076923076923077</v>
      </c>
      <c r="L103" s="14" t="n">
        <v>0.08816556722163803</v>
      </c>
      <c r="M103" s="14" t="n">
        <v>0.1083819459504141</v>
      </c>
      <c r="N103" s="15" t="n">
        <v>0</v>
      </c>
      <c r="O103" s="24" t="n">
        <v>0.8333333333333334</v>
      </c>
      <c r="P103" s="12" t="inlineStr">
        <is>
          <t>Draft 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UNC @ CLEM</t>
        </is>
      </c>
      <c r="C104" s="17" t="inlineStr">
        <is>
          <t>2026-09-19 16:00</t>
        </is>
      </c>
      <c r="D104" s="25" t="n">
        <v>3</v>
      </c>
      <c r="E104" s="17" t="inlineStr">
        <is>
          <t>TOTAL</t>
        </is>
      </c>
      <c r="F104" s="17" t="inlineStr">
        <is>
          <t>Over 44.5</t>
        </is>
      </c>
      <c r="G104" s="26" t="n">
        <v>44.5</v>
      </c>
      <c r="H104" s="18" t="n">
        <v>-108</v>
      </c>
      <c r="I104" s="20" t="n">
        <v>0.5700184195831093</v>
      </c>
      <c r="J104" s="20" t="n">
        <v>0.4956702459300312</v>
      </c>
      <c r="K104" s="20" t="n">
        <v>0.5192307692307693</v>
      </c>
      <c r="L104" s="19" t="n">
        <v>0.08725080159618478</v>
      </c>
      <c r="M104" s="19" t="n">
        <v>0.09781325253043271</v>
      </c>
      <c r="N104" s="20" t="n">
        <v>0</v>
      </c>
      <c r="O104" s="27" t="n">
        <v>0.839</v>
      </c>
      <c r="P104" s="17" t="inlineStr">
        <is>
          <t>Draft 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BGSU @ ISU</t>
        </is>
      </c>
      <c r="C105" s="12" t="inlineStr">
        <is>
          <t>2026-09-19 16:00</t>
        </is>
      </c>
      <c r="D105" s="22" t="n">
        <v>3</v>
      </c>
      <c r="E105" s="12" t="inlineStr">
        <is>
          <t>TOTAL</t>
        </is>
      </c>
      <c r="F105" s="12" t="inlineStr">
        <is>
          <t>Over 45.5</t>
        </is>
      </c>
      <c r="G105" s="23" t="n">
        <v>45.5</v>
      </c>
      <c r="H105" s="13" t="n">
        <v>-110</v>
      </c>
      <c r="I105" s="15" t="n">
        <v>0.5721832253885344</v>
      </c>
      <c r="J105" s="15" t="n">
        <v>0.5</v>
      </c>
      <c r="K105" s="15" t="n">
        <v>0.5238095238095238</v>
      </c>
      <c r="L105" s="14" t="n">
        <v>0.08632042909943784</v>
      </c>
      <c r="M105" s="14" t="n">
        <v>0.09234979392356579</v>
      </c>
      <c r="N105" s="15" t="n">
        <v>0</v>
      </c>
      <c r="O105" s="24" t="n">
        <v>0.8333333333333334</v>
      </c>
      <c r="P105" s="12" t="inlineStr">
        <is>
          <t>Draft 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COLO @ NU</t>
        </is>
      </c>
      <c r="C106" s="17" t="inlineStr">
        <is>
          <t>2026-09-19 23:30</t>
        </is>
      </c>
      <c r="D106" s="25" t="n">
        <v>3</v>
      </c>
      <c r="E106" s="17" t="inlineStr">
        <is>
          <t>TOTAL</t>
        </is>
      </c>
      <c r="F106" s="17" t="inlineStr">
        <is>
          <t>Over 47.5</t>
        </is>
      </c>
      <c r="G106" s="26" t="n">
        <v>47.5</v>
      </c>
      <c r="H106" s="18" t="n">
        <v>-110</v>
      </c>
      <c r="I106" s="20" t="n">
        <v>0.5684427508594216</v>
      </c>
      <c r="J106" s="20" t="n">
        <v>0.5</v>
      </c>
      <c r="K106" s="20" t="n">
        <v>0.5238095238095238</v>
      </c>
      <c r="L106" s="19" t="n">
        <v>0.08491848211643827</v>
      </c>
      <c r="M106" s="19" t="n">
        <v>0.08520888800435045</v>
      </c>
      <c r="N106" s="20" t="n">
        <v>0</v>
      </c>
      <c r="O106" s="27" t="n">
        <v>0.725</v>
      </c>
      <c r="P106" s="17" t="inlineStr">
        <is>
          <t>Draft 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FIU @ FAU</t>
        </is>
      </c>
      <c r="C107" s="12" t="inlineStr">
        <is>
          <t>2026-09-19 22:00</t>
        </is>
      </c>
      <c r="D107" s="22" t="n">
        <v>3</v>
      </c>
      <c r="E107" s="12" t="inlineStr">
        <is>
          <t>ATS</t>
        </is>
      </c>
      <c r="F107" s="12" t="inlineStr">
        <is>
          <t>FIU +7.5</t>
        </is>
      </c>
      <c r="G107" s="23" t="n">
        <v>-7.5</v>
      </c>
      <c r="H107" s="13" t="n">
        <v>-115</v>
      </c>
      <c r="I107" s="15" t="n">
        <v>0.5778271206795078</v>
      </c>
      <c r="J107" s="15" t="n">
        <v>0.5108342361863488</v>
      </c>
      <c r="K107" s="15" t="n">
        <v>0.5348837209302325</v>
      </c>
      <c r="L107" s="14" t="n">
        <v>0.08370023640619442</v>
      </c>
      <c r="M107" s="14" t="n">
        <v>0.08028548648777534</v>
      </c>
      <c r="N107" s="15" t="n">
        <v>0</v>
      </c>
      <c r="O107" s="24" t="n">
        <v>0.8333333333333334</v>
      </c>
      <c r="P107" s="12" t="inlineStr">
        <is>
          <t>Draft 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JMU @ SDSU</t>
        </is>
      </c>
      <c r="C108" s="17" t="inlineStr">
        <is>
          <t>2026-09-20 02:00</t>
        </is>
      </c>
      <c r="D108" s="25" t="n">
        <v>3</v>
      </c>
      <c r="E108" s="17" t="inlineStr">
        <is>
          <t>ML</t>
        </is>
      </c>
      <c r="F108" s="17" t="inlineStr">
        <is>
          <t>SDSU ML</t>
        </is>
      </c>
      <c r="G108" s="26" t="n"/>
      <c r="H108" s="18" t="n">
        <v>-118</v>
      </c>
      <c r="I108" s="20" t="n">
        <v>0.5835578882492066</v>
      </c>
      <c r="J108" s="20" t="n">
        <v>0.5173641257162701</v>
      </c>
      <c r="K108" s="20" t="n">
        <v>0.5412844036697247</v>
      </c>
      <c r="L108" s="19" t="n">
        <v>0.08296269143437081</v>
      </c>
      <c r="M108" s="19" t="n">
        <v>0.07809847151124605</v>
      </c>
      <c r="N108" s="20" t="n">
        <v>0</v>
      </c>
      <c r="O108" s="27" t="n">
        <v>0.8333333333333334</v>
      </c>
      <c r="P108" s="17" t="inlineStr">
        <is>
          <t>Draft 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BALL @ LIB</t>
        </is>
      </c>
      <c r="C109" s="12" t="inlineStr">
        <is>
          <t>2026-09-19 20:00</t>
        </is>
      </c>
      <c r="D109" s="22" t="n">
        <v>3</v>
      </c>
      <c r="E109" s="12" t="inlineStr">
        <is>
          <t>TOTAL</t>
        </is>
      </c>
      <c r="F109" s="12" t="inlineStr">
        <is>
          <t>Under 53.5</t>
        </is>
      </c>
      <c r="G109" s="23" t="n">
        <v>53.5</v>
      </c>
      <c r="H109" s="13" t="n">
        <v>-105</v>
      </c>
      <c r="I109" s="15" t="n">
        <v>0.5516519217120628</v>
      </c>
      <c r="J109" s="15" t="n">
        <v>0.4891657638136511</v>
      </c>
      <c r="K109" s="15" t="n">
        <v>0.5121951219512195</v>
      </c>
      <c r="L109" s="14" t="n">
        <v>0.08291418030289176</v>
      </c>
      <c r="M109" s="14" t="n">
        <v>0.07703470429497972</v>
      </c>
      <c r="N109" s="15" t="n">
        <v>0</v>
      </c>
      <c r="O109" s="24" t="n">
        <v>0.8333333333333334</v>
      </c>
      <c r="P109" s="12" t="inlineStr">
        <is>
          <t>Draft 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EMU @ WIS</t>
        </is>
      </c>
      <c r="C110" s="17" t="inlineStr">
        <is>
          <t>2026-09-19 16:30</t>
        </is>
      </c>
      <c r="D110" s="25" t="n">
        <v>3</v>
      </c>
      <c r="E110" s="17" t="inlineStr">
        <is>
          <t>TOTAL</t>
        </is>
      </c>
      <c r="F110" s="17" t="inlineStr">
        <is>
          <t>Over 45.5</t>
        </is>
      </c>
      <c r="G110" s="26" t="n">
        <v>45.5</v>
      </c>
      <c r="H110" s="18" t="n">
        <v>-112</v>
      </c>
      <c r="I110" s="20" t="n">
        <v>0.568727561258213</v>
      </c>
      <c r="J110" s="20" t="n">
        <v>0.5043297540699688</v>
      </c>
      <c r="K110" s="20" t="n">
        <v>0.5283018867924528</v>
      </c>
      <c r="L110" s="19" t="n">
        <v>0.08290217412435039</v>
      </c>
      <c r="M110" s="19" t="n">
        <v>0.07652002666733182</v>
      </c>
      <c r="N110" s="20" t="n">
        <v>0</v>
      </c>
      <c r="O110" s="27" t="n">
        <v>0.8333333333333334</v>
      </c>
      <c r="P110" s="17" t="inlineStr">
        <is>
          <t>Draft 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NDSU @ SAC</t>
        </is>
      </c>
      <c r="C111" s="12" t="inlineStr">
        <is>
          <t>2026-09-20 02:30</t>
        </is>
      </c>
      <c r="D111" s="22" t="n">
        <v>3</v>
      </c>
      <c r="E111" s="12" t="inlineStr">
        <is>
          <t>TOTAL</t>
        </is>
      </c>
      <c r="F111" s="12" t="inlineStr">
        <is>
          <t>Under 53.5</t>
        </is>
      </c>
      <c r="G111" s="23" t="n">
        <v>53.5</v>
      </c>
      <c r="H111" s="13" t="n">
        <v>-108</v>
      </c>
      <c r="I111" s="15" t="n">
        <v>0.5549041627702528</v>
      </c>
      <c r="J111" s="15" t="n">
        <v>0.4956702459300312</v>
      </c>
      <c r="K111" s="15" t="n">
        <v>0.5192307692307693</v>
      </c>
      <c r="L111" s="14" t="n">
        <v>0.08079659171958954</v>
      </c>
      <c r="M111" s="14" t="n">
        <v>0.06870431348344996</v>
      </c>
      <c r="N111" s="15" t="n">
        <v>0</v>
      </c>
      <c r="O111" s="24" t="n">
        <v>0.75</v>
      </c>
      <c r="P111" s="12" t="inlineStr">
        <is>
          <t>Draft Kings</t>
        </is>
      </c>
      <c r="Q111" s="12" t="inlineStr">
        <is>
          <t>outside the top 10 plays for this week</t>
        </is>
      </c>
    </row>
    <row r="112">
      <c r="A112" s="17" t="inlineStr">
        <is>
          <t>PASS</t>
        </is>
      </c>
      <c r="B112" s="17" t="inlineStr">
        <is>
          <t>ECU @ ODU</t>
        </is>
      </c>
      <c r="C112" s="17" t="inlineStr">
        <is>
          <t>2026-09-19 22:00</t>
        </is>
      </c>
      <c r="D112" s="25" t="n">
        <v>3</v>
      </c>
      <c r="E112" s="17" t="inlineStr">
        <is>
          <t>ML</t>
        </is>
      </c>
      <c r="F112" s="17" t="inlineStr">
        <is>
          <t>ODU ML</t>
        </is>
      </c>
      <c r="G112" s="26" t="n"/>
      <c r="H112" s="18" t="n">
        <v>-130</v>
      </c>
      <c r="I112" s="20" t="n">
        <v>0.6074025764271269</v>
      </c>
      <c r="J112" s="20" t="n">
        <v>0.5427435387673957</v>
      </c>
      <c r="K112" s="20" t="n">
        <v>0.5652173913043478</v>
      </c>
      <c r="L112" s="19" t="n">
        <v>0.08069416877715033</v>
      </c>
      <c r="M112" s="19" t="n">
        <v>0.07463532752491675</v>
      </c>
      <c r="N112" s="20" t="n">
        <v>0</v>
      </c>
      <c r="O112" s="27" t="n">
        <v>0.75</v>
      </c>
      <c r="P112" s="17" t="inlineStr">
        <is>
          <t>Draft 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M-OH @ CIN</t>
        </is>
      </c>
      <c r="C113" s="12" t="inlineStr">
        <is>
          <t>2026-09-19 19:30</t>
        </is>
      </c>
      <c r="D113" s="22" t="n">
        <v>3</v>
      </c>
      <c r="E113" s="12" t="inlineStr">
        <is>
          <t>TOTAL</t>
        </is>
      </c>
      <c r="F113" s="12" t="inlineStr">
        <is>
          <t>Over 49.5</t>
        </is>
      </c>
      <c r="G113" s="23" t="n">
        <v>49.5</v>
      </c>
      <c r="H113" s="13" t="n">
        <v>-112</v>
      </c>
      <c r="I113" s="15" t="n">
        <v>0.5630492318914626</v>
      </c>
      <c r="J113" s="15" t="n">
        <v>0.5043297540699688</v>
      </c>
      <c r="K113" s="15" t="n">
        <v>0.5283018867924528</v>
      </c>
      <c r="L113" s="14" t="n">
        <v>0.07992296723270693</v>
      </c>
      <c r="M113" s="14" t="n">
        <v>0.06577176036598287</v>
      </c>
      <c r="N113" s="15" t="n">
        <v>0</v>
      </c>
      <c r="O113" s="24" t="n">
        <v>0.8333333333333334</v>
      </c>
      <c r="P113" s="12" t="inlineStr">
        <is>
          <t>Draft 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JMU @ SDSU</t>
        </is>
      </c>
      <c r="C114" s="17" t="inlineStr">
        <is>
          <t>2026-09-20 02:00</t>
        </is>
      </c>
      <c r="D114" s="25" t="n">
        <v>3</v>
      </c>
      <c r="E114" s="17" t="inlineStr">
        <is>
          <t>ATS</t>
        </is>
      </c>
      <c r="F114" s="17" t="inlineStr">
        <is>
          <t>SDSU -1.5</t>
        </is>
      </c>
      <c r="G114" s="26" t="n">
        <v>-1.5</v>
      </c>
      <c r="H114" s="18" t="n">
        <v>-112</v>
      </c>
      <c r="I114" s="20" t="n">
        <v>0.5595106650853303</v>
      </c>
      <c r="J114" s="20" t="n">
        <v>0.5043297540699688</v>
      </c>
      <c r="K114" s="20" t="n">
        <v>0.5283018867924528</v>
      </c>
      <c r="L114" s="19" t="n">
        <v>0.07774100522642372</v>
      </c>
      <c r="M114" s="19" t="n">
        <v>0.059073758911518</v>
      </c>
      <c r="N114" s="20" t="n">
        <v>0</v>
      </c>
      <c r="O114" s="27" t="n">
        <v>0.8333333333333334</v>
      </c>
      <c r="P114" s="17" t="inlineStr">
        <is>
          <t>Draft 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ECU @ ODU</t>
        </is>
      </c>
      <c r="C115" s="12" t="inlineStr">
        <is>
          <t>2026-09-19 22:00</t>
        </is>
      </c>
      <c r="D115" s="22" t="n">
        <v>3</v>
      </c>
      <c r="E115" s="12" t="inlineStr">
        <is>
          <t>ATS</t>
        </is>
      </c>
      <c r="F115" s="12" t="inlineStr">
        <is>
          <t>ODU -2.5</t>
        </is>
      </c>
      <c r="G115" s="23" t="n">
        <v>-2.5</v>
      </c>
      <c r="H115" s="13" t="n">
        <v>-112</v>
      </c>
      <c r="I115" s="15" t="n">
        <v>0.5579628938467762</v>
      </c>
      <c r="J115" s="15" t="n">
        <v>0.5043297540699688</v>
      </c>
      <c r="K115" s="15" t="n">
        <v>0.5283018867924528</v>
      </c>
      <c r="L115" s="14" t="n">
        <v>0.07670003994383148</v>
      </c>
      <c r="M115" s="14" t="n">
        <v>0.05614404906711212</v>
      </c>
      <c r="N115" s="15" t="n">
        <v>0</v>
      </c>
      <c r="O115" s="24" t="n">
        <v>0.75</v>
      </c>
      <c r="P115" s="12" t="inlineStr">
        <is>
          <t>Draft Kings</t>
        </is>
      </c>
      <c r="Q115" s="12" t="inlineStr">
        <is>
          <t>correlated with a stronger play on the same game</t>
        </is>
      </c>
    </row>
    <row r="116">
      <c r="A116" s="17" t="inlineStr">
        <is>
          <t>PASS</t>
        </is>
      </c>
      <c r="B116" s="17" t="inlineStr">
        <is>
          <t>HOU @ TTU</t>
        </is>
      </c>
      <c r="C116" s="17" t="inlineStr">
        <is>
          <t>2026-09-19 00:00</t>
        </is>
      </c>
      <c r="D116" s="25" t="n">
        <v>3</v>
      </c>
      <c r="E116" s="17" t="inlineStr">
        <is>
          <t>ATS</t>
        </is>
      </c>
      <c r="F116" s="17" t="inlineStr">
        <is>
          <t>HOU +8.5</t>
        </is>
      </c>
      <c r="G116" s="26" t="n">
        <v>-8.5</v>
      </c>
      <c r="H116" s="18" t="n">
        <v>-110</v>
      </c>
      <c r="I116" s="20" t="n">
        <v>0.5524873163171435</v>
      </c>
      <c r="J116" s="20" t="n">
        <v>0.5</v>
      </c>
      <c r="K116" s="20" t="n">
        <v>0.5238095238095238</v>
      </c>
      <c r="L116" s="19" t="n">
        <v>0.0762172151907743</v>
      </c>
      <c r="M116" s="19" t="n">
        <v>0.05474851296909233</v>
      </c>
      <c r="N116" s="20" t="n">
        <v>0</v>
      </c>
      <c r="O116" s="27" t="n">
        <v>0.839</v>
      </c>
      <c r="P116" s="17" t="inlineStr">
        <is>
          <t>Draft 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MIA @ WAKE</t>
        </is>
      </c>
      <c r="C117" s="12" t="inlineStr">
        <is>
          <t>2026-09-18 23:30</t>
        </is>
      </c>
      <c r="D117" s="22" t="n">
        <v>3</v>
      </c>
      <c r="E117" s="12" t="inlineStr">
        <is>
          <t>TOTAL</t>
        </is>
      </c>
      <c r="F117" s="12" t="inlineStr">
        <is>
          <t>Under 55.5</t>
        </is>
      </c>
      <c r="G117" s="23" t="n">
        <v>55.5</v>
      </c>
      <c r="H117" s="13" t="n">
        <v>-112</v>
      </c>
      <c r="I117" s="15" t="n">
        <v>0.5553964598597521</v>
      </c>
      <c r="J117" s="15" t="n">
        <v>0.5043297540699688</v>
      </c>
      <c r="K117" s="15" t="n">
        <v>0.5283018867924528</v>
      </c>
      <c r="L117" s="14" t="n">
        <v>0.07485010906805592</v>
      </c>
      <c r="M117" s="14" t="n">
        <v>0.05128615616310217</v>
      </c>
      <c r="N117" s="15" t="n">
        <v>0</v>
      </c>
      <c r="O117" s="24" t="n">
        <v>0.839</v>
      </c>
      <c r="P117" s="12" t="inlineStr">
        <is>
          <t>Draft Kings</t>
        </is>
      </c>
      <c r="Q117" s="12" t="inlineStr">
        <is>
          <t>outside the top 10 plays for this week</t>
        </is>
      </c>
    </row>
    <row r="118">
      <c r="A118" s="17" t="inlineStr">
        <is>
          <t>PASS</t>
        </is>
      </c>
      <c r="B118" s="17" t="inlineStr">
        <is>
          <t>CONN @ USM</t>
        </is>
      </c>
      <c r="C118" s="17" t="inlineStr">
        <is>
          <t>2026-09-19 23:00</t>
        </is>
      </c>
      <c r="D118" s="25" t="n">
        <v>3</v>
      </c>
      <c r="E118" s="17" t="inlineStr">
        <is>
          <t>TOTAL</t>
        </is>
      </c>
      <c r="F118" s="17" t="inlineStr">
        <is>
          <t>Under 55.5</t>
        </is>
      </c>
      <c r="G118" s="26" t="n">
        <v>55.5</v>
      </c>
      <c r="H118" s="18" t="n">
        <v>-118</v>
      </c>
      <c r="I118" s="20" t="n">
        <v>0.5676616200208782</v>
      </c>
      <c r="J118" s="20" t="n">
        <v>0.5173641257162701</v>
      </c>
      <c r="K118" s="20" t="n">
        <v>0.5412844036697247</v>
      </c>
      <c r="L118" s="19" t="n">
        <v>0.07326681511746197</v>
      </c>
      <c r="M118" s="19" t="n">
        <v>0.04873078953009702</v>
      </c>
      <c r="N118" s="20" t="n">
        <v>0</v>
      </c>
      <c r="O118" s="27" t="n">
        <v>0.8333333333333334</v>
      </c>
      <c r="P118" s="17" t="inlineStr">
        <is>
          <t>Draft 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SMU @ LOU</t>
        </is>
      </c>
      <c r="C119" s="12" t="inlineStr">
        <is>
          <t>2026-09-19 19:30</t>
        </is>
      </c>
      <c r="D119" s="22" t="n">
        <v>3</v>
      </c>
      <c r="E119" s="12" t="inlineStr">
        <is>
          <t>ML</t>
        </is>
      </c>
      <c r="F119" s="12" t="inlineStr">
        <is>
          <t>LOU ML</t>
        </is>
      </c>
      <c r="G119" s="23" t="n"/>
      <c r="H119" s="13" t="n">
        <v>-120</v>
      </c>
      <c r="I119" s="15" t="n">
        <v>0.5724198043501066</v>
      </c>
      <c r="J119" s="15" t="n">
        <v>0.5217391304347826</v>
      </c>
      <c r="K119" s="15" t="n">
        <v>0.5454545454545454</v>
      </c>
      <c r="L119" s="14" t="n">
        <v>0.07323405591087152</v>
      </c>
      <c r="M119" s="14" t="n">
        <v>0.0494363079751956</v>
      </c>
      <c r="N119" s="15" t="n">
        <v>0</v>
      </c>
      <c r="O119" s="24" t="n">
        <v>0.839</v>
      </c>
      <c r="P119" s="12" t="inlineStr">
        <is>
          <t>Draft Kings</t>
        </is>
      </c>
      <c r="Q119" s="12" t="inlineStr">
        <is>
          <t>correlated with a stronger play on the same game</t>
        </is>
      </c>
    </row>
    <row r="120">
      <c r="A120" s="17" t="inlineStr">
        <is>
          <t>PASS</t>
        </is>
      </c>
      <c r="B120" s="17" t="inlineStr">
        <is>
          <t>MSU @ ND</t>
        </is>
      </c>
      <c r="C120" s="17" t="inlineStr">
        <is>
          <t>2026-09-19 23:30</t>
        </is>
      </c>
      <c r="D120" s="25" t="n">
        <v>3</v>
      </c>
      <c r="E120" s="17" t="inlineStr">
        <is>
          <t>TOTAL</t>
        </is>
      </c>
      <c r="F120" s="17" t="inlineStr">
        <is>
          <t>Under 53.5</t>
        </is>
      </c>
      <c r="G120" s="26" t="n">
        <v>53.5</v>
      </c>
      <c r="H120" s="18" t="n">
        <v>-105</v>
      </c>
      <c r="I120" s="20" t="n">
        <v>0.5322711018715043</v>
      </c>
      <c r="J120" s="20" t="n">
        <v>0.4891657638136511</v>
      </c>
      <c r="K120" s="20" t="n">
        <v>0.5121951219512195</v>
      </c>
      <c r="L120" s="19" t="n">
        <v>0.0692990455732852</v>
      </c>
      <c r="M120" s="19" t="n">
        <v>0.03919596079674648</v>
      </c>
      <c r="N120" s="20" t="n">
        <v>0</v>
      </c>
      <c r="O120" s="27" t="n">
        <v>0.839</v>
      </c>
      <c r="P120" s="17" t="inlineStr">
        <is>
          <t>Draft Kings</t>
        </is>
      </c>
      <c r="Q120" s="17" t="n"/>
    </row>
    <row r="121">
      <c r="A121" s="12" t="inlineStr">
        <is>
          <t>PASS</t>
        </is>
      </c>
      <c r="B121" s="12" t="inlineStr">
        <is>
          <t>AKR @ MINN</t>
        </is>
      </c>
      <c r="C121" s="12" t="inlineStr">
        <is>
          <t>2026-09-19 16:00</t>
        </is>
      </c>
      <c r="D121" s="22" t="n">
        <v>3</v>
      </c>
      <c r="E121" s="12" t="inlineStr">
        <is>
          <t>TOTAL</t>
        </is>
      </c>
      <c r="F121" s="12" t="inlineStr">
        <is>
          <t>Over 49.5</t>
        </is>
      </c>
      <c r="G121" s="23" t="n">
        <v>49.5</v>
      </c>
      <c r="H121" s="13" t="n">
        <v>-108</v>
      </c>
      <c r="I121" s="15" t="n">
        <v>0.5374813137426349</v>
      </c>
      <c r="J121" s="15" t="n">
        <v>0.4956702459300312</v>
      </c>
      <c r="K121" s="15" t="n">
        <v>0.5192307692307693</v>
      </c>
      <c r="L121" s="14" t="n">
        <v>0.06748475455314541</v>
      </c>
      <c r="M121" s="14" t="n">
        <v>0.03514919683766715</v>
      </c>
      <c r="N121" s="15" t="n">
        <v>0</v>
      </c>
      <c r="O121" s="24" t="n">
        <v>0.8333333333333334</v>
      </c>
      <c r="P121" s="12" t="inlineStr">
        <is>
          <t>Draft Kings</t>
        </is>
      </c>
      <c r="Q121" s="12" t="n"/>
    </row>
    <row r="122">
      <c r="A122" s="17" t="inlineStr">
        <is>
          <t>PASS</t>
        </is>
      </c>
      <c r="B122" s="17" t="inlineStr">
        <is>
          <t>SMU @ LOU</t>
        </is>
      </c>
      <c r="C122" s="17" t="inlineStr">
        <is>
          <t>2026-09-19 19:30</t>
        </is>
      </c>
      <c r="D122" s="25" t="n">
        <v>3</v>
      </c>
      <c r="E122" s="17" t="inlineStr">
        <is>
          <t>ATS</t>
        </is>
      </c>
      <c r="F122" s="17" t="inlineStr">
        <is>
          <t>LOU -1.5</t>
        </is>
      </c>
      <c r="G122" s="26" t="n">
        <v>-1.5</v>
      </c>
      <c r="H122" s="18" t="n">
        <v>-112</v>
      </c>
      <c r="I122" s="20" t="n">
        <v>0.5458234673959217</v>
      </c>
      <c r="J122" s="20" t="n">
        <v>0.5043297540699688</v>
      </c>
      <c r="K122" s="20" t="n">
        <v>0.5283018867924528</v>
      </c>
      <c r="L122" s="19" t="n">
        <v>0.06643946919072086</v>
      </c>
      <c r="M122" s="19" t="n">
        <v>0.0331658489994231</v>
      </c>
      <c r="N122" s="20" t="n">
        <v>0</v>
      </c>
      <c r="O122" s="27" t="n">
        <v>0.839</v>
      </c>
      <c r="P122" s="17" t="inlineStr">
        <is>
          <t>Draft Kings</t>
        </is>
      </c>
      <c r="Q122" s="17" t="n"/>
    </row>
    <row r="123">
      <c r="A123" s="12" t="inlineStr">
        <is>
          <t>PASS</t>
        </is>
      </c>
      <c r="B123" s="12" t="inlineStr">
        <is>
          <t>WYO @ CMU</t>
        </is>
      </c>
      <c r="C123" s="12" t="inlineStr">
        <is>
          <t>2026-09-19 17:00</t>
        </is>
      </c>
      <c r="D123" s="22" t="n">
        <v>3</v>
      </c>
      <c r="E123" s="12" t="inlineStr">
        <is>
          <t>ML</t>
        </is>
      </c>
      <c r="F123" s="12" t="inlineStr">
        <is>
          <t>CMU ML</t>
        </is>
      </c>
      <c r="G123" s="23" t="n"/>
      <c r="H123" s="13" t="n">
        <v>-130</v>
      </c>
      <c r="I123" s="15" t="n">
        <v>0.5864871802823233</v>
      </c>
      <c r="J123" s="15" t="n">
        <v>0.5427435387673957</v>
      </c>
      <c r="K123" s="15" t="n">
        <v>0.5652173913043478</v>
      </c>
      <c r="L123" s="14" t="n">
        <v>0.06557171548609914</v>
      </c>
      <c r="M123" s="14" t="n">
        <v>0.03763116511487952</v>
      </c>
      <c r="N123" s="15" t="n">
        <v>0</v>
      </c>
      <c r="O123" s="24" t="n">
        <v>0.75</v>
      </c>
      <c r="P123" s="12" t="inlineStr">
        <is>
          <t>Draft Kings</t>
        </is>
      </c>
      <c r="Q123" s="12" t="n"/>
    </row>
    <row r="124">
      <c r="A124" s="17" t="inlineStr">
        <is>
          <t>PASS</t>
        </is>
      </c>
      <c r="B124" s="17" t="inlineStr">
        <is>
          <t>LT @ BAY</t>
        </is>
      </c>
      <c r="C124" s="17" t="inlineStr">
        <is>
          <t>2026-09-19 20:00</t>
        </is>
      </c>
      <c r="D124" s="25" t="n">
        <v>3</v>
      </c>
      <c r="E124" s="17" t="inlineStr">
        <is>
          <t>TOTAL</t>
        </is>
      </c>
      <c r="F124" s="17" t="inlineStr">
        <is>
          <t>Under 54.5</t>
        </is>
      </c>
      <c r="G124" s="26" t="n">
        <v>54.5</v>
      </c>
      <c r="H124" s="18" t="n">
        <v>-120</v>
      </c>
      <c r="I124" s="20" t="n">
        <v>0.5440463409220202</v>
      </c>
      <c r="J124" s="20" t="n">
        <v>0.5048923679060665</v>
      </c>
      <c r="K124" s="20" t="n">
        <v>0.5454545454545454</v>
      </c>
      <c r="L124" s="19" t="n">
        <v>0.06394019979273693</v>
      </c>
      <c r="M124" s="19" t="n">
        <v>-0.00258170830962956</v>
      </c>
      <c r="N124" s="20" t="n">
        <v>0</v>
      </c>
      <c r="O124" s="27" t="n">
        <v>0.8333333333333334</v>
      </c>
      <c r="P124" s="17" t="inlineStr">
        <is>
          <t>Draft Kings</t>
        </is>
      </c>
      <c r="Q124" s="17" t="n"/>
    </row>
    <row r="125">
      <c r="A125" s="12" t="inlineStr">
        <is>
          <t>PASS</t>
        </is>
      </c>
      <c r="B125" s="12" t="inlineStr">
        <is>
          <t>ECU @ ODU</t>
        </is>
      </c>
      <c r="C125" s="12" t="inlineStr">
        <is>
          <t>2026-09-19 22:00</t>
        </is>
      </c>
      <c r="D125" s="22" t="n">
        <v>3</v>
      </c>
      <c r="E125" s="12" t="inlineStr">
        <is>
          <t>TOTAL</t>
        </is>
      </c>
      <c r="F125" s="12" t="inlineStr">
        <is>
          <t>Over 49.5</t>
        </is>
      </c>
      <c r="G125" s="23" t="n">
        <v>49.5</v>
      </c>
      <c r="H125" s="13" t="n">
        <v>-110</v>
      </c>
      <c r="I125" s="15" t="n">
        <v>0.5376882696790126</v>
      </c>
      <c r="J125" s="15" t="n">
        <v>0.5</v>
      </c>
      <c r="K125" s="15" t="n">
        <v>0.5238095238095238</v>
      </c>
      <c r="L125" s="14" t="n">
        <v>0.0627334237387708</v>
      </c>
      <c r="M125" s="14" t="n">
        <v>0.02649578756902415</v>
      </c>
      <c r="N125" s="15" t="n">
        <v>0</v>
      </c>
      <c r="O125" s="24" t="n">
        <v>0.75</v>
      </c>
      <c r="P125" s="12" t="inlineStr">
        <is>
          <t>Draft Kings</t>
        </is>
      </c>
      <c r="Q125" s="12" t="n"/>
    </row>
    <row r="126">
      <c r="A126" s="17" t="inlineStr">
        <is>
          <t>PASS</t>
        </is>
      </c>
      <c r="B126" s="17" t="inlineStr">
        <is>
          <t>TEM @ TOL</t>
        </is>
      </c>
      <c r="C126" s="17" t="inlineStr">
        <is>
          <t>2026-09-19 19:00</t>
        </is>
      </c>
      <c r="D126" s="25" t="n">
        <v>3</v>
      </c>
      <c r="E126" s="17" t="inlineStr">
        <is>
          <t>ML</t>
        </is>
      </c>
      <c r="F126" s="17" t="inlineStr">
        <is>
          <t>TOL ML</t>
        </is>
      </c>
      <c r="G126" s="26" t="n"/>
      <c r="H126" s="18" t="n">
        <v>-175</v>
      </c>
      <c r="I126" s="20" t="n">
        <v>0.6540661292015555</v>
      </c>
      <c r="J126" s="20" t="n">
        <v>0.6092362344582594</v>
      </c>
      <c r="K126" s="20" t="n">
        <v>0.6363636363636364</v>
      </c>
      <c r="L126" s="19" t="n">
        <v>0.06170977876586292</v>
      </c>
      <c r="M126" s="19" t="n">
        <v>0.02781820303101568</v>
      </c>
      <c r="N126" s="20" t="n">
        <v>0</v>
      </c>
      <c r="O126" s="27" t="n">
        <v>0.75</v>
      </c>
      <c r="P126" s="17" t="inlineStr">
        <is>
          <t>Draft Kings</t>
        </is>
      </c>
      <c r="Q126" s="17" t="n"/>
    </row>
    <row r="127">
      <c r="A127" s="12" t="inlineStr">
        <is>
          <t>PASS</t>
        </is>
      </c>
      <c r="B127" s="12" t="inlineStr">
        <is>
          <t>UNM @ OU</t>
        </is>
      </c>
      <c r="C127" s="12" t="inlineStr">
        <is>
          <t>2026-09-19 23:30</t>
        </is>
      </c>
      <c r="D127" s="22" t="n">
        <v>3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-108</v>
      </c>
      <c r="I127" s="15" t="n">
        <v>0.5296280531836932</v>
      </c>
      <c r="J127" s="15" t="n">
        <v>0.4956702459300312</v>
      </c>
      <c r="K127" s="15" t="n">
        <v>0.5192307692307693</v>
      </c>
      <c r="L127" s="14" t="n">
        <v>0.05867377119173827</v>
      </c>
      <c r="M127" s="14" t="n">
        <v>0.02002439872414996</v>
      </c>
      <c r="N127" s="15" t="n">
        <v>0</v>
      </c>
      <c r="O127" s="24" t="n">
        <v>0.8333333333333334</v>
      </c>
      <c r="P127" s="12" t="inlineStr">
        <is>
          <t>Draft Kings</t>
        </is>
      </c>
      <c r="Q127" s="12" t="n"/>
    </row>
    <row r="128">
      <c r="A128" s="17" t="inlineStr">
        <is>
          <t>PASS</t>
        </is>
      </c>
      <c r="B128" s="17" t="inlineStr">
        <is>
          <t>FLA @ AUB</t>
        </is>
      </c>
      <c r="C128" s="17" t="inlineStr">
        <is>
          <t>2026-09-19 23:00</t>
        </is>
      </c>
      <c r="D128" s="25" t="n">
        <v>3</v>
      </c>
      <c r="E128" s="17" t="inlineStr">
        <is>
          <t>TOTAL</t>
        </is>
      </c>
      <c r="F128" s="17" t="inlineStr">
        <is>
          <t>Under 53.5</t>
        </is>
      </c>
      <c r="G128" s="26" t="n">
        <v>53.5</v>
      </c>
      <c r="H128" s="18" t="n">
        <v>-115</v>
      </c>
      <c r="I128" s="20" t="n">
        <v>0.5450632596253866</v>
      </c>
      <c r="J128" s="20" t="n">
        <v>0.5108342361863488</v>
      </c>
      <c r="K128" s="20" t="n">
        <v>0.5348837209302325</v>
      </c>
      <c r="L128" s="19" t="n">
        <v>0.05773516323213757</v>
      </c>
      <c r="M128" s="19" t="n">
        <v>0.01903131147354875</v>
      </c>
      <c r="N128" s="20" t="n">
        <v>0</v>
      </c>
      <c r="O128" s="27" t="n">
        <v>0.839</v>
      </c>
      <c r="P128" s="17" t="inlineStr">
        <is>
          <t>Draft Kings</t>
        </is>
      </c>
      <c r="Q128" s="17" t="n"/>
    </row>
    <row r="129">
      <c r="A129" s="12" t="inlineStr">
        <is>
          <t>PASS</t>
        </is>
      </c>
      <c r="B129" s="12" t="inlineStr">
        <is>
          <t>COLO @ NU</t>
        </is>
      </c>
      <c r="C129" s="12" t="inlineStr">
        <is>
          <t>2026-09-19 23:30</t>
        </is>
      </c>
      <c r="D129" s="22" t="n">
        <v>3</v>
      </c>
      <c r="E129" s="12" t="inlineStr">
        <is>
          <t>ML</t>
        </is>
      </c>
      <c r="F129" s="12" t="inlineStr">
        <is>
          <t>NU ML</t>
        </is>
      </c>
      <c r="G129" s="23" t="n"/>
      <c r="H129" s="13" t="n">
        <v>-162</v>
      </c>
      <c r="I129" s="15" t="n">
        <v>0.6312702500235929</v>
      </c>
      <c r="J129" s="15" t="n">
        <v>0.5933697541594239</v>
      </c>
      <c r="K129" s="15" t="n">
        <v>0.6183206106870229</v>
      </c>
      <c r="L129" s="14" t="n">
        <v>0.05571978608835753</v>
      </c>
      <c r="M129" s="14" t="n">
        <v>0.02094324386531699</v>
      </c>
      <c r="N129" s="15" t="n">
        <v>0</v>
      </c>
      <c r="O129" s="24" t="n">
        <v>0.725</v>
      </c>
      <c r="P129" s="12" t="inlineStr">
        <is>
          <t>Draft Kings</t>
        </is>
      </c>
      <c r="Q129" s="12" t="n"/>
    </row>
    <row r="130">
      <c r="A130" s="17" t="inlineStr">
        <is>
          <t>PASS</t>
        </is>
      </c>
      <c r="B130" s="17" t="inlineStr">
        <is>
          <t>TEM @ TOL</t>
        </is>
      </c>
      <c r="C130" s="17" t="inlineStr">
        <is>
          <t>2026-09-19 19:00</t>
        </is>
      </c>
      <c r="D130" s="25" t="n">
        <v>3</v>
      </c>
      <c r="E130" s="17" t="inlineStr">
        <is>
          <t>ATS</t>
        </is>
      </c>
      <c r="F130" s="17" t="inlineStr">
        <is>
          <t>TOL -4.5</t>
        </is>
      </c>
      <c r="G130" s="26" t="n">
        <v>-4.5</v>
      </c>
      <c r="H130" s="18" t="n">
        <v>-105</v>
      </c>
      <c r="I130" s="20" t="n">
        <v>0.5199750162297344</v>
      </c>
      <c r="J130" s="20" t="n">
        <v>0.4891657638136511</v>
      </c>
      <c r="K130" s="20" t="n">
        <v>0.5121951219512195</v>
      </c>
      <c r="L130" s="19" t="n">
        <v>0.0551327046842614</v>
      </c>
      <c r="M130" s="19" t="n">
        <v>0.01518931740091012</v>
      </c>
      <c r="N130" s="20" t="n">
        <v>0</v>
      </c>
      <c r="O130" s="27" t="n">
        <v>0.75</v>
      </c>
      <c r="P130" s="17" t="inlineStr">
        <is>
          <t>Draft Kings</t>
        </is>
      </c>
      <c r="Q130" s="17" t="n"/>
    </row>
    <row r="131">
      <c r="A131" s="12" t="inlineStr">
        <is>
          <t>PASS</t>
        </is>
      </c>
      <c r="B131" s="12" t="inlineStr">
        <is>
          <t>WYO @ CMU</t>
        </is>
      </c>
      <c r="C131" s="12" t="inlineStr">
        <is>
          <t>2026-09-19 17:00</t>
        </is>
      </c>
      <c r="D131" s="22" t="n">
        <v>3</v>
      </c>
      <c r="E131" s="12" t="inlineStr">
        <is>
          <t>ATS</t>
        </is>
      </c>
      <c r="F131" s="12" t="inlineStr">
        <is>
          <t>CMU -2.5</t>
        </is>
      </c>
      <c r="G131" s="23" t="n">
        <v>-2.5</v>
      </c>
      <c r="H131" s="13" t="n">
        <v>-112</v>
      </c>
      <c r="I131" s="15" t="n">
        <v>0.5360527753304264</v>
      </c>
      <c r="J131" s="15" t="n">
        <v>0.5043297540699688</v>
      </c>
      <c r="K131" s="15" t="n">
        <v>0.5283018867924528</v>
      </c>
      <c r="L131" s="14" t="n">
        <v>0.0550783560855913</v>
      </c>
      <c r="M131" s="14" t="n">
        <v>0.01467132473259269</v>
      </c>
      <c r="N131" s="15" t="n">
        <v>0</v>
      </c>
      <c r="O131" s="24" t="n">
        <v>0.75</v>
      </c>
      <c r="P131" s="12" t="inlineStr">
        <is>
          <t>Draft Kings</t>
        </is>
      </c>
      <c r="Q131" s="12" t="n"/>
    </row>
    <row r="132">
      <c r="A132" s="17" t="inlineStr">
        <is>
          <t>PASS</t>
        </is>
      </c>
      <c r="B132" s="17" t="inlineStr">
        <is>
          <t>UNC @ CLEM</t>
        </is>
      </c>
      <c r="C132" s="17" t="inlineStr">
        <is>
          <t>2026-09-19 16:00</t>
        </is>
      </c>
      <c r="D132" s="25" t="n">
        <v>3</v>
      </c>
      <c r="E132" s="17" t="inlineStr">
        <is>
          <t>ATS</t>
        </is>
      </c>
      <c r="F132" s="17" t="inlineStr">
        <is>
          <t>UNC +4.5</t>
        </is>
      </c>
      <c r="G132" s="26" t="n">
        <v>-4.5</v>
      </c>
      <c r="H132" s="18" t="n">
        <v>-108</v>
      </c>
      <c r="I132" s="20" t="n">
        <v>0.5249172649767442</v>
      </c>
      <c r="J132" s="20" t="n">
        <v>0.4956702459300312</v>
      </c>
      <c r="K132" s="20" t="n">
        <v>0.5192307692307693</v>
      </c>
      <c r="L132" s="19" t="n">
        <v>0.05243021990357564</v>
      </c>
      <c r="M132" s="19" t="n">
        <v>0.01095176958484068</v>
      </c>
      <c r="N132" s="20" t="n">
        <v>0</v>
      </c>
      <c r="O132" s="27" t="n">
        <v>0.839</v>
      </c>
      <c r="P132" s="17" t="inlineStr">
        <is>
          <t>Draft Kings</t>
        </is>
      </c>
      <c r="Q132" s="17" t="n"/>
    </row>
    <row r="133">
      <c r="A133" s="12" t="inlineStr">
        <is>
          <t>PASS</t>
        </is>
      </c>
      <c r="B133" s="12" t="inlineStr">
        <is>
          <t>TEM @ TOL</t>
        </is>
      </c>
      <c r="C133" s="12" t="inlineStr">
        <is>
          <t>2026-09-19 19:00</t>
        </is>
      </c>
      <c r="D133" s="22" t="n">
        <v>3</v>
      </c>
      <c r="E133" s="12" t="inlineStr">
        <is>
          <t>TOTAL</t>
        </is>
      </c>
      <c r="F133" s="12" t="inlineStr">
        <is>
          <t>Under 52.5</t>
        </is>
      </c>
      <c r="G133" s="23" t="n">
        <v>52.5</v>
      </c>
      <c r="H133" s="13" t="n">
        <v>-108</v>
      </c>
      <c r="I133" s="15" t="n">
        <v>0.5237042134645598</v>
      </c>
      <c r="J133" s="15" t="n">
        <v>0.4956702459300312</v>
      </c>
      <c r="K133" s="15" t="n">
        <v>0.5192307692307693</v>
      </c>
      <c r="L133" s="14" t="n">
        <v>0.05070418917073349</v>
      </c>
      <c r="M133" s="14" t="n">
        <v>0.008615522228041073</v>
      </c>
      <c r="N133" s="15" t="n">
        <v>0</v>
      </c>
      <c r="O133" s="24" t="n">
        <v>0.75</v>
      </c>
      <c r="P133" s="12" t="inlineStr">
        <is>
          <t>Draft Kings</t>
        </is>
      </c>
      <c r="Q133" s="12" t="n"/>
    </row>
    <row r="134">
      <c r="A134" s="17" t="inlineStr">
        <is>
          <t>PASS</t>
        </is>
      </c>
      <c r="B134" s="17" t="inlineStr">
        <is>
          <t>NCSU @ VAN</t>
        </is>
      </c>
      <c r="C134" s="17" t="inlineStr">
        <is>
          <t>2026-09-19 16:45</t>
        </is>
      </c>
      <c r="D134" s="25" t="n">
        <v>3</v>
      </c>
      <c r="E134" s="17" t="inlineStr">
        <is>
          <t>TOTAL</t>
        </is>
      </c>
      <c r="F134" s="17" t="inlineStr">
        <is>
          <t>Under 53.5</t>
        </is>
      </c>
      <c r="G134" s="26" t="n">
        <v>53.5</v>
      </c>
      <c r="H134" s="18" t="n">
        <v>-105</v>
      </c>
      <c r="I134" s="20" t="n">
        <v>0.516489619607381</v>
      </c>
      <c r="J134" s="20" t="n">
        <v>0.4891657638136511</v>
      </c>
      <c r="K134" s="20" t="n">
        <v>0.5121951219512195</v>
      </c>
      <c r="L134" s="19" t="n">
        <v>0.05020189733536641</v>
      </c>
      <c r="M134" s="19" t="n">
        <v>0.00838449542393449</v>
      </c>
      <c r="N134" s="20" t="n">
        <v>0</v>
      </c>
      <c r="O134" s="27" t="n">
        <v>0.8333333333333334</v>
      </c>
      <c r="P134" s="17" t="inlineStr">
        <is>
          <t>Draft Kings</t>
        </is>
      </c>
      <c r="Q134" s="17" t="n"/>
    </row>
    <row r="135">
      <c r="A135" s="12" t="inlineStr">
        <is>
          <t>PASS</t>
        </is>
      </c>
      <c r="B135" s="12" t="inlineStr">
        <is>
          <t>OHIO @ USA</t>
        </is>
      </c>
      <c r="C135" s="12" t="inlineStr">
        <is>
          <t>2026-09-19 23:00</t>
        </is>
      </c>
      <c r="D135" s="22" t="n">
        <v>3</v>
      </c>
      <c r="E135" s="12" t="inlineStr">
        <is>
          <t>ML</t>
        </is>
      </c>
      <c r="F135" s="12" t="inlineStr">
        <is>
          <t>USA ML</t>
        </is>
      </c>
      <c r="G135" s="23" t="n"/>
      <c r="H135" s="13" t="n">
        <v>-185</v>
      </c>
      <c r="I135" s="15" t="n">
        <v>0.6567306413879697</v>
      </c>
      <c r="J135" s="15" t="n">
        <v>0.6224665518611737</v>
      </c>
      <c r="K135" s="15" t="n">
        <v>0.6491228070175439</v>
      </c>
      <c r="L135" s="14" t="n">
        <v>0.04961371715756421</v>
      </c>
      <c r="M135" s="14" t="n">
        <v>0.01172017727335861</v>
      </c>
      <c r="N135" s="15" t="n">
        <v>0</v>
      </c>
      <c r="O135" s="24" t="n">
        <v>0.75</v>
      </c>
      <c r="P135" s="12" t="inlineStr">
        <is>
          <t>Draft Kings</t>
        </is>
      </c>
      <c r="Q135" s="12" t="n"/>
    </row>
    <row r="136">
      <c r="A136" s="17" t="inlineStr">
        <is>
          <t>PASS</t>
        </is>
      </c>
      <c r="B136" s="17" t="inlineStr">
        <is>
          <t>UNC @ CLEM</t>
        </is>
      </c>
      <c r="C136" s="17" t="inlineStr">
        <is>
          <t>2026-09-19 16:00</t>
        </is>
      </c>
      <c r="D136" s="25" t="n">
        <v>3</v>
      </c>
      <c r="E136" s="17" t="inlineStr">
        <is>
          <t>ML</t>
        </is>
      </c>
      <c r="F136" s="17" t="inlineStr">
        <is>
          <t>UNC ML</t>
        </is>
      </c>
      <c r="G136" s="26" t="n"/>
      <c r="H136" s="18" t="n">
        <v>164</v>
      </c>
      <c r="I136" s="20" t="n">
        <v>0.3808076927953264</v>
      </c>
      <c r="J136" s="20" t="n">
        <v>0.3630958183058778</v>
      </c>
      <c r="K136" s="20" t="n">
        <v>0.3787878787878788</v>
      </c>
      <c r="L136" s="19" t="n">
        <v>0.04490162315790396</v>
      </c>
      <c r="M136" s="19" t="n">
        <v>0.005332308979661748</v>
      </c>
      <c r="N136" s="20" t="n">
        <v>0</v>
      </c>
      <c r="O136" s="27" t="n">
        <v>0.839</v>
      </c>
      <c r="P136" s="17" t="inlineStr">
        <is>
          <t>Draft Kings</t>
        </is>
      </c>
      <c r="Q136" s="17" t="n"/>
    </row>
    <row r="137">
      <c r="A137" s="12" t="inlineStr">
        <is>
          <t>PASS</t>
        </is>
      </c>
      <c r="B137" s="12" t="inlineStr">
        <is>
          <t>COLO @ NU</t>
        </is>
      </c>
      <c r="C137" s="12" t="inlineStr">
        <is>
          <t>2026-09-19 23:30</t>
        </is>
      </c>
      <c r="D137" s="22" t="n">
        <v>3</v>
      </c>
      <c r="E137" s="12" t="inlineStr">
        <is>
          <t>ATS</t>
        </is>
      </c>
      <c r="F137" s="12" t="inlineStr">
        <is>
          <t>NU -3.5</t>
        </is>
      </c>
      <c r="G137" s="23" t="n">
        <v>-3.5</v>
      </c>
      <c r="H137" s="13" t="n">
        <v>-110</v>
      </c>
      <c r="I137" s="15" t="n">
        <v>0.524312840371808</v>
      </c>
      <c r="J137" s="15" t="n">
        <v>0.5</v>
      </c>
      <c r="K137" s="15" t="n">
        <v>0.5238095238095238</v>
      </c>
      <c r="L137" s="14" t="n">
        <v>0.04478155680477716</v>
      </c>
      <c r="M137" s="14" t="n">
        <v>0.0009608770734517158</v>
      </c>
      <c r="N137" s="15" t="n">
        <v>0</v>
      </c>
      <c r="O137" s="24" t="n">
        <v>0.725</v>
      </c>
      <c r="P137" s="12" t="inlineStr">
        <is>
          <t>Draft Kings</t>
        </is>
      </c>
      <c r="Q137" s="12" t="n"/>
    </row>
    <row r="138">
      <c r="A138" s="17" t="inlineStr">
        <is>
          <t>PASS</t>
        </is>
      </c>
      <c r="B138" s="17" t="inlineStr">
        <is>
          <t>CLT @ APP</t>
        </is>
      </c>
      <c r="C138" s="17" t="inlineStr">
        <is>
          <t>2026-09-19 22:00</t>
        </is>
      </c>
      <c r="D138" s="25" t="n">
        <v>3</v>
      </c>
      <c r="E138" s="17" t="inlineStr">
        <is>
          <t>TOTAL</t>
        </is>
      </c>
      <c r="F138" s="17" t="inlineStr">
        <is>
          <t>Over 51.5</t>
        </is>
      </c>
      <c r="G138" s="26" t="n">
        <v>51.5</v>
      </c>
      <c r="H138" s="18" t="n">
        <v>-112</v>
      </c>
      <c r="I138" s="20" t="n">
        <v>0.5260540147230586</v>
      </c>
      <c r="J138" s="20" t="n">
        <v>0.5043297540699688</v>
      </c>
      <c r="K138" s="20" t="n">
        <v>0.5283018867924528</v>
      </c>
      <c r="L138" s="19" t="n">
        <v>0.04034758667701557</v>
      </c>
      <c r="M138" s="19" t="n">
        <v>-0.004254900702782005</v>
      </c>
      <c r="N138" s="20" t="n">
        <v>0</v>
      </c>
      <c r="O138" s="27" t="n">
        <v>0.75</v>
      </c>
      <c r="P138" s="17" t="inlineStr">
        <is>
          <t>Draft Kings</t>
        </is>
      </c>
      <c r="Q138" s="17" t="n"/>
    </row>
    <row r="139">
      <c r="A139" s="12" t="inlineStr">
        <is>
          <t>PASS</t>
        </is>
      </c>
      <c r="B139" s="12" t="inlineStr">
        <is>
          <t>VT @ MD</t>
        </is>
      </c>
      <c r="C139" s="12" t="inlineStr">
        <is>
          <t>2026-09-19 23:30</t>
        </is>
      </c>
      <c r="D139" s="22" t="n">
        <v>3</v>
      </c>
      <c r="E139" s="12" t="inlineStr">
        <is>
          <t>TOTAL</t>
        </is>
      </c>
      <c r="F139" s="12" t="inlineStr">
        <is>
          <t>Under 54.5</t>
        </is>
      </c>
      <c r="G139" s="23" t="n">
        <v>54.5</v>
      </c>
      <c r="H139" s="13" t="n">
        <v>-112</v>
      </c>
      <c r="I139" s="15" t="n">
        <v>0.526053992367612</v>
      </c>
      <c r="J139" s="15" t="n">
        <v>0.5043297540699688</v>
      </c>
      <c r="K139" s="15" t="n">
        <v>0.5283018867924528</v>
      </c>
      <c r="L139" s="14" t="n">
        <v>0.04034755034566886</v>
      </c>
      <c r="M139" s="14" t="n">
        <v>-0.004254943018448865</v>
      </c>
      <c r="N139" s="15" t="n">
        <v>0</v>
      </c>
      <c r="O139" s="24" t="n">
        <v>0.839</v>
      </c>
      <c r="P139" s="12" t="inlineStr">
        <is>
          <t>Draft Kings</t>
        </is>
      </c>
      <c r="Q139" s="12" t="n"/>
    </row>
    <row r="140">
      <c r="A140" s="17" t="inlineStr">
        <is>
          <t>PASS</t>
        </is>
      </c>
      <c r="B140" s="17" t="inlineStr">
        <is>
          <t>FRES @ SJSU</t>
        </is>
      </c>
      <c r="C140" s="17" t="inlineStr">
        <is>
          <t>2026-09-20 03:00</t>
        </is>
      </c>
      <c r="D140" s="25" t="n">
        <v>3</v>
      </c>
      <c r="E140" s="17" t="inlineStr">
        <is>
          <t>TOTAL</t>
        </is>
      </c>
      <c r="F140" s="17" t="inlineStr">
        <is>
          <t>Under 51.5</t>
        </is>
      </c>
      <c r="G140" s="26" t="n">
        <v>51.5</v>
      </c>
      <c r="H140" s="18" t="n">
        <v>-112</v>
      </c>
      <c r="I140" s="20" t="n">
        <v>0.5260539584857884</v>
      </c>
      <c r="J140" s="20" t="n">
        <v>0.5043297540699688</v>
      </c>
      <c r="K140" s="20" t="n">
        <v>0.5283018867924528</v>
      </c>
      <c r="L140" s="19" t="n">
        <v>0.04034749528200094</v>
      </c>
      <c r="M140" s="19" t="n">
        <v>-0.004255007151900525</v>
      </c>
      <c r="N140" s="20" t="n">
        <v>0</v>
      </c>
      <c r="O140" s="27" t="n">
        <v>0.75</v>
      </c>
      <c r="P140" s="17" t="inlineStr">
        <is>
          <t>Draft Kings</t>
        </is>
      </c>
      <c r="Q140" s="17" t="n"/>
    </row>
    <row r="141">
      <c r="A141" s="12" t="inlineStr">
        <is>
          <t>PASS</t>
        </is>
      </c>
      <c r="B141" s="12" t="inlineStr">
        <is>
          <t>TULN @ KSU</t>
        </is>
      </c>
      <c r="C141" s="12" t="inlineStr">
        <is>
          <t>2026-09-19 16:00</t>
        </is>
      </c>
      <c r="D141" s="22" t="n">
        <v>3</v>
      </c>
      <c r="E141" s="12" t="inlineStr">
        <is>
          <t>TOTAL</t>
        </is>
      </c>
      <c r="F141" s="12" t="inlineStr">
        <is>
          <t>Over 49.5</t>
        </is>
      </c>
      <c r="G141" s="23" t="n">
        <v>49.5</v>
      </c>
      <c r="H141" s="13" t="n">
        <v>-110</v>
      </c>
      <c r="I141" s="15" t="n">
        <v>0.519922241033544</v>
      </c>
      <c r="J141" s="15" t="n">
        <v>0.5</v>
      </c>
      <c r="K141" s="15" t="n">
        <v>0.5238095238095238</v>
      </c>
      <c r="L141" s="14" t="n">
        <v>0.03766160932064762</v>
      </c>
      <c r="M141" s="14" t="n">
        <v>-0.007421176208688651</v>
      </c>
      <c r="N141" s="15" t="n">
        <v>0</v>
      </c>
      <c r="O141" s="24" t="n">
        <v>0.8333333333333334</v>
      </c>
      <c r="P141" s="12" t="inlineStr">
        <is>
          <t>Draft Kings</t>
        </is>
      </c>
      <c r="Q141" s="12" t="n"/>
    </row>
    <row r="142">
      <c r="A142" s="17" t="inlineStr">
        <is>
          <t>PASS</t>
        </is>
      </c>
      <c r="B142" s="17" t="inlineStr">
        <is>
          <t>NEV @ MTSU</t>
        </is>
      </c>
      <c r="C142" s="17" t="inlineStr">
        <is>
          <t>2026-09-19 23:00</t>
        </is>
      </c>
      <c r="D142" s="25" t="n">
        <v>3</v>
      </c>
      <c r="E142" s="17" t="inlineStr">
        <is>
          <t>TOTAL</t>
        </is>
      </c>
      <c r="F142" s="17" t="inlineStr">
        <is>
          <t>Over 49.5</t>
        </is>
      </c>
      <c r="G142" s="26" t="n">
        <v>49.5</v>
      </c>
      <c r="H142" s="18" t="n">
        <v>-110</v>
      </c>
      <c r="I142" s="20" t="n">
        <v>0.519922241033544</v>
      </c>
      <c r="J142" s="20" t="n">
        <v>0.5</v>
      </c>
      <c r="K142" s="20" t="n">
        <v>0.5238095238095238</v>
      </c>
      <c r="L142" s="19" t="n">
        <v>0.03766160932064762</v>
      </c>
      <c r="M142" s="19" t="n">
        <v>-0.007421176208688651</v>
      </c>
      <c r="N142" s="20" t="n">
        <v>0</v>
      </c>
      <c r="O142" s="27" t="n">
        <v>0.75</v>
      </c>
      <c r="P142" s="17" t="inlineStr">
        <is>
          <t>Draft Kings</t>
        </is>
      </c>
      <c r="Q142" s="17" t="n"/>
    </row>
    <row r="143">
      <c r="A143" s="12" t="inlineStr">
        <is>
          <t>PASS</t>
        </is>
      </c>
      <c r="B143" s="12" t="inlineStr">
        <is>
          <t>GAST @ UCF</t>
        </is>
      </c>
      <c r="C143" s="12" t="inlineStr">
        <is>
          <t>2026-09-19 23:00</t>
        </is>
      </c>
      <c r="D143" s="22" t="n">
        <v>3</v>
      </c>
      <c r="E143" s="12" t="inlineStr">
        <is>
          <t>TOTAL</t>
        </is>
      </c>
      <c r="F143" s="12" t="inlineStr">
        <is>
          <t>Over 50.5</t>
        </is>
      </c>
      <c r="G143" s="23" t="n">
        <v>50.5</v>
      </c>
      <c r="H143" s="13" t="n">
        <v>-110</v>
      </c>
      <c r="I143" s="15" t="n">
        <v>0.5199222222895952</v>
      </c>
      <c r="J143" s="15" t="n">
        <v>0.5</v>
      </c>
      <c r="K143" s="15" t="n">
        <v>0.5238095238095238</v>
      </c>
      <c r="L143" s="14" t="n">
        <v>0.03766157772445854</v>
      </c>
      <c r="M143" s="14" t="n">
        <v>-0.007421211992591048</v>
      </c>
      <c r="N143" s="15" t="n">
        <v>0</v>
      </c>
      <c r="O143" s="24" t="n">
        <v>0.8333333333333334</v>
      </c>
      <c r="P143" s="12" t="inlineStr">
        <is>
          <t>Draft Kings</t>
        </is>
      </c>
      <c r="Q143" s="12" t="n"/>
    </row>
    <row r="144">
      <c r="A144" s="17" t="inlineStr">
        <is>
          <t>PASS</t>
        </is>
      </c>
      <c r="B144" s="17" t="inlineStr">
        <is>
          <t>OHIO @ USA</t>
        </is>
      </c>
      <c r="C144" s="17" t="inlineStr">
        <is>
          <t>2026-09-19 23:00</t>
        </is>
      </c>
      <c r="D144" s="25" t="n">
        <v>3</v>
      </c>
      <c r="E144" s="17" t="inlineStr">
        <is>
          <t>TOTAL</t>
        </is>
      </c>
      <c r="F144" s="17" t="inlineStr">
        <is>
          <t>Under 53.5</t>
        </is>
      </c>
      <c r="G144" s="26" t="n">
        <v>53.5</v>
      </c>
      <c r="H144" s="18" t="n">
        <v>-110</v>
      </c>
      <c r="I144" s="20" t="n">
        <v>0.5199221825428859</v>
      </c>
      <c r="J144" s="20" t="n">
        <v>0.5</v>
      </c>
      <c r="K144" s="20" t="n">
        <v>0.5238095238095238</v>
      </c>
      <c r="L144" s="19" t="n">
        <v>0.03766151072442749</v>
      </c>
      <c r="M144" s="19" t="n">
        <v>-0.007421287872672266</v>
      </c>
      <c r="N144" s="20" t="n">
        <v>0</v>
      </c>
      <c r="O144" s="27" t="n">
        <v>0.75</v>
      </c>
      <c r="P144" s="17" t="inlineStr">
        <is>
          <t>Draft Kings</t>
        </is>
      </c>
      <c r="Q144" s="17" t="n"/>
    </row>
    <row r="145">
      <c r="A145" s="12" t="inlineStr">
        <is>
          <t>PASS</t>
        </is>
      </c>
      <c r="B145" s="12" t="inlineStr">
        <is>
          <t>FSU @ ALA</t>
        </is>
      </c>
      <c r="C145" s="12" t="inlineStr">
        <is>
          <t>2026-09-19 19:30</t>
        </is>
      </c>
      <c r="D145" s="22" t="n">
        <v>3</v>
      </c>
      <c r="E145" s="12" t="inlineStr">
        <is>
          <t>TOTAL</t>
        </is>
      </c>
      <c r="F145" s="12" t="inlineStr">
        <is>
          <t>Over 50.5</t>
        </is>
      </c>
      <c r="G145" s="23" t="n">
        <v>50.5</v>
      </c>
      <c r="H145" s="13" t="n">
        <v>-112</v>
      </c>
      <c r="I145" s="15" t="n">
        <v>0.5240716538936481</v>
      </c>
      <c r="J145" s="15" t="n">
        <v>0.5043297540699688</v>
      </c>
      <c r="K145" s="15" t="n">
        <v>0.5283018867924528</v>
      </c>
      <c r="L145" s="14" t="n">
        <v>0.03707019622654262</v>
      </c>
      <c r="M145" s="14" t="n">
        <v>-0.008007226558451874</v>
      </c>
      <c r="N145" s="15" t="n">
        <v>0</v>
      </c>
      <c r="O145" s="24" t="n">
        <v>0.839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OHIO @ USA</t>
        </is>
      </c>
      <c r="C146" s="17" t="inlineStr">
        <is>
          <t>2026-09-19 23:00</t>
        </is>
      </c>
      <c r="D146" s="25" t="n">
        <v>3</v>
      </c>
      <c r="E146" s="17" t="inlineStr">
        <is>
          <t>ATS</t>
        </is>
      </c>
      <c r="F146" s="17" t="inlineStr">
        <is>
          <t>USA -4.5</t>
        </is>
      </c>
      <c r="G146" s="26" t="n">
        <v>-4.5</v>
      </c>
      <c r="H146" s="18" t="n">
        <v>-112</v>
      </c>
      <c r="I146" s="20" t="n">
        <v>0.5230873241718195</v>
      </c>
      <c r="J146" s="20" t="n">
        <v>0.5043297540699688</v>
      </c>
      <c r="K146" s="20" t="n">
        <v>0.5283018867924528</v>
      </c>
      <c r="L146" s="19" t="n">
        <v>0.03540248907790271</v>
      </c>
      <c r="M146" s="19" t="n">
        <v>-0.009870422103341769</v>
      </c>
      <c r="N146" s="20" t="n">
        <v>0</v>
      </c>
      <c r="O146" s="27" t="n">
        <v>0.75</v>
      </c>
      <c r="P146" s="17" t="inlineStr">
        <is>
          <t>Draft Kings</t>
        </is>
      </c>
      <c r="Q146" s="17" t="n"/>
    </row>
    <row r="147">
      <c r="A147" s="12" t="inlineStr">
        <is>
          <t>PASS</t>
        </is>
      </c>
      <c r="B147" s="12" t="inlineStr">
        <is>
          <t>BUFF @ PSU</t>
        </is>
      </c>
      <c r="C147" s="12" t="inlineStr">
        <is>
          <t>2026-09-19 16:00</t>
        </is>
      </c>
      <c r="D147" s="22" t="n">
        <v>3</v>
      </c>
      <c r="E147" s="12" t="inlineStr">
        <is>
          <t>TOTAL</t>
        </is>
      </c>
      <c r="F147" s="12" t="inlineStr">
        <is>
          <t>Over 48.5</t>
        </is>
      </c>
      <c r="G147" s="23" t="n">
        <v>48.5</v>
      </c>
      <c r="H147" s="13" t="n">
        <v>-112</v>
      </c>
      <c r="I147" s="15" t="n">
        <v>0.5220871492826666</v>
      </c>
      <c r="J147" s="15" t="n">
        <v>0.5043297540699688</v>
      </c>
      <c r="K147" s="15" t="n">
        <v>0.5283018867924528</v>
      </c>
      <c r="L147" s="14" t="n">
        <v>0.03368158625018094</v>
      </c>
      <c r="M147" s="14" t="n">
        <v>-0.01176361028638107</v>
      </c>
      <c r="N147" s="15" t="n">
        <v>0</v>
      </c>
      <c r="O147" s="24" t="n">
        <v>0.8333333333333334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MSST @ SC</t>
        </is>
      </c>
      <c r="C148" s="17" t="inlineStr">
        <is>
          <t>2026-09-19 20:15</t>
        </is>
      </c>
      <c r="D148" s="25" t="n">
        <v>3</v>
      </c>
      <c r="E148" s="17" t="inlineStr">
        <is>
          <t>ATS</t>
        </is>
      </c>
      <c r="F148" s="17" t="inlineStr">
        <is>
          <t>MSST +3.5</t>
        </is>
      </c>
      <c r="G148" s="26" t="n">
        <v>-3.5</v>
      </c>
      <c r="H148" s="18" t="n">
        <v>-105</v>
      </c>
      <c r="I148" s="20" t="n">
        <v>0.5044853511487066</v>
      </c>
      <c r="J148" s="20" t="n">
        <v>0.4891657638136511</v>
      </c>
      <c r="K148" s="20" t="n">
        <v>0.5121951219512195</v>
      </c>
      <c r="L148" s="19" t="n">
        <v>0.03023052244163727</v>
      </c>
      <c r="M148" s="19" t="n">
        <v>-0.01505240966204902</v>
      </c>
      <c r="N148" s="20" t="n">
        <v>0</v>
      </c>
      <c r="O148" s="27" t="n">
        <v>0.839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UNT @ TXST</t>
        </is>
      </c>
      <c r="C149" s="12" t="inlineStr">
        <is>
          <t>2026-09-19 16:00</t>
        </is>
      </c>
      <c r="D149" s="22" t="n">
        <v>3</v>
      </c>
      <c r="E149" s="12" t="inlineStr">
        <is>
          <t>ML</t>
        </is>
      </c>
      <c r="F149" s="12" t="inlineStr">
        <is>
          <t>TXST ML</t>
        </is>
      </c>
      <c r="G149" s="23" t="n"/>
      <c r="H149" s="13" t="n">
        <v>-142</v>
      </c>
      <c r="I149" s="15" t="n">
        <v>0.5803894602773352</v>
      </c>
      <c r="J149" s="15" t="n">
        <v>0.5634920634920635</v>
      </c>
      <c r="K149" s="15" t="n">
        <v>0.5867768595041323</v>
      </c>
      <c r="L149" s="14" t="n">
        <v>0.02902915595380597</v>
      </c>
      <c r="M149" s="14" t="n">
        <v>-0.0108855676963725</v>
      </c>
      <c r="N149" s="15" t="n">
        <v>0</v>
      </c>
      <c r="O149" s="24" t="n">
        <v>0.8333333333333334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GASO @ JVST</t>
        </is>
      </c>
      <c r="C150" s="17" t="inlineStr">
        <is>
          <t>2026-09-19 23:00</t>
        </is>
      </c>
      <c r="D150" s="25" t="n">
        <v>3</v>
      </c>
      <c r="E150" s="17" t="inlineStr">
        <is>
          <t>ML</t>
        </is>
      </c>
      <c r="F150" s="17" t="inlineStr">
        <is>
          <t>JVST ML</t>
        </is>
      </c>
      <c r="G150" s="26" t="n"/>
      <c r="H150" s="18" t="n">
        <v>-185</v>
      </c>
      <c r="I150" s="20" t="n">
        <v>0.6402565575313759</v>
      </c>
      <c r="J150" s="20" t="n">
        <v>0.6224665518611737</v>
      </c>
      <c r="K150" s="20" t="n">
        <v>0.6491228070175439</v>
      </c>
      <c r="L150" s="19" t="n">
        <v>0.02774776129360294</v>
      </c>
      <c r="M150" s="19" t="n">
        <v>-0.01365881677598846</v>
      </c>
      <c r="N150" s="20" t="n">
        <v>0</v>
      </c>
      <c r="O150" s="27" t="n">
        <v>0.75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TROY @ MIZ</t>
        </is>
      </c>
      <c r="C151" s="12" t="inlineStr">
        <is>
          <t>2026-09-19 23:00</t>
        </is>
      </c>
      <c r="D151" s="22" t="n">
        <v>3</v>
      </c>
      <c r="E151" s="12" t="inlineStr">
        <is>
          <t>TOTAL</t>
        </is>
      </c>
      <c r="F151" s="12" t="inlineStr">
        <is>
          <t>Over 50.5</t>
        </is>
      </c>
      <c r="G151" s="23" t="n">
        <v>50.5</v>
      </c>
      <c r="H151" s="13" t="n">
        <v>-108</v>
      </c>
      <c r="I151" s="15" t="n">
        <v>0.5098012284358664</v>
      </c>
      <c r="J151" s="15" t="n">
        <v>0.4956702459300312</v>
      </c>
      <c r="K151" s="15" t="n">
        <v>0.5192307692307693</v>
      </c>
      <c r="L151" s="14" t="n">
        <v>0.02768278550697907</v>
      </c>
      <c r="M151" s="14" t="n">
        <v>-0.01816059708647944</v>
      </c>
      <c r="N151" s="15" t="n">
        <v>0</v>
      </c>
      <c r="O151" s="24" t="n">
        <v>0.75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PUR @ UCLA</t>
        </is>
      </c>
      <c r="C152" s="17" t="inlineStr">
        <is>
          <t>2026-09-20 03:00</t>
        </is>
      </c>
      <c r="D152" s="25" t="n">
        <v>3</v>
      </c>
      <c r="E152" s="17" t="inlineStr">
        <is>
          <t>TOTAL</t>
        </is>
      </c>
      <c r="F152" s="17" t="inlineStr">
        <is>
          <t>Under 53.5</t>
        </is>
      </c>
      <c r="G152" s="26" t="n">
        <v>53.5</v>
      </c>
      <c r="H152" s="18" t="n">
        <v>-110</v>
      </c>
      <c r="I152" s="20" t="n">
        <v>0.51196606256607</v>
      </c>
      <c r="J152" s="20" t="n">
        <v>0.5</v>
      </c>
      <c r="K152" s="20" t="n">
        <v>0.5238095238095238</v>
      </c>
      <c r="L152" s="19" t="n">
        <v>0.02343839270051017</v>
      </c>
      <c r="M152" s="19" t="n">
        <v>-0.02261024419204805</v>
      </c>
      <c r="N152" s="20" t="n">
        <v>0</v>
      </c>
      <c r="O152" s="27" t="n">
        <v>0.75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UGA @ ARK</t>
        </is>
      </c>
      <c r="C153" s="12" t="inlineStr">
        <is>
          <t>2026-09-19 16:00</t>
        </is>
      </c>
      <c r="D153" s="22" t="n">
        <v>3</v>
      </c>
      <c r="E153" s="12" t="inlineStr">
        <is>
          <t>TOTAL</t>
        </is>
      </c>
      <c r="F153" s="12" t="inlineStr">
        <is>
          <t>Under 54.5</t>
        </is>
      </c>
      <c r="G153" s="23" t="n">
        <v>54.5</v>
      </c>
      <c r="H153" s="13" t="n">
        <v>-115</v>
      </c>
      <c r="I153" s="15" t="n">
        <v>0.5213644308026133</v>
      </c>
      <c r="J153" s="15" t="n">
        <v>0.5108342361863488</v>
      </c>
      <c r="K153" s="15" t="n">
        <v>0.5348837209302325</v>
      </c>
      <c r="L153" s="14" t="n">
        <v>0.02029618066380621</v>
      </c>
      <c r="M153" s="14" t="n">
        <v>-0.02527519458641869</v>
      </c>
      <c r="N153" s="15" t="n">
        <v>0</v>
      </c>
      <c r="O153" s="24" t="n">
        <v>0.839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MRSH @ MOST</t>
        </is>
      </c>
      <c r="C154" s="17" t="inlineStr">
        <is>
          <t>2026-09-19 22:30</t>
        </is>
      </c>
      <c r="D154" s="25" t="n">
        <v>3</v>
      </c>
      <c r="E154" s="17" t="inlineStr">
        <is>
          <t>TOTAL</t>
        </is>
      </c>
      <c r="F154" s="17" t="inlineStr">
        <is>
          <t>Over 51.5</t>
        </is>
      </c>
      <c r="G154" s="26" t="n">
        <v>51.5</v>
      </c>
      <c r="H154" s="18" t="n">
        <v>-112</v>
      </c>
      <c r="I154" s="20" t="n">
        <v>0.514130969174035</v>
      </c>
      <c r="J154" s="20" t="n">
        <v>0.5043297540699688</v>
      </c>
      <c r="K154" s="20" t="n">
        <v>0.5283018867924528</v>
      </c>
      <c r="L154" s="19" t="n">
        <v>0.01916750383849712</v>
      </c>
      <c r="M154" s="19" t="n">
        <v>-0.02682352263486232</v>
      </c>
      <c r="N154" s="20" t="n">
        <v>0</v>
      </c>
      <c r="O154" s="27" t="n">
        <v>0.75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NCSU @ VAN</t>
        </is>
      </c>
      <c r="C155" s="12" t="inlineStr">
        <is>
          <t>2026-09-19 16:45</t>
        </is>
      </c>
      <c r="D155" s="22" t="n">
        <v>3</v>
      </c>
      <c r="E155" s="12" t="inlineStr">
        <is>
          <t>ATS</t>
        </is>
      </c>
      <c r="F155" s="12" t="inlineStr">
        <is>
          <t>NCSU +4</t>
        </is>
      </c>
      <c r="G155" s="23" t="n">
        <v>-4</v>
      </c>
      <c r="H155" s="13" t="n">
        <v>-108</v>
      </c>
      <c r="I155" s="15" t="n">
        <v>0.5052952945603624</v>
      </c>
      <c r="J155" s="15" t="n">
        <v>0.4956702459300312</v>
      </c>
      <c r="K155" s="15" t="n">
        <v>0.5192307692307693</v>
      </c>
      <c r="L155" s="14" t="n">
        <v>0.01915225983400204</v>
      </c>
      <c r="M155" s="14" t="n">
        <v>-0.02599864089954073</v>
      </c>
      <c r="N155" s="15" t="n">
        <v>0.0313</v>
      </c>
      <c r="O155" s="24" t="n">
        <v>0.8333333333333334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CCU @ DEL</t>
        </is>
      </c>
      <c r="C156" s="17" t="inlineStr">
        <is>
          <t>2026-09-19 15:30</t>
        </is>
      </c>
      <c r="D156" s="25" t="n">
        <v>3</v>
      </c>
      <c r="E156" s="17" t="inlineStr">
        <is>
          <t>ML</t>
        </is>
      </c>
      <c r="F156" s="17" t="inlineStr">
        <is>
          <t>DEL ML</t>
        </is>
      </c>
      <c r="G156" s="26" t="n"/>
      <c r="H156" s="18" t="n">
        <v>-180</v>
      </c>
      <c r="I156" s="20" t="n">
        <v>0.6283718011905135</v>
      </c>
      <c r="J156" s="20" t="n">
        <v>0.6164383561643836</v>
      </c>
      <c r="K156" s="20" t="n">
        <v>0.6428571428571429</v>
      </c>
      <c r="L156" s="19" t="n">
        <v>0.01909512290939275</v>
      </c>
      <c r="M156" s="19" t="n">
        <v>-0.0225327537036456</v>
      </c>
      <c r="N156" s="20" t="n">
        <v>0</v>
      </c>
      <c r="O156" s="27" t="n">
        <v>0.8333333333333334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CCU @ DEL</t>
        </is>
      </c>
      <c r="C157" s="12" t="inlineStr">
        <is>
          <t>2026-09-19 15:30</t>
        </is>
      </c>
      <c r="D157" s="22" t="n">
        <v>3</v>
      </c>
      <c r="E157" s="12" t="inlineStr">
        <is>
          <t>ATS</t>
        </is>
      </c>
      <c r="F157" s="12" t="inlineStr">
        <is>
          <t>CCU +4.5</t>
        </is>
      </c>
      <c r="G157" s="23" t="n">
        <v>-4.5</v>
      </c>
      <c r="H157" s="13" t="n">
        <v>-108</v>
      </c>
      <c r="I157" s="15" t="n">
        <v>0.5046653688576249</v>
      </c>
      <c r="J157" s="15" t="n">
        <v>0.4956702459300312</v>
      </c>
      <c r="K157" s="15" t="n">
        <v>0.5192307692307693</v>
      </c>
      <c r="L157" s="14" t="n">
        <v>0.01792983181548208</v>
      </c>
      <c r="M157" s="14" t="n">
        <v>-0.02805188220012977</v>
      </c>
      <c r="N157" s="15" t="n">
        <v>0</v>
      </c>
      <c r="O157" s="24" t="n">
        <v>0.8333333333333334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STAN @ DUKE</t>
        </is>
      </c>
      <c r="C158" s="17" t="inlineStr">
        <is>
          <t>2026-09-19 20:00</t>
        </is>
      </c>
      <c r="D158" s="25" t="n">
        <v>3</v>
      </c>
      <c r="E158" s="17" t="inlineStr">
        <is>
          <t>TOTAL</t>
        </is>
      </c>
      <c r="F158" s="17" t="inlineStr">
        <is>
          <t>Over 50.5</t>
        </is>
      </c>
      <c r="G158" s="26" t="n">
        <v>50.5</v>
      </c>
      <c r="H158" s="18" t="n">
        <v>-118</v>
      </c>
      <c r="I158" s="20" t="n">
        <v>0.5266177434424439</v>
      </c>
      <c r="J158" s="20" t="n">
        <v>0.5173641257162701</v>
      </c>
      <c r="K158" s="20" t="n">
        <v>0.5412844036697247</v>
      </c>
      <c r="L158" s="19" t="n">
        <v>0.0176776993809067</v>
      </c>
      <c r="M158" s="19" t="n">
        <v>-0.02709603330124766</v>
      </c>
      <c r="N158" s="20" t="n">
        <v>0</v>
      </c>
      <c r="O158" s="27" t="n">
        <v>0.8333333333333334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GASO @ JVST</t>
        </is>
      </c>
      <c r="C159" s="12" t="inlineStr">
        <is>
          <t>2026-09-19 23:00</t>
        </is>
      </c>
      <c r="D159" s="22" t="n">
        <v>3</v>
      </c>
      <c r="E159" s="12" t="inlineStr">
        <is>
          <t>ATS</t>
        </is>
      </c>
      <c r="F159" s="12" t="inlineStr">
        <is>
          <t>JVST -3.5</t>
        </is>
      </c>
      <c r="G159" s="23" t="n">
        <v>-3.5</v>
      </c>
      <c r="H159" s="13" t="n">
        <v>-120</v>
      </c>
      <c r="I159" s="15" t="n">
        <v>0.529155384463615</v>
      </c>
      <c r="J159" s="15" t="n">
        <v>0.5217391304347826</v>
      </c>
      <c r="K159" s="15" t="n">
        <v>0.5454545454545454</v>
      </c>
      <c r="L159" s="14" t="n">
        <v>0.01410935036197464</v>
      </c>
      <c r="M159" s="14" t="n">
        <v>-0.02988179515003908</v>
      </c>
      <c r="N159" s="15" t="n">
        <v>0</v>
      </c>
      <c r="O159" s="24" t="n">
        <v>0.75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SYR @ PITT</t>
        </is>
      </c>
      <c r="C160" s="17" t="inlineStr">
        <is>
          <t>2026-09-17 23:30</t>
        </is>
      </c>
      <c r="D160" s="25" t="n">
        <v>3</v>
      </c>
      <c r="E160" s="17" t="inlineStr">
        <is>
          <t>TOTAL</t>
        </is>
      </c>
      <c r="F160" s="17" t="inlineStr">
        <is>
          <t>Under 51.5</t>
        </is>
      </c>
      <c r="G160" s="26" t="n">
        <v>51.5</v>
      </c>
      <c r="H160" s="18" t="n">
        <v>-110</v>
      </c>
      <c r="I160" s="20" t="n">
        <v>0.5039907932620655</v>
      </c>
      <c r="J160" s="20" t="n">
        <v>0.5</v>
      </c>
      <c r="K160" s="20" t="n">
        <v>0.5238095238095238</v>
      </c>
      <c r="L160" s="19" t="n">
        <v>0.007962859242512769</v>
      </c>
      <c r="M160" s="19" t="n">
        <v>-0.03783575831787489</v>
      </c>
      <c r="N160" s="20" t="n">
        <v>0</v>
      </c>
      <c r="O160" s="27" t="n">
        <v>0.839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UNT @ TXST</t>
        </is>
      </c>
      <c r="C161" s="12" t="inlineStr">
        <is>
          <t>2026-09-19 16:00</t>
        </is>
      </c>
      <c r="D161" s="22" t="n">
        <v>3</v>
      </c>
      <c r="E161" s="12" t="inlineStr">
        <is>
          <t>ATS</t>
        </is>
      </c>
      <c r="F161" s="12" t="inlineStr">
        <is>
          <t>TXST -3</t>
        </is>
      </c>
      <c r="G161" s="23" t="n">
        <v>-3</v>
      </c>
      <c r="H161" s="13" t="n">
        <v>-108</v>
      </c>
      <c r="I161" s="15" t="n">
        <v>0.4995829263106649</v>
      </c>
      <c r="J161" s="15" t="n">
        <v>0.4956702459300312</v>
      </c>
      <c r="K161" s="15" t="n">
        <v>0.5192307692307693</v>
      </c>
      <c r="L161" s="14" t="n">
        <v>0.007875599791871683</v>
      </c>
      <c r="M161" s="14" t="n">
        <v>-0.03552824834517297</v>
      </c>
      <c r="N161" s="15" t="n">
        <v>0.0611</v>
      </c>
      <c r="O161" s="24" t="n">
        <v>0.8333333333333334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UTEP @ MICH</t>
        </is>
      </c>
      <c r="C162" s="17" t="inlineStr">
        <is>
          <t>2026-09-19 19:30</t>
        </is>
      </c>
      <c r="D162" s="25" t="n">
        <v>3</v>
      </c>
      <c r="E162" s="17" t="inlineStr">
        <is>
          <t>TOTAL</t>
        </is>
      </c>
      <c r="F162" s="17" t="inlineStr">
        <is>
          <t>Under 49.5</t>
        </is>
      </c>
      <c r="G162" s="26" t="n">
        <v>49.5</v>
      </c>
      <c r="H162" s="18" t="n">
        <v>-105</v>
      </c>
      <c r="I162" s="20" t="n">
        <v>0.4925873040916584</v>
      </c>
      <c r="J162" s="20" t="n">
        <v>0.4891657638136511</v>
      </c>
      <c r="K162" s="20" t="n">
        <v>0.5121951219512195</v>
      </c>
      <c r="L162" s="19" t="n">
        <v>0.006982031694779238</v>
      </c>
      <c r="M162" s="19" t="n">
        <v>-0.03828193010676217</v>
      </c>
      <c r="N162" s="20" t="n">
        <v>0</v>
      </c>
      <c r="O162" s="27" t="n">
        <v>0.75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NCSU @ VAN</t>
        </is>
      </c>
      <c r="C163" s="12" t="inlineStr">
        <is>
          <t>2026-09-19 16:45</t>
        </is>
      </c>
      <c r="D163" s="22" t="n">
        <v>3</v>
      </c>
      <c r="E163" s="12" t="inlineStr">
        <is>
          <t>ML</t>
        </is>
      </c>
      <c r="F163" s="12" t="inlineStr">
        <is>
          <t>VAN ML</t>
        </is>
      </c>
      <c r="G163" s="23" t="n"/>
      <c r="H163" s="13" t="n">
        <v>-180</v>
      </c>
      <c r="I163" s="15" t="n">
        <v>0.6205939481415232</v>
      </c>
      <c r="J163" s="15" t="n">
        <v>0.6164383561643836</v>
      </c>
      <c r="K163" s="15" t="n">
        <v>0.6428571428571429</v>
      </c>
      <c r="L163" s="14" t="n">
        <v>0.00673000122140168</v>
      </c>
      <c r="M163" s="14" t="n">
        <v>-0.03463163622429721</v>
      </c>
      <c r="N163" s="15" t="n">
        <v>0</v>
      </c>
      <c r="O163" s="24" t="n">
        <v>0.8333333333333334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MSST @ SC</t>
        </is>
      </c>
      <c r="C164" s="17" t="inlineStr">
        <is>
          <t>2026-09-19 20:15</t>
        </is>
      </c>
      <c r="D164" s="25" t="n">
        <v>3</v>
      </c>
      <c r="E164" s="17" t="inlineStr">
        <is>
          <t>ML</t>
        </is>
      </c>
      <c r="F164" s="17" t="inlineStr">
        <is>
          <t>MSST ML</t>
        </is>
      </c>
      <c r="G164" s="26" t="n"/>
      <c r="H164" s="18" t="n">
        <v>145</v>
      </c>
      <c r="I164" s="20" t="n">
        <v>0.393107494495158</v>
      </c>
      <c r="J164" s="20" t="n">
        <v>0.3907637655417407</v>
      </c>
      <c r="K164" s="20" t="n">
        <v>0.4081632653061225</v>
      </c>
      <c r="L164" s="19" t="n">
        <v>0.00598985901507957</v>
      </c>
      <c r="M164" s="19" t="n">
        <v>-0.0368866384868628</v>
      </c>
      <c r="N164" s="20" t="n">
        <v>0</v>
      </c>
      <c r="O164" s="27" t="n">
        <v>0.839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ASU @ KU</t>
        </is>
      </c>
      <c r="C165" s="12" t="inlineStr">
        <is>
          <t>2026-09-19 16:00</t>
        </is>
      </c>
      <c r="D165" s="22" t="n">
        <v>3</v>
      </c>
      <c r="E165" s="12" t="inlineStr">
        <is>
          <t>TOTAL</t>
        </is>
      </c>
      <c r="F165" s="12" t="inlineStr">
        <is>
          <t>Under 52.5</t>
        </is>
      </c>
      <c r="G165" s="23" t="n">
        <v>52.5</v>
      </c>
      <c r="H165" s="13" t="n">
        <v>-108</v>
      </c>
      <c r="I165" s="15" t="n">
        <v>0.497835108663492</v>
      </c>
      <c r="J165" s="15" t="n">
        <v>0.4956702459300312</v>
      </c>
      <c r="K165" s="15" t="n">
        <v>0.5192307692307693</v>
      </c>
      <c r="L165" s="14" t="n">
        <v>0.004364471751230086</v>
      </c>
      <c r="M165" s="14" t="n">
        <v>-0.04120645738883011</v>
      </c>
      <c r="N165" s="15" t="n">
        <v>0</v>
      </c>
      <c r="O165" s="24" t="n">
        <v>0.839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NIU @ ARIZ</t>
        </is>
      </c>
      <c r="C166" s="17" t="inlineStr">
        <is>
          <t>2026-09-20 02:30</t>
        </is>
      </c>
      <c r="D166" s="25" t="n">
        <v>3</v>
      </c>
      <c r="E166" s="17" t="inlineStr">
        <is>
          <t>TOTAL</t>
        </is>
      </c>
      <c r="F166" s="17" t="inlineStr">
        <is>
          <t>Under 49.5</t>
        </is>
      </c>
      <c r="G166" s="26" t="n">
        <v>49.5</v>
      </c>
      <c r="H166" s="18" t="n">
        <v>-110</v>
      </c>
      <c r="I166" s="20" t="n">
        <v>0.5019954359027063</v>
      </c>
      <c r="J166" s="20" t="n">
        <v>0.5</v>
      </c>
      <c r="K166" s="20" t="n">
        <v>0.5238095238095238</v>
      </c>
      <c r="L166" s="19" t="n">
        <v>0.003988525803260552</v>
      </c>
      <c r="M166" s="19" t="n">
        <v>-0.04164507691301511</v>
      </c>
      <c r="N166" s="20" t="n">
        <v>0</v>
      </c>
      <c r="O166" s="27" t="n">
        <v>0.8333333333333334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BYU @ CSU</t>
        </is>
      </c>
      <c r="C167" s="12" t="inlineStr">
        <is>
          <t>2026-09-19 23:30</t>
        </is>
      </c>
      <c r="D167" s="22" t="n">
        <v>3</v>
      </c>
      <c r="E167" s="12" t="inlineStr">
        <is>
          <t>TOTAL</t>
        </is>
      </c>
      <c r="F167" s="12" t="inlineStr">
        <is>
          <t>Over 52.5</t>
        </is>
      </c>
      <c r="G167" s="23" t="n">
        <v>52.5</v>
      </c>
      <c r="H167" s="13" t="n">
        <v>-112</v>
      </c>
      <c r="I167" s="15" t="n">
        <v>0.5061557102950112</v>
      </c>
      <c r="J167" s="15" t="n">
        <v>0.5043297540699688</v>
      </c>
      <c r="K167" s="15" t="n">
        <v>0.5283018867924528</v>
      </c>
      <c r="L167" s="14" t="n">
        <v>0.003618808290666501</v>
      </c>
      <c r="M167" s="14" t="n">
        <v>-0.04191954837015743</v>
      </c>
      <c r="N167" s="15" t="n">
        <v>0</v>
      </c>
      <c r="O167" s="24" t="n">
        <v>0.8333333333333334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BYU @ CSU</t>
        </is>
      </c>
      <c r="C168" s="17" t="inlineStr">
        <is>
          <t>2026-09-19 23:30</t>
        </is>
      </c>
      <c r="D168" s="25" t="n">
        <v>3</v>
      </c>
      <c r="E168" s="17" t="inlineStr">
        <is>
          <t>TOTAL</t>
        </is>
      </c>
      <c r="F168" s="17" t="inlineStr">
        <is>
          <t>Under 52.5</t>
        </is>
      </c>
      <c r="G168" s="26" t="n">
        <v>52.5</v>
      </c>
      <c r="H168" s="18" t="n">
        <v>-108</v>
      </c>
      <c r="I168" s="20" t="n">
        <v>0.4938442897049888</v>
      </c>
      <c r="J168" s="20" t="n">
        <v>0.4956702459300312</v>
      </c>
      <c r="K168" s="20" t="n">
        <v>0.5192307692307693</v>
      </c>
      <c r="L168" s="19" t="n">
        <v>-0.003681967171193338</v>
      </c>
      <c r="M168" s="19" t="n">
        <v>-0.04889247908668815</v>
      </c>
      <c r="N168" s="20" t="n">
        <v>0</v>
      </c>
      <c r="O168" s="27" t="n">
        <v>0.8333333333333334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MSST @ SC</t>
        </is>
      </c>
      <c r="C169" s="12" t="inlineStr">
        <is>
          <t>2026-09-19 20:15</t>
        </is>
      </c>
      <c r="D169" s="22" t="n">
        <v>3</v>
      </c>
      <c r="E169" s="12" t="inlineStr">
        <is>
          <t>ML</t>
        </is>
      </c>
      <c r="F169" s="12" t="inlineStr">
        <is>
          <t>SC ML</t>
        </is>
      </c>
      <c r="G169" s="23" t="n"/>
      <c r="H169" s="13" t="n">
        <v>-175</v>
      </c>
      <c r="I169" s="15" t="n">
        <v>0.606892505504842</v>
      </c>
      <c r="J169" s="15" t="n">
        <v>0.6092362344582594</v>
      </c>
      <c r="K169" s="15" t="n">
        <v>0.6363636363636364</v>
      </c>
      <c r="L169" s="14" t="n">
        <v>-0.003844893922938249</v>
      </c>
      <c r="M169" s="14" t="n">
        <v>-0.04631177706381973</v>
      </c>
      <c r="N169" s="15" t="n">
        <v>0</v>
      </c>
      <c r="O169" s="24" t="n">
        <v>0.839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NIU @ ARIZ</t>
        </is>
      </c>
      <c r="C170" s="17" t="inlineStr">
        <is>
          <t>2026-09-20 02:30</t>
        </is>
      </c>
      <c r="D170" s="25" t="n">
        <v>3</v>
      </c>
      <c r="E170" s="17" t="inlineStr">
        <is>
          <t>TOTAL</t>
        </is>
      </c>
      <c r="F170" s="17" t="inlineStr">
        <is>
          <t>Over 49.5</t>
        </is>
      </c>
      <c r="G170" s="26" t="n">
        <v>49.5</v>
      </c>
      <c r="H170" s="18" t="n">
        <v>-110</v>
      </c>
      <c r="I170" s="20" t="n">
        <v>0.4980045640972937</v>
      </c>
      <c r="J170" s="20" t="n">
        <v>0.5</v>
      </c>
      <c r="K170" s="20" t="n">
        <v>0.5238095238095238</v>
      </c>
      <c r="L170" s="19" t="n">
        <v>-0.003988525803260442</v>
      </c>
      <c r="M170" s="19" t="n">
        <v>-0.04926401399607561</v>
      </c>
      <c r="N170" s="20" t="n">
        <v>0</v>
      </c>
      <c r="O170" s="27" t="n">
        <v>0.8333333333333334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ASU @ KU</t>
        </is>
      </c>
      <c r="C171" s="12" t="inlineStr">
        <is>
          <t>2026-09-19 16:00</t>
        </is>
      </c>
      <c r="D171" s="22" t="n">
        <v>3</v>
      </c>
      <c r="E171" s="12" t="inlineStr">
        <is>
          <t>TOTAL</t>
        </is>
      </c>
      <c r="F171" s="12" t="inlineStr">
        <is>
          <t>Over 52.5</t>
        </is>
      </c>
      <c r="G171" s="23" t="n">
        <v>52.5</v>
      </c>
      <c r="H171" s="13" t="n">
        <v>-112</v>
      </c>
      <c r="I171" s="15" t="n">
        <v>0.502164891336508</v>
      </c>
      <c r="J171" s="15" t="n">
        <v>0.5043297540699688</v>
      </c>
      <c r="K171" s="15" t="n">
        <v>0.5283018867924528</v>
      </c>
      <c r="L171" s="14" t="n">
        <v>-0.00428963512573265</v>
      </c>
      <c r="M171" s="14" t="n">
        <v>-0.04947359854160993</v>
      </c>
      <c r="N171" s="15" t="n">
        <v>0</v>
      </c>
      <c r="O171" s="24" t="n">
        <v>0.839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UTEP @ MICH</t>
        </is>
      </c>
      <c r="C172" s="17" t="inlineStr">
        <is>
          <t>2026-09-19 19:30</t>
        </is>
      </c>
      <c r="D172" s="25" t="n">
        <v>3</v>
      </c>
      <c r="E172" s="17" t="inlineStr">
        <is>
          <t>TOTAL</t>
        </is>
      </c>
      <c r="F172" s="17" t="inlineStr">
        <is>
          <t>Over 49.5</t>
        </is>
      </c>
      <c r="G172" s="26" t="n">
        <v>49.5</v>
      </c>
      <c r="H172" s="18" t="n">
        <v>-115</v>
      </c>
      <c r="I172" s="20" t="n">
        <v>0.5074126959083416</v>
      </c>
      <c r="J172" s="20" t="n">
        <v>0.5108342361863488</v>
      </c>
      <c r="K172" s="20" t="n">
        <v>0.5348837209302325</v>
      </c>
      <c r="L172" s="19" t="n">
        <v>-0.006686870013543638</v>
      </c>
      <c r="M172" s="19" t="n">
        <v>-0.05135887286701357</v>
      </c>
      <c r="N172" s="20" t="n">
        <v>0</v>
      </c>
      <c r="O172" s="27" t="n">
        <v>0.75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UNT @ TXST</t>
        </is>
      </c>
      <c r="C173" s="12" t="inlineStr">
        <is>
          <t>2026-09-19 16:00</t>
        </is>
      </c>
      <c r="D173" s="22" t="n">
        <v>3</v>
      </c>
      <c r="E173" s="12" t="inlineStr">
        <is>
          <t>ATS</t>
        </is>
      </c>
      <c r="F173" s="12" t="inlineStr">
        <is>
          <t>UNT +3</t>
        </is>
      </c>
      <c r="G173" s="23" t="n">
        <v>-3</v>
      </c>
      <c r="H173" s="13" t="n">
        <v>-112</v>
      </c>
      <c r="I173" s="15" t="n">
        <v>0.5004170736893352</v>
      </c>
      <c r="J173" s="15" t="n">
        <v>0.5043297540699688</v>
      </c>
      <c r="K173" s="15" t="n">
        <v>0.5283018867924528</v>
      </c>
      <c r="L173" s="14" t="n">
        <v>-0.007740977741005956</v>
      </c>
      <c r="M173" s="14" t="n">
        <v>-0.04955698943547895</v>
      </c>
      <c r="N173" s="15" t="n">
        <v>0.0611</v>
      </c>
      <c r="O173" s="24" t="n">
        <v>0.8333333333333334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SYR @ PITT</t>
        </is>
      </c>
      <c r="C174" s="17" t="inlineStr">
        <is>
          <t>2026-09-17 23:30</t>
        </is>
      </c>
      <c r="D174" s="25" t="n">
        <v>3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-110</v>
      </c>
      <c r="I174" s="20" t="n">
        <v>0.4960092067379345</v>
      </c>
      <c r="J174" s="20" t="n">
        <v>0.5</v>
      </c>
      <c r="K174" s="20" t="n">
        <v>0.5238095238095238</v>
      </c>
      <c r="L174" s="19" t="n">
        <v>-0.007962859242512769</v>
      </c>
      <c r="M174" s="19" t="n">
        <v>-0.05307333259121594</v>
      </c>
      <c r="N174" s="20" t="n">
        <v>0</v>
      </c>
      <c r="O174" s="27" t="n">
        <v>0.839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NCSU @ VAN</t>
        </is>
      </c>
      <c r="C175" s="12" t="inlineStr">
        <is>
          <t>2026-09-19 16:45</t>
        </is>
      </c>
      <c r="D175" s="22" t="n">
        <v>3</v>
      </c>
      <c r="E175" s="12" t="inlineStr">
        <is>
          <t>ML</t>
        </is>
      </c>
      <c r="F175" s="12" t="inlineStr">
        <is>
          <t>NCSU ML</t>
        </is>
      </c>
      <c r="G175" s="23" t="n"/>
      <c r="H175" s="13" t="n">
        <v>150</v>
      </c>
      <c r="I175" s="15" t="n">
        <v>0.3794060518584768</v>
      </c>
      <c r="J175" s="15" t="n">
        <v>0.3835616438356164</v>
      </c>
      <c r="K175" s="15" t="n">
        <v>0.4</v>
      </c>
      <c r="L175" s="14" t="n">
        <v>-0.01078749457259729</v>
      </c>
      <c r="M175" s="14" t="n">
        <v>-0.05148487035380811</v>
      </c>
      <c r="N175" s="15" t="n">
        <v>0</v>
      </c>
      <c r="O175" s="24" t="n">
        <v>0.8333333333333334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GASO @ JVST</t>
        </is>
      </c>
      <c r="C176" s="17" t="inlineStr">
        <is>
          <t>2026-09-19 23:00</t>
        </is>
      </c>
      <c r="D176" s="25" t="n">
        <v>3</v>
      </c>
      <c r="E176" s="17" t="inlineStr">
        <is>
          <t>ATS</t>
        </is>
      </c>
      <c r="F176" s="17" t="inlineStr">
        <is>
          <t>GASO +3.5</t>
        </is>
      </c>
      <c r="G176" s="26" t="n">
        <v>-3.5</v>
      </c>
      <c r="H176" s="18" t="n">
        <v>100</v>
      </c>
      <c r="I176" s="20" t="n">
        <v>0.470844615536385</v>
      </c>
      <c r="J176" s="20" t="n">
        <v>0.4782608695652174</v>
      </c>
      <c r="K176" s="20" t="n">
        <v>0.5</v>
      </c>
      <c r="L176" s="19" t="n">
        <v>-0.01537044700675009</v>
      </c>
      <c r="M176" s="19" t="n">
        <v>-0.05831076892722997</v>
      </c>
      <c r="N176" s="20" t="n">
        <v>0</v>
      </c>
      <c r="O176" s="27" t="n">
        <v>0.75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CCU @ DEL</t>
        </is>
      </c>
      <c r="C177" s="12" t="inlineStr">
        <is>
          <t>2026-09-19 15:30</t>
        </is>
      </c>
      <c r="D177" s="22" t="n">
        <v>3</v>
      </c>
      <c r="E177" s="12" t="inlineStr">
        <is>
          <t>ATS</t>
        </is>
      </c>
      <c r="F177" s="12" t="inlineStr">
        <is>
          <t>DEL -4.5</t>
        </is>
      </c>
      <c r="G177" s="23" t="n">
        <v>-4.5</v>
      </c>
      <c r="H177" s="13" t="n">
        <v>-112</v>
      </c>
      <c r="I177" s="15" t="n">
        <v>0.4953346311423751</v>
      </c>
      <c r="J177" s="15" t="n">
        <v>0.5043297540699688</v>
      </c>
      <c r="K177" s="15" t="n">
        <v>0.5283018867924528</v>
      </c>
      <c r="L177" s="14" t="n">
        <v>-0.01762914939570997</v>
      </c>
      <c r="M177" s="14" t="n">
        <v>-0.06240230533764723</v>
      </c>
      <c r="N177" s="15" t="n">
        <v>0</v>
      </c>
      <c r="O177" s="24" t="n">
        <v>0.8333333333333334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NCSU @ VAN</t>
        </is>
      </c>
      <c r="C178" s="17" t="inlineStr">
        <is>
          <t>2026-09-19 16:45</t>
        </is>
      </c>
      <c r="D178" s="25" t="n">
        <v>3</v>
      </c>
      <c r="E178" s="17" t="inlineStr">
        <is>
          <t>ATS</t>
        </is>
      </c>
      <c r="F178" s="17" t="inlineStr">
        <is>
          <t>VAN -4</t>
        </is>
      </c>
      <c r="G178" s="26" t="n">
        <v>-4</v>
      </c>
      <c r="H178" s="18" t="n">
        <v>-112</v>
      </c>
      <c r="I178" s="20" t="n">
        <v>0.4947047054396377</v>
      </c>
      <c r="J178" s="20" t="n">
        <v>0.5043297540699688</v>
      </c>
      <c r="K178" s="20" t="n">
        <v>0.5283018867924528</v>
      </c>
      <c r="L178" s="19" t="n">
        <v>-0.018832168233889</v>
      </c>
      <c r="M178" s="19" t="n">
        <v>-0.06160415169832213</v>
      </c>
      <c r="N178" s="20" t="n">
        <v>0.0313</v>
      </c>
      <c r="O178" s="27" t="n">
        <v>0.8333333333333334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STAN @ DUKE</t>
        </is>
      </c>
      <c r="C179" s="12" t="inlineStr">
        <is>
          <t>2026-09-19 20:00</t>
        </is>
      </c>
      <c r="D179" s="22" t="n">
        <v>3</v>
      </c>
      <c r="E179" s="12" t="inlineStr">
        <is>
          <t>TOTAL</t>
        </is>
      </c>
      <c r="F179" s="12" t="inlineStr">
        <is>
          <t>Under 50.5</t>
        </is>
      </c>
      <c r="G179" s="23" t="n">
        <v>50.5</v>
      </c>
      <c r="H179" s="13" t="n">
        <v>-102</v>
      </c>
      <c r="I179" s="15" t="n">
        <v>0.4733822565575561</v>
      </c>
      <c r="J179" s="15" t="n">
        <v>0.4826358742837298</v>
      </c>
      <c r="K179" s="15" t="n">
        <v>0.504950495049505</v>
      </c>
      <c r="L179" s="14" t="n">
        <v>-0.0189169357440877</v>
      </c>
      <c r="M179" s="14" t="n">
        <v>-0.06251749191542821</v>
      </c>
      <c r="N179" s="15" t="n">
        <v>0</v>
      </c>
      <c r="O179" s="24" t="n">
        <v>0.8333333333333334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MRSH @ MOST</t>
        </is>
      </c>
      <c r="C180" s="17" t="inlineStr">
        <is>
          <t>2026-09-19 22:30</t>
        </is>
      </c>
      <c r="D180" s="25" t="n">
        <v>3</v>
      </c>
      <c r="E180" s="17" t="inlineStr">
        <is>
          <t>TOTAL</t>
        </is>
      </c>
      <c r="F180" s="17" t="inlineStr">
        <is>
          <t>Under 51.5</t>
        </is>
      </c>
      <c r="G180" s="26" t="n">
        <v>51.5</v>
      </c>
      <c r="H180" s="18" t="n">
        <v>-108</v>
      </c>
      <c r="I180" s="20" t="n">
        <v>0.485869030825965</v>
      </c>
      <c r="J180" s="20" t="n">
        <v>0.4956702459300312</v>
      </c>
      <c r="K180" s="20" t="n">
        <v>0.5192307692307693</v>
      </c>
      <c r="L180" s="19" t="n">
        <v>-0.01949296671240393</v>
      </c>
      <c r="M180" s="19" t="n">
        <v>-0.06425223692777104</v>
      </c>
      <c r="N180" s="20" t="n">
        <v>0</v>
      </c>
      <c r="O180" s="27" t="n">
        <v>0.75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UGA @ ARK</t>
        </is>
      </c>
      <c r="C181" s="12" t="inlineStr">
        <is>
          <t>2026-09-19 16:00</t>
        </is>
      </c>
      <c r="D181" s="22" t="n">
        <v>3</v>
      </c>
      <c r="E181" s="12" t="inlineStr">
        <is>
          <t>TOTAL</t>
        </is>
      </c>
      <c r="F181" s="12" t="inlineStr">
        <is>
          <t>Over 54.5</t>
        </is>
      </c>
      <c r="G181" s="23" t="n">
        <v>54.5</v>
      </c>
      <c r="H181" s="13" t="n">
        <v>-105</v>
      </c>
      <c r="I181" s="15" t="n">
        <v>0.4786355691973866</v>
      </c>
      <c r="J181" s="15" t="n">
        <v>0.4891657638136511</v>
      </c>
      <c r="K181" s="15" t="n">
        <v>0.5121951219512195</v>
      </c>
      <c r="L181" s="14" t="n">
        <v>-0.02116581144060891</v>
      </c>
      <c r="M181" s="14" t="n">
        <v>-0.06552103156700706</v>
      </c>
      <c r="N181" s="15" t="n">
        <v>0</v>
      </c>
      <c r="O181" s="24" t="n">
        <v>0.839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PUR @ UCLA</t>
        </is>
      </c>
      <c r="C182" s="17" t="inlineStr">
        <is>
          <t>2026-09-20 03:00</t>
        </is>
      </c>
      <c r="D182" s="25" t="n">
        <v>3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0.48803393743393</v>
      </c>
      <c r="J182" s="20" t="n">
        <v>0.5</v>
      </c>
      <c r="K182" s="20" t="n">
        <v>0.5238095238095238</v>
      </c>
      <c r="L182" s="19" t="n">
        <v>-0.02343839270051017</v>
      </c>
      <c r="M182" s="19" t="n">
        <v>-0.06829884671704278</v>
      </c>
      <c r="N182" s="20" t="n">
        <v>0</v>
      </c>
      <c r="O182" s="27" t="n">
        <v>0.75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UNC @ CLEM</t>
        </is>
      </c>
      <c r="C183" s="12" t="inlineStr">
        <is>
          <t>2026-09-19 16:00</t>
        </is>
      </c>
      <c r="D183" s="22" t="n">
        <v>3</v>
      </c>
      <c r="E183" s="12" t="inlineStr">
        <is>
          <t>ML</t>
        </is>
      </c>
      <c r="F183" s="12" t="inlineStr">
        <is>
          <t>CLEM ML</t>
        </is>
      </c>
      <c r="G183" s="23" t="n"/>
      <c r="H183" s="13" t="n">
        <v>-198</v>
      </c>
      <c r="I183" s="15" t="n">
        <v>0.6191923072046736</v>
      </c>
      <c r="J183" s="15" t="n">
        <v>0.6369041816941223</v>
      </c>
      <c r="K183" s="15" t="n">
        <v>0.6644295302013423</v>
      </c>
      <c r="L183" s="14" t="n">
        <v>-0.02704130435842951</v>
      </c>
      <c r="M183" s="14" t="n">
        <v>-0.06808430531821852</v>
      </c>
      <c r="N183" s="15" t="n">
        <v>0</v>
      </c>
      <c r="O183" s="24" t="n">
        <v>0.839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TROY @ MIZ</t>
        </is>
      </c>
      <c r="C184" s="17" t="inlineStr">
        <is>
          <t>2026-09-19 23:00</t>
        </is>
      </c>
      <c r="D184" s="25" t="n">
        <v>3</v>
      </c>
      <c r="E184" s="17" t="inlineStr">
        <is>
          <t>TOTAL</t>
        </is>
      </c>
      <c r="F184" s="17" t="inlineStr">
        <is>
          <t>Under 50.5</t>
        </is>
      </c>
      <c r="G184" s="26" t="n">
        <v>50.5</v>
      </c>
      <c r="H184" s="18" t="n">
        <v>-112</v>
      </c>
      <c r="I184" s="20" t="n">
        <v>0.4901987715641336</v>
      </c>
      <c r="J184" s="20" t="n">
        <v>0.5043297540699688</v>
      </c>
      <c r="K184" s="20" t="n">
        <v>0.5283018867924528</v>
      </c>
      <c r="L184" s="19" t="n">
        <v>-0.02723417501752164</v>
      </c>
      <c r="M184" s="19" t="n">
        <v>-0.07212375382503289</v>
      </c>
      <c r="N184" s="20" t="n">
        <v>0</v>
      </c>
      <c r="O184" s="27" t="n">
        <v>0.75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MSST @ SC</t>
        </is>
      </c>
      <c r="C185" s="12" t="inlineStr">
        <is>
          <t>2026-09-19 20:15</t>
        </is>
      </c>
      <c r="D185" s="22" t="n">
        <v>3</v>
      </c>
      <c r="E185" s="12" t="inlineStr">
        <is>
          <t>ATS</t>
        </is>
      </c>
      <c r="F185" s="12" t="inlineStr">
        <is>
          <t>SC -3.5</t>
        </is>
      </c>
      <c r="G185" s="23" t="n">
        <v>-3.5</v>
      </c>
      <c r="H185" s="13" t="n">
        <v>-115</v>
      </c>
      <c r="I185" s="15" t="n">
        <v>0.4955146488512934</v>
      </c>
      <c r="J185" s="15" t="n">
        <v>0.5108342361863488</v>
      </c>
      <c r="K185" s="15" t="n">
        <v>0.5348837209302325</v>
      </c>
      <c r="L185" s="14" t="n">
        <v>-0.02903135154689457</v>
      </c>
      <c r="M185" s="14" t="n">
        <v>-0.07360304779975591</v>
      </c>
      <c r="N185" s="15" t="n">
        <v>0</v>
      </c>
      <c r="O185" s="24" t="n">
        <v>0.839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CCU @ DEL</t>
        </is>
      </c>
      <c r="C186" s="17" t="inlineStr">
        <is>
          <t>2026-09-19 15:30</t>
        </is>
      </c>
      <c r="D186" s="25" t="n">
        <v>3</v>
      </c>
      <c r="E186" s="17" t="inlineStr">
        <is>
          <t>ML</t>
        </is>
      </c>
      <c r="F186" s="17" t="inlineStr">
        <is>
          <t>CCU ML</t>
        </is>
      </c>
      <c r="G186" s="26" t="n"/>
      <c r="H186" s="18" t="n">
        <v>150</v>
      </c>
      <c r="I186" s="20" t="n">
        <v>0.3716281988094865</v>
      </c>
      <c r="J186" s="20" t="n">
        <v>0.3835616438356164</v>
      </c>
      <c r="K186" s="20" t="n">
        <v>0.4</v>
      </c>
      <c r="L186" s="19" t="n">
        <v>-0.03004562623235748</v>
      </c>
      <c r="M186" s="19" t="n">
        <v>-0.07092950297628375</v>
      </c>
      <c r="N186" s="20" t="n">
        <v>0</v>
      </c>
      <c r="O186" s="27" t="n">
        <v>0.8333333333333334</v>
      </c>
      <c r="P186" s="17" t="inlineStr">
        <is>
          <t>Draft Kings</t>
        </is>
      </c>
      <c r="Q186" s="17" t="n"/>
    </row>
    <row r="187">
      <c r="A187" s="12" t="inlineStr">
        <is>
          <t>PASS</t>
        </is>
      </c>
      <c r="B187" s="12" t="inlineStr">
        <is>
          <t>BUFF @ PSU</t>
        </is>
      </c>
      <c r="C187" s="12" t="inlineStr">
        <is>
          <t>2026-09-19 16:00</t>
        </is>
      </c>
      <c r="D187" s="22" t="n">
        <v>3</v>
      </c>
      <c r="E187" s="12" t="inlineStr">
        <is>
          <t>TOTAL</t>
        </is>
      </c>
      <c r="F187" s="12" t="inlineStr">
        <is>
          <t>Under 48.5</t>
        </is>
      </c>
      <c r="G187" s="23" t="n">
        <v>48.5</v>
      </c>
      <c r="H187" s="13" t="n">
        <v>-108</v>
      </c>
      <c r="I187" s="15" t="n">
        <v>0.4779128507173334</v>
      </c>
      <c r="J187" s="15" t="n">
        <v>0.4956702459300312</v>
      </c>
      <c r="K187" s="15" t="n">
        <v>0.5192307692307693</v>
      </c>
      <c r="L187" s="14" t="n">
        <v>-0.03421815236097299</v>
      </c>
      <c r="M187" s="14" t="n">
        <v>-0.07957525047032088</v>
      </c>
      <c r="N187" s="15" t="n">
        <v>0</v>
      </c>
      <c r="O187" s="24" t="n">
        <v>0.8333333333333334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OHIO @ USA</t>
        </is>
      </c>
      <c r="C188" s="17" t="inlineStr">
        <is>
          <t>2026-09-19 23:00</t>
        </is>
      </c>
      <c r="D188" s="25" t="n">
        <v>3</v>
      </c>
      <c r="E188" s="17" t="inlineStr">
        <is>
          <t>ATS</t>
        </is>
      </c>
      <c r="F188" s="17" t="inlineStr">
        <is>
          <t>OHIO +4.5</t>
        </is>
      </c>
      <c r="G188" s="26" t="n">
        <v>-4.5</v>
      </c>
      <c r="H188" s="18" t="n">
        <v>-108</v>
      </c>
      <c r="I188" s="20" t="n">
        <v>0.4769126758281805</v>
      </c>
      <c r="J188" s="20" t="n">
        <v>0.4956702459300312</v>
      </c>
      <c r="K188" s="20" t="n">
        <v>0.5192307692307693</v>
      </c>
      <c r="L188" s="19" t="n">
        <v>-0.03596059527435984</v>
      </c>
      <c r="M188" s="19" t="n">
        <v>-0.08150151321980037</v>
      </c>
      <c r="N188" s="20" t="n">
        <v>0</v>
      </c>
      <c r="O188" s="27" t="n">
        <v>0.75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UNT @ TXST</t>
        </is>
      </c>
      <c r="C189" s="12" t="inlineStr">
        <is>
          <t>2026-09-19 16:00</t>
        </is>
      </c>
      <c r="D189" s="22" t="n">
        <v>3</v>
      </c>
      <c r="E189" s="12" t="inlineStr">
        <is>
          <t>ML</t>
        </is>
      </c>
      <c r="F189" s="12" t="inlineStr">
        <is>
          <t>UNT ML</t>
        </is>
      </c>
      <c r="G189" s="23" t="n"/>
      <c r="H189" s="13" t="n">
        <v>120</v>
      </c>
      <c r="I189" s="15" t="n">
        <v>0.4196105397226648</v>
      </c>
      <c r="J189" s="15" t="n">
        <v>0.4365079365079365</v>
      </c>
      <c r="K189" s="15" t="n">
        <v>0.4545454545454545</v>
      </c>
      <c r="L189" s="14" t="n">
        <v>-0.03670126373433684</v>
      </c>
      <c r="M189" s="14" t="n">
        <v>-0.07685681261013733</v>
      </c>
      <c r="N189" s="15" t="n">
        <v>0</v>
      </c>
      <c r="O189" s="24" t="n">
        <v>0.8333333333333334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FSU @ ALA</t>
        </is>
      </c>
      <c r="C190" s="17" t="inlineStr">
        <is>
          <t>2026-09-19 19:30</t>
        </is>
      </c>
      <c r="D190" s="25" t="n">
        <v>3</v>
      </c>
      <c r="E190" s="17" t="inlineStr">
        <is>
          <t>TOTAL</t>
        </is>
      </c>
      <c r="F190" s="17" t="inlineStr">
        <is>
          <t>Under 50.5</t>
        </is>
      </c>
      <c r="G190" s="26" t="n">
        <v>50.5</v>
      </c>
      <c r="H190" s="18" t="n">
        <v>-108</v>
      </c>
      <c r="I190" s="20" t="n">
        <v>0.4759283461063519</v>
      </c>
      <c r="J190" s="20" t="n">
        <v>0.4956702459300312</v>
      </c>
      <c r="K190" s="20" t="n">
        <v>0.5192307692307693</v>
      </c>
      <c r="L190" s="19" t="n">
        <v>-0.03764830384416439</v>
      </c>
      <c r="M190" s="19" t="n">
        <v>-0.08339725935072961</v>
      </c>
      <c r="N190" s="20" t="n">
        <v>0</v>
      </c>
      <c r="O190" s="27" t="n">
        <v>0.839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OHIO @ USA</t>
        </is>
      </c>
      <c r="C191" s="12" t="inlineStr">
        <is>
          <t>2026-09-19 23:00</t>
        </is>
      </c>
      <c r="D191" s="22" t="n">
        <v>3</v>
      </c>
      <c r="E191" s="12" t="inlineStr">
        <is>
          <t>TOTAL</t>
        </is>
      </c>
      <c r="F191" s="12" t="inlineStr">
        <is>
          <t>Over 53.5</t>
        </is>
      </c>
      <c r="G191" s="23" t="n">
        <v>53.5</v>
      </c>
      <c r="H191" s="13" t="n">
        <v>-110</v>
      </c>
      <c r="I191" s="15" t="n">
        <v>0.4800778174571141</v>
      </c>
      <c r="J191" s="15" t="n">
        <v>0.5</v>
      </c>
      <c r="K191" s="15" t="n">
        <v>0.5238095238095238</v>
      </c>
      <c r="L191" s="14" t="n">
        <v>-0.0376615107244274</v>
      </c>
      <c r="M191" s="14" t="n">
        <v>-0.08348780303641845</v>
      </c>
      <c r="N191" s="15" t="n">
        <v>0</v>
      </c>
      <c r="O191" s="24" t="n">
        <v>0.75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GAST @ UCF</t>
        </is>
      </c>
      <c r="C192" s="17" t="inlineStr">
        <is>
          <t>2026-09-19 23:00</t>
        </is>
      </c>
      <c r="D192" s="25" t="n">
        <v>3</v>
      </c>
      <c r="E192" s="17" t="inlineStr">
        <is>
          <t>TOTAL</t>
        </is>
      </c>
      <c r="F192" s="17" t="inlineStr">
        <is>
          <t>Under 50.5</t>
        </is>
      </c>
      <c r="G192" s="26" t="n">
        <v>50.5</v>
      </c>
      <c r="H192" s="18" t="n">
        <v>-110</v>
      </c>
      <c r="I192" s="20" t="n">
        <v>0.4800777777104048</v>
      </c>
      <c r="J192" s="20" t="n">
        <v>0.5</v>
      </c>
      <c r="K192" s="20" t="n">
        <v>0.5238095238095238</v>
      </c>
      <c r="L192" s="19" t="n">
        <v>-0.03766157772445854</v>
      </c>
      <c r="M192" s="19" t="n">
        <v>-0.08348787891649978</v>
      </c>
      <c r="N192" s="20" t="n">
        <v>0</v>
      </c>
      <c r="O192" s="27" t="n">
        <v>0.8333333333333334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TULN @ KSU</t>
        </is>
      </c>
      <c r="C193" s="12" t="inlineStr">
        <is>
          <t>2026-09-19 16:00</t>
        </is>
      </c>
      <c r="D193" s="22" t="n">
        <v>3</v>
      </c>
      <c r="E193" s="12" t="inlineStr">
        <is>
          <t>TOTAL</t>
        </is>
      </c>
      <c r="F193" s="12" t="inlineStr">
        <is>
          <t>Under 49.5</t>
        </is>
      </c>
      <c r="G193" s="23" t="n">
        <v>49.5</v>
      </c>
      <c r="H193" s="13" t="n">
        <v>-110</v>
      </c>
      <c r="I193" s="15" t="n">
        <v>0.480077758966456</v>
      </c>
      <c r="J193" s="15" t="n">
        <v>0.5</v>
      </c>
      <c r="K193" s="15" t="n">
        <v>0.5238095238095238</v>
      </c>
      <c r="L193" s="14" t="n">
        <v>-0.03766160932064762</v>
      </c>
      <c r="M193" s="14" t="n">
        <v>-0.08348791470040218</v>
      </c>
      <c r="N193" s="15" t="n">
        <v>0</v>
      </c>
      <c r="O193" s="24" t="n">
        <v>0.8333333333333334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NEV @ MTSU</t>
        </is>
      </c>
      <c r="C194" s="17" t="inlineStr">
        <is>
          <t>2026-09-19 23:00</t>
        </is>
      </c>
      <c r="D194" s="25" t="n">
        <v>3</v>
      </c>
      <c r="E194" s="17" t="inlineStr">
        <is>
          <t>TOTAL</t>
        </is>
      </c>
      <c r="F194" s="17" t="inlineStr">
        <is>
          <t>Under 49.5</t>
        </is>
      </c>
      <c r="G194" s="26" t="n">
        <v>49.5</v>
      </c>
      <c r="H194" s="18" t="n">
        <v>-110</v>
      </c>
      <c r="I194" s="20" t="n">
        <v>0.480077758966456</v>
      </c>
      <c r="J194" s="20" t="n">
        <v>0.5</v>
      </c>
      <c r="K194" s="20" t="n">
        <v>0.5238095238095238</v>
      </c>
      <c r="L194" s="19" t="n">
        <v>-0.03766160932064762</v>
      </c>
      <c r="M194" s="19" t="n">
        <v>-0.08348791470040218</v>
      </c>
      <c r="N194" s="20" t="n">
        <v>0</v>
      </c>
      <c r="O194" s="27" t="n">
        <v>0.75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FRES @ SJSU</t>
        </is>
      </c>
      <c r="C195" s="12" t="inlineStr">
        <is>
          <t>2026-09-20 03:00</t>
        </is>
      </c>
      <c r="D195" s="22" t="n">
        <v>3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-108</v>
      </c>
      <c r="I195" s="15" t="n">
        <v>0.4739460415142116</v>
      </c>
      <c r="J195" s="15" t="n">
        <v>0.4956702459300312</v>
      </c>
      <c r="K195" s="15" t="n">
        <v>0.5192307692307693</v>
      </c>
      <c r="L195" s="14" t="n">
        <v>-0.04096221201495169</v>
      </c>
      <c r="M195" s="14" t="n">
        <v>-0.08721503115781459</v>
      </c>
      <c r="N195" s="15" t="n">
        <v>0</v>
      </c>
      <c r="O195" s="24" t="n">
        <v>0.75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VT @ MD</t>
        </is>
      </c>
      <c r="C196" s="17" t="inlineStr">
        <is>
          <t>2026-09-19 23:30</t>
        </is>
      </c>
      <c r="D196" s="25" t="n">
        <v>3</v>
      </c>
      <c r="E196" s="17" t="inlineStr">
        <is>
          <t>TOTAL</t>
        </is>
      </c>
      <c r="F196" s="17" t="inlineStr">
        <is>
          <t>Over 54.5</t>
        </is>
      </c>
      <c r="G196" s="26" t="n">
        <v>54.5</v>
      </c>
      <c r="H196" s="18" t="n">
        <v>-108</v>
      </c>
      <c r="I196" s="20" t="n">
        <v>0.4739460076323881</v>
      </c>
      <c r="J196" s="20" t="n">
        <v>0.4956702459300312</v>
      </c>
      <c r="K196" s="20" t="n">
        <v>0.5192307692307693</v>
      </c>
      <c r="L196" s="19" t="n">
        <v>-0.04096226766202987</v>
      </c>
      <c r="M196" s="19" t="n">
        <v>-0.087215096411697</v>
      </c>
      <c r="N196" s="20" t="n">
        <v>0</v>
      </c>
      <c r="O196" s="27" t="n">
        <v>0.839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CLT @ APP</t>
        </is>
      </c>
      <c r="C197" s="12" t="inlineStr">
        <is>
          <t>2026-09-19 22:00</t>
        </is>
      </c>
      <c r="D197" s="22" t="n">
        <v>3</v>
      </c>
      <c r="E197" s="12" t="inlineStr">
        <is>
          <t>TOTAL</t>
        </is>
      </c>
      <c r="F197" s="12" t="inlineStr">
        <is>
          <t>Under 51.5</t>
        </is>
      </c>
      <c r="G197" s="23" t="n">
        <v>51.5</v>
      </c>
      <c r="H197" s="13" t="n">
        <v>-108</v>
      </c>
      <c r="I197" s="15" t="n">
        <v>0.4739459852769414</v>
      </c>
      <c r="J197" s="15" t="n">
        <v>0.4956702459300312</v>
      </c>
      <c r="K197" s="15" t="n">
        <v>0.5192307692307693</v>
      </c>
      <c r="L197" s="14" t="n">
        <v>-0.0409623043783136</v>
      </c>
      <c r="M197" s="14" t="n">
        <v>-0.08721513946663129</v>
      </c>
      <c r="N197" s="15" t="n">
        <v>0</v>
      </c>
      <c r="O197" s="24" t="n">
        <v>0.75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GASO @ JVST</t>
        </is>
      </c>
      <c r="C198" s="17" t="inlineStr">
        <is>
          <t>2026-09-19 23:00</t>
        </is>
      </c>
      <c r="D198" s="25" t="n">
        <v>3</v>
      </c>
      <c r="E198" s="17" t="inlineStr">
        <is>
          <t>ML</t>
        </is>
      </c>
      <c r="F198" s="17" t="inlineStr">
        <is>
          <t>GASO ML</t>
        </is>
      </c>
      <c r="G198" s="26" t="n"/>
      <c r="H198" s="18" t="n">
        <v>154</v>
      </c>
      <c r="I198" s="20" t="n">
        <v>0.3597434424686241</v>
      </c>
      <c r="J198" s="20" t="n">
        <v>0.3775334481388264</v>
      </c>
      <c r="K198" s="20" t="n">
        <v>0.3937007874015748</v>
      </c>
      <c r="L198" s="19" t="n">
        <v>-0.04360304431328614</v>
      </c>
      <c r="M198" s="19" t="n">
        <v>-0.08625165612969476</v>
      </c>
      <c r="N198" s="20" t="n">
        <v>0</v>
      </c>
      <c r="O198" s="27" t="n">
        <v>0.75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COLO @ NU</t>
        </is>
      </c>
      <c r="C199" s="12" t="inlineStr">
        <is>
          <t>2026-09-19 23:30</t>
        </is>
      </c>
      <c r="D199" s="22" t="n">
        <v>3</v>
      </c>
      <c r="E199" s="12" t="inlineStr">
        <is>
          <t>ATS</t>
        </is>
      </c>
      <c r="F199" s="12" t="inlineStr">
        <is>
          <t>COLO +3.5</t>
        </is>
      </c>
      <c r="G199" s="23" t="n">
        <v>-3.5</v>
      </c>
      <c r="H199" s="13" t="n">
        <v>-110</v>
      </c>
      <c r="I199" s="15" t="n">
        <v>0.475687159628192</v>
      </c>
      <c r="J199" s="15" t="n">
        <v>0.5</v>
      </c>
      <c r="K199" s="15" t="n">
        <v>0.5238095238095238</v>
      </c>
      <c r="L199" s="14" t="n">
        <v>-0.04478155680477716</v>
      </c>
      <c r="M199" s="14" t="n">
        <v>-0.09186996798254254</v>
      </c>
      <c r="N199" s="15" t="n">
        <v>0</v>
      </c>
      <c r="O199" s="24" t="n">
        <v>0.725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NCSU @ VAN</t>
        </is>
      </c>
      <c r="C200" s="17" t="inlineStr">
        <is>
          <t>2026-09-19 16:45</t>
        </is>
      </c>
      <c r="D200" s="25" t="n">
        <v>3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-115</v>
      </c>
      <c r="I200" s="20" t="n">
        <v>0.483510380392619</v>
      </c>
      <c r="J200" s="20" t="n">
        <v>0.5108342361863488</v>
      </c>
      <c r="K200" s="20" t="n">
        <v>0.5348837209302325</v>
      </c>
      <c r="L200" s="19" t="n">
        <v>-0.04847172390512348</v>
      </c>
      <c r="M200" s="19" t="n">
        <v>-0.09604581057032113</v>
      </c>
      <c r="N200" s="20" t="n">
        <v>0</v>
      </c>
      <c r="O200" s="27" t="n">
        <v>0.8333333333333334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TEM @ TOL</t>
        </is>
      </c>
      <c r="C201" s="12" t="inlineStr">
        <is>
          <t>2026-09-19 19:00</t>
        </is>
      </c>
      <c r="D201" s="22" t="n">
        <v>3</v>
      </c>
      <c r="E201" s="12" t="inlineStr">
        <is>
          <t>TOTAL</t>
        </is>
      </c>
      <c r="F201" s="12" t="inlineStr">
        <is>
          <t>Over 52.5</t>
        </is>
      </c>
      <c r="G201" s="23" t="n">
        <v>52.5</v>
      </c>
      <c r="H201" s="13" t="n">
        <v>-112</v>
      </c>
      <c r="I201" s="15" t="n">
        <v>0.4762957865354402</v>
      </c>
      <c r="J201" s="15" t="n">
        <v>0.5043297540699688</v>
      </c>
      <c r="K201" s="15" t="n">
        <v>0.5283018867924528</v>
      </c>
      <c r="L201" s="14" t="n">
        <v>-0.05000592689159239</v>
      </c>
      <c r="M201" s="14" t="n">
        <v>-0.09844011834363098</v>
      </c>
      <c r="N201" s="15" t="n">
        <v>0</v>
      </c>
      <c r="O201" s="24" t="n">
        <v>0.75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UNC @ CLEM</t>
        </is>
      </c>
      <c r="C202" s="17" t="inlineStr">
        <is>
          <t>2026-09-19 16:00</t>
        </is>
      </c>
      <c r="D202" s="25" t="n">
        <v>3</v>
      </c>
      <c r="E202" s="17" t="inlineStr">
        <is>
          <t>ATS</t>
        </is>
      </c>
      <c r="F202" s="17" t="inlineStr">
        <is>
          <t>CLEM -4.5</t>
        </is>
      </c>
      <c r="G202" s="26" t="n">
        <v>-4.5</v>
      </c>
      <c r="H202" s="18" t="n">
        <v>-112</v>
      </c>
      <c r="I202" s="20" t="n">
        <v>0.4750827350232558</v>
      </c>
      <c r="J202" s="20" t="n">
        <v>0.5043297540699688</v>
      </c>
      <c r="K202" s="20" t="n">
        <v>0.5283018867924528</v>
      </c>
      <c r="L202" s="19" t="n">
        <v>-0.05172153163973746</v>
      </c>
      <c r="M202" s="19" t="n">
        <v>-0.1007362515631229</v>
      </c>
      <c r="N202" s="20" t="n">
        <v>0</v>
      </c>
      <c r="O202" s="27" t="n">
        <v>0.839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TEM @ TOL</t>
        </is>
      </c>
      <c r="C203" s="12" t="inlineStr">
        <is>
          <t>2026-09-19 19:00</t>
        </is>
      </c>
      <c r="D203" s="22" t="n">
        <v>3</v>
      </c>
      <c r="E203" s="12" t="inlineStr">
        <is>
          <t>ATS</t>
        </is>
      </c>
      <c r="F203" s="12" t="inlineStr">
        <is>
          <t>TEM +4.5</t>
        </is>
      </c>
      <c r="G203" s="23" t="n">
        <v>-4.5</v>
      </c>
      <c r="H203" s="13" t="n">
        <v>-115</v>
      </c>
      <c r="I203" s="15" t="n">
        <v>0.4800249837702656</v>
      </c>
      <c r="J203" s="15" t="n">
        <v>0.5108342361863488</v>
      </c>
      <c r="K203" s="15" t="n">
        <v>0.5348837209302325</v>
      </c>
      <c r="L203" s="14" t="n">
        <v>-0.05333197583252961</v>
      </c>
      <c r="M203" s="14" t="n">
        <v>-0.1025619868642861</v>
      </c>
      <c r="N203" s="15" t="n">
        <v>0</v>
      </c>
      <c r="O203" s="24" t="n">
        <v>0.75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SYR @ PITT</t>
        </is>
      </c>
      <c r="C204" s="17" t="inlineStr">
        <is>
          <t>2026-09-17 23:30</t>
        </is>
      </c>
      <c r="D204" s="25" t="n">
        <v>3</v>
      </c>
      <c r="E204" s="17" t="inlineStr">
        <is>
          <t>ML</t>
        </is>
      </c>
      <c r="F204" s="17" t="inlineStr">
        <is>
          <t>PITT ML</t>
        </is>
      </c>
      <c r="G204" s="26" t="n"/>
      <c r="H204" s="18" t="n">
        <v>-360</v>
      </c>
      <c r="I204" s="20" t="n">
        <v>0.7050952239416158</v>
      </c>
      <c r="J204" s="20" t="n">
        <v>0.7508125677139762</v>
      </c>
      <c r="K204" s="20" t="n">
        <v>0.7826086956521739</v>
      </c>
      <c r="L204" s="19" t="n">
        <v>-0.05372703672177912</v>
      </c>
      <c r="M204" s="19" t="n">
        <v>-0.09904499163015756</v>
      </c>
      <c r="N204" s="20" t="n">
        <v>0</v>
      </c>
      <c r="O204" s="27" t="n">
        <v>0.839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WYO @ CMU</t>
        </is>
      </c>
      <c r="C205" s="12" t="inlineStr">
        <is>
          <t>2026-09-19 17:00</t>
        </is>
      </c>
      <c r="D205" s="22" t="n">
        <v>3</v>
      </c>
      <c r="E205" s="12" t="inlineStr">
        <is>
          <t>ATS</t>
        </is>
      </c>
      <c r="F205" s="12" t="inlineStr">
        <is>
          <t>WYO +2.5</t>
        </is>
      </c>
      <c r="G205" s="23" t="n">
        <v>-2.5</v>
      </c>
      <c r="H205" s="13" t="n">
        <v>-108</v>
      </c>
      <c r="I205" s="15" t="n">
        <v>0.4639472246695736</v>
      </c>
      <c r="J205" s="15" t="n">
        <v>0.4956702459300312</v>
      </c>
      <c r="K205" s="15" t="n">
        <v>0.5192307692307693</v>
      </c>
      <c r="L205" s="14" t="n">
        <v>-0.05580298806256206</v>
      </c>
      <c r="M205" s="14" t="n">
        <v>-0.1064720117474878</v>
      </c>
      <c r="N205" s="15" t="n">
        <v>0</v>
      </c>
      <c r="O205" s="24" t="n">
        <v>0.75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UAB @ UL</t>
        </is>
      </c>
      <c r="C206" s="17" t="inlineStr">
        <is>
          <t>2026-09-20 00:00</t>
        </is>
      </c>
      <c r="D206" s="25" t="n">
        <v>3</v>
      </c>
      <c r="E206" s="17" t="inlineStr">
        <is>
          <t>ML</t>
        </is>
      </c>
      <c r="F206" s="17" t="inlineStr">
        <is>
          <t>UL ML</t>
        </is>
      </c>
      <c r="G206" s="26" t="n"/>
      <c r="H206" s="18" t="n">
        <v>-380</v>
      </c>
      <c r="I206" s="20" t="n">
        <v>0.711150097251807</v>
      </c>
      <c r="J206" s="20" t="n">
        <v>0.7600000000000001</v>
      </c>
      <c r="K206" s="20" t="n">
        <v>0.7916666666666666</v>
      </c>
      <c r="L206" s="19" t="n">
        <v>-0.05598340623844744</v>
      </c>
      <c r="M206" s="19" t="n">
        <v>-0.101705140313507</v>
      </c>
      <c r="N206" s="20" t="n">
        <v>0</v>
      </c>
      <c r="O206" s="27" t="n">
        <v>0.8333333333333334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FIU @ FAU</t>
        </is>
      </c>
      <c r="C207" s="12" t="inlineStr">
        <is>
          <t>2026-09-19 22:00</t>
        </is>
      </c>
      <c r="D207" s="22" t="n">
        <v>3</v>
      </c>
      <c r="E207" s="12" t="inlineStr">
        <is>
          <t>ML</t>
        </is>
      </c>
      <c r="F207" s="12" t="inlineStr">
        <is>
          <t>FAU ML</t>
        </is>
      </c>
      <c r="G207" s="23" t="n"/>
      <c r="H207" s="13" t="n">
        <v>-278</v>
      </c>
      <c r="I207" s="15" t="n">
        <v>0.6589594012460265</v>
      </c>
      <c r="J207" s="15" t="n">
        <v>0.705033164260632</v>
      </c>
      <c r="K207" s="15" t="n">
        <v>0.7354497354497355</v>
      </c>
      <c r="L207" s="14" t="n">
        <v>-0.05667950385636537</v>
      </c>
      <c r="M207" s="14" t="n">
        <v>-0.1040048429100792</v>
      </c>
      <c r="N207" s="15" t="n">
        <v>0</v>
      </c>
      <c r="O207" s="24" t="n">
        <v>0.8333333333333334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UNM @ OU</t>
        </is>
      </c>
      <c r="C208" s="17" t="inlineStr">
        <is>
          <t>2026-09-19 23:30</t>
        </is>
      </c>
      <c r="D208" s="25" t="n">
        <v>3</v>
      </c>
      <c r="E208" s="17" t="inlineStr">
        <is>
          <t>TOTAL</t>
        </is>
      </c>
      <c r="F208" s="17" t="inlineStr">
        <is>
          <t>Under 48.5</t>
        </is>
      </c>
      <c r="G208" s="26" t="n">
        <v>48.5</v>
      </c>
      <c r="H208" s="18" t="n">
        <v>-112</v>
      </c>
      <c r="I208" s="20" t="n">
        <v>0.4703719468163068</v>
      </c>
      <c r="J208" s="20" t="n">
        <v>0.5043297540699688</v>
      </c>
      <c r="K208" s="20" t="n">
        <v>0.5283018867924528</v>
      </c>
      <c r="L208" s="19" t="n">
        <v>-0.05794059228426163</v>
      </c>
      <c r="M208" s="19" t="n">
        <v>-0.1096531006691336</v>
      </c>
      <c r="N208" s="20" t="n">
        <v>0</v>
      </c>
      <c r="O208" s="27" t="n">
        <v>0.8333333333333334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FLA @ AUB</t>
        </is>
      </c>
      <c r="C209" s="12" t="inlineStr">
        <is>
          <t>2026-09-19 23:00</t>
        </is>
      </c>
      <c r="D209" s="22" t="n">
        <v>3</v>
      </c>
      <c r="E209" s="12" t="inlineStr">
        <is>
          <t>TOTAL</t>
        </is>
      </c>
      <c r="F209" s="12" t="inlineStr">
        <is>
          <t>Over 53.5</t>
        </is>
      </c>
      <c r="G209" s="23" t="n">
        <v>53.5</v>
      </c>
      <c r="H209" s="13" t="n">
        <v>-105</v>
      </c>
      <c r="I209" s="15" t="n">
        <v>0.4549367403746135</v>
      </c>
      <c r="J209" s="15" t="n">
        <v>0.4891657638136511</v>
      </c>
      <c r="K209" s="15" t="n">
        <v>0.5121951219512195</v>
      </c>
      <c r="L209" s="14" t="n">
        <v>-0.05957157499497665</v>
      </c>
      <c r="M209" s="14" t="n">
        <v>-0.1117901735543261</v>
      </c>
      <c r="N209" s="15" t="n">
        <v>0</v>
      </c>
      <c r="O209" s="24" t="n">
        <v>0.839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STAN @ DUKE</t>
        </is>
      </c>
      <c r="C210" s="17" t="inlineStr">
        <is>
          <t>2026-09-19 20:00</t>
        </is>
      </c>
      <c r="D210" s="25" t="n">
        <v>3</v>
      </c>
      <c r="E210" s="17" t="inlineStr">
        <is>
          <t>ML</t>
        </is>
      </c>
      <c r="F210" s="17" t="inlineStr">
        <is>
          <t>DUKE ML</t>
        </is>
      </c>
      <c r="G210" s="26" t="n"/>
      <c r="H210" s="18" t="n">
        <v>-410</v>
      </c>
      <c r="I210" s="20" t="n">
        <v>0.7154416282566707</v>
      </c>
      <c r="J210" s="20" t="n">
        <v>0.771505376344086</v>
      </c>
      <c r="K210" s="20" t="n">
        <v>0.803921568627451</v>
      </c>
      <c r="L210" s="19" t="n">
        <v>-0.06117709928169719</v>
      </c>
      <c r="M210" s="19" t="n">
        <v>-0.1100604136319462</v>
      </c>
      <c r="N210" s="20" t="n">
        <v>0</v>
      </c>
      <c r="O210" s="27" t="n">
        <v>0.8333333333333334</v>
      </c>
      <c r="P210" s="17" t="inlineStr">
        <is>
          <t>Draft Kings</t>
        </is>
      </c>
      <c r="Q210" s="17" t="inlineStr">
        <is>
          <t>price outside allowed range</t>
        </is>
      </c>
    </row>
    <row r="211">
      <c r="A211" s="12" t="inlineStr">
        <is>
          <t>PASS</t>
        </is>
      </c>
      <c r="B211" s="12" t="inlineStr">
        <is>
          <t>ECU @ ODU</t>
        </is>
      </c>
      <c r="C211" s="12" t="inlineStr">
        <is>
          <t>2026-09-19 22:00</t>
        </is>
      </c>
      <c r="D211" s="22" t="n">
        <v>3</v>
      </c>
      <c r="E211" s="12" t="inlineStr">
        <is>
          <t>TOTAL</t>
        </is>
      </c>
      <c r="F211" s="12" t="inlineStr">
        <is>
          <t>Under 49.5</t>
        </is>
      </c>
      <c r="G211" s="23" t="n">
        <v>49.5</v>
      </c>
      <c r="H211" s="13" t="n">
        <v>-110</v>
      </c>
      <c r="I211" s="15" t="n">
        <v>0.4623117303209874</v>
      </c>
      <c r="J211" s="15" t="n">
        <v>0.5</v>
      </c>
      <c r="K211" s="15" t="n">
        <v>0.5238095238095238</v>
      </c>
      <c r="L211" s="14" t="n">
        <v>-0.0627334237387708</v>
      </c>
      <c r="M211" s="14" t="n">
        <v>-0.117404878478115</v>
      </c>
      <c r="N211" s="15" t="n">
        <v>0</v>
      </c>
      <c r="O211" s="24" t="n">
        <v>0.75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LT @ BAY</t>
        </is>
      </c>
      <c r="C212" s="17" t="inlineStr">
        <is>
          <t>2026-09-19 20:00</t>
        </is>
      </c>
      <c r="D212" s="25" t="n">
        <v>3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-115</v>
      </c>
      <c r="I212" s="20" t="n">
        <v>0.4559536590779798</v>
      </c>
      <c r="J212" s="20" t="n">
        <v>0.4951076320939334</v>
      </c>
      <c r="K212" s="20" t="n">
        <v>0.5348837209302325</v>
      </c>
      <c r="L212" s="19" t="n">
        <v>-0.0647694474577817</v>
      </c>
      <c r="M212" s="19" t="n">
        <v>-0.1475648982455161</v>
      </c>
      <c r="N212" s="20" t="n">
        <v>0</v>
      </c>
      <c r="O212" s="27" t="n">
        <v>0.8333333333333334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UK @ TA&amp;M</t>
        </is>
      </c>
      <c r="C213" s="12" t="inlineStr">
        <is>
          <t>2026-09-19 19:30</t>
        </is>
      </c>
      <c r="D213" s="22" t="n">
        <v>3</v>
      </c>
      <c r="E213" s="12" t="inlineStr">
        <is>
          <t>ML</t>
        </is>
      </c>
      <c r="F213" s="12" t="inlineStr">
        <is>
          <t>TA&amp;M ML</t>
        </is>
      </c>
      <c r="G213" s="23" t="n"/>
      <c r="H213" s="13" t="n">
        <v>-850</v>
      </c>
      <c r="I213" s="15" t="n">
        <v>0.7792566533571074</v>
      </c>
      <c r="J213" s="15" t="n">
        <v>0.8483033932135728</v>
      </c>
      <c r="K213" s="15" t="n">
        <v>0.8947368421052632</v>
      </c>
      <c r="L213" s="14" t="n">
        <v>-0.06598642556220619</v>
      </c>
      <c r="M213" s="14" t="n">
        <v>-0.1290660933067623</v>
      </c>
      <c r="N213" s="15" t="n">
        <v>0</v>
      </c>
      <c r="O213" s="24" t="n">
        <v>0.839</v>
      </c>
      <c r="P213" s="12" t="inlineStr">
        <is>
          <t>Draft 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AKR @ MINN</t>
        </is>
      </c>
      <c r="C214" s="17" t="inlineStr">
        <is>
          <t>2026-09-19 16:00</t>
        </is>
      </c>
      <c r="D214" s="25" t="n">
        <v>3</v>
      </c>
      <c r="E214" s="17" t="inlineStr">
        <is>
          <t>TOTAL</t>
        </is>
      </c>
      <c r="F214" s="17" t="inlineStr">
        <is>
          <t>Under 49.5</t>
        </is>
      </c>
      <c r="G214" s="26" t="n">
        <v>49.5</v>
      </c>
      <c r="H214" s="18" t="n">
        <v>-112</v>
      </c>
      <c r="I214" s="20" t="n">
        <v>0.4625186862573651</v>
      </c>
      <c r="J214" s="20" t="n">
        <v>0.5043297540699688</v>
      </c>
      <c r="K214" s="20" t="n">
        <v>0.5283018867924528</v>
      </c>
      <c r="L214" s="19" t="n">
        <v>-0.0667594657587882</v>
      </c>
      <c r="M214" s="19" t="n">
        <v>-0.1245182010128446</v>
      </c>
      <c r="N214" s="20" t="n">
        <v>0</v>
      </c>
      <c r="O214" s="27" t="n">
        <v>0.8333333333333334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SMU @ LOU</t>
        </is>
      </c>
      <c r="C215" s="12" t="inlineStr">
        <is>
          <t>2026-09-19 19:30</t>
        </is>
      </c>
      <c r="D215" s="22" t="n">
        <v>3</v>
      </c>
      <c r="E215" s="12" t="inlineStr">
        <is>
          <t>ATS</t>
        </is>
      </c>
      <c r="F215" s="12" t="inlineStr">
        <is>
          <t>SMU +1.5</t>
        </is>
      </c>
      <c r="G215" s="23" t="n">
        <v>-1.5</v>
      </c>
      <c r="H215" s="13" t="n">
        <v>-108</v>
      </c>
      <c r="I215" s="15" t="n">
        <v>0.4541765326040783</v>
      </c>
      <c r="J215" s="15" t="n">
        <v>0.4956702459300312</v>
      </c>
      <c r="K215" s="15" t="n">
        <v>0.5192307692307693</v>
      </c>
      <c r="L215" s="14" t="n">
        <v>-0.06716606474844078</v>
      </c>
      <c r="M215" s="14" t="n">
        <v>-0.125289640910664</v>
      </c>
      <c r="N215" s="15" t="n">
        <v>0</v>
      </c>
      <c r="O215" s="24" t="n">
        <v>0.839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MSU @ ND</t>
        </is>
      </c>
      <c r="C216" s="17" t="inlineStr">
        <is>
          <t>2026-09-19 23:30</t>
        </is>
      </c>
      <c r="D216" s="25" t="n">
        <v>3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-115</v>
      </c>
      <c r="I216" s="20" t="n">
        <v>0.4677288981284957</v>
      </c>
      <c r="J216" s="20" t="n">
        <v>0.5108342361863488</v>
      </c>
      <c r="K216" s="20" t="n">
        <v>0.5348837209302325</v>
      </c>
      <c r="L216" s="19" t="n">
        <v>-0.06749944145230924</v>
      </c>
      <c r="M216" s="19" t="n">
        <v>-0.1255503208902038</v>
      </c>
      <c r="N216" s="20" t="n">
        <v>0</v>
      </c>
      <c r="O216" s="27" t="n">
        <v>0.839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PUR @ UCLA</t>
        </is>
      </c>
      <c r="C217" s="12" t="inlineStr">
        <is>
          <t>2026-09-20 03:00</t>
        </is>
      </c>
      <c r="D217" s="22" t="n">
        <v>3</v>
      </c>
      <c r="E217" s="12" t="inlineStr">
        <is>
          <t>ML</t>
        </is>
      </c>
      <c r="F217" s="12" t="inlineStr">
        <is>
          <t>UCLA ML</t>
        </is>
      </c>
      <c r="G217" s="23" t="n"/>
      <c r="H217" s="13" t="n">
        <v>-800</v>
      </c>
      <c r="I217" s="15" t="n">
        <v>0.7754239381756992</v>
      </c>
      <c r="J217" s="15" t="n">
        <v>0.8524590163934427</v>
      </c>
      <c r="K217" s="15" t="n">
        <v>0.8888888888888888</v>
      </c>
      <c r="L217" s="14" t="n">
        <v>-0.07033279465614331</v>
      </c>
      <c r="M217" s="14" t="n">
        <v>-0.1276480695523384</v>
      </c>
      <c r="N217" s="15" t="n">
        <v>0</v>
      </c>
      <c r="O217" s="24" t="n">
        <v>0.75</v>
      </c>
      <c r="P217" s="12" t="inlineStr">
        <is>
          <t>Draft Kings</t>
        </is>
      </c>
      <c r="Q217" s="12" t="inlineStr">
        <is>
          <t>price outside allowed range</t>
        </is>
      </c>
    </row>
    <row r="218">
      <c r="A218" s="17" t="inlineStr">
        <is>
          <t>PASS</t>
        </is>
      </c>
      <c r="B218" s="17" t="inlineStr">
        <is>
          <t>OHIO @ USA</t>
        </is>
      </c>
      <c r="C218" s="17" t="inlineStr">
        <is>
          <t>2026-09-19 23:00</t>
        </is>
      </c>
      <c r="D218" s="25" t="n">
        <v>3</v>
      </c>
      <c r="E218" s="17" t="inlineStr">
        <is>
          <t>ML</t>
        </is>
      </c>
      <c r="F218" s="17" t="inlineStr">
        <is>
          <t>OHIO ML</t>
        </is>
      </c>
      <c r="G218" s="26" t="n"/>
      <c r="H218" s="18" t="n">
        <v>154</v>
      </c>
      <c r="I218" s="20" t="n">
        <v>0.3432693586120303</v>
      </c>
      <c r="J218" s="20" t="n">
        <v>0.3775334481388264</v>
      </c>
      <c r="K218" s="20" t="n">
        <v>0.3937007874015748</v>
      </c>
      <c r="L218" s="19" t="n">
        <v>-0.07050835533111226</v>
      </c>
      <c r="M218" s="19" t="n">
        <v>-0.1280958291254429</v>
      </c>
      <c r="N218" s="20" t="n">
        <v>0</v>
      </c>
      <c r="O218" s="27" t="n">
        <v>0.75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COLO @ NU</t>
        </is>
      </c>
      <c r="C219" s="12" t="inlineStr">
        <is>
          <t>2026-09-19 23:30</t>
        </is>
      </c>
      <c r="D219" s="22" t="n">
        <v>3</v>
      </c>
      <c r="E219" s="12" t="inlineStr">
        <is>
          <t>ML</t>
        </is>
      </c>
      <c r="F219" s="12" t="inlineStr">
        <is>
          <t>COLO ML</t>
        </is>
      </c>
      <c r="G219" s="23" t="n"/>
      <c r="H219" s="13" t="n">
        <v>136</v>
      </c>
      <c r="I219" s="15" t="n">
        <v>0.3687297499764071</v>
      </c>
      <c r="J219" s="15" t="n">
        <v>0.4066302458405761</v>
      </c>
      <c r="K219" s="15" t="n">
        <v>0.423728813559322</v>
      </c>
      <c r="L219" s="14" t="n">
        <v>-0.07158723347176013</v>
      </c>
      <c r="M219" s="14" t="n">
        <v>-0.1297977900556793</v>
      </c>
      <c r="N219" s="15" t="n">
        <v>0</v>
      </c>
      <c r="O219" s="24" t="n">
        <v>0.725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WYO @ CMU</t>
        </is>
      </c>
      <c r="C220" s="17" t="inlineStr">
        <is>
          <t>2026-09-19 17:00</t>
        </is>
      </c>
      <c r="D220" s="25" t="n">
        <v>3</v>
      </c>
      <c r="E220" s="17" t="inlineStr">
        <is>
          <t>ML</t>
        </is>
      </c>
      <c r="F220" s="17" t="inlineStr">
        <is>
          <t>WYO ML</t>
        </is>
      </c>
      <c r="G220" s="26" t="n"/>
      <c r="H220" s="18" t="n">
        <v>110</v>
      </c>
      <c r="I220" s="20" t="n">
        <v>0.4135128197176767</v>
      </c>
      <c r="J220" s="20" t="n">
        <v>0.4572564612326044</v>
      </c>
      <c r="K220" s="20" t="n">
        <v>0.4761904761904762</v>
      </c>
      <c r="L220" s="19" t="n">
        <v>-0.07262942592868142</v>
      </c>
      <c r="M220" s="19" t="n">
        <v>-0.1316230785928788</v>
      </c>
      <c r="N220" s="20" t="n">
        <v>0</v>
      </c>
      <c r="O220" s="27" t="n">
        <v>0.75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CLT @ APP</t>
        </is>
      </c>
      <c r="C221" s="12" t="inlineStr">
        <is>
          <t>2026-09-19 22:00</t>
        </is>
      </c>
      <c r="D221" s="22" t="n">
        <v>3</v>
      </c>
      <c r="E221" s="12" t="inlineStr">
        <is>
          <t>ML</t>
        </is>
      </c>
      <c r="F221" s="12" t="inlineStr">
        <is>
          <t>APP ML</t>
        </is>
      </c>
      <c r="G221" s="23" t="n"/>
      <c r="H221" s="13" t="n">
        <v>-1200</v>
      </c>
      <c r="I221" s="15" t="n">
        <v>0.800075683982423</v>
      </c>
      <c r="J221" s="15" t="n">
        <v>0.8869565217391304</v>
      </c>
      <c r="K221" s="15" t="n">
        <v>0.9230769230769231</v>
      </c>
      <c r="L221" s="14" t="n">
        <v>-0.07356292205094321</v>
      </c>
      <c r="M221" s="14" t="n">
        <v>-0.1332513423523751</v>
      </c>
      <c r="N221" s="15" t="n">
        <v>0</v>
      </c>
      <c r="O221" s="24" t="n">
        <v>0.75</v>
      </c>
      <c r="P221" s="12" t="inlineStr">
        <is>
          <t>Draft 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ASU @ KU</t>
        </is>
      </c>
      <c r="C222" s="17" t="inlineStr">
        <is>
          <t>2026-09-19 16:00</t>
        </is>
      </c>
      <c r="D222" s="25" t="n">
        <v>3</v>
      </c>
      <c r="E222" s="17" t="inlineStr">
        <is>
          <t>ML</t>
        </is>
      </c>
      <c r="F222" s="17" t="inlineStr">
        <is>
          <t>ASU ML</t>
        </is>
      </c>
      <c r="G222" s="26" t="n"/>
      <c r="H222" s="18" t="n">
        <v>-225</v>
      </c>
      <c r="I222" s="20" t="n">
        <v>0.5963562053711293</v>
      </c>
      <c r="J222" s="20" t="n">
        <v>0.6636481241914618</v>
      </c>
      <c r="K222" s="20" t="n">
        <v>0.6923076923076923</v>
      </c>
      <c r="L222" s="19" t="n">
        <v>-0.07490329167741676</v>
      </c>
      <c r="M222" s="19" t="n">
        <v>-0.1385965922417021</v>
      </c>
      <c r="N222" s="20" t="n">
        <v>0</v>
      </c>
      <c r="O222" s="27" t="n">
        <v>0.839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MIA @ WAKE</t>
        </is>
      </c>
      <c r="C223" s="12" t="inlineStr">
        <is>
          <t>2026-09-18 23:30</t>
        </is>
      </c>
      <c r="D223" s="22" t="n">
        <v>3</v>
      </c>
      <c r="E223" s="12" t="inlineStr">
        <is>
          <t>TOTAL</t>
        </is>
      </c>
      <c r="F223" s="12" t="inlineStr">
        <is>
          <t>Over 55.5</t>
        </is>
      </c>
      <c r="G223" s="23" t="n">
        <v>55.5</v>
      </c>
      <c r="H223" s="13" t="n">
        <v>-108</v>
      </c>
      <c r="I223" s="15" t="n">
        <v>0.4446035401402479</v>
      </c>
      <c r="J223" s="15" t="n">
        <v>0.4956702459300312</v>
      </c>
      <c r="K223" s="15" t="n">
        <v>0.5192307692307693</v>
      </c>
      <c r="L223" s="14" t="n">
        <v>-0.07551116788271293</v>
      </c>
      <c r="M223" s="14" t="n">
        <v>-0.1437265152854483</v>
      </c>
      <c r="N223" s="15" t="n">
        <v>0</v>
      </c>
      <c r="O223" s="24" t="n">
        <v>0.839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CONN @ USM</t>
        </is>
      </c>
      <c r="C224" s="17" t="inlineStr">
        <is>
          <t>2026-09-19 23:00</t>
        </is>
      </c>
      <c r="D224" s="25" t="n">
        <v>3</v>
      </c>
      <c r="E224" s="17" t="inlineStr">
        <is>
          <t>TOTAL</t>
        </is>
      </c>
      <c r="F224" s="17" t="inlineStr">
        <is>
          <t>Over 55.5</t>
        </is>
      </c>
      <c r="G224" s="26" t="n">
        <v>55.5</v>
      </c>
      <c r="H224" s="18" t="n">
        <v>-102</v>
      </c>
      <c r="I224" s="20" t="n">
        <v>0.4323383799791218</v>
      </c>
      <c r="J224" s="20" t="n">
        <v>0.4826358742837298</v>
      </c>
      <c r="K224" s="20" t="n">
        <v>0.504950495049505</v>
      </c>
      <c r="L224" s="19" t="n">
        <v>-0.07594448693471943</v>
      </c>
      <c r="M224" s="19" t="n">
        <v>-0.1438004631786018</v>
      </c>
      <c r="N224" s="20" t="n">
        <v>0</v>
      </c>
      <c r="O224" s="27" t="n">
        <v>0.8333333333333334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HOU @ TTU</t>
        </is>
      </c>
      <c r="C225" s="12" t="inlineStr">
        <is>
          <t>2026-09-19 00:00</t>
        </is>
      </c>
      <c r="D225" s="22" t="n">
        <v>3</v>
      </c>
      <c r="E225" s="12" t="inlineStr">
        <is>
          <t>ATS</t>
        </is>
      </c>
      <c r="F225" s="12" t="inlineStr">
        <is>
          <t>TTU -8.5</t>
        </is>
      </c>
      <c r="G225" s="23" t="n">
        <v>-8.5</v>
      </c>
      <c r="H225" s="13" t="n">
        <v>-110</v>
      </c>
      <c r="I225" s="15" t="n">
        <v>0.4475126836828564</v>
      </c>
      <c r="J225" s="15" t="n">
        <v>0.5</v>
      </c>
      <c r="K225" s="15" t="n">
        <v>0.5238095238095238</v>
      </c>
      <c r="L225" s="14" t="n">
        <v>-0.07621721519077435</v>
      </c>
      <c r="M225" s="14" t="n">
        <v>-0.1456576038781832</v>
      </c>
      <c r="N225" s="15" t="n">
        <v>0</v>
      </c>
      <c r="O225" s="24" t="n">
        <v>0.839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SMU @ LOU</t>
        </is>
      </c>
      <c r="C226" s="17" t="inlineStr">
        <is>
          <t>2026-09-19 19:30</t>
        </is>
      </c>
      <c r="D226" s="25" t="n">
        <v>3</v>
      </c>
      <c r="E226" s="17" t="inlineStr">
        <is>
          <t>ML</t>
        </is>
      </c>
      <c r="F226" s="17" t="inlineStr">
        <is>
          <t>SMU ML</t>
        </is>
      </c>
      <c r="G226" s="26" t="n"/>
      <c r="H226" s="18" t="n">
        <v>100</v>
      </c>
      <c r="I226" s="20" t="n">
        <v>0.4275801956498934</v>
      </c>
      <c r="J226" s="20" t="n">
        <v>0.4782608695652174</v>
      </c>
      <c r="K226" s="20" t="n">
        <v>0.5</v>
      </c>
      <c r="L226" s="19" t="n">
        <v>-0.07656846955843183</v>
      </c>
      <c r="M226" s="19" t="n">
        <v>-0.1448396087002133</v>
      </c>
      <c r="N226" s="20" t="n">
        <v>0</v>
      </c>
      <c r="O226" s="27" t="n">
        <v>0.839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ECU @ ODU</t>
        </is>
      </c>
      <c r="C227" s="12" t="inlineStr">
        <is>
          <t>2026-09-19 22:00</t>
        </is>
      </c>
      <c r="D227" s="22" t="n">
        <v>3</v>
      </c>
      <c r="E227" s="12" t="inlineStr">
        <is>
          <t>ATS</t>
        </is>
      </c>
      <c r="F227" s="12" t="inlineStr">
        <is>
          <t>ECU +2.5</t>
        </is>
      </c>
      <c r="G227" s="23" t="n">
        <v>-2.5</v>
      </c>
      <c r="H227" s="13" t="n">
        <v>-108</v>
      </c>
      <c r="I227" s="15" t="n">
        <v>0.4420371061532238</v>
      </c>
      <c r="J227" s="15" t="n">
        <v>0.4956702459300312</v>
      </c>
      <c r="K227" s="15" t="n">
        <v>0.5192307692307693</v>
      </c>
      <c r="L227" s="14" t="n">
        <v>-0.07733673888475923</v>
      </c>
      <c r="M227" s="14" t="n">
        <v>-0.1486692770382356</v>
      </c>
      <c r="N227" s="15" t="n">
        <v>0</v>
      </c>
      <c r="O227" s="24" t="n">
        <v>0.75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JMU @ SDSU</t>
        </is>
      </c>
      <c r="C228" s="17" t="inlineStr">
        <is>
          <t>2026-09-20 02:00</t>
        </is>
      </c>
      <c r="D228" s="25" t="n">
        <v>3</v>
      </c>
      <c r="E228" s="17" t="inlineStr">
        <is>
          <t>ATS</t>
        </is>
      </c>
      <c r="F228" s="17" t="inlineStr">
        <is>
          <t>JMU +1.5</t>
        </is>
      </c>
      <c r="G228" s="26" t="n">
        <v>-1.5</v>
      </c>
      <c r="H228" s="18" t="n">
        <v>-108</v>
      </c>
      <c r="I228" s="20" t="n">
        <v>0.4404893349146697</v>
      </c>
      <c r="J228" s="20" t="n">
        <v>0.4956702459300312</v>
      </c>
      <c r="K228" s="20" t="n">
        <v>0.5192307692307693</v>
      </c>
      <c r="L228" s="19" t="n">
        <v>-0.07836214314002092</v>
      </c>
      <c r="M228" s="19" t="n">
        <v>-0.1516501697939695</v>
      </c>
      <c r="N228" s="20" t="n">
        <v>0</v>
      </c>
      <c r="O228" s="27" t="n">
        <v>0.8333333333333334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M-OH @ CIN</t>
        </is>
      </c>
      <c r="C229" s="12" t="inlineStr">
        <is>
          <t>2026-09-19 19:30</t>
        </is>
      </c>
      <c r="D229" s="22" t="n">
        <v>3</v>
      </c>
      <c r="E229" s="12" t="inlineStr">
        <is>
          <t>ML</t>
        </is>
      </c>
      <c r="F229" s="12" t="inlineStr">
        <is>
          <t>CIN ML</t>
        </is>
      </c>
      <c r="G229" s="23" t="n"/>
      <c r="H229" s="13" t="n">
        <v>-750</v>
      </c>
      <c r="I229" s="15" t="n">
        <v>0.7510733339947757</v>
      </c>
      <c r="J229" s="15" t="n">
        <v>0.8465011286681716</v>
      </c>
      <c r="K229" s="15" t="n">
        <v>0.8823529411764706</v>
      </c>
      <c r="L229" s="14" t="n">
        <v>-0.07880610464164328</v>
      </c>
      <c r="M229" s="14" t="n">
        <v>-0.1487835548059209</v>
      </c>
      <c r="N229" s="15" t="n">
        <v>0</v>
      </c>
      <c r="O229" s="24" t="n">
        <v>0.8333333333333334</v>
      </c>
      <c r="P229" s="12" t="inlineStr">
        <is>
          <t>Draft Kings</t>
        </is>
      </c>
      <c r="Q229" s="12" t="inlineStr">
        <is>
          <t>price outside allowed range</t>
        </is>
      </c>
    </row>
    <row r="230">
      <c r="A230" s="17" t="inlineStr">
        <is>
          <t>PASS</t>
        </is>
      </c>
      <c r="B230" s="17" t="inlineStr">
        <is>
          <t>TEM @ TOL</t>
        </is>
      </c>
      <c r="C230" s="17" t="inlineStr">
        <is>
          <t>2026-09-19 19:00</t>
        </is>
      </c>
      <c r="D230" s="25" t="n">
        <v>3</v>
      </c>
      <c r="E230" s="17" t="inlineStr">
        <is>
          <t>ML</t>
        </is>
      </c>
      <c r="F230" s="17" t="inlineStr">
        <is>
          <t>TEM ML</t>
        </is>
      </c>
      <c r="G230" s="26" t="n"/>
      <c r="H230" s="18" t="n">
        <v>145</v>
      </c>
      <c r="I230" s="20" t="n">
        <v>0.3459338707984445</v>
      </c>
      <c r="J230" s="20" t="n">
        <v>0.3907637655417407</v>
      </c>
      <c r="K230" s="20" t="n">
        <v>0.4081632653061225</v>
      </c>
      <c r="L230" s="19" t="n">
        <v>-0.07941655631352793</v>
      </c>
      <c r="M230" s="19" t="n">
        <v>-0.1524620165438109</v>
      </c>
      <c r="N230" s="20" t="n">
        <v>0</v>
      </c>
      <c r="O230" s="27" t="n">
        <v>0.75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FSU @ ALA</t>
        </is>
      </c>
      <c r="C231" s="12" t="inlineStr">
        <is>
          <t>2026-09-19 19:30</t>
        </is>
      </c>
      <c r="D231" s="22" t="n">
        <v>3</v>
      </c>
      <c r="E231" s="12" t="inlineStr">
        <is>
          <t>ML</t>
        </is>
      </c>
      <c r="F231" s="12" t="inlineStr">
        <is>
          <t>ALA ML</t>
        </is>
      </c>
      <c r="G231" s="23" t="n"/>
      <c r="H231" s="13" t="n">
        <v>-1200</v>
      </c>
      <c r="I231" s="15" t="n">
        <v>0.7838160794969624</v>
      </c>
      <c r="J231" s="15" t="n">
        <v>0.8869565217391304</v>
      </c>
      <c r="K231" s="15" t="n">
        <v>0.9230769230769231</v>
      </c>
      <c r="L231" s="14" t="n">
        <v>-0.07988056081402049</v>
      </c>
      <c r="M231" s="14" t="n">
        <v>-0.1508659138782907</v>
      </c>
      <c r="N231" s="15" t="n">
        <v>0</v>
      </c>
      <c r="O231" s="24" t="n">
        <v>0.839</v>
      </c>
      <c r="P231" s="12" t="inlineStr">
        <is>
          <t>Draft 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NDSU @ SAC</t>
        </is>
      </c>
      <c r="C232" s="17" t="inlineStr">
        <is>
          <t>2026-09-20 02:30</t>
        </is>
      </c>
      <c r="D232" s="25" t="n">
        <v>3</v>
      </c>
      <c r="E232" s="17" t="inlineStr">
        <is>
          <t>TOTAL</t>
        </is>
      </c>
      <c r="F232" s="17" t="inlineStr">
        <is>
          <t>Over 53.5</t>
        </is>
      </c>
      <c r="G232" s="26" t="n">
        <v>53.5</v>
      </c>
      <c r="H232" s="18" t="n">
        <v>-112</v>
      </c>
      <c r="I232" s="20" t="n">
        <v>0.4450958372297472</v>
      </c>
      <c r="J232" s="20" t="n">
        <v>0.5043297540699688</v>
      </c>
      <c r="K232" s="20" t="n">
        <v>0.5283018867924528</v>
      </c>
      <c r="L232" s="19" t="n">
        <v>-0.08021836880279055</v>
      </c>
      <c r="M232" s="19" t="n">
        <v>-0.1574971652436928</v>
      </c>
      <c r="N232" s="20" t="n">
        <v>0</v>
      </c>
      <c r="O232" s="27" t="n">
        <v>0.75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BGSU @ ISU</t>
        </is>
      </c>
      <c r="C233" s="12" t="inlineStr">
        <is>
          <t>2026-09-19 16:00</t>
        </is>
      </c>
      <c r="D233" s="22" t="n">
        <v>3</v>
      </c>
      <c r="E233" s="12" t="inlineStr">
        <is>
          <t>ML</t>
        </is>
      </c>
      <c r="F233" s="12" t="inlineStr">
        <is>
          <t>ISU ML</t>
        </is>
      </c>
      <c r="G233" s="23" t="n"/>
      <c r="H233" s="13" t="n">
        <v>-2800</v>
      </c>
      <c r="I233" s="15" t="n">
        <v>0.8211614034826875</v>
      </c>
      <c r="J233" s="15" t="n">
        <v>0.9311163895486935</v>
      </c>
      <c r="K233" s="15" t="n">
        <v>0.9655172413793104</v>
      </c>
      <c r="L233" s="14" t="n">
        <v>-0.08040061072307866</v>
      </c>
      <c r="M233" s="14" t="n">
        <v>-0.1495114035357878</v>
      </c>
      <c r="N233" s="15" t="n">
        <v>0</v>
      </c>
      <c r="O233" s="24" t="n">
        <v>0.8333333333333334</v>
      </c>
      <c r="P233" s="12" t="inlineStr">
        <is>
          <t>Draft Kings</t>
        </is>
      </c>
      <c r="Q233" s="12" t="inlineStr">
        <is>
          <t>price outside allowed range</t>
        </is>
      </c>
    </row>
    <row r="234">
      <c r="A234" s="17" t="inlineStr">
        <is>
          <t>PASS</t>
        </is>
      </c>
      <c r="B234" s="17" t="inlineStr">
        <is>
          <t>M-OH @ CIN</t>
        </is>
      </c>
      <c r="C234" s="17" t="inlineStr">
        <is>
          <t>2026-09-19 19:30</t>
        </is>
      </c>
      <c r="D234" s="25" t="n">
        <v>3</v>
      </c>
      <c r="E234" s="17" t="inlineStr">
        <is>
          <t>TOTAL</t>
        </is>
      </c>
      <c r="F234" s="17" t="inlineStr">
        <is>
          <t>Under 49.5</t>
        </is>
      </c>
      <c r="G234" s="26" t="n">
        <v>49.5</v>
      </c>
      <c r="H234" s="18" t="n">
        <v>-108</v>
      </c>
      <c r="I234" s="20" t="n">
        <v>0.4369507681085374</v>
      </c>
      <c r="J234" s="20" t="n">
        <v>0.4956702459300312</v>
      </c>
      <c r="K234" s="20" t="n">
        <v>0.5192307692307693</v>
      </c>
      <c r="L234" s="19" t="n">
        <v>-0.08050676825504781</v>
      </c>
      <c r="M234" s="19" t="n">
        <v>-0.1584651873465205</v>
      </c>
      <c r="N234" s="20" t="n">
        <v>0</v>
      </c>
      <c r="O234" s="27" t="n">
        <v>0.8333333333333334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BALL @ LIB</t>
        </is>
      </c>
      <c r="C235" s="12" t="inlineStr">
        <is>
          <t>2026-09-19 20:00</t>
        </is>
      </c>
      <c r="D235" s="22" t="n">
        <v>3</v>
      </c>
      <c r="E235" s="12" t="inlineStr">
        <is>
          <t>TOTAL</t>
        </is>
      </c>
      <c r="F235" s="12" t="inlineStr">
        <is>
          <t>Over 53.5</t>
        </is>
      </c>
      <c r="G235" s="23" t="n">
        <v>53.5</v>
      </c>
      <c r="H235" s="13" t="n">
        <v>-115</v>
      </c>
      <c r="I235" s="15" t="n">
        <v>0.4483480782879372</v>
      </c>
      <c r="J235" s="15" t="n">
        <v>0.5108342361863488</v>
      </c>
      <c r="K235" s="15" t="n">
        <v>0.5348837209302325</v>
      </c>
      <c r="L235" s="14" t="n">
        <v>-0.08155712894150347</v>
      </c>
      <c r="M235" s="14" t="n">
        <v>-0.1617840275486392</v>
      </c>
      <c r="N235" s="15" t="n">
        <v>0</v>
      </c>
      <c r="O235" s="24" t="n">
        <v>0.8333333333333334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TULN @ KSU</t>
        </is>
      </c>
      <c r="C236" s="17" t="inlineStr">
        <is>
          <t>2026-09-19 16:00</t>
        </is>
      </c>
      <c r="D236" s="25" t="n">
        <v>3</v>
      </c>
      <c r="E236" s="17" t="inlineStr">
        <is>
          <t>ML</t>
        </is>
      </c>
      <c r="F236" s="17" t="inlineStr">
        <is>
          <t>KSU ML</t>
        </is>
      </c>
      <c r="G236" s="26" t="n"/>
      <c r="H236" s="18" t="n">
        <v>-1600</v>
      </c>
      <c r="I236" s="20" t="n">
        <v>0.7899714502753079</v>
      </c>
      <c r="J236" s="20" t="n">
        <v>0.9039548022598869</v>
      </c>
      <c r="K236" s="20" t="n">
        <v>0.9411764705882353</v>
      </c>
      <c r="L236" s="19" t="n">
        <v>-0.08251599247914419</v>
      </c>
      <c r="M236" s="19" t="n">
        <v>-0.1606553340824853</v>
      </c>
      <c r="N236" s="20" t="n">
        <v>0</v>
      </c>
      <c r="O236" s="27" t="n">
        <v>0.8333333333333334</v>
      </c>
      <c r="P236" s="17" t="inlineStr">
        <is>
          <t>Draft Kings</t>
        </is>
      </c>
      <c r="Q236" s="17" t="inlineStr">
        <is>
          <t>price outside allowed range</t>
        </is>
      </c>
    </row>
    <row r="237">
      <c r="A237" s="12" t="inlineStr">
        <is>
          <t>PASS</t>
        </is>
      </c>
      <c r="B237" s="12" t="inlineStr">
        <is>
          <t>TROY @ MIZ</t>
        </is>
      </c>
      <c r="C237" s="12" t="inlineStr">
        <is>
          <t>2026-09-19 23:00</t>
        </is>
      </c>
      <c r="D237" s="22" t="n">
        <v>3</v>
      </c>
      <c r="E237" s="12" t="inlineStr">
        <is>
          <t>ML</t>
        </is>
      </c>
      <c r="F237" s="12" t="inlineStr">
        <is>
          <t>MIZ ML</t>
        </is>
      </c>
      <c r="G237" s="23" t="n"/>
      <c r="H237" s="13" t="n">
        <v>-6500</v>
      </c>
      <c r="I237" s="15" t="n">
        <v>0.8317947492251805</v>
      </c>
      <c r="J237" s="15" t="n">
        <v>0.9538784067085954</v>
      </c>
      <c r="K237" s="15" t="n">
        <v>0.9848484848484849</v>
      </c>
      <c r="L237" s="14" t="n">
        <v>-0.08297274179583243</v>
      </c>
      <c r="M237" s="14" t="n">
        <v>-0.1554084084790476</v>
      </c>
      <c r="N237" s="15" t="n">
        <v>0</v>
      </c>
      <c r="O237" s="24" t="n">
        <v>0.75</v>
      </c>
      <c r="P237" s="12" t="inlineStr">
        <is>
          <t>Draft Kings</t>
        </is>
      </c>
      <c r="Q237" s="12" t="inlineStr">
        <is>
          <t>price outside allowed range</t>
        </is>
      </c>
    </row>
    <row r="238">
      <c r="A238" s="17" t="inlineStr">
        <is>
          <t>PASS</t>
        </is>
      </c>
      <c r="B238" s="17" t="inlineStr">
        <is>
          <t>BALL @ LIB</t>
        </is>
      </c>
      <c r="C238" s="17" t="inlineStr">
        <is>
          <t>2026-09-19 20:00</t>
        </is>
      </c>
      <c r="D238" s="25" t="n">
        <v>3</v>
      </c>
      <c r="E238" s="17" t="inlineStr">
        <is>
          <t>ML</t>
        </is>
      </c>
      <c r="F238" s="17" t="inlineStr">
        <is>
          <t>LIB ML</t>
        </is>
      </c>
      <c r="G238" s="26" t="n"/>
      <c r="H238" s="18" t="n">
        <v>-900</v>
      </c>
      <c r="I238" s="20" t="n">
        <v>0.7517949969119392</v>
      </c>
      <c r="J238" s="20" t="n">
        <v>0.863013698630137</v>
      </c>
      <c r="K238" s="20" t="n">
        <v>0.9</v>
      </c>
      <c r="L238" s="19" t="n">
        <v>-0.08318114432703</v>
      </c>
      <c r="M238" s="19" t="n">
        <v>-0.1646722256534009</v>
      </c>
      <c r="N238" s="20" t="n">
        <v>0</v>
      </c>
      <c r="O238" s="27" t="n">
        <v>0.8333333333333334</v>
      </c>
      <c r="P238" s="17" t="inlineStr">
        <is>
          <t>Draft Kings</t>
        </is>
      </c>
      <c r="Q238" s="17" t="inlineStr">
        <is>
          <t>price outside allowed range</t>
        </is>
      </c>
    </row>
    <row r="239">
      <c r="A239" s="12" t="inlineStr">
        <is>
          <t>PASS</t>
        </is>
      </c>
      <c r="B239" s="12" t="inlineStr">
        <is>
          <t>EMU @ WIS</t>
        </is>
      </c>
      <c r="C239" s="12" t="inlineStr">
        <is>
          <t>2026-09-19 16:30</t>
        </is>
      </c>
      <c r="D239" s="22" t="n">
        <v>3</v>
      </c>
      <c r="E239" s="12" t="inlineStr">
        <is>
          <t>TOTAL</t>
        </is>
      </c>
      <c r="F239" s="12" t="inlineStr">
        <is>
          <t>Under 45.5</t>
        </is>
      </c>
      <c r="G239" s="23" t="n">
        <v>45.5</v>
      </c>
      <c r="H239" s="13" t="n">
        <v>-108</v>
      </c>
      <c r="I239" s="15" t="n">
        <v>0.431272438741787</v>
      </c>
      <c r="J239" s="15" t="n">
        <v>0.4956702459300312</v>
      </c>
      <c r="K239" s="15" t="n">
        <v>0.5192307692307693</v>
      </c>
      <c r="L239" s="14" t="n">
        <v>-0.08342338155527183</v>
      </c>
      <c r="M239" s="14" t="n">
        <v>-0.1694012290898916</v>
      </c>
      <c r="N239" s="15" t="n">
        <v>0</v>
      </c>
      <c r="O239" s="24" t="n">
        <v>0.8333333333333334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KENN @ TENN</t>
        </is>
      </c>
      <c r="C240" s="17" t="inlineStr">
        <is>
          <t>2026-09-19 23:45</t>
        </is>
      </c>
      <c r="D240" s="25" t="n">
        <v>3</v>
      </c>
      <c r="E240" s="17" t="inlineStr">
        <is>
          <t>ML</t>
        </is>
      </c>
      <c r="F240" s="17" t="inlineStr">
        <is>
          <t>TENN ML</t>
        </is>
      </c>
      <c r="G240" s="26" t="n"/>
      <c r="H240" s="18" t="n">
        <v>-50000</v>
      </c>
      <c r="I240" s="20" t="n">
        <v>0.8476335373163418</v>
      </c>
      <c r="J240" s="20" t="n">
        <v>0.9761439931431837</v>
      </c>
      <c r="K240" s="20" t="n">
        <v>0.998003992015968</v>
      </c>
      <c r="L240" s="19" t="n">
        <v>-0.08381315239941911</v>
      </c>
      <c r="M240" s="19" t="n">
        <v>-0.1506711956090255</v>
      </c>
      <c r="N240" s="20" t="n">
        <v>0</v>
      </c>
      <c r="O240" s="27" t="n">
        <v>0.8333333333333334</v>
      </c>
      <c r="P240" s="17" t="inlineStr">
        <is>
          <t>Draft Kings</t>
        </is>
      </c>
      <c r="Q240" s="17" t="inlineStr">
        <is>
          <t>price outside allowed range</t>
        </is>
      </c>
    </row>
    <row r="241">
      <c r="A241" s="12" t="inlineStr">
        <is>
          <t>PASS</t>
        </is>
      </c>
      <c r="B241" s="12" t="inlineStr">
        <is>
          <t>COLO @ NU</t>
        </is>
      </c>
      <c r="C241" s="12" t="inlineStr">
        <is>
          <t>2026-09-19 23:30</t>
        </is>
      </c>
      <c r="D241" s="22" t="n">
        <v>3</v>
      </c>
      <c r="E241" s="12" t="inlineStr">
        <is>
          <t>TOTAL</t>
        </is>
      </c>
      <c r="F241" s="12" t="inlineStr">
        <is>
          <t>Under 47.5</t>
        </is>
      </c>
      <c r="G241" s="23" t="n">
        <v>47.5</v>
      </c>
      <c r="H241" s="13" t="n">
        <v>-110</v>
      </c>
      <c r="I241" s="15" t="n">
        <v>0.4315572491405784</v>
      </c>
      <c r="J241" s="15" t="n">
        <v>0.5</v>
      </c>
      <c r="K241" s="15" t="n">
        <v>0.5238095238095238</v>
      </c>
      <c r="L241" s="14" t="n">
        <v>-0.08491848211643827</v>
      </c>
      <c r="M241" s="14" t="n">
        <v>-0.1761179789134413</v>
      </c>
      <c r="N241" s="15" t="n">
        <v>0</v>
      </c>
      <c r="O241" s="24" t="n">
        <v>0.725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FIU @ FAU</t>
        </is>
      </c>
      <c r="C242" s="17" t="inlineStr">
        <is>
          <t>2026-09-19 22:00</t>
        </is>
      </c>
      <c r="D242" s="25" t="n">
        <v>3</v>
      </c>
      <c r="E242" s="17" t="inlineStr">
        <is>
          <t>ATS</t>
        </is>
      </c>
      <c r="F242" s="17" t="inlineStr">
        <is>
          <t>FAU -7.5</t>
        </is>
      </c>
      <c r="G242" s="26" t="n">
        <v>-7.5</v>
      </c>
      <c r="H242" s="18" t="n">
        <v>-105</v>
      </c>
      <c r="I242" s="20" t="n">
        <v>0.4221728793204922</v>
      </c>
      <c r="J242" s="20" t="n">
        <v>0.4891657638136511</v>
      </c>
      <c r="K242" s="20" t="n">
        <v>0.5121951219512195</v>
      </c>
      <c r="L242" s="19" t="n">
        <v>-0.08493210732956079</v>
      </c>
      <c r="M242" s="19" t="n">
        <v>-0.1757577118028486</v>
      </c>
      <c r="N242" s="20" t="n">
        <v>0</v>
      </c>
      <c r="O242" s="27" t="n">
        <v>0.8333333333333334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JMU @ SDSU</t>
        </is>
      </c>
      <c r="C243" s="12" t="inlineStr">
        <is>
          <t>2026-09-20 02:00</t>
        </is>
      </c>
      <c r="D243" s="22" t="n">
        <v>3</v>
      </c>
      <c r="E243" s="12" t="inlineStr">
        <is>
          <t>ML</t>
        </is>
      </c>
      <c r="F243" s="12" t="inlineStr">
        <is>
          <t>JMU ML</t>
        </is>
      </c>
      <c r="G243" s="23" t="n"/>
      <c r="H243" s="13" t="n">
        <v>-102</v>
      </c>
      <c r="I243" s="15" t="n">
        <v>0.4164421117507934</v>
      </c>
      <c r="J243" s="15" t="n">
        <v>0.4826358742837298</v>
      </c>
      <c r="K243" s="15" t="n">
        <v>0.504950495049505</v>
      </c>
      <c r="L243" s="14" t="n">
        <v>-0.08497161364851658</v>
      </c>
      <c r="M243" s="14" t="n">
        <v>-0.17528130810137</v>
      </c>
      <c r="N243" s="15" t="n">
        <v>0</v>
      </c>
      <c r="O243" s="24" t="n">
        <v>0.8333333333333334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LT @ BAY</t>
        </is>
      </c>
      <c r="C244" s="17" t="inlineStr">
        <is>
          <t>2026-09-19 20:00</t>
        </is>
      </c>
      <c r="D244" s="25" t="n">
        <v>3</v>
      </c>
      <c r="E244" s="17" t="inlineStr">
        <is>
          <t>ML</t>
        </is>
      </c>
      <c r="F244" s="17" t="inlineStr">
        <is>
          <t>BAY ML</t>
        </is>
      </c>
      <c r="G244" s="26" t="n"/>
      <c r="H244" s="18" t="n">
        <v>-1200</v>
      </c>
      <c r="I244" s="20" t="n">
        <v>0.7647141463477202</v>
      </c>
      <c r="J244" s="20" t="n">
        <v>0.8869565217391304</v>
      </c>
      <c r="K244" s="20" t="n">
        <v>0.9230769230769231</v>
      </c>
      <c r="L244" s="19" t="n">
        <v>-0.08510510669348836</v>
      </c>
      <c r="M244" s="19" t="n">
        <v>-0.1715596747899699</v>
      </c>
      <c r="N244" s="20" t="n">
        <v>0</v>
      </c>
      <c r="O244" s="27" t="n">
        <v>0.8333333333333334</v>
      </c>
      <c r="P244" s="17" t="inlineStr">
        <is>
          <t>Draft 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MSU @ ND</t>
        </is>
      </c>
      <c r="C245" s="12" t="inlineStr">
        <is>
          <t>2026-09-19 23:30</t>
        </is>
      </c>
      <c r="D245" s="22" t="n">
        <v>3</v>
      </c>
      <c r="E245" s="12" t="inlineStr">
        <is>
          <t>ML</t>
        </is>
      </c>
      <c r="F245" s="12" t="inlineStr">
        <is>
          <t>ND ML</t>
        </is>
      </c>
      <c r="G245" s="23" t="n"/>
      <c r="H245" s="13" t="n">
        <v>-8000</v>
      </c>
      <c r="I245" s="15" t="n">
        <v>0.8233881855075396</v>
      </c>
      <c r="J245" s="15" t="n">
        <v>0.9578344612181156</v>
      </c>
      <c r="K245" s="15" t="n">
        <v>0.9876543209876543</v>
      </c>
      <c r="L245" s="14" t="n">
        <v>-0.08559530086920913</v>
      </c>
      <c r="M245" s="14" t="n">
        <v>-0.1663194621736163</v>
      </c>
      <c r="N245" s="15" t="n">
        <v>0</v>
      </c>
      <c r="O245" s="24" t="n">
        <v>0.839</v>
      </c>
      <c r="P245" s="12" t="inlineStr">
        <is>
          <t>Draft Kings</t>
        </is>
      </c>
      <c r="Q245" s="12" t="inlineStr">
        <is>
          <t>price outside allowed range</t>
        </is>
      </c>
    </row>
    <row r="246">
      <c r="A246" s="17" t="inlineStr">
        <is>
          <t>PASS</t>
        </is>
      </c>
      <c r="B246" s="17" t="inlineStr">
        <is>
          <t>ECU @ ODU</t>
        </is>
      </c>
      <c r="C246" s="17" t="inlineStr">
        <is>
          <t>2026-09-19 22:00</t>
        </is>
      </c>
      <c r="D246" s="25" t="n">
        <v>3</v>
      </c>
      <c r="E246" s="17" t="inlineStr">
        <is>
          <t>ML</t>
        </is>
      </c>
      <c r="F246" s="17" t="inlineStr">
        <is>
          <t>ECU ML</t>
        </is>
      </c>
      <c r="G246" s="26" t="n"/>
      <c r="H246" s="18" t="n">
        <v>110</v>
      </c>
      <c r="I246" s="20" t="n">
        <v>0.3925974235728731</v>
      </c>
      <c r="J246" s="20" t="n">
        <v>0.4572564612326044</v>
      </c>
      <c r="K246" s="20" t="n">
        <v>0.4761904761904762</v>
      </c>
      <c r="L246" s="19" t="n">
        <v>-0.08578941060871104</v>
      </c>
      <c r="M246" s="19" t="n">
        <v>-0.1755454104969665</v>
      </c>
      <c r="N246" s="20" t="n">
        <v>0</v>
      </c>
      <c r="O246" s="27" t="n">
        <v>0.75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WVU @ UVA</t>
        </is>
      </c>
      <c r="C247" s="12" t="inlineStr">
        <is>
          <t>2026-09-19 23:30</t>
        </is>
      </c>
      <c r="D247" s="22" t="n">
        <v>3</v>
      </c>
      <c r="E247" s="12" t="inlineStr">
        <is>
          <t>ML</t>
        </is>
      </c>
      <c r="F247" s="12" t="inlineStr">
        <is>
          <t>UVA ML</t>
        </is>
      </c>
      <c r="G247" s="23" t="n"/>
      <c r="H247" s="13" t="n">
        <v>-360</v>
      </c>
      <c r="I247" s="15" t="n">
        <v>0.6443876341269863</v>
      </c>
      <c r="J247" s="15" t="n">
        <v>0.7508125677139762</v>
      </c>
      <c r="K247" s="15" t="n">
        <v>0.7826086956521739</v>
      </c>
      <c r="L247" s="14" t="n">
        <v>-0.08585191061724715</v>
      </c>
      <c r="M247" s="14" t="n">
        <v>-0.1766158008377398</v>
      </c>
      <c r="N247" s="15" t="n">
        <v>0</v>
      </c>
      <c r="O247" s="24" t="n">
        <v>0.839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USU @ UTAH</t>
        </is>
      </c>
      <c r="C248" s="17" t="inlineStr">
        <is>
          <t>2026-09-19 19:30</t>
        </is>
      </c>
      <c r="D248" s="25" t="n">
        <v>3</v>
      </c>
      <c r="E248" s="17" t="inlineStr">
        <is>
          <t>ML</t>
        </is>
      </c>
      <c r="F248" s="17" t="inlineStr">
        <is>
          <t>UTAH ML</t>
        </is>
      </c>
      <c r="G248" s="26" t="n"/>
      <c r="H248" s="18" t="n">
        <v>-6500</v>
      </c>
      <c r="I248" s="20" t="n">
        <v>0.8162369969013338</v>
      </c>
      <c r="J248" s="20" t="n">
        <v>0.9538784067085954</v>
      </c>
      <c r="K248" s="20" t="n">
        <v>0.9848484848484849</v>
      </c>
      <c r="L248" s="19" t="n">
        <v>-0.08630824014848124</v>
      </c>
      <c r="M248" s="19" t="n">
        <v>-0.1712055108386458</v>
      </c>
      <c r="N248" s="20" t="n">
        <v>0</v>
      </c>
      <c r="O248" s="27" t="n">
        <v>0.8333333333333334</v>
      </c>
      <c r="P248" s="17" t="inlineStr">
        <is>
          <t>Draft Kings</t>
        </is>
      </c>
      <c r="Q248" s="17" t="inlineStr">
        <is>
          <t>price outside allowed range</t>
        </is>
      </c>
    </row>
    <row r="249">
      <c r="A249" s="12" t="inlineStr">
        <is>
          <t>PASS</t>
        </is>
      </c>
      <c r="B249" s="12" t="inlineStr">
        <is>
          <t>BGSU @ ISU</t>
        </is>
      </c>
      <c r="C249" s="12" t="inlineStr">
        <is>
          <t>2026-09-19 16:00</t>
        </is>
      </c>
      <c r="D249" s="22" t="n">
        <v>3</v>
      </c>
      <c r="E249" s="12" t="inlineStr">
        <is>
          <t>TOTAL</t>
        </is>
      </c>
      <c r="F249" s="12" t="inlineStr">
        <is>
          <t>Under 45.5</t>
        </is>
      </c>
      <c r="G249" s="23" t="n">
        <v>45.5</v>
      </c>
      <c r="H249" s="13" t="n">
        <v>-110</v>
      </c>
      <c r="I249" s="15" t="n">
        <v>0.4278167746114656</v>
      </c>
      <c r="J249" s="15" t="n">
        <v>0.5</v>
      </c>
      <c r="K249" s="15" t="n">
        <v>0.5238095238095238</v>
      </c>
      <c r="L249" s="14" t="n">
        <v>-0.08632042909943784</v>
      </c>
      <c r="M249" s="14" t="n">
        <v>-0.1832588848326565</v>
      </c>
      <c r="N249" s="15" t="n">
        <v>0</v>
      </c>
      <c r="O249" s="24" t="n">
        <v>0.8333333333333334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EMU @ WIS</t>
        </is>
      </c>
      <c r="C250" s="17" t="inlineStr">
        <is>
          <t>2026-09-19 16:30</t>
        </is>
      </c>
      <c r="D250" s="25" t="n">
        <v>3</v>
      </c>
      <c r="E250" s="17" t="inlineStr">
        <is>
          <t>ML</t>
        </is>
      </c>
      <c r="F250" s="17" t="inlineStr">
        <is>
          <t>WIS ML</t>
        </is>
      </c>
      <c r="G250" s="26" t="n"/>
      <c r="H250" s="18" t="n">
        <v>-3200</v>
      </c>
      <c r="I250" s="20" t="n">
        <v>0.8005751101164051</v>
      </c>
      <c r="J250" s="20" t="n">
        <v>0.9356725146198831</v>
      </c>
      <c r="K250" s="20" t="n">
        <v>0.9696969696969697</v>
      </c>
      <c r="L250" s="19" t="n">
        <v>-0.08632372434399714</v>
      </c>
      <c r="M250" s="19" t="n">
        <v>-0.1744069176924572</v>
      </c>
      <c r="N250" s="20" t="n">
        <v>0</v>
      </c>
      <c r="O250" s="27" t="n">
        <v>0.8333333333333334</v>
      </c>
      <c r="P250" s="17" t="inlineStr">
        <is>
          <t>Draft Kings</t>
        </is>
      </c>
      <c r="Q250" s="17" t="inlineStr">
        <is>
          <t>price outside allowed range</t>
        </is>
      </c>
    </row>
    <row r="251">
      <c r="A251" s="12" t="inlineStr">
        <is>
          <t>PASS</t>
        </is>
      </c>
      <c r="B251" s="12" t="inlineStr">
        <is>
          <t>UNC @ CLEM</t>
        </is>
      </c>
      <c r="C251" s="12" t="inlineStr">
        <is>
          <t>2026-09-19 16:00</t>
        </is>
      </c>
      <c r="D251" s="22" t="n">
        <v>3</v>
      </c>
      <c r="E251" s="12" t="inlineStr">
        <is>
          <t>TOTAL</t>
        </is>
      </c>
      <c r="F251" s="12" t="inlineStr">
        <is>
          <t>Under 44.5</t>
        </is>
      </c>
      <c r="G251" s="23" t="n">
        <v>44.5</v>
      </c>
      <c r="H251" s="13" t="n">
        <v>-112</v>
      </c>
      <c r="I251" s="15" t="n">
        <v>0.4299815804168907</v>
      </c>
      <c r="J251" s="15" t="n">
        <v>0.5043297540699688</v>
      </c>
      <c r="K251" s="15" t="n">
        <v>0.5283018867924528</v>
      </c>
      <c r="L251" s="14" t="n">
        <v>-0.08683758636894096</v>
      </c>
      <c r="M251" s="14" t="n">
        <v>-0.1861062942108854</v>
      </c>
      <c r="N251" s="15" t="n">
        <v>0</v>
      </c>
      <c r="O251" s="24" t="n">
        <v>0.839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ARST @ TCU</t>
        </is>
      </c>
      <c r="C252" s="17" t="inlineStr">
        <is>
          <t>2026-09-20 00:00</t>
        </is>
      </c>
      <c r="D252" s="25" t="n">
        <v>3</v>
      </c>
      <c r="E252" s="17" t="inlineStr">
        <is>
          <t>ML</t>
        </is>
      </c>
      <c r="F252" s="17" t="inlineStr">
        <is>
          <t>TCU ML</t>
        </is>
      </c>
      <c r="G252" s="26" t="n"/>
      <c r="H252" s="18" t="n">
        <v>-1450</v>
      </c>
      <c r="I252" s="20" t="n">
        <v>0.764407706093269</v>
      </c>
      <c r="J252" s="20" t="n">
        <v>0.8988580750407831</v>
      </c>
      <c r="K252" s="20" t="n">
        <v>0.9354838709677419</v>
      </c>
      <c r="L252" s="19" t="n">
        <v>-0.08718541730980098</v>
      </c>
      <c r="M252" s="19" t="n">
        <v>-0.1828745210727125</v>
      </c>
      <c r="N252" s="20" t="n">
        <v>0</v>
      </c>
      <c r="O252" s="27" t="n">
        <v>0.8333333333333334</v>
      </c>
      <c r="P252" s="17" t="inlineStr">
        <is>
          <t>Draft Kings</t>
        </is>
      </c>
      <c r="Q252" s="17" t="inlineStr">
        <is>
          <t>price outside allowed range</t>
        </is>
      </c>
    </row>
    <row r="253">
      <c r="A253" s="12" t="inlineStr">
        <is>
          <t>PASS</t>
        </is>
      </c>
      <c r="B253" s="12" t="inlineStr">
        <is>
          <t>UNM @ OU</t>
        </is>
      </c>
      <c r="C253" s="12" t="inlineStr">
        <is>
          <t>2026-09-19 23:30</t>
        </is>
      </c>
      <c r="D253" s="22" t="n">
        <v>3</v>
      </c>
      <c r="E253" s="12" t="inlineStr">
        <is>
          <t>ML</t>
        </is>
      </c>
      <c r="F253" s="12" t="inlineStr">
        <is>
          <t>OU ML</t>
        </is>
      </c>
      <c r="G253" s="23" t="n"/>
      <c r="H253" s="13" t="n">
        <v>-2400</v>
      </c>
      <c r="I253" s="15" t="n">
        <v>0.7830606349777578</v>
      </c>
      <c r="J253" s="15" t="n">
        <v>0.9258160237388724</v>
      </c>
      <c r="K253" s="15" t="n">
        <v>0.96</v>
      </c>
      <c r="L253" s="14" t="n">
        <v>-0.08788184714233621</v>
      </c>
      <c r="M253" s="14" t="n">
        <v>-0.1843118385648356</v>
      </c>
      <c r="N253" s="15" t="n">
        <v>0</v>
      </c>
      <c r="O253" s="24" t="n">
        <v>0.8333333333333334</v>
      </c>
      <c r="P253" s="12" t="inlineStr">
        <is>
          <t>Draft Kings</t>
        </is>
      </c>
      <c r="Q253" s="12" t="inlineStr">
        <is>
          <t>price outside allowed range</t>
        </is>
      </c>
    </row>
    <row r="254">
      <c r="A254" s="17" t="inlineStr">
        <is>
          <t>PASS</t>
        </is>
      </c>
      <c r="B254" s="17" t="inlineStr">
        <is>
          <t>FLA @ AUB</t>
        </is>
      </c>
      <c r="C254" s="17" t="inlineStr">
        <is>
          <t>2026-09-19 23:00</t>
        </is>
      </c>
      <c r="D254" s="25" t="n">
        <v>3</v>
      </c>
      <c r="E254" s="17" t="inlineStr">
        <is>
          <t>ML</t>
        </is>
      </c>
      <c r="F254" s="17" t="inlineStr">
        <is>
          <t>FLA ML</t>
        </is>
      </c>
      <c r="G254" s="26" t="n"/>
      <c r="H254" s="18" t="n">
        <v>-135</v>
      </c>
      <c r="I254" s="20" t="n">
        <v>0.4640328227352146</v>
      </c>
      <c r="J254" s="20" t="n">
        <v>0.551441114716549</v>
      </c>
      <c r="K254" s="20" t="n">
        <v>0.574468085106383</v>
      </c>
      <c r="L254" s="19" t="n">
        <v>-0.08847872134828914</v>
      </c>
      <c r="M254" s="19" t="n">
        <v>-0.1922391604238857</v>
      </c>
      <c r="N254" s="20" t="n">
        <v>0</v>
      </c>
      <c r="O254" s="27" t="n">
        <v>0.839</v>
      </c>
      <c r="P254" s="17" t="inlineStr">
        <is>
          <t>Draft Kings</t>
        </is>
      </c>
      <c r="Q254" s="17" t="n"/>
    </row>
    <row r="255">
      <c r="A255" s="12" t="inlineStr">
        <is>
          <t>PASS</t>
        </is>
      </c>
      <c r="B255" s="12" t="inlineStr">
        <is>
          <t>GAST @ UCF</t>
        </is>
      </c>
      <c r="C255" s="12" t="inlineStr">
        <is>
          <t>2026-09-19 23:00</t>
        </is>
      </c>
      <c r="D255" s="22" t="n">
        <v>3</v>
      </c>
      <c r="E255" s="12" t="inlineStr">
        <is>
          <t>ML</t>
        </is>
      </c>
      <c r="F255" s="12" t="inlineStr">
        <is>
          <t>UCF ML</t>
        </is>
      </c>
      <c r="G255" s="23" t="n"/>
      <c r="H255" s="13" t="n">
        <v>-1800</v>
      </c>
      <c r="I255" s="15" t="n">
        <v>0.7668081513016122</v>
      </c>
      <c r="J255" s="15" t="n">
        <v>0.912442396313364</v>
      </c>
      <c r="K255" s="15" t="n">
        <v>0.9473684210526315</v>
      </c>
      <c r="L255" s="14" t="n">
        <v>-0.088623047615875</v>
      </c>
      <c r="M255" s="14" t="n">
        <v>-0.1905913958482982</v>
      </c>
      <c r="N255" s="15" t="n">
        <v>0</v>
      </c>
      <c r="O255" s="24" t="n">
        <v>0.8333333333333334</v>
      </c>
      <c r="P255" s="12" t="inlineStr">
        <is>
          <t>Draft Kings</t>
        </is>
      </c>
      <c r="Q255" s="12" t="inlineStr">
        <is>
          <t>price outside allowed range</t>
        </is>
      </c>
    </row>
    <row r="256">
      <c r="A256" s="17" t="inlineStr">
        <is>
          <t>PASS</t>
        </is>
      </c>
      <c r="B256" s="17" t="inlineStr">
        <is>
          <t>UK @ TA&amp;M</t>
        </is>
      </c>
      <c r="C256" s="17" t="inlineStr">
        <is>
          <t>2026-09-19 19:30</t>
        </is>
      </c>
      <c r="D256" s="25" t="n">
        <v>3</v>
      </c>
      <c r="E256" s="17" t="inlineStr">
        <is>
          <t>TOTAL</t>
        </is>
      </c>
      <c r="F256" s="17" t="inlineStr">
        <is>
          <t>Under 48.5</t>
        </is>
      </c>
      <c r="G256" s="26" t="n">
        <v>48.5</v>
      </c>
      <c r="H256" s="18" t="n">
        <v>-118</v>
      </c>
      <c r="I256" s="20" t="n">
        <v>0.432786114539162</v>
      </c>
      <c r="J256" s="20" t="n">
        <v>0.5173641257162701</v>
      </c>
      <c r="K256" s="20" t="n">
        <v>0.5412844036697247</v>
      </c>
      <c r="L256" s="19" t="n">
        <v>-0.08910645633002194</v>
      </c>
      <c r="M256" s="19" t="n">
        <v>-0.200445991783582</v>
      </c>
      <c r="N256" s="20" t="n">
        <v>0</v>
      </c>
      <c r="O256" s="27" t="n">
        <v>0.839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WVU @ UVA</t>
        </is>
      </c>
      <c r="C257" s="12" t="inlineStr">
        <is>
          <t>2026-09-19 23:30</t>
        </is>
      </c>
      <c r="D257" s="22" t="n">
        <v>3</v>
      </c>
      <c r="E257" s="12" t="inlineStr">
        <is>
          <t>TOTAL</t>
        </is>
      </c>
      <c r="F257" s="12" t="inlineStr">
        <is>
          <t>Over 54.5</t>
        </is>
      </c>
      <c r="G257" s="23" t="n">
        <v>54.5</v>
      </c>
      <c r="H257" s="13" t="n">
        <v>-110</v>
      </c>
      <c r="I257" s="15" t="n">
        <v>0.4167663336406306</v>
      </c>
      <c r="J257" s="15" t="n">
        <v>0.5</v>
      </c>
      <c r="K257" s="15" t="n">
        <v>0.5238095238095238</v>
      </c>
      <c r="L257" s="14" t="n">
        <v>-0.08945535805147735</v>
      </c>
      <c r="M257" s="14" t="n">
        <v>-0.2043551812315233</v>
      </c>
      <c r="N257" s="15" t="n">
        <v>0</v>
      </c>
      <c r="O257" s="24" t="n">
        <v>0.839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GASO @ JVST</t>
        </is>
      </c>
      <c r="C258" s="17" t="inlineStr">
        <is>
          <t>2026-09-19 23:00</t>
        </is>
      </c>
      <c r="D258" s="25" t="n">
        <v>3</v>
      </c>
      <c r="E258" s="17" t="inlineStr">
        <is>
          <t>TOTAL</t>
        </is>
      </c>
      <c r="F258" s="17" t="inlineStr">
        <is>
          <t>Over 53.5</t>
        </is>
      </c>
      <c r="G258" s="26" t="n">
        <v>53.5</v>
      </c>
      <c r="H258" s="18" t="n">
        <v>-112</v>
      </c>
      <c r="I258" s="20" t="n">
        <v>0.4189312331052014</v>
      </c>
      <c r="J258" s="20" t="n">
        <v>0.5043297540699688</v>
      </c>
      <c r="K258" s="20" t="n">
        <v>0.5283018867924528</v>
      </c>
      <c r="L258" s="19" t="n">
        <v>-0.08977079721558218</v>
      </c>
      <c r="M258" s="19" t="n">
        <v>-0.2070230230508687</v>
      </c>
      <c r="N258" s="20" t="n">
        <v>0</v>
      </c>
      <c r="O258" s="27" t="n">
        <v>0.75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USC @ RUTG</t>
        </is>
      </c>
      <c r="C259" s="12" t="inlineStr">
        <is>
          <t>2026-09-19 19:30</t>
        </is>
      </c>
      <c r="D259" s="22" t="n">
        <v>3</v>
      </c>
      <c r="E259" s="12" t="inlineStr">
        <is>
          <t>TOTAL</t>
        </is>
      </c>
      <c r="F259" s="12" t="inlineStr">
        <is>
          <t>Over 57.5</t>
        </is>
      </c>
      <c r="G259" s="23" t="n">
        <v>57.5</v>
      </c>
      <c r="H259" s="13" t="n">
        <v>-112</v>
      </c>
      <c r="I259" s="15" t="n">
        <v>0.4189311843547009</v>
      </c>
      <c r="J259" s="15" t="n">
        <v>0.5043297540699688</v>
      </c>
      <c r="K259" s="15" t="n">
        <v>0.5283018867924528</v>
      </c>
      <c r="L259" s="14" t="n">
        <v>-0.08977080756427928</v>
      </c>
      <c r="M259" s="14" t="n">
        <v>-0.207023115328602</v>
      </c>
      <c r="N259" s="15" t="n">
        <v>0</v>
      </c>
      <c r="O259" s="24" t="n">
        <v>0.75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ASU @ KU</t>
        </is>
      </c>
      <c r="C260" s="17" t="inlineStr">
        <is>
          <t>2026-09-19 16:00</t>
        </is>
      </c>
      <c r="D260" s="25" t="n">
        <v>3</v>
      </c>
      <c r="E260" s="17" t="inlineStr">
        <is>
          <t>ATS</t>
        </is>
      </c>
      <c r="F260" s="17" t="inlineStr">
        <is>
          <t>ASU -6</t>
        </is>
      </c>
      <c r="G260" s="26" t="n">
        <v>6</v>
      </c>
      <c r="H260" s="18" t="n">
        <v>-112</v>
      </c>
      <c r="I260" s="20" t="n">
        <v>0.4188414273124755</v>
      </c>
      <c r="J260" s="20" t="n">
        <v>0.5043297540699688</v>
      </c>
      <c r="K260" s="20" t="n">
        <v>0.5283018867924528</v>
      </c>
      <c r="L260" s="19" t="n">
        <v>-0.08978982736937557</v>
      </c>
      <c r="M260" s="19" t="n">
        <v>-0.2017023977535417</v>
      </c>
      <c r="N260" s="20" t="n">
        <v>0.0265</v>
      </c>
      <c r="O260" s="27" t="n">
        <v>0.839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UAB @ UL</t>
        </is>
      </c>
      <c r="C261" s="12" t="inlineStr">
        <is>
          <t>2026-09-20 00:00</t>
        </is>
      </c>
      <c r="D261" s="22" t="n">
        <v>3</v>
      </c>
      <c r="E261" s="12" t="inlineStr">
        <is>
          <t>TOTAL</t>
        </is>
      </c>
      <c r="F261" s="12" t="inlineStr">
        <is>
          <t>Over 57.5</t>
        </is>
      </c>
      <c r="G261" s="23" t="n">
        <v>57.5</v>
      </c>
      <c r="H261" s="13" t="n">
        <v>-115</v>
      </c>
      <c r="I261" s="15" t="n">
        <v>0.4240065008808938</v>
      </c>
      <c r="J261" s="15" t="n">
        <v>0.5108342361863488</v>
      </c>
      <c r="K261" s="15" t="n">
        <v>0.5348837209302325</v>
      </c>
      <c r="L261" s="14" t="n">
        <v>-0.08983906066806521</v>
      </c>
      <c r="M261" s="14" t="n">
        <v>-0.2072921940052856</v>
      </c>
      <c r="N261" s="15" t="n">
        <v>0</v>
      </c>
      <c r="O261" s="24" t="n">
        <v>0.8333333333333334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STAN @ DUKE</t>
        </is>
      </c>
      <c r="C262" s="17" t="inlineStr">
        <is>
          <t>2026-09-19 20:00</t>
        </is>
      </c>
      <c r="D262" s="25" t="n">
        <v>3</v>
      </c>
      <c r="E262" s="17" t="inlineStr">
        <is>
          <t>ATS</t>
        </is>
      </c>
      <c r="F262" s="17" t="inlineStr">
        <is>
          <t>DUKE -10</t>
        </is>
      </c>
      <c r="G262" s="26" t="n">
        <v>-10</v>
      </c>
      <c r="H262" s="18" t="n">
        <v>-108</v>
      </c>
      <c r="I262" s="20" t="n">
        <v>0.4112254101523128</v>
      </c>
      <c r="J262" s="20" t="n">
        <v>0.4956702459300312</v>
      </c>
      <c r="K262" s="20" t="n">
        <v>0.5192307692307693</v>
      </c>
      <c r="L262" s="19" t="n">
        <v>-0.08988038839337632</v>
      </c>
      <c r="M262" s="19" t="n">
        <v>-0.2000227248545137</v>
      </c>
      <c r="N262" s="20" t="n">
        <v>0.0384</v>
      </c>
      <c r="O262" s="27" t="n">
        <v>0.8333333333333334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UAB @ UL</t>
        </is>
      </c>
      <c r="C263" s="12" t="inlineStr">
        <is>
          <t>2026-09-20 00:00</t>
        </is>
      </c>
      <c r="D263" s="22" t="n">
        <v>3</v>
      </c>
      <c r="E263" s="12" t="inlineStr">
        <is>
          <t>ATS</t>
        </is>
      </c>
      <c r="F263" s="12" t="inlineStr">
        <is>
          <t>UL -10</t>
        </is>
      </c>
      <c r="G263" s="23" t="n">
        <v>-10</v>
      </c>
      <c r="H263" s="13" t="n">
        <v>-112</v>
      </c>
      <c r="I263" s="15" t="n">
        <v>0.4170729882213521</v>
      </c>
      <c r="J263" s="15" t="n">
        <v>0.5043297540699688</v>
      </c>
      <c r="K263" s="15" t="n">
        <v>0.5283018867924528</v>
      </c>
      <c r="L263" s="14" t="n">
        <v>-0.09015113347651746</v>
      </c>
      <c r="M263" s="14" t="n">
        <v>-0.2024346091690717</v>
      </c>
      <c r="N263" s="15" t="n">
        <v>0.0385</v>
      </c>
      <c r="O263" s="24" t="n">
        <v>0.8333333333333334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UTSA @ TEX</t>
        </is>
      </c>
      <c r="C264" s="17" t="inlineStr">
        <is>
          <t>2026-09-20 00:00</t>
        </is>
      </c>
      <c r="D264" s="25" t="n">
        <v>3</v>
      </c>
      <c r="E264" s="17" t="inlineStr">
        <is>
          <t>TOTAL</t>
        </is>
      </c>
      <c r="F264" s="17" t="inlineStr">
        <is>
          <t>Over 57.5</t>
        </is>
      </c>
      <c r="G264" s="26" t="n">
        <v>57.5</v>
      </c>
      <c r="H264" s="18" t="n">
        <v>-110</v>
      </c>
      <c r="I264" s="20" t="n">
        <v>0.4131437902160209</v>
      </c>
      <c r="J264" s="20" t="n">
        <v>0.5</v>
      </c>
      <c r="K264" s="20" t="n">
        <v>0.5238095238095238</v>
      </c>
      <c r="L264" s="19" t="n">
        <v>-0.09021999910818522</v>
      </c>
      <c r="M264" s="19" t="n">
        <v>-0.2112709459512327</v>
      </c>
      <c r="N264" s="20" t="n">
        <v>0</v>
      </c>
      <c r="O264" s="27" t="n">
        <v>0.839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LSU @ MISS</t>
        </is>
      </c>
      <c r="C265" s="12" t="inlineStr">
        <is>
          <t>2026-09-19 23:30</t>
        </is>
      </c>
      <c r="D265" s="22" t="n">
        <v>3</v>
      </c>
      <c r="E265" s="12" t="inlineStr">
        <is>
          <t>ML</t>
        </is>
      </c>
      <c r="F265" s="12" t="inlineStr">
        <is>
          <t>LSU ML</t>
        </is>
      </c>
      <c r="G265" s="23" t="n"/>
      <c r="H265" s="13" t="n">
        <v>-142</v>
      </c>
      <c r="I265" s="15" t="n">
        <v>0.4645832312428543</v>
      </c>
      <c r="J265" s="15" t="n">
        <v>0.5634920634920635</v>
      </c>
      <c r="K265" s="15" t="n">
        <v>0.5867768595041323</v>
      </c>
      <c r="L265" s="14" t="n">
        <v>-0.09039494461343658</v>
      </c>
      <c r="M265" s="14" t="n">
        <v>-0.2082454791495019</v>
      </c>
      <c r="N265" s="15" t="n">
        <v>0</v>
      </c>
      <c r="O265" s="24" t="n">
        <v>0.839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WMU @ RICE</t>
        </is>
      </c>
      <c r="C266" s="17" t="inlineStr">
        <is>
          <t>2026-09-19 23:00</t>
        </is>
      </c>
      <c r="D266" s="25" t="n">
        <v>3</v>
      </c>
      <c r="E266" s="17" t="inlineStr">
        <is>
          <t>TOTAL</t>
        </is>
      </c>
      <c r="F266" s="17" t="inlineStr">
        <is>
          <t>Under 44.5</t>
        </is>
      </c>
      <c r="G266" s="26" t="n">
        <v>44.5</v>
      </c>
      <c r="H266" s="18" t="n">
        <v>-108</v>
      </c>
      <c r="I266" s="20" t="n">
        <v>0.4073887578964088</v>
      </c>
      <c r="J266" s="20" t="n">
        <v>0.4956702459300312</v>
      </c>
      <c r="K266" s="20" t="n">
        <v>0.5192307692307693</v>
      </c>
      <c r="L266" s="19" t="n">
        <v>-0.09063252857401183</v>
      </c>
      <c r="M266" s="19" t="n">
        <v>-0.2153994292365459</v>
      </c>
      <c r="N266" s="20" t="n">
        <v>0</v>
      </c>
      <c r="O266" s="27" t="n">
        <v>0.8333333333333334</v>
      </c>
      <c r="P266" s="17" t="inlineStr">
        <is>
          <t>Draft Kings</t>
        </is>
      </c>
      <c r="Q266" s="17" t="n"/>
    </row>
    <row r="267">
      <c r="A267" s="12" t="inlineStr">
        <is>
          <t>PASS</t>
        </is>
      </c>
      <c r="B267" s="12" t="inlineStr">
        <is>
          <t>FLA @ AUB</t>
        </is>
      </c>
      <c r="C267" s="12" t="inlineStr">
        <is>
          <t>2026-09-19 23:00</t>
        </is>
      </c>
      <c r="D267" s="22" t="n">
        <v>3</v>
      </c>
      <c r="E267" s="12" t="inlineStr">
        <is>
          <t>ATS</t>
        </is>
      </c>
      <c r="F267" s="12" t="inlineStr">
        <is>
          <t>FLA -2.5</t>
        </is>
      </c>
      <c r="G267" s="23" t="n">
        <v>2.5</v>
      </c>
      <c r="H267" s="13" t="n">
        <v>-110</v>
      </c>
      <c r="I267" s="15" t="n">
        <v>0.4090050221038707</v>
      </c>
      <c r="J267" s="15" t="n">
        <v>0.5</v>
      </c>
      <c r="K267" s="15" t="n">
        <v>0.5238095238095238</v>
      </c>
      <c r="L267" s="14" t="n">
        <v>-0.090968218647438</v>
      </c>
      <c r="M267" s="14" t="n">
        <v>-0.2191722305289742</v>
      </c>
      <c r="N267" s="15" t="n">
        <v>0</v>
      </c>
      <c r="O267" s="24" t="n">
        <v>0.839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AKR @ MINN</t>
        </is>
      </c>
      <c r="C268" s="17" t="inlineStr">
        <is>
          <t>2026-09-19 16:00</t>
        </is>
      </c>
      <c r="D268" s="25" t="n">
        <v>3</v>
      </c>
      <c r="E268" s="17" t="inlineStr">
        <is>
          <t>ML</t>
        </is>
      </c>
      <c r="F268" s="17" t="inlineStr">
        <is>
          <t>MINN ML</t>
        </is>
      </c>
      <c r="G268" s="26" t="n"/>
      <c r="H268" s="18" t="n">
        <v>-5000</v>
      </c>
      <c r="I268" s="20" t="n">
        <v>0.7724687931843848</v>
      </c>
      <c r="J268" s="20" t="n">
        <v>0.949050949050949</v>
      </c>
      <c r="K268" s="20" t="n">
        <v>0.9803921568627451</v>
      </c>
      <c r="L268" s="19" t="n">
        <v>-0.09129297589615827</v>
      </c>
      <c r="M268" s="19" t="n">
        <v>-0.2120818309519276</v>
      </c>
      <c r="N268" s="20" t="n">
        <v>0</v>
      </c>
      <c r="O268" s="27" t="n">
        <v>0.8333333333333334</v>
      </c>
      <c r="P268" s="17" t="inlineStr">
        <is>
          <t>Draft Kings</t>
        </is>
      </c>
      <c r="Q268" s="17" t="inlineStr">
        <is>
          <t>price outside allowed range</t>
        </is>
      </c>
    </row>
    <row r="269">
      <c r="A269" s="12" t="inlineStr">
        <is>
          <t>PASS</t>
        </is>
      </c>
      <c r="B269" s="12" t="inlineStr">
        <is>
          <t>UTSA @ TEX</t>
        </is>
      </c>
      <c r="C269" s="12" t="inlineStr">
        <is>
          <t>2026-09-20 00:00</t>
        </is>
      </c>
      <c r="D269" s="22" t="n">
        <v>3</v>
      </c>
      <c r="E269" s="12" t="inlineStr">
        <is>
          <t>ML</t>
        </is>
      </c>
      <c r="F269" s="12" t="inlineStr">
        <is>
          <t>TEX ML</t>
        </is>
      </c>
      <c r="G269" s="23" t="n"/>
      <c r="H269" s="13" t="n">
        <v>-6500</v>
      </c>
      <c r="I269" s="15" t="n">
        <v>0.7754426564399982</v>
      </c>
      <c r="J269" s="15" t="n">
        <v>0.9538784067085954</v>
      </c>
      <c r="K269" s="15" t="n">
        <v>0.9848484848484849</v>
      </c>
      <c r="L269" s="14" t="n">
        <v>-0.09136884551946439</v>
      </c>
      <c r="M269" s="14" t="n">
        <v>-0.212627456537848</v>
      </c>
      <c r="N269" s="15" t="n">
        <v>0</v>
      </c>
      <c r="O269" s="24" t="n">
        <v>0.839</v>
      </c>
      <c r="P269" s="12" t="inlineStr">
        <is>
          <t>Draft Kings</t>
        </is>
      </c>
      <c r="Q269" s="12" t="inlineStr">
        <is>
          <t>price outside allowed range</t>
        </is>
      </c>
    </row>
    <row r="270">
      <c r="A270" s="17" t="inlineStr">
        <is>
          <t>PASS</t>
        </is>
      </c>
      <c r="B270" s="17" t="inlineStr">
        <is>
          <t>SYR @ PITT</t>
        </is>
      </c>
      <c r="C270" s="17" t="inlineStr">
        <is>
          <t>2026-09-17 23:30</t>
        </is>
      </c>
      <c r="D270" s="25" t="n">
        <v>3</v>
      </c>
      <c r="E270" s="17" t="inlineStr">
        <is>
          <t>ATS</t>
        </is>
      </c>
      <c r="F270" s="17" t="inlineStr">
        <is>
          <t>PITT -10.5</t>
        </is>
      </c>
      <c r="G270" s="26" t="n">
        <v>-10.5</v>
      </c>
      <c r="H270" s="18" t="n">
        <v>-112</v>
      </c>
      <c r="I270" s="20" t="n">
        <v>0.4092827101996394</v>
      </c>
      <c r="J270" s="20" t="n">
        <v>0.5043297540699688</v>
      </c>
      <c r="K270" s="20" t="n">
        <v>0.5283018867924528</v>
      </c>
      <c r="L270" s="19" t="n">
        <v>-0.09147225335581981</v>
      </c>
      <c r="M270" s="19" t="n">
        <v>-0.2252862985506826</v>
      </c>
      <c r="N270" s="20" t="n">
        <v>0</v>
      </c>
      <c r="O270" s="27" t="n">
        <v>0.839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USU @ UTAH</t>
        </is>
      </c>
      <c r="C271" s="12" t="inlineStr">
        <is>
          <t>2026-09-19 19:30</t>
        </is>
      </c>
      <c r="D271" s="22" t="n">
        <v>3</v>
      </c>
      <c r="E271" s="12" t="inlineStr">
        <is>
          <t>TOTAL</t>
        </is>
      </c>
      <c r="F271" s="12" t="inlineStr">
        <is>
          <t>Over 57.5</t>
        </is>
      </c>
      <c r="G271" s="23" t="n">
        <v>57.5</v>
      </c>
      <c r="H271" s="13" t="n">
        <v>-105</v>
      </c>
      <c r="I271" s="15" t="n">
        <v>0.3935725663589428</v>
      </c>
      <c r="J271" s="15" t="n">
        <v>0.4891657638136511</v>
      </c>
      <c r="K271" s="15" t="n">
        <v>0.5121951219512195</v>
      </c>
      <c r="L271" s="14" t="n">
        <v>-0.09194526643913754</v>
      </c>
      <c r="M271" s="14" t="n">
        <v>-0.2315964180611118</v>
      </c>
      <c r="N271" s="15" t="n">
        <v>0</v>
      </c>
      <c r="O271" s="24" t="n">
        <v>0.8333333333333334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CCU @ DEL</t>
        </is>
      </c>
      <c r="C272" s="17" t="inlineStr">
        <is>
          <t>2026-09-19 15:30</t>
        </is>
      </c>
      <c r="D272" s="25" t="n">
        <v>3</v>
      </c>
      <c r="E272" s="17" t="inlineStr">
        <is>
          <t>TOTAL</t>
        </is>
      </c>
      <c r="F272" s="17" t="inlineStr">
        <is>
          <t>Over 57.5</t>
        </is>
      </c>
      <c r="G272" s="26" t="n">
        <v>57.5</v>
      </c>
      <c r="H272" s="18" t="n">
        <v>-112</v>
      </c>
      <c r="I272" s="20" t="n">
        <v>0.4046405034067685</v>
      </c>
      <c r="J272" s="20" t="n">
        <v>0.5043297540699688</v>
      </c>
      <c r="K272" s="20" t="n">
        <v>0.5283018867924528</v>
      </c>
      <c r="L272" s="19" t="n">
        <v>-0.0920841765789525</v>
      </c>
      <c r="M272" s="19" t="n">
        <v>-0.2340733328371882</v>
      </c>
      <c r="N272" s="20" t="n">
        <v>0</v>
      </c>
      <c r="O272" s="27" t="n">
        <v>0.8333333333333334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LSU @ MISS</t>
        </is>
      </c>
      <c r="C273" s="12" t="inlineStr">
        <is>
          <t>2026-09-19 23:30</t>
        </is>
      </c>
      <c r="D273" s="22" t="n">
        <v>3</v>
      </c>
      <c r="E273" s="12" t="inlineStr">
        <is>
          <t>ATS</t>
        </is>
      </c>
      <c r="F273" s="12" t="inlineStr">
        <is>
          <t>LSU -2.5</t>
        </is>
      </c>
      <c r="G273" s="23" t="n">
        <v>2.5</v>
      </c>
      <c r="H273" s="13" t="n">
        <v>-115</v>
      </c>
      <c r="I273" s="15" t="n">
        <v>0.4093176916588434</v>
      </c>
      <c r="J273" s="15" t="n">
        <v>0.5108342361863488</v>
      </c>
      <c r="K273" s="15" t="n">
        <v>0.5348837209302325</v>
      </c>
      <c r="L273" s="14" t="n">
        <v>-0.09214756911848088</v>
      </c>
      <c r="M273" s="14" t="n">
        <v>-0.2347538808117277</v>
      </c>
      <c r="N273" s="15" t="n">
        <v>0</v>
      </c>
      <c r="O273" s="24" t="n">
        <v>0.839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ARST @ TCU</t>
        </is>
      </c>
      <c r="C274" s="17" t="inlineStr">
        <is>
          <t>2026-09-20 00:00</t>
        </is>
      </c>
      <c r="D274" s="25" t="n">
        <v>3</v>
      </c>
      <c r="E274" s="17" t="inlineStr">
        <is>
          <t>TOTAL</t>
        </is>
      </c>
      <c r="F274" s="17" t="inlineStr">
        <is>
          <t>Over 57.5</t>
        </is>
      </c>
      <c r="G274" s="26" t="n">
        <v>57.5</v>
      </c>
      <c r="H274" s="18" t="n">
        <v>-112</v>
      </c>
      <c r="I274" s="20" t="n">
        <v>0.4011545614871016</v>
      </c>
      <c r="J274" s="20" t="n">
        <v>0.5043297540699688</v>
      </c>
      <c r="K274" s="20" t="n">
        <v>0.5283018867924528</v>
      </c>
      <c r="L274" s="19" t="n">
        <v>-0.09247379974338621</v>
      </c>
      <c r="M274" s="19" t="n">
        <v>-0.2406717228994149</v>
      </c>
      <c r="N274" s="20" t="n">
        <v>0</v>
      </c>
      <c r="O274" s="27" t="n">
        <v>0.8333333333333334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WKU @ IU</t>
        </is>
      </c>
      <c r="C275" s="12" t="inlineStr">
        <is>
          <t>2026-09-19 20:00</t>
        </is>
      </c>
      <c r="D275" s="22" t="n">
        <v>3</v>
      </c>
      <c r="E275" s="12" t="inlineStr">
        <is>
          <t>TOTAL</t>
        </is>
      </c>
      <c r="F275" s="12" t="inlineStr">
        <is>
          <t>Over 59.5</t>
        </is>
      </c>
      <c r="G275" s="23" t="n">
        <v>59.5</v>
      </c>
      <c r="H275" s="13" t="n">
        <v>-112</v>
      </c>
      <c r="I275" s="15" t="n">
        <v>0.3994253158987657</v>
      </c>
      <c r="J275" s="15" t="n">
        <v>0.5043297540699688</v>
      </c>
      <c r="K275" s="15" t="n">
        <v>0.5283018867924528</v>
      </c>
      <c r="L275" s="14" t="n">
        <v>-0.09264754982060322</v>
      </c>
      <c r="M275" s="14" t="n">
        <v>-0.2439449377630506</v>
      </c>
      <c r="N275" s="15" t="n">
        <v>0</v>
      </c>
      <c r="O275" s="24" t="n">
        <v>0.839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JMU @ SDSU</t>
        </is>
      </c>
      <c r="C276" s="17" t="inlineStr">
        <is>
          <t>2026-09-20 02:00</t>
        </is>
      </c>
      <c r="D276" s="25" t="n">
        <v>3</v>
      </c>
      <c r="E276" s="17" t="inlineStr">
        <is>
          <t>TOTAL</t>
        </is>
      </c>
      <c r="F276" s="17" t="inlineStr">
        <is>
          <t>Under 46.5</t>
        </is>
      </c>
      <c r="G276" s="26" t="n">
        <v>46.5</v>
      </c>
      <c r="H276" s="18" t="n">
        <v>-110</v>
      </c>
      <c r="I276" s="20" t="n">
        <v>0.3938300141862472</v>
      </c>
      <c r="J276" s="20" t="n">
        <v>0.5</v>
      </c>
      <c r="K276" s="20" t="n">
        <v>0.5238095238095238</v>
      </c>
      <c r="L276" s="19" t="n">
        <v>-0.09285029600564701</v>
      </c>
      <c r="M276" s="19" t="n">
        <v>-0.2481427001898917</v>
      </c>
      <c r="N276" s="20" t="n">
        <v>0</v>
      </c>
      <c r="O276" s="27" t="n">
        <v>0.8333333333333334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MSST @ SC</t>
        </is>
      </c>
      <c r="C277" s="12" t="inlineStr">
        <is>
          <t>2026-09-19 20:15</t>
        </is>
      </c>
      <c r="D277" s="22" t="n">
        <v>3</v>
      </c>
      <c r="E277" s="12" t="inlineStr">
        <is>
          <t>TOTAL</t>
        </is>
      </c>
      <c r="F277" s="12" t="inlineStr">
        <is>
          <t>Over 58.5</t>
        </is>
      </c>
      <c r="G277" s="23" t="n">
        <v>58.5</v>
      </c>
      <c r="H277" s="13" t="n">
        <v>-108</v>
      </c>
      <c r="I277" s="15" t="n">
        <v>0.3899642519129871</v>
      </c>
      <c r="J277" s="15" t="n">
        <v>0.4956702459300312</v>
      </c>
      <c r="K277" s="15" t="n">
        <v>0.5192307692307693</v>
      </c>
      <c r="L277" s="14" t="n">
        <v>-0.09289101837419284</v>
      </c>
      <c r="M277" s="14" t="n">
        <v>-0.2489577370564692</v>
      </c>
      <c r="N277" s="15" t="n">
        <v>0</v>
      </c>
      <c r="O277" s="24" t="n">
        <v>0.839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CONN @ USM</t>
        </is>
      </c>
      <c r="C278" s="17" t="inlineStr">
        <is>
          <t>2026-09-19 23:00</t>
        </is>
      </c>
      <c r="D278" s="25" t="n">
        <v>3</v>
      </c>
      <c r="E278" s="17" t="inlineStr">
        <is>
          <t>ML</t>
        </is>
      </c>
      <c r="F278" s="17" t="inlineStr">
        <is>
          <t>CONN ML</t>
        </is>
      </c>
      <c r="G278" s="26" t="n"/>
      <c r="H278" s="18" t="n">
        <v>-166</v>
      </c>
      <c r="I278" s="20" t="n">
        <v>0.4677418449693219</v>
      </c>
      <c r="J278" s="20" t="n">
        <v>0.5996387718242023</v>
      </c>
      <c r="K278" s="20" t="n">
        <v>0.6240601503759399</v>
      </c>
      <c r="L278" s="19" t="n">
        <v>-0.0931658639485157</v>
      </c>
      <c r="M278" s="19" t="n">
        <v>-0.2504859592660263</v>
      </c>
      <c r="N278" s="20" t="n">
        <v>0</v>
      </c>
      <c r="O278" s="27" t="n">
        <v>0.8333333333333334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LSU @ MISS</t>
        </is>
      </c>
      <c r="C279" s="12" t="inlineStr">
        <is>
          <t>2026-09-19 23:30</t>
        </is>
      </c>
      <c r="D279" s="22" t="n">
        <v>3</v>
      </c>
      <c r="E279" s="12" t="inlineStr">
        <is>
          <t>TOTAL</t>
        </is>
      </c>
      <c r="F279" s="12" t="inlineStr">
        <is>
          <t>Over 58.5</t>
        </is>
      </c>
      <c r="G279" s="23" t="n">
        <v>58.5</v>
      </c>
      <c r="H279" s="13" t="n">
        <v>-112</v>
      </c>
      <c r="I279" s="15" t="n">
        <v>0.392602764416928</v>
      </c>
      <c r="J279" s="15" t="n">
        <v>0.5043297540699688</v>
      </c>
      <c r="K279" s="15" t="n">
        <v>0.5283018867924528</v>
      </c>
      <c r="L279" s="14" t="n">
        <v>-0.09322512225222136</v>
      </c>
      <c r="M279" s="14" t="n">
        <v>-0.2568590530679578</v>
      </c>
      <c r="N279" s="15" t="n">
        <v>0</v>
      </c>
      <c r="O279" s="24" t="n">
        <v>0.839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SMU @ LOU</t>
        </is>
      </c>
      <c r="C280" s="17" t="inlineStr">
        <is>
          <t>2026-09-19 19:30</t>
        </is>
      </c>
      <c r="D280" s="25" t="n">
        <v>3</v>
      </c>
      <c r="E280" s="17" t="inlineStr">
        <is>
          <t>TOTAL</t>
        </is>
      </c>
      <c r="F280" s="17" t="inlineStr">
        <is>
          <t>Over 59.5</t>
        </is>
      </c>
      <c r="G280" s="26" t="n">
        <v>59.5</v>
      </c>
      <c r="H280" s="18" t="n">
        <v>-112</v>
      </c>
      <c r="I280" s="20" t="n">
        <v>0.392602761351144</v>
      </c>
      <c r="J280" s="20" t="n">
        <v>0.5043297540699688</v>
      </c>
      <c r="K280" s="20" t="n">
        <v>0.5283018867924528</v>
      </c>
      <c r="L280" s="19" t="n">
        <v>-0.09322512247724375</v>
      </c>
      <c r="M280" s="19" t="n">
        <v>-0.256859058871049</v>
      </c>
      <c r="N280" s="20" t="n">
        <v>0</v>
      </c>
      <c r="O280" s="27" t="n">
        <v>0.839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MRSH @ MOST</t>
        </is>
      </c>
      <c r="C281" s="12" t="inlineStr">
        <is>
          <t>2026-09-19 22:30</t>
        </is>
      </c>
      <c r="D281" s="22" t="n">
        <v>3</v>
      </c>
      <c r="E281" s="12" t="inlineStr">
        <is>
          <t>ML</t>
        </is>
      </c>
      <c r="F281" s="12" t="inlineStr">
        <is>
          <t>MRSH ML</t>
        </is>
      </c>
      <c r="G281" s="23" t="n"/>
      <c r="H281" s="13" t="n">
        <v>-162</v>
      </c>
      <c r="I281" s="15" t="n">
        <v>0.4618363416440914</v>
      </c>
      <c r="J281" s="15" t="n">
        <v>0.5933697541594239</v>
      </c>
      <c r="K281" s="15" t="n">
        <v>0.6183206106870229</v>
      </c>
      <c r="L281" s="14" t="n">
        <v>-0.09323016163968771</v>
      </c>
      <c r="M281" s="14" t="n">
        <v>-0.2530794968472102</v>
      </c>
      <c r="N281" s="15" t="n">
        <v>0</v>
      </c>
      <c r="O281" s="24" t="n">
        <v>0.75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VT @ MD</t>
        </is>
      </c>
      <c r="C282" s="17" t="inlineStr">
        <is>
          <t>2026-09-19 23:30</t>
        </is>
      </c>
      <c r="D282" s="25" t="n">
        <v>3</v>
      </c>
      <c r="E282" s="17" t="inlineStr">
        <is>
          <t>ML</t>
        </is>
      </c>
      <c r="F282" s="17" t="inlineStr">
        <is>
          <t>VT ML</t>
        </is>
      </c>
      <c r="G282" s="26" t="n"/>
      <c r="H282" s="18" t="n">
        <v>-155</v>
      </c>
      <c r="I282" s="20" t="n">
        <v>0.4503802335999422</v>
      </c>
      <c r="J282" s="20" t="n">
        <v>0.5829926410466066</v>
      </c>
      <c r="K282" s="20" t="n">
        <v>0.6078431372549019</v>
      </c>
      <c r="L282" s="19" t="n">
        <v>-0.09343180139811448</v>
      </c>
      <c r="M282" s="19" t="n">
        <v>-0.2590518737549339</v>
      </c>
      <c r="N282" s="20" t="n">
        <v>0</v>
      </c>
      <c r="O282" s="27" t="n">
        <v>0.839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KENN @ TENN</t>
        </is>
      </c>
      <c r="C283" s="12" t="inlineStr">
        <is>
          <t>2026-09-19 23:45</t>
        </is>
      </c>
      <c r="D283" s="22" t="n">
        <v>3</v>
      </c>
      <c r="E283" s="12" t="inlineStr">
        <is>
          <t>TOTAL</t>
        </is>
      </c>
      <c r="F283" s="12" t="inlineStr">
        <is>
          <t>Over 59.5</t>
        </is>
      </c>
      <c r="G283" s="23" t="n">
        <v>59.5</v>
      </c>
      <c r="H283" s="13" t="n">
        <v>-108</v>
      </c>
      <c r="I283" s="15" t="n">
        <v>0.3783349037568241</v>
      </c>
      <c r="J283" s="15" t="n">
        <v>0.4956702459300312</v>
      </c>
      <c r="K283" s="15" t="n">
        <v>0.5192307692307693</v>
      </c>
      <c r="L283" s="14" t="n">
        <v>-0.09370746281832683</v>
      </c>
      <c r="M283" s="14" t="n">
        <v>-0.2713550001720424</v>
      </c>
      <c r="N283" s="15" t="n">
        <v>0</v>
      </c>
      <c r="O283" s="24" t="n">
        <v>0.8333333333333334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PUR @ UCLA</t>
        </is>
      </c>
      <c r="C284" s="17" t="inlineStr">
        <is>
          <t>2026-09-20 03:00</t>
        </is>
      </c>
      <c r="D284" s="25" t="n">
        <v>3</v>
      </c>
      <c r="E284" s="17" t="inlineStr">
        <is>
          <t>ATS</t>
        </is>
      </c>
      <c r="F284" s="17" t="inlineStr">
        <is>
          <t>UCLA -14</t>
        </is>
      </c>
      <c r="G284" s="26" t="n">
        <v>-14</v>
      </c>
      <c r="H284" s="18" t="n">
        <v>-108</v>
      </c>
      <c r="I284" s="20" t="n">
        <v>0.3758063749096328</v>
      </c>
      <c r="J284" s="20" t="n">
        <v>0.4956702459300312</v>
      </c>
      <c r="K284" s="20" t="n">
        <v>0.5192307692307693</v>
      </c>
      <c r="L284" s="19" t="n">
        <v>-0.09383827531095816</v>
      </c>
      <c r="M284" s="19" t="n">
        <v>-0.2660873107620977</v>
      </c>
      <c r="N284" s="20" t="n">
        <v>0.0367</v>
      </c>
      <c r="O284" s="27" t="n">
        <v>0.75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FRES @ SJSU</t>
        </is>
      </c>
      <c r="C285" s="12" t="inlineStr">
        <is>
          <t>2026-09-20 03:00</t>
        </is>
      </c>
      <c r="D285" s="22" t="n">
        <v>3</v>
      </c>
      <c r="E285" s="12" t="inlineStr">
        <is>
          <t>ML</t>
        </is>
      </c>
      <c r="F285" s="12" t="inlineStr">
        <is>
          <t>FRES ML</t>
        </is>
      </c>
      <c r="G285" s="23" t="n"/>
      <c r="H285" s="13" t="n">
        <v>-278</v>
      </c>
      <c r="I285" s="15" t="n">
        <v>0.526835327920863</v>
      </c>
      <c r="J285" s="15" t="n">
        <v>0.705033164260632</v>
      </c>
      <c r="K285" s="15" t="n">
        <v>0.7354497354497355</v>
      </c>
      <c r="L285" s="14" t="n">
        <v>-0.09407589093788911</v>
      </c>
      <c r="M285" s="14" t="n">
        <v>-0.2836555613162367</v>
      </c>
      <c r="N285" s="15" t="n">
        <v>0</v>
      </c>
      <c r="O285" s="24" t="n">
        <v>0.75</v>
      </c>
      <c r="P285" s="12" t="inlineStr">
        <is>
          <t>Draft 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WVU @ UVA</t>
        </is>
      </c>
      <c r="C286" s="17" t="inlineStr">
        <is>
          <t>2026-09-19 23:30</t>
        </is>
      </c>
      <c r="D286" s="25" t="n">
        <v>3</v>
      </c>
      <c r="E286" s="17" t="inlineStr">
        <is>
          <t>ATS</t>
        </is>
      </c>
      <c r="F286" s="17" t="inlineStr">
        <is>
          <t>UVA -9.5</t>
        </is>
      </c>
      <c r="G286" s="26" t="n">
        <v>-9.5</v>
      </c>
      <c r="H286" s="18" t="n">
        <v>-108</v>
      </c>
      <c r="I286" s="20" t="n">
        <v>0.3694256017706584</v>
      </c>
      <c r="J286" s="20" t="n">
        <v>0.4956702459300312</v>
      </c>
      <c r="K286" s="20" t="n">
        <v>0.5192307692307693</v>
      </c>
      <c r="L286" s="19" t="n">
        <v>-0.09411277148482874</v>
      </c>
      <c r="M286" s="19" t="n">
        <v>-0.2885136558491023</v>
      </c>
      <c r="N286" s="20" t="n">
        <v>0</v>
      </c>
      <c r="O286" s="27" t="n">
        <v>0.839</v>
      </c>
      <c r="P286" s="17" t="inlineStr">
        <is>
          <t>Draft Kings</t>
        </is>
      </c>
      <c r="Q286" s="17" t="n"/>
    </row>
    <row r="287">
      <c r="A287" s="12" t="inlineStr">
        <is>
          <t>PASS</t>
        </is>
      </c>
      <c r="B287" s="12" t="inlineStr">
        <is>
          <t>WMU @ RICE</t>
        </is>
      </c>
      <c r="C287" s="12" t="inlineStr">
        <is>
          <t>2026-09-19 23:00</t>
        </is>
      </c>
      <c r="D287" s="22" t="n">
        <v>3</v>
      </c>
      <c r="E287" s="12" t="inlineStr">
        <is>
          <t>ML</t>
        </is>
      </c>
      <c r="F287" s="12" t="inlineStr">
        <is>
          <t>WMU ML</t>
        </is>
      </c>
      <c r="G287" s="23" t="n"/>
      <c r="H287" s="13" t="n">
        <v>-550</v>
      </c>
      <c r="I287" s="15" t="n">
        <v>0.6043560213615569</v>
      </c>
      <c r="J287" s="15" t="n">
        <v>0.8118668596237336</v>
      </c>
      <c r="K287" s="15" t="n">
        <v>0.8461538461538461</v>
      </c>
      <c r="L287" s="14" t="n">
        <v>-0.09412938968541862</v>
      </c>
      <c r="M287" s="14" t="n">
        <v>-0.2857610656636146</v>
      </c>
      <c r="N287" s="15" t="n">
        <v>0</v>
      </c>
      <c r="O287" s="24" t="n">
        <v>0.8333333333333334</v>
      </c>
      <c r="P287" s="12" t="inlineStr">
        <is>
          <t>Draft Kings</t>
        </is>
      </c>
      <c r="Q287" s="12" t="inlineStr">
        <is>
          <t>price outside allowed range</t>
        </is>
      </c>
    </row>
    <row r="288">
      <c r="A288" s="17" t="inlineStr">
        <is>
          <t>PASS</t>
        </is>
      </c>
      <c r="B288" s="17" t="inlineStr">
        <is>
          <t>CONN @ USM</t>
        </is>
      </c>
      <c r="C288" s="17" t="inlineStr">
        <is>
          <t>2026-09-19 23:00</t>
        </is>
      </c>
      <c r="D288" s="25" t="n">
        <v>3</v>
      </c>
      <c r="E288" s="17" t="inlineStr">
        <is>
          <t>ATS</t>
        </is>
      </c>
      <c r="F288" s="17" t="inlineStr">
        <is>
          <t>CONN -3.5</t>
        </is>
      </c>
      <c r="G288" s="26" t="n">
        <v>3.5</v>
      </c>
      <c r="H288" s="18" t="n">
        <v>-102</v>
      </c>
      <c r="I288" s="20" t="n">
        <v>0.3570375528809295</v>
      </c>
      <c r="J288" s="20" t="n">
        <v>0.4826358742837298</v>
      </c>
      <c r="K288" s="20" t="n">
        <v>0.504950495049505</v>
      </c>
      <c r="L288" s="19" t="n">
        <v>-0.09421002610486093</v>
      </c>
      <c r="M288" s="19" t="n">
        <v>-0.2929256305691396</v>
      </c>
      <c r="N288" s="20" t="n">
        <v>0</v>
      </c>
      <c r="O288" s="27" t="n">
        <v>0.8333333333333334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UK @ TA&amp;M</t>
        </is>
      </c>
      <c r="C289" s="12" t="inlineStr">
        <is>
          <t>2026-09-19 19:30</t>
        </is>
      </c>
      <c r="D289" s="22" t="n">
        <v>3</v>
      </c>
      <c r="E289" s="12" t="inlineStr">
        <is>
          <t>ATS</t>
        </is>
      </c>
      <c r="F289" s="12" t="inlineStr">
        <is>
          <t>TA&amp;M -15.5</t>
        </is>
      </c>
      <c r="G289" s="23" t="n">
        <v>-15.5</v>
      </c>
      <c r="H289" s="13" t="n">
        <v>-110</v>
      </c>
      <c r="I289" s="15" t="n">
        <v>0.3687718079799396</v>
      </c>
      <c r="J289" s="15" t="n">
        <v>0.5</v>
      </c>
      <c r="K289" s="15" t="n">
        <v>0.5238095238095238</v>
      </c>
      <c r="L289" s="14" t="n">
        <v>-0.09424599015552616</v>
      </c>
      <c r="M289" s="14" t="n">
        <v>-0.295981093856479</v>
      </c>
      <c r="N289" s="15" t="n">
        <v>0</v>
      </c>
      <c r="O289" s="24" t="n">
        <v>0.839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NEV @ MTSU</t>
        </is>
      </c>
      <c r="C290" s="17" t="inlineStr">
        <is>
          <t>2026-09-19 23:00</t>
        </is>
      </c>
      <c r="D290" s="25" t="n">
        <v>3</v>
      </c>
      <c r="E290" s="17" t="inlineStr">
        <is>
          <t>ML</t>
        </is>
      </c>
      <c r="F290" s="17" t="inlineStr">
        <is>
          <t>NEV ML</t>
        </is>
      </c>
      <c r="G290" s="26" t="n"/>
      <c r="H290" s="18" t="n">
        <v>-225</v>
      </c>
      <c r="I290" s="20" t="n">
        <v>0.4831373383158273</v>
      </c>
      <c r="J290" s="20" t="n">
        <v>0.6636481241914618</v>
      </c>
      <c r="K290" s="20" t="n">
        <v>0.6923076923076923</v>
      </c>
      <c r="L290" s="19" t="n">
        <v>-0.09438276035538523</v>
      </c>
      <c r="M290" s="19" t="n">
        <v>-0.3021349557660272</v>
      </c>
      <c r="N290" s="20" t="n">
        <v>0</v>
      </c>
      <c r="O290" s="27" t="n">
        <v>0.75</v>
      </c>
      <c r="P290" s="17" t="inlineStr">
        <is>
          <t>Draft 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KENT @ OSU</t>
        </is>
      </c>
      <c r="C291" s="12" t="inlineStr">
        <is>
          <t>2026-09-19 16:00</t>
        </is>
      </c>
      <c r="D291" s="22" t="n">
        <v>3</v>
      </c>
      <c r="E291" s="12" t="inlineStr">
        <is>
          <t>TOTAL</t>
        </is>
      </c>
      <c r="F291" s="12" t="inlineStr">
        <is>
          <t>Over 58.5</t>
        </is>
      </c>
      <c r="G291" s="23" t="n">
        <v>58.5</v>
      </c>
      <c r="H291" s="13" t="n">
        <v>-110</v>
      </c>
      <c r="I291" s="15" t="n">
        <v>0.3632666045625854</v>
      </c>
      <c r="J291" s="15" t="n">
        <v>0.5</v>
      </c>
      <c r="K291" s="15" t="n">
        <v>0.5238095238095238</v>
      </c>
      <c r="L291" s="14" t="n">
        <v>-0.09440149865338747</v>
      </c>
      <c r="M291" s="14" t="n">
        <v>-0.3064910276532461</v>
      </c>
      <c r="N291" s="15" t="n">
        <v>0</v>
      </c>
      <c r="O291" s="24" t="n">
        <v>0.839</v>
      </c>
      <c r="P291" s="12" t="inlineStr">
        <is>
          <t>Draft Kings</t>
        </is>
      </c>
      <c r="Q291" s="12" t="n"/>
    </row>
    <row r="292">
      <c r="A292" s="17" t="inlineStr">
        <is>
          <t>PASS</t>
        </is>
      </c>
      <c r="B292" s="17" t="inlineStr">
        <is>
          <t>MIA @ WAKE</t>
        </is>
      </c>
      <c r="C292" s="17" t="inlineStr">
        <is>
          <t>2026-09-18 23:30</t>
        </is>
      </c>
      <c r="D292" s="25" t="n">
        <v>3</v>
      </c>
      <c r="E292" s="17" t="inlineStr">
        <is>
          <t>ML</t>
        </is>
      </c>
      <c r="F292" s="17" t="inlineStr">
        <is>
          <t>MIA ML</t>
        </is>
      </c>
      <c r="G292" s="26" t="n"/>
      <c r="H292" s="18" t="n">
        <v>-2100</v>
      </c>
      <c r="I292" s="20" t="n">
        <v>0.6641548826870887</v>
      </c>
      <c r="J292" s="20" t="n">
        <v>0.9197080291970804</v>
      </c>
      <c r="K292" s="20" t="n">
        <v>0.9545454545454546</v>
      </c>
      <c r="L292" s="19" t="n">
        <v>-0.09445425691702219</v>
      </c>
      <c r="M292" s="19" t="n">
        <v>-0.3042186943278118</v>
      </c>
      <c r="N292" s="20" t="n">
        <v>0</v>
      </c>
      <c r="O292" s="27" t="n">
        <v>0.839</v>
      </c>
      <c r="P292" s="17" t="inlineStr">
        <is>
          <t>Draft Kings</t>
        </is>
      </c>
      <c r="Q292" s="17" t="inlineStr">
        <is>
          <t>price outside allowed range</t>
        </is>
      </c>
    </row>
    <row r="293">
      <c r="A293" s="12" t="inlineStr">
        <is>
          <t>PASS</t>
        </is>
      </c>
      <c r="B293" s="12" t="inlineStr">
        <is>
          <t>UNT @ TXST</t>
        </is>
      </c>
      <c r="C293" s="12" t="inlineStr">
        <is>
          <t>2026-09-19 16:00</t>
        </is>
      </c>
      <c r="D293" s="22" t="n">
        <v>3</v>
      </c>
      <c r="E293" s="12" t="inlineStr">
        <is>
          <t>TOTAL</t>
        </is>
      </c>
      <c r="F293" s="12" t="inlineStr">
        <is>
          <t>Over 62.5</t>
        </is>
      </c>
      <c r="G293" s="23" t="n">
        <v>62.5</v>
      </c>
      <c r="H293" s="13" t="n">
        <v>-112</v>
      </c>
      <c r="I293" s="15" t="n">
        <v>0.3639311699887119</v>
      </c>
      <c r="J293" s="15" t="n">
        <v>0.5043297540699688</v>
      </c>
      <c r="K293" s="15" t="n">
        <v>0.5283018867924528</v>
      </c>
      <c r="L293" s="14" t="n">
        <v>-0.09446021744352713</v>
      </c>
      <c r="M293" s="14" t="n">
        <v>-0.3111302853785096</v>
      </c>
      <c r="N293" s="15" t="n">
        <v>0</v>
      </c>
      <c r="O293" s="24" t="n">
        <v>0.8333333333333334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UGA @ ARK</t>
        </is>
      </c>
      <c r="C294" s="17" t="inlineStr">
        <is>
          <t>2026-09-19 16:00</t>
        </is>
      </c>
      <c r="D294" s="25" t="n">
        <v>3</v>
      </c>
      <c r="E294" s="17" t="inlineStr">
        <is>
          <t>ML</t>
        </is>
      </c>
      <c r="F294" s="17" t="inlineStr">
        <is>
          <t>UGA ML</t>
        </is>
      </c>
      <c r="G294" s="26" t="n"/>
      <c r="H294" s="18" t="n">
        <v>-4000</v>
      </c>
      <c r="I294" s="20" t="n">
        <v>0.6785404066971359</v>
      </c>
      <c r="J294" s="20" t="n">
        <v>0.9431345353675451</v>
      </c>
      <c r="K294" s="20" t="n">
        <v>0.975609756097561</v>
      </c>
      <c r="L294" s="19" t="n">
        <v>-0.09448416059334261</v>
      </c>
      <c r="M294" s="19" t="n">
        <v>-0.3044960831354357</v>
      </c>
      <c r="N294" s="20" t="n">
        <v>0</v>
      </c>
      <c r="O294" s="27" t="n">
        <v>0.839</v>
      </c>
      <c r="P294" s="17" t="inlineStr">
        <is>
          <t>Draft Kings</t>
        </is>
      </c>
      <c r="Q294" s="17" t="inlineStr">
        <is>
          <t>price outside allowed range</t>
        </is>
      </c>
    </row>
    <row r="295">
      <c r="A295" s="12" t="inlineStr">
        <is>
          <t>PASS</t>
        </is>
      </c>
      <c r="B295" s="12" t="inlineStr">
        <is>
          <t>WYO @ CMU</t>
        </is>
      </c>
      <c r="C295" s="12" t="inlineStr">
        <is>
          <t>2026-09-19 17:00</t>
        </is>
      </c>
      <c r="D295" s="22" t="n">
        <v>3</v>
      </c>
      <c r="E295" s="12" t="inlineStr">
        <is>
          <t>TOTAL</t>
        </is>
      </c>
      <c r="F295" s="12" t="inlineStr">
        <is>
          <t>Under 39.5</t>
        </is>
      </c>
      <c r="G295" s="23" t="n">
        <v>39.5</v>
      </c>
      <c r="H295" s="13" t="n">
        <v>-110</v>
      </c>
      <c r="I295" s="15" t="n">
        <v>0.3587995213306191</v>
      </c>
      <c r="J295" s="15" t="n">
        <v>0.5</v>
      </c>
      <c r="K295" s="15" t="n">
        <v>0.5238095238095238</v>
      </c>
      <c r="L295" s="14" t="n">
        <v>-0.0945038485118886</v>
      </c>
      <c r="M295" s="14" t="n">
        <v>-0.3150190956415453</v>
      </c>
      <c r="N295" s="15" t="n">
        <v>0</v>
      </c>
      <c r="O295" s="24" t="n">
        <v>0.75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VT @ MD</t>
        </is>
      </c>
      <c r="C296" s="17" t="inlineStr">
        <is>
          <t>2026-09-19 23:30</t>
        </is>
      </c>
      <c r="D296" s="25" t="n">
        <v>3</v>
      </c>
      <c r="E296" s="17" t="inlineStr">
        <is>
          <t>ATS</t>
        </is>
      </c>
      <c r="F296" s="17" t="inlineStr">
        <is>
          <t>VT -3</t>
        </is>
      </c>
      <c r="G296" s="26" t="n">
        <v>3</v>
      </c>
      <c r="H296" s="18" t="n">
        <v>-122</v>
      </c>
      <c r="I296" s="20" t="n">
        <v>0.3766878949795448</v>
      </c>
      <c r="J296" s="20" t="n">
        <v>0.5260865852617197</v>
      </c>
      <c r="K296" s="20" t="n">
        <v>0.5495495495495496</v>
      </c>
      <c r="L296" s="19" t="n">
        <v>-0.0945200418746817</v>
      </c>
      <c r="M296" s="19" t="n">
        <v>-0.2997361580493949</v>
      </c>
      <c r="N296" s="20" t="n">
        <v>0.0471</v>
      </c>
      <c r="O296" s="27" t="n">
        <v>0.839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NDSU @ SAC</t>
        </is>
      </c>
      <c r="C297" s="12" t="inlineStr">
        <is>
          <t>2026-09-20 02:30</t>
        </is>
      </c>
      <c r="D297" s="22" t="n">
        <v>3</v>
      </c>
      <c r="E297" s="12" t="inlineStr">
        <is>
          <t>ML</t>
        </is>
      </c>
      <c r="F297" s="12" t="inlineStr">
        <is>
          <t>NDSU ML</t>
        </is>
      </c>
      <c r="G297" s="23" t="n"/>
      <c r="H297" s="13" t="n">
        <v>-8000</v>
      </c>
      <c r="I297" s="15" t="n">
        <v>0.6843423226945632</v>
      </c>
      <c r="J297" s="15" t="n">
        <v>0.9578344612181156</v>
      </c>
      <c r="K297" s="15" t="n">
        <v>0.9876543209876543</v>
      </c>
      <c r="L297" s="14" t="n">
        <v>-0.09453541863699624</v>
      </c>
      <c r="M297" s="14" t="n">
        <v>-0.3071033982717548</v>
      </c>
      <c r="N297" s="15" t="n">
        <v>0</v>
      </c>
      <c r="O297" s="24" t="n">
        <v>0.75</v>
      </c>
      <c r="P297" s="12" t="inlineStr">
        <is>
          <t>Draft Kings</t>
        </is>
      </c>
      <c r="Q297" s="12" t="inlineStr">
        <is>
          <t>price outside allowed range</t>
        </is>
      </c>
    </row>
    <row r="298">
      <c r="A298" s="17" t="inlineStr">
        <is>
          <t>PASS</t>
        </is>
      </c>
      <c r="B298" s="17" t="inlineStr">
        <is>
          <t>MRSH @ MOST</t>
        </is>
      </c>
      <c r="C298" s="17" t="inlineStr">
        <is>
          <t>2026-09-19 22:30</t>
        </is>
      </c>
      <c r="D298" s="25" t="n">
        <v>3</v>
      </c>
      <c r="E298" s="17" t="inlineStr">
        <is>
          <t>ATS</t>
        </is>
      </c>
      <c r="F298" s="17" t="inlineStr">
        <is>
          <t>MRSH -4</t>
        </is>
      </c>
      <c r="G298" s="26" t="n">
        <v>4</v>
      </c>
      <c r="H298" s="18" t="n">
        <v>-108</v>
      </c>
      <c r="I298" s="20" t="n">
        <v>0.3520433782014947</v>
      </c>
      <c r="J298" s="20" t="n">
        <v>0.4956702459300312</v>
      </c>
      <c r="K298" s="20" t="n">
        <v>0.5192307692307693</v>
      </c>
      <c r="L298" s="19" t="n">
        <v>-0.09457492433706627</v>
      </c>
      <c r="M298" s="19" t="n">
        <v>-0.3144881515018966</v>
      </c>
      <c r="N298" s="20" t="n">
        <v>0.0233</v>
      </c>
      <c r="O298" s="27" t="n">
        <v>0.75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USC @ RUTG</t>
        </is>
      </c>
      <c r="C299" s="12" t="inlineStr">
        <is>
          <t>2026-09-19 19:30</t>
        </is>
      </c>
      <c r="D299" s="22" t="n">
        <v>3</v>
      </c>
      <c r="E299" s="12" t="inlineStr">
        <is>
          <t>ML</t>
        </is>
      </c>
      <c r="F299" s="12" t="inlineStr">
        <is>
          <t>USC ML</t>
        </is>
      </c>
      <c r="G299" s="23" t="n"/>
      <c r="H299" s="13" t="n">
        <v>-3200</v>
      </c>
      <c r="I299" s="15" t="n">
        <v>0.6609779031804822</v>
      </c>
      <c r="J299" s="15" t="n">
        <v>0.9356725146198831</v>
      </c>
      <c r="K299" s="15" t="n">
        <v>0.9696969696969697</v>
      </c>
      <c r="L299" s="14" t="n">
        <v>-0.09460767773564985</v>
      </c>
      <c r="M299" s="14" t="n">
        <v>-0.3183665373451278</v>
      </c>
      <c r="N299" s="15" t="n">
        <v>0</v>
      </c>
      <c r="O299" s="24" t="n">
        <v>0.75</v>
      </c>
      <c r="P299" s="12" t="inlineStr">
        <is>
          <t>Draft Kings</t>
        </is>
      </c>
      <c r="Q299" s="12" t="inlineStr">
        <is>
          <t>price outside allowed range</t>
        </is>
      </c>
    </row>
    <row r="300">
      <c r="A300" s="17" t="inlineStr">
        <is>
          <t>PASS</t>
        </is>
      </c>
      <c r="B300" s="17" t="inlineStr">
        <is>
          <t>BALL @ LIB</t>
        </is>
      </c>
      <c r="C300" s="17" t="inlineStr">
        <is>
          <t>2026-09-19 20:00</t>
        </is>
      </c>
      <c r="D300" s="25" t="n">
        <v>3</v>
      </c>
      <c r="E300" s="17" t="inlineStr">
        <is>
          <t>ATS</t>
        </is>
      </c>
      <c r="F300" s="17" t="inlineStr">
        <is>
          <t>LIB -14.5</t>
        </is>
      </c>
      <c r="G300" s="26" t="n">
        <v>-14.5</v>
      </c>
      <c r="H300" s="18" t="n">
        <v>-108</v>
      </c>
      <c r="I300" s="20" t="n">
        <v>0.3467655704711807</v>
      </c>
      <c r="J300" s="20" t="n">
        <v>0.4956702459300312</v>
      </c>
      <c r="K300" s="20" t="n">
        <v>0.5192307692307693</v>
      </c>
      <c r="L300" s="19" t="n">
        <v>-0.09466013383076088</v>
      </c>
      <c r="M300" s="19" t="n">
        <v>-0.3321551976110594</v>
      </c>
      <c r="N300" s="20" t="n">
        <v>0</v>
      </c>
      <c r="O300" s="27" t="n">
        <v>0.8333333333333334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BYU @ CSU</t>
        </is>
      </c>
      <c r="C301" s="12" t="inlineStr">
        <is>
          <t>2026-09-19 23:30</t>
        </is>
      </c>
      <c r="D301" s="22" t="n">
        <v>3</v>
      </c>
      <c r="E301" s="12" t="inlineStr">
        <is>
          <t>ML</t>
        </is>
      </c>
      <c r="F301" s="12" t="inlineStr">
        <is>
          <t>BYU ML</t>
        </is>
      </c>
      <c r="G301" s="23" t="n"/>
      <c r="H301" s="13" t="n">
        <v>-1350</v>
      </c>
      <c r="I301" s="15" t="n">
        <v>0.6238344434449313</v>
      </c>
      <c r="J301" s="15" t="n">
        <v>0.8933823529411765</v>
      </c>
      <c r="K301" s="15" t="n">
        <v>0.9310344827586207</v>
      </c>
      <c r="L301" s="14" t="n">
        <v>-0.09466933098391338</v>
      </c>
      <c r="M301" s="14" t="n">
        <v>-0.3299555977813701</v>
      </c>
      <c r="N301" s="15" t="n">
        <v>0</v>
      </c>
      <c r="O301" s="24" t="n">
        <v>0.8333333333333334</v>
      </c>
      <c r="P301" s="12" t="inlineStr">
        <is>
          <t>Draft Kings</t>
        </is>
      </c>
      <c r="Q301" s="12" t="inlineStr">
        <is>
          <t>price outside allowed range</t>
        </is>
      </c>
    </row>
    <row r="302">
      <c r="A302" s="17" t="inlineStr">
        <is>
          <t>PASS</t>
        </is>
      </c>
      <c r="B302" s="17" t="inlineStr">
        <is>
          <t>FIU @ FAU</t>
        </is>
      </c>
      <c r="C302" s="17" t="inlineStr">
        <is>
          <t>2026-09-19 22:00</t>
        </is>
      </c>
      <c r="D302" s="25" t="n">
        <v>3</v>
      </c>
      <c r="E302" s="17" t="inlineStr">
        <is>
          <t>TOTAL</t>
        </is>
      </c>
      <c r="F302" s="17" t="inlineStr">
        <is>
          <t>Over 62.5</t>
        </is>
      </c>
      <c r="G302" s="26" t="n">
        <v>62.5</v>
      </c>
      <c r="H302" s="18" t="n">
        <v>-110</v>
      </c>
      <c r="I302" s="20" t="n">
        <v>0.3473978489977779</v>
      </c>
      <c r="J302" s="20" t="n">
        <v>0.5</v>
      </c>
      <c r="K302" s="20" t="n">
        <v>0.5238095238095238</v>
      </c>
      <c r="L302" s="19" t="n">
        <v>-0.09469270537580907</v>
      </c>
      <c r="M302" s="19" t="n">
        <v>-0.3367859246406057</v>
      </c>
      <c r="N302" s="20" t="n">
        <v>0</v>
      </c>
      <c r="O302" s="27" t="n">
        <v>0.8333333333333334</v>
      </c>
      <c r="P302" s="17" t="inlineStr">
        <is>
          <t>Draft 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M-OH @ CIN</t>
        </is>
      </c>
      <c r="C303" s="12" t="inlineStr">
        <is>
          <t>2026-09-19 19:30</t>
        </is>
      </c>
      <c r="D303" s="22" t="n">
        <v>3</v>
      </c>
      <c r="E303" s="12" t="inlineStr">
        <is>
          <t>ATS</t>
        </is>
      </c>
      <c r="F303" s="12" t="inlineStr">
        <is>
          <t>CIN -15.5</t>
        </is>
      </c>
      <c r="G303" s="23" t="n">
        <v>-15.5</v>
      </c>
      <c r="H303" s="13" t="n">
        <v>-108</v>
      </c>
      <c r="I303" s="15" t="n">
        <v>0.3436199911829155</v>
      </c>
      <c r="J303" s="15" t="n">
        <v>0.4956702459300312</v>
      </c>
      <c r="K303" s="15" t="n">
        <v>0.5192307692307693</v>
      </c>
      <c r="L303" s="14" t="n">
        <v>-0.09470257167310646</v>
      </c>
      <c r="M303" s="14" t="n">
        <v>-0.3382133503143849</v>
      </c>
      <c r="N303" s="15" t="n">
        <v>0</v>
      </c>
      <c r="O303" s="24" t="n">
        <v>0.8333333333333334</v>
      </c>
      <c r="P303" s="12" t="inlineStr">
        <is>
          <t>Draft 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NEV @ MTSU</t>
        </is>
      </c>
      <c r="C304" s="17" t="inlineStr">
        <is>
          <t>2026-09-19 23:00</t>
        </is>
      </c>
      <c r="D304" s="25" t="n">
        <v>3</v>
      </c>
      <c r="E304" s="17" t="inlineStr">
        <is>
          <t>ATS</t>
        </is>
      </c>
      <c r="F304" s="17" t="inlineStr">
        <is>
          <t>NEV -6</t>
        </is>
      </c>
      <c r="G304" s="26" t="n">
        <v>6</v>
      </c>
      <c r="H304" s="18" t="n">
        <v>-110</v>
      </c>
      <c r="I304" s="20" t="n">
        <v>0.3257661412429724</v>
      </c>
      <c r="J304" s="20" t="n">
        <v>0.5</v>
      </c>
      <c r="K304" s="20" t="n">
        <v>0.5238095238095238</v>
      </c>
      <c r="L304" s="19" t="n">
        <v>-0.0948762868544604</v>
      </c>
      <c r="M304" s="19" t="n">
        <v>-0.3715041801734328</v>
      </c>
      <c r="N304" s="20" t="n">
        <v>0.0174</v>
      </c>
      <c r="O304" s="27" t="n">
        <v>0.75</v>
      </c>
      <c r="P304" s="17" t="inlineStr">
        <is>
          <t>Draft 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FRES @ SJSU</t>
        </is>
      </c>
      <c r="C305" s="12" t="inlineStr">
        <is>
          <t>2026-09-20 03:00</t>
        </is>
      </c>
      <c r="D305" s="22" t="n">
        <v>3</v>
      </c>
      <c r="E305" s="12" t="inlineStr">
        <is>
          <t>ATS</t>
        </is>
      </c>
      <c r="F305" s="12" t="inlineStr">
        <is>
          <t>FRES -7</t>
        </is>
      </c>
      <c r="G305" s="23" t="n">
        <v>7</v>
      </c>
      <c r="H305" s="13" t="n">
        <v>-115</v>
      </c>
      <c r="I305" s="15" t="n">
        <v>0.3318128217858832</v>
      </c>
      <c r="J305" s="15" t="n">
        <v>0.5108342361863488</v>
      </c>
      <c r="K305" s="15" t="n">
        <v>0.5348837209302325</v>
      </c>
      <c r="L305" s="14" t="n">
        <v>-0.09488133811248403</v>
      </c>
      <c r="M305" s="14" t="n">
        <v>-0.3673534907182223</v>
      </c>
      <c r="N305" s="15" t="n">
        <v>0.0324</v>
      </c>
      <c r="O305" s="24" t="n">
        <v>0.75</v>
      </c>
      <c r="P305" s="12" t="inlineStr">
        <is>
          <t>Draft Kings</t>
        </is>
      </c>
      <c r="Q305" s="12" t="inlineStr">
        <is>
          <t>raw model/market disagreement exceeds the safety limit</t>
        </is>
      </c>
    </row>
    <row r="306">
      <c r="A306" s="17" t="inlineStr">
        <is>
          <t>PASS</t>
        </is>
      </c>
      <c r="B306" s="17" t="inlineStr">
        <is>
          <t>CLT @ APP</t>
        </is>
      </c>
      <c r="C306" s="17" t="inlineStr">
        <is>
          <t>2026-09-19 22:00</t>
        </is>
      </c>
      <c r="D306" s="25" t="n">
        <v>3</v>
      </c>
      <c r="E306" s="17" t="inlineStr">
        <is>
          <t>ATS</t>
        </is>
      </c>
      <c r="F306" s="17" t="inlineStr">
        <is>
          <t>APP -20.5</t>
        </is>
      </c>
      <c r="G306" s="26" t="n">
        <v>-20.5</v>
      </c>
      <c r="H306" s="18" t="n">
        <v>-112</v>
      </c>
      <c r="I306" s="20" t="n">
        <v>0.3237960361182681</v>
      </c>
      <c r="J306" s="20" t="n">
        <v>0.5043297540699688</v>
      </c>
      <c r="K306" s="20" t="n">
        <v>0.5283018867924528</v>
      </c>
      <c r="L306" s="19" t="n">
        <v>-0.09489870006300354</v>
      </c>
      <c r="M306" s="19" t="n">
        <v>-0.3871003602047067</v>
      </c>
      <c r="N306" s="20" t="n">
        <v>0</v>
      </c>
      <c r="O306" s="27" t="n">
        <v>0.75</v>
      </c>
      <c r="P306" s="17" t="inlineStr">
        <is>
          <t>Draft 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LT @ BAY</t>
        </is>
      </c>
      <c r="C307" s="12" t="inlineStr">
        <is>
          <t>2026-09-19 20:00</t>
        </is>
      </c>
      <c r="D307" s="22" t="n">
        <v>3</v>
      </c>
      <c r="E307" s="12" t="inlineStr">
        <is>
          <t>ATS</t>
        </is>
      </c>
      <c r="F307" s="12" t="inlineStr">
        <is>
          <t>BAY -17.5</t>
        </is>
      </c>
      <c r="G307" s="23" t="n">
        <v>-17.5</v>
      </c>
      <c r="H307" s="13" t="n">
        <v>-112</v>
      </c>
      <c r="I307" s="15" t="n">
        <v>0.322852986702454</v>
      </c>
      <c r="J307" s="15" t="n">
        <v>0.5043297540699688</v>
      </c>
      <c r="K307" s="15" t="n">
        <v>0.5283018867924528</v>
      </c>
      <c r="L307" s="14" t="n">
        <v>-0.09490260840429288</v>
      </c>
      <c r="M307" s="14" t="n">
        <v>-0.3888854180274979</v>
      </c>
      <c r="N307" s="15" t="n">
        <v>0</v>
      </c>
      <c r="O307" s="24" t="n">
        <v>0.8333333333333334</v>
      </c>
      <c r="P307" s="12" t="inlineStr">
        <is>
          <t>Draft Kings</t>
        </is>
      </c>
      <c r="Q307" s="12" t="inlineStr">
        <is>
          <t>raw model/market disagreement exceeds the safety limit</t>
        </is>
      </c>
    </row>
    <row r="308">
      <c r="A308" s="17" t="inlineStr">
        <is>
          <t>PASS</t>
        </is>
      </c>
      <c r="B308" s="17" t="inlineStr">
        <is>
          <t>FSU @ ALA</t>
        </is>
      </c>
      <c r="C308" s="17" t="inlineStr">
        <is>
          <t>2026-09-19 19:30</t>
        </is>
      </c>
      <c r="D308" s="25" t="n">
        <v>3</v>
      </c>
      <c r="E308" s="17" t="inlineStr">
        <is>
          <t>ATS</t>
        </is>
      </c>
      <c r="F308" s="17" t="inlineStr">
        <is>
          <t>ALA -19.5</t>
        </is>
      </c>
      <c r="G308" s="26" t="n">
        <v>-19.5</v>
      </c>
      <c r="H308" s="18" t="n">
        <v>-108</v>
      </c>
      <c r="I308" s="20" t="n">
        <v>0.3163259796187166</v>
      </c>
      <c r="J308" s="20" t="n">
        <v>0.4956702459300312</v>
      </c>
      <c r="K308" s="20" t="n">
        <v>0.5192307692307693</v>
      </c>
      <c r="L308" s="19" t="n">
        <v>-0.09490659097135214</v>
      </c>
      <c r="M308" s="19" t="n">
        <v>-0.3907795948083976</v>
      </c>
      <c r="N308" s="20" t="n">
        <v>0</v>
      </c>
      <c r="O308" s="27" t="n">
        <v>0.839</v>
      </c>
      <c r="P308" s="17" t="inlineStr">
        <is>
          <t>Draft 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TULN @ KSU</t>
        </is>
      </c>
      <c r="C309" s="12" t="inlineStr">
        <is>
          <t>2026-09-19 16:00</t>
        </is>
      </c>
      <c r="D309" s="22" t="n">
        <v>3</v>
      </c>
      <c r="E309" s="12" t="inlineStr">
        <is>
          <t>ATS</t>
        </is>
      </c>
      <c r="F309" s="12" t="inlineStr">
        <is>
          <t>KSU -19.5</t>
        </is>
      </c>
      <c r="G309" s="23" t="n">
        <v>-19.5</v>
      </c>
      <c r="H309" s="13" t="n">
        <v>-112</v>
      </c>
      <c r="I309" s="15" t="n">
        <v>0.319176002189195</v>
      </c>
      <c r="J309" s="15" t="n">
        <v>0.5043297540699688</v>
      </c>
      <c r="K309" s="15" t="n">
        <v>0.5283018867924528</v>
      </c>
      <c r="L309" s="14" t="n">
        <v>-0.09491646032921548</v>
      </c>
      <c r="M309" s="14" t="n">
        <v>-0.3958454244275953</v>
      </c>
      <c r="N309" s="15" t="n">
        <v>0</v>
      </c>
      <c r="O309" s="24" t="n">
        <v>0.8333333333333334</v>
      </c>
      <c r="P309" s="12" t="inlineStr">
        <is>
          <t>Draft 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BGSU @ ISU</t>
        </is>
      </c>
      <c r="C310" s="17" t="inlineStr">
        <is>
          <t>2026-09-19 16:00</t>
        </is>
      </c>
      <c r="D310" s="25" t="n">
        <v>3</v>
      </c>
      <c r="E310" s="17" t="inlineStr">
        <is>
          <t>ATS</t>
        </is>
      </c>
      <c r="F310" s="17" t="inlineStr">
        <is>
          <t>ISU -22.5</t>
        </is>
      </c>
      <c r="G310" s="26" t="n">
        <v>-22.5</v>
      </c>
      <c r="H310" s="18" t="n">
        <v>-112</v>
      </c>
      <c r="I310" s="20" t="n">
        <v>0.3064509256776571</v>
      </c>
      <c r="J310" s="20" t="n">
        <v>0.5043297540699688</v>
      </c>
      <c r="K310" s="20" t="n">
        <v>0.5283018867924528</v>
      </c>
      <c r="L310" s="19" t="n">
        <v>-0.09495087785262731</v>
      </c>
      <c r="M310" s="19" t="n">
        <v>-0.4199321763958634</v>
      </c>
      <c r="N310" s="20" t="n">
        <v>0</v>
      </c>
      <c r="O310" s="27" t="n">
        <v>0.8333333333333334</v>
      </c>
      <c r="P310" s="17" t="inlineStr">
        <is>
          <t>Draft Kings</t>
        </is>
      </c>
      <c r="Q310" s="17" t="inlineStr">
        <is>
          <t>raw model/market disagreement exceeds the safety limit</t>
        </is>
      </c>
    </row>
    <row r="311">
      <c r="A311" s="12" t="inlineStr">
        <is>
          <t>PASS</t>
        </is>
      </c>
      <c r="B311" s="12" t="inlineStr">
        <is>
          <t>WMU @ RICE</t>
        </is>
      </c>
      <c r="C311" s="12" t="inlineStr">
        <is>
          <t>2026-09-19 23:00</t>
        </is>
      </c>
      <c r="D311" s="22" t="n">
        <v>3</v>
      </c>
      <c r="E311" s="12" t="inlineStr">
        <is>
          <t>ATS</t>
        </is>
      </c>
      <c r="F311" s="12" t="inlineStr">
        <is>
          <t>WMU -12.5</t>
        </is>
      </c>
      <c r="G311" s="23" t="n">
        <v>12.5</v>
      </c>
      <c r="H311" s="13" t="n">
        <v>-108</v>
      </c>
      <c r="I311" s="15" t="n">
        <v>0.2962503035887889</v>
      </c>
      <c r="J311" s="15" t="n">
        <v>0.4956702459300312</v>
      </c>
      <c r="K311" s="15" t="n">
        <v>0.5192307692307693</v>
      </c>
      <c r="L311" s="14" t="n">
        <v>-0.094960171022129</v>
      </c>
      <c r="M311" s="14" t="n">
        <v>-0.4294438597549251</v>
      </c>
      <c r="N311" s="15" t="n">
        <v>0</v>
      </c>
      <c r="O311" s="24" t="n">
        <v>0.8333333333333334</v>
      </c>
      <c r="P311" s="12" t="inlineStr">
        <is>
          <t>Draft Kings</t>
        </is>
      </c>
      <c r="Q311" s="12" t="inlineStr">
        <is>
          <t>raw model/market disagreement exceeds the safety limit</t>
        </is>
      </c>
    </row>
    <row r="312">
      <c r="A312" s="17" t="inlineStr">
        <is>
          <t>PASS</t>
        </is>
      </c>
      <c r="B312" s="17" t="inlineStr">
        <is>
          <t>ARST @ TCU</t>
        </is>
      </c>
      <c r="C312" s="17" t="inlineStr">
        <is>
          <t>2026-09-20 00:00</t>
        </is>
      </c>
      <c r="D312" s="25" t="n">
        <v>3</v>
      </c>
      <c r="E312" s="17" t="inlineStr">
        <is>
          <t>ATS</t>
        </is>
      </c>
      <c r="F312" s="17" t="inlineStr">
        <is>
          <t>TCU -20.5</t>
        </is>
      </c>
      <c r="G312" s="26" t="n">
        <v>-20.5</v>
      </c>
      <c r="H312" s="18" t="n">
        <v>-112</v>
      </c>
      <c r="I312" s="20" t="n">
        <v>0.3000404190298016</v>
      </c>
      <c r="J312" s="20" t="n">
        <v>0.5043297540699688</v>
      </c>
      <c r="K312" s="20" t="n">
        <v>0.5283018867924528</v>
      </c>
      <c r="L312" s="19" t="n">
        <v>-0.09496240872757918</v>
      </c>
      <c r="M312" s="19" t="n">
        <v>-0.4320663496935898</v>
      </c>
      <c r="N312" s="20" t="n">
        <v>0</v>
      </c>
      <c r="O312" s="27" t="n">
        <v>0.8333333333333334</v>
      </c>
      <c r="P312" s="17" t="inlineStr">
        <is>
          <t>Draft Kings</t>
        </is>
      </c>
      <c r="Q312" s="17" t="inlineStr">
        <is>
          <t>raw model/market disagreement exceeds the safety limit</t>
        </is>
      </c>
    </row>
    <row r="313">
      <c r="A313" s="12" t="inlineStr">
        <is>
          <t>PASS</t>
        </is>
      </c>
      <c r="B313" s="12" t="inlineStr">
        <is>
          <t>GAST @ UCF</t>
        </is>
      </c>
      <c r="C313" s="12" t="inlineStr">
        <is>
          <t>2026-09-19 23:00</t>
        </is>
      </c>
      <c r="D313" s="22" t="n">
        <v>3</v>
      </c>
      <c r="E313" s="12" t="inlineStr">
        <is>
          <t>ATS</t>
        </is>
      </c>
      <c r="F313" s="12" t="inlineStr">
        <is>
          <t>UCF -21</t>
        </is>
      </c>
      <c r="G313" s="23" t="n">
        <v>-21</v>
      </c>
      <c r="H313" s="13" t="n">
        <v>-110</v>
      </c>
      <c r="I313" s="15" t="n">
        <v>0.2887733227694809</v>
      </c>
      <c r="J313" s="15" t="n">
        <v>0.5</v>
      </c>
      <c r="K313" s="15" t="n">
        <v>0.5238095238095238</v>
      </c>
      <c r="L313" s="14" t="n">
        <v>-0.09497392733919935</v>
      </c>
      <c r="M313" s="14" t="n">
        <v>-0.441795410402232</v>
      </c>
      <c r="N313" s="15" t="n">
        <v>0.0154</v>
      </c>
      <c r="O313" s="24" t="n">
        <v>0.8333333333333334</v>
      </c>
      <c r="P313" s="12" t="inlineStr">
        <is>
          <t>Draft Kings</t>
        </is>
      </c>
      <c r="Q313" s="12" t="inlineStr">
        <is>
          <t>raw model/market disagreement exceeds the safety limit</t>
        </is>
      </c>
    </row>
    <row r="314">
      <c r="A314" s="17" t="inlineStr">
        <is>
          <t>PASS</t>
        </is>
      </c>
      <c r="B314" s="17" t="inlineStr">
        <is>
          <t>UNM @ OU</t>
        </is>
      </c>
      <c r="C314" s="17" t="inlineStr">
        <is>
          <t>2026-09-19 23:30</t>
        </is>
      </c>
      <c r="D314" s="25" t="n">
        <v>3</v>
      </c>
      <c r="E314" s="17" t="inlineStr">
        <is>
          <t>ATS</t>
        </is>
      </c>
      <c r="F314" s="17" t="inlineStr">
        <is>
          <t>OU -23.5</t>
        </is>
      </c>
      <c r="G314" s="26" t="n">
        <v>-23.5</v>
      </c>
      <c r="H314" s="18" t="n">
        <v>-110</v>
      </c>
      <c r="I314" s="20" t="n">
        <v>0.2831629123339607</v>
      </c>
      <c r="J314" s="20" t="n">
        <v>0.5</v>
      </c>
      <c r="K314" s="20" t="n">
        <v>0.5238095238095238</v>
      </c>
      <c r="L314" s="19" t="n">
        <v>-0.09497941241239026</v>
      </c>
      <c r="M314" s="19" t="n">
        <v>-0.4594162582715295</v>
      </c>
      <c r="N314" s="20" t="n">
        <v>0</v>
      </c>
      <c r="O314" s="27" t="n">
        <v>0.8333333333333334</v>
      </c>
      <c r="P314" s="17" t="inlineStr">
        <is>
          <t>Draft Kings</t>
        </is>
      </c>
      <c r="Q314" s="17" t="inlineStr">
        <is>
          <t>raw model/market disagreement exceeds the safety limit</t>
        </is>
      </c>
    </row>
    <row r="315">
      <c r="A315" s="12" t="inlineStr">
        <is>
          <t>PASS</t>
        </is>
      </c>
      <c r="B315" s="12" t="inlineStr">
        <is>
          <t>EMU @ WIS</t>
        </is>
      </c>
      <c r="C315" s="12" t="inlineStr">
        <is>
          <t>2026-09-19 16:30</t>
        </is>
      </c>
      <c r="D315" s="22" t="n">
        <v>3</v>
      </c>
      <c r="E315" s="12" t="inlineStr">
        <is>
          <t>ATS</t>
        </is>
      </c>
      <c r="F315" s="12" t="inlineStr">
        <is>
          <t>WIS -24.5</t>
        </is>
      </c>
      <c r="G315" s="23" t="n">
        <v>-24.5</v>
      </c>
      <c r="H315" s="13" t="n">
        <v>-108</v>
      </c>
      <c r="I315" s="15" t="n">
        <v>0.2801234769167282</v>
      </c>
      <c r="J315" s="15" t="n">
        <v>0.4956702459300312</v>
      </c>
      <c r="K315" s="15" t="n">
        <v>0.5192307692307693</v>
      </c>
      <c r="L315" s="14" t="n">
        <v>-0.09497991962377546</v>
      </c>
      <c r="M315" s="14" t="n">
        <v>-0.4605029333455605</v>
      </c>
      <c r="N315" s="15" t="n">
        <v>0</v>
      </c>
      <c r="O315" s="24" t="n">
        <v>0.8333333333333334</v>
      </c>
      <c r="P315" s="12" t="inlineStr">
        <is>
          <t>Draft Kings</t>
        </is>
      </c>
      <c r="Q315" s="12" t="inlineStr">
        <is>
          <t>raw model/market disagreement exceeds the safety limit</t>
        </is>
      </c>
    </row>
    <row r="316">
      <c r="A316" s="17" t="inlineStr">
        <is>
          <t>PASS</t>
        </is>
      </c>
      <c r="B316" s="17" t="inlineStr">
        <is>
          <t>TROY @ MIZ</t>
        </is>
      </c>
      <c r="C316" s="17" t="inlineStr">
        <is>
          <t>2026-09-19 23:00</t>
        </is>
      </c>
      <c r="D316" s="25" t="n">
        <v>3</v>
      </c>
      <c r="E316" s="17" t="inlineStr">
        <is>
          <t>ATS</t>
        </is>
      </c>
      <c r="F316" s="17" t="inlineStr">
        <is>
          <t>MIZ -27.5</t>
        </is>
      </c>
      <c r="G316" s="26" t="n">
        <v>-27.5</v>
      </c>
      <c r="H316" s="18" t="n">
        <v>-108</v>
      </c>
      <c r="I316" s="20" t="n">
        <v>0.2756825403246402</v>
      </c>
      <c r="J316" s="20" t="n">
        <v>0.4956702459300312</v>
      </c>
      <c r="K316" s="20" t="n">
        <v>0.5192307692307693</v>
      </c>
      <c r="L316" s="19" t="n">
        <v>-0.09498337111843734</v>
      </c>
      <c r="M316" s="19" t="n">
        <v>-0.4690558482636559</v>
      </c>
      <c r="N316" s="20" t="n">
        <v>0</v>
      </c>
      <c r="O316" s="27" t="n">
        <v>0.75</v>
      </c>
      <c r="P316" s="17" t="inlineStr">
        <is>
          <t>Draft Kings</t>
        </is>
      </c>
      <c r="Q316" s="17" t="inlineStr">
        <is>
          <t>raw model/market disagreement exceeds the safety limit</t>
        </is>
      </c>
    </row>
    <row r="317">
      <c r="A317" s="12" t="inlineStr">
        <is>
          <t>PASS</t>
        </is>
      </c>
      <c r="B317" s="12" t="inlineStr">
        <is>
          <t>USU @ UTAH</t>
        </is>
      </c>
      <c r="C317" s="12" t="inlineStr">
        <is>
          <t>2026-09-19 19:30</t>
        </is>
      </c>
      <c r="D317" s="22" t="n">
        <v>3</v>
      </c>
      <c r="E317" s="12" t="inlineStr">
        <is>
          <t>ATS</t>
        </is>
      </c>
      <c r="F317" s="12" t="inlineStr">
        <is>
          <t>UTAH -27.5</t>
        </is>
      </c>
      <c r="G317" s="23" t="n">
        <v>-27.5</v>
      </c>
      <c r="H317" s="13" t="n">
        <v>-115</v>
      </c>
      <c r="I317" s="15" t="n">
        <v>0.278395101529037</v>
      </c>
      <c r="J317" s="15" t="n">
        <v>0.5108342361863488</v>
      </c>
      <c r="K317" s="15" t="n">
        <v>0.5348837209302325</v>
      </c>
      <c r="L317" s="14" t="n">
        <v>-0.09498686383689649</v>
      </c>
      <c r="M317" s="14" t="n">
        <v>-0.4795222014891917</v>
      </c>
      <c r="N317" s="15" t="n">
        <v>0</v>
      </c>
      <c r="O317" s="24" t="n">
        <v>0.8333333333333334</v>
      </c>
      <c r="P317" s="12" t="inlineStr">
        <is>
          <t>Draft Kings</t>
        </is>
      </c>
      <c r="Q317" s="12" t="inlineStr">
        <is>
          <t>raw model/market disagreement exceeds the safety limit</t>
        </is>
      </c>
    </row>
    <row r="318">
      <c r="A318" s="17" t="inlineStr">
        <is>
          <t>PASS</t>
        </is>
      </c>
      <c r="B318" s="17" t="inlineStr">
        <is>
          <t>MSU @ ND</t>
        </is>
      </c>
      <c r="C318" s="17" t="inlineStr">
        <is>
          <t>2026-09-19 23:30</t>
        </is>
      </c>
      <c r="D318" s="25" t="n">
        <v>3</v>
      </c>
      <c r="E318" s="17" t="inlineStr">
        <is>
          <t>ATS</t>
        </is>
      </c>
      <c r="F318" s="17" t="inlineStr">
        <is>
          <t>ND -29.5</t>
        </is>
      </c>
      <c r="G318" s="26" t="n">
        <v>-29.5</v>
      </c>
      <c r="H318" s="18" t="n">
        <v>-105</v>
      </c>
      <c r="I318" s="20" t="n">
        <v>0.2620089378839889</v>
      </c>
      <c r="J318" s="20" t="n">
        <v>0.4891657638136511</v>
      </c>
      <c r="K318" s="20" t="n">
        <v>0.5121951219512195</v>
      </c>
      <c r="L318" s="19" t="n">
        <v>-0.09498921251820865</v>
      </c>
      <c r="M318" s="19" t="n">
        <v>-0.4884587403217359</v>
      </c>
      <c r="N318" s="20" t="n">
        <v>0</v>
      </c>
      <c r="O318" s="27" t="n">
        <v>0.839</v>
      </c>
      <c r="P318" s="17" t="inlineStr">
        <is>
          <t>Draft Kings</t>
        </is>
      </c>
      <c r="Q318" s="17" t="inlineStr">
        <is>
          <t>raw model/market disagreement exceeds the safety limit</t>
        </is>
      </c>
    </row>
    <row r="319">
      <c r="A319" s="12" t="inlineStr">
        <is>
          <t>PASS</t>
        </is>
      </c>
      <c r="B319" s="12" t="inlineStr">
        <is>
          <t>AKR @ MINN</t>
        </is>
      </c>
      <c r="C319" s="12" t="inlineStr">
        <is>
          <t>2026-09-19 16:00</t>
        </is>
      </c>
      <c r="D319" s="22" t="n">
        <v>3</v>
      </c>
      <c r="E319" s="12" t="inlineStr">
        <is>
          <t>ATS</t>
        </is>
      </c>
      <c r="F319" s="12" t="inlineStr">
        <is>
          <t>MINN -26.5</t>
        </is>
      </c>
      <c r="G319" s="23" t="n">
        <v>-26.5</v>
      </c>
      <c r="H319" s="13" t="n">
        <v>-110</v>
      </c>
      <c r="I319" s="15" t="n">
        <v>0.2661572074001669</v>
      </c>
      <c r="J319" s="15" t="n">
        <v>0.5</v>
      </c>
      <c r="K319" s="15" t="n">
        <v>0.5238095238095238</v>
      </c>
      <c r="L319" s="14" t="n">
        <v>-0.09498993852197755</v>
      </c>
      <c r="M319" s="14" t="n">
        <v>-0.4918816949633177</v>
      </c>
      <c r="N319" s="15" t="n">
        <v>0</v>
      </c>
      <c r="O319" s="24" t="n">
        <v>0.8333333333333334</v>
      </c>
      <c r="P319" s="12" t="inlineStr">
        <is>
          <t>Draft Kings</t>
        </is>
      </c>
      <c r="Q319" s="12" t="inlineStr">
        <is>
          <t>raw model/market disagreement exceeds the safety limit</t>
        </is>
      </c>
    </row>
    <row r="320">
      <c r="A320" s="17" t="inlineStr">
        <is>
          <t>PASS</t>
        </is>
      </c>
      <c r="B320" s="17" t="inlineStr">
        <is>
          <t>BYU @ CSU</t>
        </is>
      </c>
      <c r="C320" s="17" t="inlineStr">
        <is>
          <t>2026-09-19 23:30</t>
        </is>
      </c>
      <c r="D320" s="25" t="n">
        <v>3</v>
      </c>
      <c r="E320" s="17" t="inlineStr">
        <is>
          <t>ATS</t>
        </is>
      </c>
      <c r="F320" s="17" t="inlineStr">
        <is>
          <t>BYU -20.5</t>
        </is>
      </c>
      <c r="G320" s="26" t="n">
        <v>20.5</v>
      </c>
      <c r="H320" s="18" t="n">
        <v>-105</v>
      </c>
      <c r="I320" s="20" t="n">
        <v>0.2551340242610671</v>
      </c>
      <c r="J320" s="20" t="n">
        <v>0.4891657638136511</v>
      </c>
      <c r="K320" s="20" t="n">
        <v>0.5121951219512195</v>
      </c>
      <c r="L320" s="19" t="n">
        <v>-0.09499197533786689</v>
      </c>
      <c r="M320" s="19" t="n">
        <v>-0.5018811907283928</v>
      </c>
      <c r="N320" s="20" t="n">
        <v>0</v>
      </c>
      <c r="O320" s="27" t="n">
        <v>0.8333333333333334</v>
      </c>
      <c r="P320" s="17" t="inlineStr">
        <is>
          <t>Draft Kings</t>
        </is>
      </c>
      <c r="Q320" s="17" t="inlineStr">
        <is>
          <t>raw model/market disagreement exceeds the safety limit</t>
        </is>
      </c>
    </row>
    <row r="321">
      <c r="A321" s="12" t="inlineStr">
        <is>
          <t>PASS</t>
        </is>
      </c>
      <c r="B321" s="12" t="inlineStr">
        <is>
          <t>MIA @ WAKE</t>
        </is>
      </c>
      <c r="C321" s="12" t="inlineStr">
        <is>
          <t>2026-09-18 23:30</t>
        </is>
      </c>
      <c r="D321" s="22" t="n">
        <v>3</v>
      </c>
      <c r="E321" s="12" t="inlineStr">
        <is>
          <t>ATS</t>
        </is>
      </c>
      <c r="F321" s="12" t="inlineStr">
        <is>
          <t>MIA -22.5</t>
        </is>
      </c>
      <c r="G321" s="23" t="n">
        <v>22.5</v>
      </c>
      <c r="H321" s="13" t="n">
        <v>-108</v>
      </c>
      <c r="I321" s="15" t="n">
        <v>0.2578632747217273</v>
      </c>
      <c r="J321" s="15" t="n">
        <v>0.4956702459300312</v>
      </c>
      <c r="K321" s="15" t="n">
        <v>0.5192307692307693</v>
      </c>
      <c r="L321" s="14" t="n">
        <v>-0.09499219824444322</v>
      </c>
      <c r="M321" s="14" t="n">
        <v>-0.5033744338692658</v>
      </c>
      <c r="N321" s="15" t="n">
        <v>0</v>
      </c>
      <c r="O321" s="24" t="n">
        <v>0.839</v>
      </c>
      <c r="P321" s="12" t="inlineStr">
        <is>
          <t>Draft Kings</t>
        </is>
      </c>
      <c r="Q321" s="12" t="inlineStr">
        <is>
          <t>raw model/market disagreement exceeds the safety limit</t>
        </is>
      </c>
    </row>
    <row r="322">
      <c r="A322" s="17" t="inlineStr">
        <is>
          <t>PASS</t>
        </is>
      </c>
      <c r="B322" s="17" t="inlineStr">
        <is>
          <t>UTSA @ TEX</t>
        </is>
      </c>
      <c r="C322" s="17" t="inlineStr">
        <is>
          <t>2026-09-20 00:00</t>
        </is>
      </c>
      <c r="D322" s="25" t="n">
        <v>3</v>
      </c>
      <c r="E322" s="17" t="inlineStr">
        <is>
          <t>ATS</t>
        </is>
      </c>
      <c r="F322" s="17" t="inlineStr">
        <is>
          <t>TEX -29.5</t>
        </is>
      </c>
      <c r="G322" s="26" t="n">
        <v>-29.5</v>
      </c>
      <c r="H322" s="18" t="n">
        <v>-115</v>
      </c>
      <c r="I322" s="20" t="n">
        <v>0.2649399704665141</v>
      </c>
      <c r="J322" s="20" t="n">
        <v>0.5108342361863488</v>
      </c>
      <c r="K322" s="20" t="n">
        <v>0.5348837209302325</v>
      </c>
      <c r="L322" s="19" t="n">
        <v>-0.09499245502268756</v>
      </c>
      <c r="M322" s="19" t="n">
        <v>-0.5046774465191257</v>
      </c>
      <c r="N322" s="20" t="n">
        <v>0</v>
      </c>
      <c r="O322" s="27" t="n">
        <v>0.839</v>
      </c>
      <c r="P322" s="17" t="inlineStr">
        <is>
          <t>Draft Kings</t>
        </is>
      </c>
      <c r="Q322" s="17" t="inlineStr">
        <is>
          <t>raw model/market disagreement exceeds the safety limit</t>
        </is>
      </c>
    </row>
    <row r="323">
      <c r="A323" s="12" t="inlineStr">
        <is>
          <t>PASS</t>
        </is>
      </c>
      <c r="B323" s="12" t="inlineStr">
        <is>
          <t>KENN @ TENN</t>
        </is>
      </c>
      <c r="C323" s="12" t="inlineStr">
        <is>
          <t>2026-09-19 23:45</t>
        </is>
      </c>
      <c r="D323" s="22" t="n">
        <v>3</v>
      </c>
      <c r="E323" s="12" t="inlineStr">
        <is>
          <t>ATS</t>
        </is>
      </c>
      <c r="F323" s="12" t="inlineStr">
        <is>
          <t>TENN -34.5</t>
        </is>
      </c>
      <c r="G323" s="23" t="n">
        <v>-34.5</v>
      </c>
      <c r="H323" s="13" t="n">
        <v>-110</v>
      </c>
      <c r="I323" s="15" t="n">
        <v>0.2589378697888528</v>
      </c>
      <c r="J323" s="15" t="n">
        <v>0.5</v>
      </c>
      <c r="K323" s="15" t="n">
        <v>0.5238095238095238</v>
      </c>
      <c r="L323" s="14" t="n">
        <v>-0.09499257571899786</v>
      </c>
      <c r="M323" s="14" t="n">
        <v>-0.5056640667667356</v>
      </c>
      <c r="N323" s="15" t="n">
        <v>0</v>
      </c>
      <c r="O323" s="24" t="n">
        <v>0.8333333333333334</v>
      </c>
      <c r="P323" s="12" t="inlineStr">
        <is>
          <t>Draft Kings</t>
        </is>
      </c>
      <c r="Q323" s="12" t="inlineStr">
        <is>
          <t>raw model/market disagreement exceeds the safety limit</t>
        </is>
      </c>
    </row>
    <row r="324">
      <c r="A324" s="17" t="inlineStr">
        <is>
          <t>PASS</t>
        </is>
      </c>
      <c r="B324" s="17" t="inlineStr">
        <is>
          <t>UGA @ ARK</t>
        </is>
      </c>
      <c r="C324" s="17" t="inlineStr">
        <is>
          <t>2026-09-19 16:00</t>
        </is>
      </c>
      <c r="D324" s="25" t="n">
        <v>3</v>
      </c>
      <c r="E324" s="17" t="inlineStr">
        <is>
          <t>ATS</t>
        </is>
      </c>
      <c r="F324" s="17" t="inlineStr">
        <is>
          <t>UGA -24.5</t>
        </is>
      </c>
      <c r="G324" s="26" t="n">
        <v>24.5</v>
      </c>
      <c r="H324" s="18" t="n">
        <v>-108</v>
      </c>
      <c r="I324" s="20" t="n">
        <v>0.25499208877437</v>
      </c>
      <c r="J324" s="20" t="n">
        <v>0.4956702459300312</v>
      </c>
      <c r="K324" s="20" t="n">
        <v>0.5192307692307693</v>
      </c>
      <c r="L324" s="19" t="n">
        <v>-0.09499309389748029</v>
      </c>
      <c r="M324" s="19" t="n">
        <v>-0.5089041253234357</v>
      </c>
      <c r="N324" s="20" t="n">
        <v>0</v>
      </c>
      <c r="O324" s="27" t="n">
        <v>0.839</v>
      </c>
      <c r="P324" s="17" t="inlineStr">
        <is>
          <t>Draft Kings</t>
        </is>
      </c>
      <c r="Q324" s="17" t="inlineStr">
        <is>
          <t>raw model/market disagreement exceeds the safety limit</t>
        </is>
      </c>
    </row>
    <row r="325">
      <c r="A325" s="12" t="inlineStr">
        <is>
          <t>PASS</t>
        </is>
      </c>
      <c r="B325" s="12" t="inlineStr">
        <is>
          <t>USC @ RUTG</t>
        </is>
      </c>
      <c r="C325" s="12" t="inlineStr">
        <is>
          <t>2026-09-19 19:30</t>
        </is>
      </c>
      <c r="D325" s="22" t="n">
        <v>3</v>
      </c>
      <c r="E325" s="12" t="inlineStr">
        <is>
          <t>ATS</t>
        </is>
      </c>
      <c r="F325" s="12" t="inlineStr">
        <is>
          <t>USC -24.5</t>
        </is>
      </c>
      <c r="G325" s="23" t="n">
        <v>24.5</v>
      </c>
      <c r="H325" s="13" t="n">
        <v>-112</v>
      </c>
      <c r="I325" s="15" t="n">
        <v>0.2580847283215602</v>
      </c>
      <c r="J325" s="15" t="n">
        <v>0.5043297540699688</v>
      </c>
      <c r="K325" s="15" t="n">
        <v>0.5283018867924528</v>
      </c>
      <c r="L325" s="14" t="n">
        <v>-0.09499347561818997</v>
      </c>
      <c r="M325" s="14" t="n">
        <v>-0.5114824785341897</v>
      </c>
      <c r="N325" s="15" t="n">
        <v>0</v>
      </c>
      <c r="O325" s="24" t="n">
        <v>0.75</v>
      </c>
      <c r="P325" s="12" t="inlineStr">
        <is>
          <t>Draft Kings</t>
        </is>
      </c>
      <c r="Q325" s="12" t="inlineStr">
        <is>
          <t>raw model/market disagreement exceeds the safety limit</t>
        </is>
      </c>
    </row>
    <row r="326">
      <c r="A326" s="17" t="inlineStr">
        <is>
          <t>PASS</t>
        </is>
      </c>
      <c r="B326" s="17" t="inlineStr">
        <is>
          <t>NDSU @ SAC</t>
        </is>
      </c>
      <c r="C326" s="17" t="inlineStr">
        <is>
          <t>2026-09-20 02:30</t>
        </is>
      </c>
      <c r="D326" s="25" t="n">
        <v>3</v>
      </c>
      <c r="E326" s="17" t="inlineStr">
        <is>
          <t>ATS</t>
        </is>
      </c>
      <c r="F326" s="17" t="inlineStr">
        <is>
          <t>NDSU -27.5</t>
        </is>
      </c>
      <c r="G326" s="26" t="n">
        <v>27.5</v>
      </c>
      <c r="H326" s="18" t="n">
        <v>-108</v>
      </c>
      <c r="I326" s="20" t="n">
        <v>0.2518790348140443</v>
      </c>
      <c r="J326" s="20" t="n">
        <v>0.4956702459300312</v>
      </c>
      <c r="K326" s="20" t="n">
        <v>0.5192307692307693</v>
      </c>
      <c r="L326" s="19" t="n">
        <v>-0.09499394920891542</v>
      </c>
      <c r="M326" s="19" t="n">
        <v>-0.5148996366544332</v>
      </c>
      <c r="N326" s="20" t="n">
        <v>0</v>
      </c>
      <c r="O326" s="27" t="n">
        <v>0.75</v>
      </c>
      <c r="P326" s="17" t="inlineStr">
        <is>
          <t>Draft Kings</t>
        </is>
      </c>
      <c r="Q326" s="17" t="inlineStr">
        <is>
          <t>raw model/market disagreement exceeds the safety limit</t>
        </is>
      </c>
    </row>
    <row r="327">
      <c r="A327" s="12" t="inlineStr">
        <is>
          <t>PASS</t>
        </is>
      </c>
      <c r="B327" s="12" t="inlineStr">
        <is>
          <t>BUFF @ PSU</t>
        </is>
      </c>
      <c r="C327" s="12" t="inlineStr">
        <is>
          <t>2026-09-19 16:00</t>
        </is>
      </c>
      <c r="D327" s="22" t="n">
        <v>3</v>
      </c>
      <c r="E327" s="12" t="inlineStr">
        <is>
          <t>ATS</t>
        </is>
      </c>
      <c r="F327" s="12" t="inlineStr">
        <is>
          <t>PSU -39.5</t>
        </is>
      </c>
      <c r="G327" s="23" t="n">
        <v>-39.5</v>
      </c>
      <c r="H327" s="13" t="n">
        <v>-108</v>
      </c>
      <c r="I327" s="15" t="n">
        <v>0.250787552046614</v>
      </c>
      <c r="J327" s="15" t="n">
        <v>0.4956702459300312</v>
      </c>
      <c r="K327" s="15" t="n">
        <v>0.5192307692307693</v>
      </c>
      <c r="L327" s="14" t="n">
        <v>-0.09499422330423656</v>
      </c>
      <c r="M327" s="14" t="n">
        <v>-0.5170017516139287</v>
      </c>
      <c r="N327" s="15" t="n">
        <v>0</v>
      </c>
      <c r="O327" s="24" t="n">
        <v>0.8333333333333334</v>
      </c>
      <c r="P327" s="12" t="inlineStr">
        <is>
          <t>Draft Kings</t>
        </is>
      </c>
      <c r="Q327" s="12" t="inlineStr">
        <is>
          <t>raw model/market disagreement exceeds the safety limit</t>
        </is>
      </c>
    </row>
    <row r="328">
      <c r="A328" s="17" t="inlineStr">
        <is>
          <t>PASS</t>
        </is>
      </c>
      <c r="B328" s="17" t="inlineStr">
        <is>
          <t>UTEP @ MICH</t>
        </is>
      </c>
      <c r="C328" s="17" t="inlineStr">
        <is>
          <t>2026-09-19 19:30</t>
        </is>
      </c>
      <c r="D328" s="25" t="n">
        <v>3</v>
      </c>
      <c r="E328" s="17" t="inlineStr">
        <is>
          <t>ATS</t>
        </is>
      </c>
      <c r="F328" s="17" t="inlineStr">
        <is>
          <t>MICH -36.5</t>
        </is>
      </c>
      <c r="G328" s="26" t="n">
        <v>-36.5</v>
      </c>
      <c r="H328" s="18" t="n">
        <v>-110</v>
      </c>
      <c r="I328" s="20" t="n">
        <v>0.2528959504753969</v>
      </c>
      <c r="J328" s="20" t="n">
        <v>0.5</v>
      </c>
      <c r="K328" s="20" t="n">
        <v>0.5238095238095238</v>
      </c>
      <c r="L328" s="19" t="n">
        <v>-0.09499424327912803</v>
      </c>
      <c r="M328" s="19" t="n">
        <v>-0.5171986400015151</v>
      </c>
      <c r="N328" s="20" t="n">
        <v>0</v>
      </c>
      <c r="O328" s="27" t="n">
        <v>0.75</v>
      </c>
      <c r="P328" s="17" t="inlineStr">
        <is>
          <t>Draft Kings</t>
        </is>
      </c>
      <c r="Q328" s="17" t="inlineStr">
        <is>
          <t>raw model/market disagreement exceeds the safety limit</t>
        </is>
      </c>
    </row>
    <row r="329">
      <c r="A329" s="12" t="inlineStr">
        <is>
          <t>PASS</t>
        </is>
      </c>
      <c r="B329" s="12" t="inlineStr">
        <is>
          <t>WKU @ IU</t>
        </is>
      </c>
      <c r="C329" s="12" t="inlineStr">
        <is>
          <t>2026-09-19 20:00</t>
        </is>
      </c>
      <c r="D329" s="22" t="n">
        <v>3</v>
      </c>
      <c r="E329" s="12" t="inlineStr">
        <is>
          <t>ATS</t>
        </is>
      </c>
      <c r="F329" s="12" t="inlineStr">
        <is>
          <t>IU -44.5</t>
        </is>
      </c>
      <c r="G329" s="23" t="n">
        <v>-44.5</v>
      </c>
      <c r="H329" s="13" t="n">
        <v>-108</v>
      </c>
      <c r="I329" s="15" t="n">
        <v>0.2487396142707562</v>
      </c>
      <c r="J329" s="15" t="n">
        <v>0.4956702459300312</v>
      </c>
      <c r="K329" s="15" t="n">
        <v>0.5192307692307693</v>
      </c>
      <c r="L329" s="14" t="n">
        <v>-0.09499470452753851</v>
      </c>
      <c r="M329" s="14" t="n">
        <v>-0.5209459280711362</v>
      </c>
      <c r="N329" s="15" t="n">
        <v>0</v>
      </c>
      <c r="O329" s="24" t="n">
        <v>0.839</v>
      </c>
      <c r="P329" s="12" t="inlineStr">
        <is>
          <t>Draft Kings</t>
        </is>
      </c>
      <c r="Q329" s="12" t="inlineStr">
        <is>
          <t>raw model/market disagreement exceeds the safety limit</t>
        </is>
      </c>
    </row>
    <row r="330">
      <c r="A330" s="17" t="inlineStr">
        <is>
          <t>PASS</t>
        </is>
      </c>
      <c r="B330" s="17" t="inlineStr">
        <is>
          <t>KENT @ OSU</t>
        </is>
      </c>
      <c r="C330" s="17" t="inlineStr">
        <is>
          <t>2026-09-19 16:00</t>
        </is>
      </c>
      <c r="D330" s="25" t="n">
        <v>3</v>
      </c>
      <c r="E330" s="17" t="inlineStr">
        <is>
          <t>ATS</t>
        </is>
      </c>
      <c r="F330" s="17" t="inlineStr">
        <is>
          <t>OSU -51.5</t>
        </is>
      </c>
      <c r="G330" s="26" t="n">
        <v>-51.5</v>
      </c>
      <c r="H330" s="18" t="n">
        <v>-120</v>
      </c>
      <c r="I330" s="20" t="n">
        <v>0.2609938711027655</v>
      </c>
      <c r="J330" s="20" t="n">
        <v>0.5217391304347826</v>
      </c>
      <c r="K330" s="20" t="n">
        <v>0.5454545454545454</v>
      </c>
      <c r="L330" s="19" t="n">
        <v>-0.09499487847391856</v>
      </c>
      <c r="M330" s="19" t="n">
        <v>-0.5215112363115966</v>
      </c>
      <c r="N330" s="20" t="n">
        <v>0</v>
      </c>
      <c r="O330" s="27" t="n">
        <v>0.839</v>
      </c>
      <c r="P330" s="17" t="inlineStr">
        <is>
          <t>Draft Kings</t>
        </is>
      </c>
      <c r="Q33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2026-09-20</t>
        </is>
      </c>
      <c r="B6" s="12" t="inlineStr">
        <is>
          <t>PUR @ UCLA</t>
        </is>
      </c>
      <c r="C6" s="12" t="inlineStr">
        <is>
          <t>ML</t>
        </is>
      </c>
      <c r="D6" s="12" t="inlineStr">
        <is>
          <t>PUR ML</t>
        </is>
      </c>
      <c r="E6" s="13" t="n">
        <v>550</v>
      </c>
      <c r="F6" s="16" t="n">
        <v>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BEST BET</t>
        </is>
      </c>
      <c r="L6" s="14" t="n">
        <v>0.095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2026-09-19</t>
        </is>
      </c>
      <c r="B7" s="17" t="inlineStr">
        <is>
          <t>KENN @ TENN</t>
        </is>
      </c>
      <c r="C7" s="17" t="inlineStr">
        <is>
          <t>TOTAL</t>
        </is>
      </c>
      <c r="D7" s="17" t="inlineStr">
        <is>
          <t>Under 59.5</t>
        </is>
      </c>
      <c r="E7" s="18" t="n">
        <v>-112</v>
      </c>
      <c r="F7" s="21" t="n">
        <v>7.5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0.0936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ATS</t>
        </is>
      </c>
      <c r="D8" s="12" t="inlineStr">
        <is>
          <t>MISS +2.5</t>
        </is>
      </c>
      <c r="E8" s="13" t="n">
        <v>-112</v>
      </c>
      <c r="F8" s="16" t="n">
        <v>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0.0914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LSU @ MISS</t>
        </is>
      </c>
      <c r="C9" s="17" t="inlineStr">
        <is>
          <t>ML</t>
        </is>
      </c>
      <c r="D9" s="17" t="inlineStr">
        <is>
          <t>MISS ML</t>
        </is>
      </c>
      <c r="E9" s="18" t="n">
        <v>130</v>
      </c>
      <c r="F9" s="21" t="n">
        <v>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0.09429999999999999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LSU @ MISS</t>
        </is>
      </c>
      <c r="C10" s="12" t="inlineStr">
        <is>
          <t>TOTAL</t>
        </is>
      </c>
      <c r="D10" s="12" t="inlineStr">
        <is>
          <t>Under 57.5</t>
        </is>
      </c>
      <c r="E10" s="13" t="n">
        <v>-110</v>
      </c>
      <c r="F10" s="16" t="n">
        <v>5.5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0.08749999999999999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WVU @ UVA</t>
        </is>
      </c>
      <c r="C11" s="17" t="inlineStr">
        <is>
          <t>ML</t>
        </is>
      </c>
      <c r="D11" s="17" t="inlineStr">
        <is>
          <t>WVU ML</t>
        </is>
      </c>
      <c r="E11" s="18" t="n">
        <v>240</v>
      </c>
      <c r="F11" s="21" t="n">
        <v>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0.09279999999999999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VT @ MD</t>
        </is>
      </c>
      <c r="C12" s="12" t="inlineStr">
        <is>
          <t>ATS</t>
        </is>
      </c>
      <c r="D12" s="12" t="inlineStr">
        <is>
          <t>MD +1.5</t>
        </is>
      </c>
      <c r="E12" s="13" t="n">
        <v>-112</v>
      </c>
      <c r="F12" s="16" t="n">
        <v>6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0.0887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VT @ MD</t>
        </is>
      </c>
      <c r="C13" s="17" t="inlineStr">
        <is>
          <t>ML</t>
        </is>
      </c>
      <c r="D13" s="17" t="inlineStr">
        <is>
          <t>MD ML</t>
        </is>
      </c>
      <c r="E13" s="18" t="n">
        <v>124</v>
      </c>
      <c r="F13" s="21" t="n">
        <v>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BEST BET</t>
        </is>
      </c>
      <c r="L13" s="19" t="n">
        <v>0.0946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2026-09-19</t>
        </is>
      </c>
      <c r="B14" s="12" t="inlineStr">
        <is>
          <t>FLA @ AUB</t>
        </is>
      </c>
      <c r="C14" s="12" t="inlineStr">
        <is>
          <t>ATS</t>
        </is>
      </c>
      <c r="D14" s="12" t="inlineStr">
        <is>
          <t>AUB +1.5</t>
        </is>
      </c>
      <c r="E14" s="13" t="n">
        <v>-115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0.0876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FLA @ AUB</t>
        </is>
      </c>
      <c r="C15" s="17" t="inlineStr">
        <is>
          <t>ML</t>
        </is>
      </c>
      <c r="D15" s="17" t="inlineStr">
        <is>
          <t>AUB ML</t>
        </is>
      </c>
      <c r="E15" s="18" t="n">
        <v>110</v>
      </c>
      <c r="F15" s="21" t="n">
        <v>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0.0917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CONN @ USM</t>
        </is>
      </c>
      <c r="C16" s="12" t="inlineStr">
        <is>
          <t>ML</t>
        </is>
      </c>
      <c r="D16" s="12" t="inlineStr">
        <is>
          <t>USM ML</t>
        </is>
      </c>
      <c r="E16" s="13" t="n">
        <v>114</v>
      </c>
      <c r="F16" s="16" t="n">
        <v>6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0.09379999999999999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MRSH @ MOST</t>
        </is>
      </c>
      <c r="C17" s="17" t="inlineStr">
        <is>
          <t>ML</t>
        </is>
      </c>
      <c r="D17" s="17" t="inlineStr">
        <is>
          <t>MOST ML</t>
        </is>
      </c>
      <c r="E17" s="18" t="n">
        <v>136</v>
      </c>
      <c r="F17" s="21" t="n">
        <v>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0.0948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2026-09-19</t>
        </is>
      </c>
      <c r="B18" s="12" t="inlineStr">
        <is>
          <t>MSST @ SC</t>
        </is>
      </c>
      <c r="C18" s="12" t="inlineStr">
        <is>
          <t>ML</t>
        </is>
      </c>
      <c r="D18" s="12" t="inlineStr">
        <is>
          <t>MSST ML</t>
        </is>
      </c>
      <c r="E18" s="13" t="n">
        <v>240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0.08450000000000001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2026-09-19</t>
        </is>
      </c>
      <c r="B19" s="17" t="inlineStr">
        <is>
          <t>STAN @ DUKE</t>
        </is>
      </c>
      <c r="C19" s="17" t="inlineStr">
        <is>
          <t>ML</t>
        </is>
      </c>
      <c r="D19" s="17" t="inlineStr">
        <is>
          <t>STAN ML</t>
        </is>
      </c>
      <c r="E19" s="18" t="n">
        <v>320</v>
      </c>
      <c r="F19" s="21" t="n">
        <v>2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0.0939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WKU @ IU</t>
        </is>
      </c>
      <c r="C20" s="12" t="inlineStr">
        <is>
          <t>TOTAL</t>
        </is>
      </c>
      <c r="D20" s="12" t="inlineStr">
        <is>
          <t>Under 59.5</t>
        </is>
      </c>
      <c r="E20" s="13" t="n">
        <v>-108</v>
      </c>
      <c r="F20" s="16" t="n">
        <v>6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0.093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BALL @ LIB</t>
        </is>
      </c>
      <c r="C21" s="17" t="inlineStr">
        <is>
          <t>ML</t>
        </is>
      </c>
      <c r="D21" s="17" t="inlineStr">
        <is>
          <t>BALL ML</t>
        </is>
      </c>
      <c r="E21" s="18" t="n">
        <v>575</v>
      </c>
      <c r="F21" s="21" t="n">
        <v>1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2026-09-19</t>
        </is>
      </c>
      <c r="B22" s="12" t="inlineStr">
        <is>
          <t>FSU @ ALA</t>
        </is>
      </c>
      <c r="C22" s="12" t="inlineStr">
        <is>
          <t>ML</t>
        </is>
      </c>
      <c r="D22" s="12" t="inlineStr">
        <is>
          <t>FSU ML</t>
        </is>
      </c>
      <c r="E22" s="13" t="n">
        <v>440</v>
      </c>
      <c r="F22" s="16" t="n">
        <v>1.5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0.0949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UK @ TA&amp;M</t>
        </is>
      </c>
      <c r="C23" s="17" t="inlineStr">
        <is>
          <t>ML</t>
        </is>
      </c>
      <c r="D23" s="17" t="inlineStr">
        <is>
          <t>UK ML</t>
        </is>
      </c>
      <c r="E23" s="18" t="n">
        <v>525</v>
      </c>
      <c r="F23" s="21" t="n">
        <v>1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0.095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2026-09-19</t>
        </is>
      </c>
      <c r="B24" s="12" t="inlineStr">
        <is>
          <t>M-OH @ CIN</t>
        </is>
      </c>
      <c r="C24" s="12" t="inlineStr">
        <is>
          <t>ML</t>
        </is>
      </c>
      <c r="D24" s="12" t="inlineStr">
        <is>
          <t>M-OH ML</t>
        </is>
      </c>
      <c r="E24" s="13" t="n">
        <v>525</v>
      </c>
      <c r="F24" s="16" t="n">
        <v>1.5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2026-09-19</t>
        </is>
      </c>
      <c r="B25" s="17" t="inlineStr">
        <is>
          <t>SMU @ LOU</t>
        </is>
      </c>
      <c r="C25" s="17" t="inlineStr">
        <is>
          <t>TOTAL</t>
        </is>
      </c>
      <c r="D25" s="17" t="inlineStr">
        <is>
          <t>Under 56.5</t>
        </is>
      </c>
      <c r="E25" s="18" t="n">
        <v>-112</v>
      </c>
      <c r="F25" s="21" t="n">
        <v>4.5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0.0829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2026-09-19</t>
        </is>
      </c>
      <c r="B26" s="12" t="inlineStr">
        <is>
          <t>ASU @ KU</t>
        </is>
      </c>
      <c r="C26" s="12" t="inlineStr">
        <is>
          <t>ML</t>
        </is>
      </c>
      <c r="D26" s="12" t="inlineStr">
        <is>
          <t>KU ML</t>
        </is>
      </c>
      <c r="E26" s="13" t="n">
        <v>170</v>
      </c>
      <c r="F26" s="16" t="n">
        <v>3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0.08890000000000001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2026-09-19</t>
        </is>
      </c>
      <c r="B27" s="17" t="inlineStr">
        <is>
          <t>ASU @ KU</t>
        </is>
      </c>
      <c r="C27" s="17" t="inlineStr">
        <is>
          <t>TOTAL</t>
        </is>
      </c>
      <c r="D27" s="17" t="inlineStr">
        <is>
          <t>Under 56.5</t>
        </is>
      </c>
      <c r="E27" s="18" t="n">
        <v>-108</v>
      </c>
      <c r="F27" s="21" t="n">
        <v>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0.0888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2026-09-19</t>
        </is>
      </c>
      <c r="B28" s="12" t="inlineStr">
        <is>
          <t>UNC @ CLEM</t>
        </is>
      </c>
      <c r="C28" s="12" t="inlineStr">
        <is>
          <t>ML</t>
        </is>
      </c>
      <c r="D28" s="12" t="inlineStr">
        <is>
          <t>UNC ML</t>
        </is>
      </c>
      <c r="E28" s="13" t="n">
        <v>320</v>
      </c>
      <c r="F28" s="16" t="n">
        <v>2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0.095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2026-09-19</t>
        </is>
      </c>
      <c r="B29" s="17" t="inlineStr">
        <is>
          <t>UNC @ CLEM</t>
        </is>
      </c>
      <c r="C29" s="17" t="inlineStr">
        <is>
          <t>TOTAL</t>
        </is>
      </c>
      <c r="D29" s="17" t="inlineStr">
        <is>
          <t>Over 44.5</t>
        </is>
      </c>
      <c r="E29" s="18" t="n">
        <v>-108</v>
      </c>
      <c r="F29" s="21" t="n">
        <v>6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0.09229999999999999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2026-09-19</t>
        </is>
      </c>
      <c r="B30" s="12" t="inlineStr">
        <is>
          <t>KENT @ OSU</t>
        </is>
      </c>
      <c r="C30" s="12" t="inlineStr">
        <is>
          <t>TOTAL</t>
        </is>
      </c>
      <c r="D30" s="12" t="inlineStr">
        <is>
          <t>Under 56.5</t>
        </is>
      </c>
      <c r="E30" s="13" t="n">
        <v>-105</v>
      </c>
      <c r="F30" s="16" t="n">
        <v>6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0.09329999999999999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2026-09-19</t>
        </is>
      </c>
      <c r="B31" s="17" t="inlineStr">
        <is>
          <t>UNT @ TXST</t>
        </is>
      </c>
      <c r="C31" s="17" t="inlineStr">
        <is>
          <t>TOTAL</t>
        </is>
      </c>
      <c r="D31" s="17" t="inlineStr">
        <is>
          <t>Under 62.5</t>
        </is>
      </c>
      <c r="E31" s="18" t="n">
        <v>-108</v>
      </c>
      <c r="F31" s="21" t="n">
        <v>7.5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0.0945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2026-09-19</t>
        </is>
      </c>
      <c r="B32" s="12" t="inlineStr">
        <is>
          <t>CCU @ DEL</t>
        </is>
      </c>
      <c r="C32" s="12" t="inlineStr">
        <is>
          <t>TOTAL</t>
        </is>
      </c>
      <c r="D32" s="12" t="inlineStr">
        <is>
          <t>Under 58.5</t>
        </is>
      </c>
      <c r="E32" s="13" t="n">
        <v>-105</v>
      </c>
      <c r="F32" s="16" t="n">
        <v>7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0.0939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-115</v>
      </c>
      <c r="F33" s="21" t="n">
        <v>7.5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GOOD</t>
        </is>
      </c>
      <c r="L33" s="19" t="n">
        <v>0.09379999999999999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2026-09-17</t>
        </is>
      </c>
      <c r="B34" s="12" t="inlineStr">
        <is>
          <t>SYR @ PITT</t>
        </is>
      </c>
      <c r="C34" s="12" t="inlineStr">
        <is>
          <t>ML</t>
        </is>
      </c>
      <c r="D34" s="12" t="inlineStr">
        <is>
          <t>SYR ML</t>
        </is>
      </c>
      <c r="E34" s="13" t="n">
        <v>295</v>
      </c>
      <c r="F34" s="16" t="n">
        <v>2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0.0936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2026-09-13</t>
        </is>
      </c>
      <c r="B35" s="17" t="inlineStr">
        <is>
          <t>NMSU @ HAW</t>
        </is>
      </c>
      <c r="C35" s="17" t="inlineStr">
        <is>
          <t>ATS</t>
        </is>
      </c>
      <c r="D35" s="17" t="inlineStr">
        <is>
          <t>NMSU +11.5</t>
        </is>
      </c>
      <c r="E35" s="18" t="n">
        <v>-108</v>
      </c>
      <c r="F35" s="21" t="n">
        <v>25</v>
      </c>
      <c r="G35" s="17" t="inlineStr">
        <is>
          <t>Win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0.0994</v>
      </c>
      <c r="M35" s="19" t="n">
        <v>0.1282</v>
      </c>
      <c r="N35" s="17" t="inlineStr">
        <is>
          <t>NMSU 19 - HAW 29</t>
        </is>
      </c>
      <c r="O35" s="17" t="inlineStr">
        <is>
          <t>DraftKings</t>
        </is>
      </c>
    </row>
    <row r="36">
      <c r="A36" s="12" t="inlineStr">
        <is>
          <t>2026-09-13</t>
        </is>
      </c>
      <c r="B36" s="12" t="inlineStr">
        <is>
          <t>NMSU @ HAW</t>
        </is>
      </c>
      <c r="C36" s="12" t="inlineStr">
        <is>
          <t>ML</t>
        </is>
      </c>
      <c r="D36" s="12" t="inlineStr">
        <is>
          <t>NMSU ML</t>
        </is>
      </c>
      <c r="E36" s="13" t="n">
        <v>300</v>
      </c>
      <c r="F36" s="16" t="n">
        <v>2.5</v>
      </c>
      <c r="G36" s="12" t="inlineStr">
        <is>
          <t>Loss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BEST BET</t>
        </is>
      </c>
      <c r="L36" s="14" t="n">
        <v>0.0949</v>
      </c>
      <c r="M36" s="14" t="n">
        <v>0.0357</v>
      </c>
      <c r="N36" s="12" t="inlineStr">
        <is>
          <t>NMSU 19 - HAW 29</t>
        </is>
      </c>
      <c r="O36" s="12" t="inlineStr">
        <is>
          <t>DraftKings</t>
        </is>
      </c>
    </row>
    <row r="37">
      <c r="A37" s="17" t="inlineStr">
        <is>
          <t>2026-09-13</t>
        </is>
      </c>
      <c r="B37" s="17" t="inlineStr">
        <is>
          <t>UL @ USC</t>
        </is>
      </c>
      <c r="C37" s="17" t="inlineStr">
        <is>
          <t>TOTAL</t>
        </is>
      </c>
      <c r="D37" s="17" t="inlineStr">
        <is>
          <t>Under 59.5</t>
        </is>
      </c>
      <c r="E37" s="18" t="n">
        <v>-112</v>
      </c>
      <c r="F37" s="21" t="n">
        <v>18.5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0.1106</v>
      </c>
      <c r="M37" s="19" t="n">
        <v>0.0255</v>
      </c>
      <c r="N37" s="17" t="inlineStr">
        <is>
          <t>UL 30 - USC 49</t>
        </is>
      </c>
      <c r="O37" s="17" t="inlineStr">
        <is>
          <t>DraftKings</t>
        </is>
      </c>
    </row>
    <row r="38">
      <c r="A38" s="12" t="inlineStr">
        <is>
          <t>2026-09-13</t>
        </is>
      </c>
      <c r="B38" s="12" t="inlineStr">
        <is>
          <t>SAC @ FRES</t>
        </is>
      </c>
      <c r="C38" s="12" t="inlineStr">
        <is>
          <t>ML</t>
        </is>
      </c>
      <c r="D38" s="12" t="inlineStr">
        <is>
          <t>SAC ML</t>
        </is>
      </c>
      <c r="E38" s="13" t="n">
        <v>600</v>
      </c>
      <c r="F38" s="16" t="n">
        <v>1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BEST BET</t>
        </is>
      </c>
      <c r="L38" s="14" t="n">
        <v>0.095</v>
      </c>
      <c r="M38" s="14" t="n">
        <v>0</v>
      </c>
      <c r="N38" s="12" t="inlineStr">
        <is>
          <t>SAC 3 - FRES 49</t>
        </is>
      </c>
      <c r="O38" s="12" t="inlineStr">
        <is>
          <t>DraftKings</t>
        </is>
      </c>
    </row>
    <row r="39">
      <c r="A39" s="17" t="inlineStr">
        <is>
          <t>2026-09-13</t>
        </is>
      </c>
      <c r="B39" s="17" t="inlineStr">
        <is>
          <t>ARK @ UTAH</t>
        </is>
      </c>
      <c r="C39" s="17" t="inlineStr">
        <is>
          <t>ATS</t>
        </is>
      </c>
      <c r="D39" s="17" t="inlineStr">
        <is>
          <t>ARK +9.5</t>
        </is>
      </c>
      <c r="E39" s="18" t="n">
        <v>-105</v>
      </c>
      <c r="F39" s="21" t="n">
        <v>23.5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0.09180000000000001</v>
      </c>
      <c r="M39" s="19" t="n">
        <v>-0.0634</v>
      </c>
      <c r="N39" s="17" t="inlineStr">
        <is>
          <t>ARK 10 - UTAH 43</t>
        </is>
      </c>
      <c r="O39" s="17" t="inlineStr">
        <is>
          <t>Draft Kings</t>
        </is>
      </c>
    </row>
    <row r="40">
      <c r="A40" s="12" t="inlineStr">
        <is>
          <t>2026-09-13</t>
        </is>
      </c>
      <c r="B40" s="12" t="inlineStr">
        <is>
          <t>ARK @ UTAH</t>
        </is>
      </c>
      <c r="C40" s="12" t="inlineStr">
        <is>
          <t>ML</t>
        </is>
      </c>
      <c r="D40" s="12" t="inlineStr">
        <is>
          <t>ARK ML</t>
        </is>
      </c>
      <c r="E40" s="13" t="n">
        <v>380</v>
      </c>
      <c r="F40" s="16" t="n">
        <v>2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0.0948</v>
      </c>
      <c r="M40" s="14" t="n">
        <v>0</v>
      </c>
      <c r="N40" s="12" t="inlineStr">
        <is>
          <t>ARK 10 - UTAH 43</t>
        </is>
      </c>
      <c r="O40" s="12" t="inlineStr">
        <is>
          <t>DraftKings</t>
        </is>
      </c>
    </row>
    <row r="41">
      <c r="A41" s="17" t="inlineStr">
        <is>
          <t>2026-09-13</t>
        </is>
      </c>
      <c r="B41" s="17" t="inlineStr">
        <is>
          <t>NDSU @ AFA</t>
        </is>
      </c>
      <c r="C41" s="17" t="inlineStr">
        <is>
          <t>ML</t>
        </is>
      </c>
      <c r="D41" s="17" t="inlineStr">
        <is>
          <t>AFA ML</t>
        </is>
      </c>
      <c r="E41" s="18" t="n">
        <v>180</v>
      </c>
      <c r="F41" s="21" t="n">
        <v>4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0.095</v>
      </c>
      <c r="M41" s="19" t="n">
        <v>0.1307</v>
      </c>
      <c r="N41" s="17" t="inlineStr">
        <is>
          <t>NDSU 38 - AFA 32</t>
        </is>
      </c>
      <c r="O41" s="17" t="inlineStr">
        <is>
          <t>DraftKings</t>
        </is>
      </c>
    </row>
    <row r="42">
      <c r="A42" s="12" t="inlineStr">
        <is>
          <t>2026-09-12</t>
        </is>
      </c>
      <c r="B42" s="12" t="inlineStr">
        <is>
          <t>CLT @ MISS</t>
        </is>
      </c>
      <c r="C42" s="12" t="inlineStr">
        <is>
          <t>TOTAL</t>
        </is>
      </c>
      <c r="D42" s="12" t="inlineStr">
        <is>
          <t>Under 61.5</t>
        </is>
      </c>
      <c r="E42" s="13" t="n">
        <v>-108</v>
      </c>
      <c r="F42" s="16" t="n">
        <v>18.5</v>
      </c>
      <c r="G42" s="12" t="inlineStr">
        <is>
          <t>Win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0.1108</v>
      </c>
      <c r="M42" s="14" t="n">
        <v>0.06</v>
      </c>
      <c r="N42" s="12" t="inlineStr">
        <is>
          <t>CLT 9 - MISS 41</t>
        </is>
      </c>
      <c r="O42" s="12" t="inlineStr">
        <is>
          <t>DraftKings</t>
        </is>
      </c>
    </row>
    <row r="43">
      <c r="A43" s="17" t="inlineStr">
        <is>
          <t>2026-09-12</t>
        </is>
      </c>
      <c r="B43" s="17" t="inlineStr">
        <is>
          <t>OSU @ TEX</t>
        </is>
      </c>
      <c r="C43" s="17" t="inlineStr">
        <is>
          <t>TOTAL</t>
        </is>
      </c>
      <c r="D43" s="17" t="inlineStr">
        <is>
          <t>Over 47.5</t>
        </is>
      </c>
      <c r="E43" s="18" t="n">
        <v>-110</v>
      </c>
      <c r="F43" s="21" t="n">
        <v>25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0.1189</v>
      </c>
      <c r="M43" s="19" t="n">
        <v>0.1011</v>
      </c>
      <c r="N43" s="17" t="inlineStr">
        <is>
          <t>OSU 23 - TEX 24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TTU @ ORST</t>
        </is>
      </c>
      <c r="C44" s="12" t="inlineStr">
        <is>
          <t>TOTAL</t>
        </is>
      </c>
      <c r="D44" s="12" t="inlineStr">
        <is>
          <t>Over 49.5</t>
        </is>
      </c>
      <c r="E44" s="13" t="n">
        <v>-108</v>
      </c>
      <c r="F44" s="16" t="n">
        <v>25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0.1092</v>
      </c>
      <c r="M44" s="14" t="n">
        <v>0.09</v>
      </c>
      <c r="N44" s="12" t="inlineStr">
        <is>
          <t>TTU 35 - ORST 24</t>
        </is>
      </c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ISU @ IOWA</t>
        </is>
      </c>
      <c r="C45" s="17" t="inlineStr">
        <is>
          <t>ATS</t>
        </is>
      </c>
      <c r="D45" s="17" t="inlineStr">
        <is>
          <t>ISU +12.5</t>
        </is>
      </c>
      <c r="E45" s="18" t="n">
        <v>-110</v>
      </c>
      <c r="F45" s="21" t="n">
        <v>25</v>
      </c>
      <c r="G45" s="17" t="inlineStr">
        <is>
          <t>Win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0.1201</v>
      </c>
      <c r="M45" s="19" t="n">
        <v>-0.0491</v>
      </c>
      <c r="N45" s="17" t="inlineStr">
        <is>
          <t>ISU 13 - IOWA 16</t>
        </is>
      </c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ISU @ IOWA</t>
        </is>
      </c>
      <c r="C46" s="12" t="inlineStr">
        <is>
          <t>ML</t>
        </is>
      </c>
      <c r="D46" s="12" t="inlineStr">
        <is>
          <t>ISU ML</t>
        </is>
      </c>
      <c r="E46" s="13" t="n">
        <v>550</v>
      </c>
      <c r="F46" s="16" t="n">
        <v>19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0.128</v>
      </c>
      <c r="M46" s="14" t="n">
        <v>0.0216</v>
      </c>
      <c r="N46" s="12" t="inlineStr">
        <is>
          <t>ISU 13 - IOWA 16</t>
        </is>
      </c>
      <c r="O46" s="12" t="inlineStr">
        <is>
          <t>DraftKings</t>
        </is>
      </c>
    </row>
    <row r="47">
      <c r="A47" s="17" t="inlineStr">
        <is>
          <t>2026-09-12</t>
        </is>
      </c>
      <c r="B47" s="17" t="inlineStr">
        <is>
          <t>GASO @ CLEM</t>
        </is>
      </c>
      <c r="C47" s="17" t="inlineStr">
        <is>
          <t>TOTAL</t>
        </is>
      </c>
      <c r="D47" s="17" t="inlineStr">
        <is>
          <t>Under 57.5</t>
        </is>
      </c>
      <c r="E47" s="18" t="n">
        <v>-108</v>
      </c>
      <c r="F47" s="21" t="n">
        <v>24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0.0882</v>
      </c>
      <c r="M47" s="19" t="n">
        <v>0.0757</v>
      </c>
      <c r="N47" s="17" t="inlineStr">
        <is>
          <t>GASO 7 - CLEM 22</t>
        </is>
      </c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NAVY @ FAU</t>
        </is>
      </c>
      <c r="C48" s="12" t="inlineStr">
        <is>
          <t>ML</t>
        </is>
      </c>
      <c r="D48" s="12" t="inlineStr">
        <is>
          <t>FAU ML</t>
        </is>
      </c>
      <c r="E48" s="13" t="n">
        <v>195</v>
      </c>
      <c r="F48" s="16" t="n">
        <v>18.5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0.1327</v>
      </c>
      <c r="M48" s="14" t="n">
        <v>0.0398</v>
      </c>
      <c r="N48" s="12" t="inlineStr">
        <is>
          <t>NAVY 30 - FAU 38</t>
        </is>
      </c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SDSU @ UCLA</t>
        </is>
      </c>
      <c r="C49" s="17" t="inlineStr">
        <is>
          <t>ML</t>
        </is>
      </c>
      <c r="D49" s="17" t="inlineStr">
        <is>
          <t>SDSU ML</t>
        </is>
      </c>
      <c r="E49" s="18" t="n">
        <v>380</v>
      </c>
      <c r="F49" s="21" t="n">
        <v>2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GOOD</t>
        </is>
      </c>
      <c r="L49" s="19" t="n">
        <v>0.09470000000000001</v>
      </c>
      <c r="M49" s="19" t="n">
        <v>0</v>
      </c>
      <c r="N49" s="17" t="inlineStr">
        <is>
          <t>SDSU 10 - UCLA 28</t>
        </is>
      </c>
      <c r="O49" s="17" t="inlineStr">
        <is>
          <t>DraftKings</t>
        </is>
      </c>
    </row>
    <row r="50">
      <c r="A50" s="12" t="inlineStr">
        <is>
          <t>2026-09-12</t>
        </is>
      </c>
      <c r="B50" s="12" t="inlineStr">
        <is>
          <t>SDSU @ UCLA</t>
        </is>
      </c>
      <c r="C50" s="12" t="inlineStr">
        <is>
          <t>TOTAL</t>
        </is>
      </c>
      <c r="D50" s="12" t="inlineStr">
        <is>
          <t>Over 48.5</t>
        </is>
      </c>
      <c r="E50" s="13" t="n">
        <v>-110</v>
      </c>
      <c r="F50" s="16" t="n">
        <v>25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0.1218</v>
      </c>
      <c r="M50" s="14" t="n">
        <v>0.1754</v>
      </c>
      <c r="N50" s="12" t="inlineStr">
        <is>
          <t>SDSU 10 - UCLA 28</t>
        </is>
      </c>
      <c r="O50" s="12" t="inlineStr">
        <is>
          <t>Draft Kings</t>
        </is>
      </c>
    </row>
    <row r="51">
      <c r="A51" s="17" t="inlineStr">
        <is>
          <t>2026-09-12</t>
        </is>
      </c>
      <c r="B51" s="17" t="inlineStr">
        <is>
          <t>USA @ TULN</t>
        </is>
      </c>
      <c r="C51" s="17" t="inlineStr">
        <is>
          <t>ML</t>
        </is>
      </c>
      <c r="D51" s="17" t="inlineStr">
        <is>
          <t>USA ML</t>
        </is>
      </c>
      <c r="E51" s="18" t="n">
        <v>330</v>
      </c>
      <c r="F51" s="21" t="n">
        <v>2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0.09470000000000001</v>
      </c>
      <c r="M51" s="19" t="n">
        <v>0.0174</v>
      </c>
      <c r="N51" s="17" t="inlineStr">
        <is>
          <t>USA 24 - TULN 28</t>
        </is>
      </c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MTSU @ MRSH</t>
        </is>
      </c>
      <c r="C52" s="12" t="inlineStr">
        <is>
          <t>ML</t>
        </is>
      </c>
      <c r="D52" s="12" t="inlineStr">
        <is>
          <t>MTSU ML</t>
        </is>
      </c>
      <c r="E52" s="13" t="n">
        <v>490</v>
      </c>
      <c r="F52" s="16" t="n">
        <v>1.5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0.095</v>
      </c>
      <c r="M52" s="14" t="n">
        <v>0.0305</v>
      </c>
      <c r="N52" s="12" t="inlineStr">
        <is>
          <t>MTSU 26 - MRSH 28</t>
        </is>
      </c>
      <c r="O52" s="12" t="inlineStr">
        <is>
          <t>DraftKings</t>
        </is>
      </c>
    </row>
    <row r="53">
      <c r="A53" s="17" t="inlineStr">
        <is>
          <t>2026-09-12</t>
        </is>
      </c>
      <c r="B53" s="17" t="inlineStr">
        <is>
          <t>MTSU @ MRSH</t>
        </is>
      </c>
      <c r="C53" s="17" t="inlineStr">
        <is>
          <t>TOTAL</t>
        </is>
      </c>
      <c r="D53" s="17" t="inlineStr">
        <is>
          <t>Under 57.5</t>
        </is>
      </c>
      <c r="E53" s="18" t="n">
        <v>-105</v>
      </c>
      <c r="F53" s="21" t="n">
        <v>14.5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0.07820000000000001</v>
      </c>
      <c r="M53" s="19" t="n">
        <v>0.0716</v>
      </c>
      <c r="N53" s="17" t="inlineStr">
        <is>
          <t>MTSU 26 - MRSH 28</t>
        </is>
      </c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MEM @ BOIS</t>
        </is>
      </c>
      <c r="C54" s="12" t="inlineStr">
        <is>
          <t>ML</t>
        </is>
      </c>
      <c r="D54" s="12" t="inlineStr">
        <is>
          <t>MEM ML</t>
        </is>
      </c>
      <c r="E54" s="13" t="n">
        <v>300</v>
      </c>
      <c r="F54" s="16" t="n">
        <v>2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0.0944</v>
      </c>
      <c r="M54" s="14" t="n">
        <v>0</v>
      </c>
      <c r="N54" s="12" t="inlineStr">
        <is>
          <t>MEM 20 - BOIS 38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BUFF @ FIU</t>
        </is>
      </c>
      <c r="C55" s="17" t="inlineStr">
        <is>
          <t>ML</t>
        </is>
      </c>
      <c r="D55" s="17" t="inlineStr">
        <is>
          <t>BUFF ML</t>
        </is>
      </c>
      <c r="E55" s="18" t="n">
        <v>340</v>
      </c>
      <c r="F55" s="21" t="n">
        <v>2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GOOD</t>
        </is>
      </c>
      <c r="L55" s="19" t="n">
        <v>0.0946</v>
      </c>
      <c r="M55" s="19" t="n">
        <v>0.0108</v>
      </c>
      <c r="N55" s="17" t="inlineStr">
        <is>
          <t>BUFF 20 - FIU 33</t>
        </is>
      </c>
      <c r="O55" s="17" t="inlineStr">
        <is>
          <t>DraftKings</t>
        </is>
      </c>
    </row>
    <row r="56">
      <c r="A56" s="12" t="inlineStr">
        <is>
          <t>2026-09-12</t>
        </is>
      </c>
      <c r="B56" s="12" t="inlineStr">
        <is>
          <t>JVST @ OHIO</t>
        </is>
      </c>
      <c r="C56" s="12" t="inlineStr">
        <is>
          <t>TOTAL</t>
        </is>
      </c>
      <c r="D56" s="12" t="inlineStr">
        <is>
          <t>Over 48.5</t>
        </is>
      </c>
      <c r="E56" s="13" t="n">
        <v>-110</v>
      </c>
      <c r="F56" s="16" t="n">
        <v>25</v>
      </c>
      <c r="G56" s="12" t="inlineStr">
        <is>
          <t>Win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0.1159</v>
      </c>
      <c r="M56" s="14" t="n">
        <v>0.06</v>
      </c>
      <c r="N56" s="12" t="inlineStr">
        <is>
          <t>JVST 27 - OHIO 29</t>
        </is>
      </c>
      <c r="O56" s="12" t="inlineStr">
        <is>
          <t>Draft Kings</t>
        </is>
      </c>
    </row>
    <row r="57">
      <c r="A57" s="17" t="inlineStr">
        <is>
          <t>2026-09-12</t>
        </is>
      </c>
      <c r="B57" s="17" t="inlineStr">
        <is>
          <t>UNLV @ UNT</t>
        </is>
      </c>
      <c r="C57" s="17" t="inlineStr">
        <is>
          <t>ATS</t>
        </is>
      </c>
      <c r="D57" s="17" t="inlineStr">
        <is>
          <t>UNT +5.5</t>
        </is>
      </c>
      <c r="E57" s="18" t="n">
        <v>-105</v>
      </c>
      <c r="F57" s="21" t="n">
        <v>18.5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0.1238</v>
      </c>
      <c r="M57" s="19" t="n">
        <v>0.0625</v>
      </c>
      <c r="N57" s="17" t="inlineStr">
        <is>
          <t>UNLV 6 - UNT 44</t>
        </is>
      </c>
      <c r="O57" s="17" t="inlineStr">
        <is>
          <t>DraftKings</t>
        </is>
      </c>
    </row>
    <row r="58">
      <c r="A58" s="12" t="inlineStr">
        <is>
          <t>2026-09-12</t>
        </is>
      </c>
      <c r="B58" s="12" t="inlineStr">
        <is>
          <t>UNLV @ UNT</t>
        </is>
      </c>
      <c r="C58" s="12" t="inlineStr">
        <is>
          <t>ML</t>
        </is>
      </c>
      <c r="D58" s="12" t="inlineStr">
        <is>
          <t>UNT ML</t>
        </is>
      </c>
      <c r="E58" s="13" t="n">
        <v>185</v>
      </c>
      <c r="F58" s="16" t="n">
        <v>24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GOOD</t>
        </is>
      </c>
      <c r="L58" s="14" t="n">
        <v>0.1187</v>
      </c>
      <c r="M58" s="14" t="n">
        <v>0.07290000000000001</v>
      </c>
      <c r="N58" s="12" t="inlineStr">
        <is>
          <t>UNLV 6 - UNT 44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UCF @ PITT</t>
        </is>
      </c>
      <c r="C59" s="17" t="inlineStr">
        <is>
          <t>ATS</t>
        </is>
      </c>
      <c r="D59" s="17" t="inlineStr">
        <is>
          <t>UCF +8.5</t>
        </is>
      </c>
      <c r="E59" s="18" t="n">
        <v>-110</v>
      </c>
      <c r="F59" s="21" t="n">
        <v>15.5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0.0569</v>
      </c>
      <c r="M59" s="19" t="n">
        <v>0.0259</v>
      </c>
      <c r="N59" s="17" t="inlineStr">
        <is>
          <t>UCF 7 - PITT 12</t>
        </is>
      </c>
      <c r="O59" s="17" t="inlineStr">
        <is>
          <t>Draft Kings</t>
        </is>
      </c>
    </row>
    <row r="60">
      <c r="A60" s="12" t="inlineStr">
        <is>
          <t>2026-09-12</t>
        </is>
      </c>
      <c r="B60" s="12" t="inlineStr">
        <is>
          <t>UCF @ PITT</t>
        </is>
      </c>
      <c r="C60" s="12" t="inlineStr">
        <is>
          <t>TOTAL</t>
        </is>
      </c>
      <c r="D60" s="12" t="inlineStr">
        <is>
          <t>Over 51.5</t>
        </is>
      </c>
      <c r="E60" s="13" t="n">
        <v>-108</v>
      </c>
      <c r="F60" s="16" t="n">
        <v>25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0.1061</v>
      </c>
      <c r="M60" s="14" t="n">
        <v>0.12</v>
      </c>
      <c r="N60" s="12" t="inlineStr">
        <is>
          <t>UCF 7 - PITT 12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CAL @ SYR</t>
        </is>
      </c>
      <c r="C61" s="17" t="inlineStr">
        <is>
          <t>ATS</t>
        </is>
      </c>
      <c r="D61" s="17" t="inlineStr">
        <is>
          <t>SYR +1.5</t>
        </is>
      </c>
      <c r="E61" s="18" t="n">
        <v>-108</v>
      </c>
      <c r="F61" s="21" t="n">
        <v>23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GOOD</t>
        </is>
      </c>
      <c r="L61" s="19" t="n">
        <v>0.0987</v>
      </c>
      <c r="M61" s="19" t="n">
        <v>0.125</v>
      </c>
      <c r="N61" s="17" t="inlineStr">
        <is>
          <t>CAL 21 - SYR 18</t>
        </is>
      </c>
      <c r="O61" s="17" t="inlineStr">
        <is>
          <t>DraftKings</t>
        </is>
      </c>
    </row>
    <row r="62">
      <c r="A62" s="12" t="inlineStr">
        <is>
          <t>2026-09-12</t>
        </is>
      </c>
      <c r="B62" s="12" t="inlineStr">
        <is>
          <t>EMU @ MSU</t>
        </is>
      </c>
      <c r="C62" s="12" t="inlineStr">
        <is>
          <t>ML</t>
        </is>
      </c>
      <c r="D62" s="12" t="inlineStr">
        <is>
          <t>EMU ML</t>
        </is>
      </c>
      <c r="E62" s="13" t="n">
        <v>550</v>
      </c>
      <c r="F62" s="16" t="n">
        <v>16.5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0.1106</v>
      </c>
      <c r="M62" s="14" t="n">
        <v>-0.011</v>
      </c>
      <c r="N62" s="12" t="inlineStr">
        <is>
          <t>EMU 7 - MSU 35</t>
        </is>
      </c>
      <c r="O62" s="12" t="inlineStr">
        <is>
          <t>Draft Kings</t>
        </is>
      </c>
    </row>
    <row r="63">
      <c r="A63" s="17" t="inlineStr">
        <is>
          <t>2026-09-12</t>
        </is>
      </c>
      <c r="B63" s="17" t="inlineStr">
        <is>
          <t>OU @ MICH</t>
        </is>
      </c>
      <c r="C63" s="17" t="inlineStr">
        <is>
          <t>ML</t>
        </is>
      </c>
      <c r="D63" s="17" t="inlineStr">
        <is>
          <t>MICH ML</t>
        </is>
      </c>
      <c r="E63" s="18" t="n">
        <v>170</v>
      </c>
      <c r="F63" s="21" t="n">
        <v>20</v>
      </c>
      <c r="G63" s="17" t="inlineStr">
        <is>
          <t>Win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GOOD</t>
        </is>
      </c>
      <c r="L63" s="19" t="n">
        <v>0.1101</v>
      </c>
      <c r="M63" s="19" t="n">
        <v>0</v>
      </c>
      <c r="N63" s="17" t="inlineStr">
        <is>
          <t>OU 10 - MICH 17</t>
        </is>
      </c>
      <c r="O63" s="17" t="inlineStr">
        <is>
          <t>DraftKings</t>
        </is>
      </c>
    </row>
    <row r="64">
      <c r="A64" s="12" t="inlineStr">
        <is>
          <t>2026-09-12</t>
        </is>
      </c>
      <c r="B64" s="12" t="inlineStr">
        <is>
          <t>OU @ MICH</t>
        </is>
      </c>
      <c r="C64" s="12" t="inlineStr">
        <is>
          <t>TOTAL</t>
        </is>
      </c>
      <c r="D64" s="12" t="inlineStr">
        <is>
          <t>Over 46.5</t>
        </is>
      </c>
      <c r="E64" s="13" t="n">
        <v>-105</v>
      </c>
      <c r="F64" s="16" t="n">
        <v>23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0.0851</v>
      </c>
      <c r="M64" s="14" t="n">
        <v>-0.083</v>
      </c>
      <c r="N64" s="12" t="inlineStr">
        <is>
          <t>OU 10 - MICH 17</t>
        </is>
      </c>
      <c r="O64" s="12" t="inlineStr">
        <is>
          <t>Draft Kings</t>
        </is>
      </c>
    </row>
    <row r="65">
      <c r="A65" s="17" t="inlineStr">
        <is>
          <t>2026-09-12</t>
        </is>
      </c>
      <c r="B65" s="17" t="inlineStr">
        <is>
          <t>ASU @ TA&amp;M</t>
        </is>
      </c>
      <c r="C65" s="17" t="inlineStr">
        <is>
          <t>ATS</t>
        </is>
      </c>
      <c r="D65" s="17" t="inlineStr">
        <is>
          <t>ASU +14.5</t>
        </is>
      </c>
      <c r="E65" s="18" t="n">
        <v>-110</v>
      </c>
      <c r="F65" s="21" t="n">
        <v>26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0.1221</v>
      </c>
      <c r="M65" s="19" t="n">
        <v>0.0045</v>
      </c>
      <c r="N65" s="17" t="inlineStr">
        <is>
          <t>ASU 20 - TA&amp;M 48</t>
        </is>
      </c>
      <c r="O65" s="17" t="inlineStr">
        <is>
          <t>Draft Kings</t>
        </is>
      </c>
    </row>
    <row r="66">
      <c r="A66" s="12" t="inlineStr">
        <is>
          <t>2026-09-12</t>
        </is>
      </c>
      <c r="B66" s="12" t="inlineStr">
        <is>
          <t>ASU @ TA&amp;M</t>
        </is>
      </c>
      <c r="C66" s="12" t="inlineStr">
        <is>
          <t>ML</t>
        </is>
      </c>
      <c r="D66" s="12" t="inlineStr">
        <is>
          <t>ASU ML</t>
        </is>
      </c>
      <c r="E66" s="13" t="n">
        <v>410</v>
      </c>
      <c r="F66" s="16" t="n">
        <v>16.5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0.1061</v>
      </c>
      <c r="M66" s="14" t="n">
        <v>-0.0266</v>
      </c>
      <c r="N66" s="12" t="inlineStr">
        <is>
          <t>ASU 20 - TA&amp;M 48</t>
        </is>
      </c>
      <c r="O66" s="12" t="inlineStr">
        <is>
          <t>DraftKings</t>
        </is>
      </c>
    </row>
    <row r="67">
      <c r="A67" s="17" t="inlineStr">
        <is>
          <t>2026-09-12</t>
        </is>
      </c>
      <c r="B67" s="17" t="inlineStr">
        <is>
          <t>ASU @ TA&amp;M</t>
        </is>
      </c>
      <c r="C67" s="17" t="inlineStr">
        <is>
          <t>TOTAL</t>
        </is>
      </c>
      <c r="D67" s="17" t="inlineStr">
        <is>
          <t>Over 50.5</t>
        </is>
      </c>
      <c r="E67" s="18" t="n">
        <v>-112</v>
      </c>
      <c r="F67" s="21" t="n">
        <v>25</v>
      </c>
      <c r="G67" s="17" t="inlineStr">
        <is>
          <t>Win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0.09660000000000001</v>
      </c>
      <c r="M67" s="19" t="n">
        <v>0</v>
      </c>
      <c r="N67" s="17" t="inlineStr">
        <is>
          <t>ASU 20 - TA&amp;M 48</t>
        </is>
      </c>
      <c r="O67" s="17" t="inlineStr">
        <is>
          <t>Draft Kings</t>
        </is>
      </c>
    </row>
    <row r="68">
      <c r="A68" s="12" t="inlineStr">
        <is>
          <t>2026-09-12</t>
        </is>
      </c>
      <c r="B68" s="12" t="inlineStr">
        <is>
          <t>WSU @ KSU</t>
        </is>
      </c>
      <c r="C68" s="12" t="inlineStr">
        <is>
          <t>ML</t>
        </is>
      </c>
      <c r="D68" s="12" t="inlineStr">
        <is>
          <t>WSU ML</t>
        </is>
      </c>
      <c r="E68" s="13" t="n">
        <v>575</v>
      </c>
      <c r="F68" s="16" t="n">
        <v>1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BEST BET</t>
        </is>
      </c>
      <c r="L68" s="14" t="n">
        <v>0.095</v>
      </c>
      <c r="M68" s="14" t="n">
        <v>-0.0148</v>
      </c>
      <c r="N68" s="12" t="inlineStr">
        <is>
          <t>WSU 7 - KSU 34</t>
        </is>
      </c>
      <c r="O68" s="12" t="inlineStr">
        <is>
          <t>DraftKings</t>
        </is>
      </c>
    </row>
    <row r="69">
      <c r="A69" s="17" t="inlineStr">
        <is>
          <t>2026-09-12</t>
        </is>
      </c>
      <c r="B69" s="17" t="inlineStr">
        <is>
          <t>ORE @ OKST</t>
        </is>
      </c>
      <c r="C69" s="17" t="inlineStr">
        <is>
          <t>TOTAL</t>
        </is>
      </c>
      <c r="D69" s="17" t="inlineStr">
        <is>
          <t>Under 60.5</t>
        </is>
      </c>
      <c r="E69" s="18" t="n">
        <v>-112</v>
      </c>
      <c r="F69" s="21" t="n">
        <v>26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0.1106</v>
      </c>
      <c r="M69" s="19" t="n">
        <v>0.1409</v>
      </c>
      <c r="N69" s="17" t="inlineStr">
        <is>
          <t>ORE 31 - OKST 39</t>
        </is>
      </c>
      <c r="O69" s="17" t="inlineStr">
        <is>
          <t>Draft Kings</t>
        </is>
      </c>
    </row>
    <row r="70">
      <c r="A70" s="12" t="inlineStr">
        <is>
          <t>2026-09-12</t>
        </is>
      </c>
      <c r="B70" s="12" t="inlineStr">
        <is>
          <t>ODU @ VT</t>
        </is>
      </c>
      <c r="C70" s="12" t="inlineStr">
        <is>
          <t>ML</t>
        </is>
      </c>
      <c r="D70" s="12" t="inlineStr">
        <is>
          <t>ODU ML</t>
        </is>
      </c>
      <c r="E70" s="13" t="n">
        <v>455</v>
      </c>
      <c r="F70" s="16" t="n">
        <v>15.5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0.1006</v>
      </c>
      <c r="M70" s="14" t="n">
        <v>-0.0625</v>
      </c>
      <c r="N70" s="12" t="inlineStr">
        <is>
          <t>ODU 21 - VT 44</t>
        </is>
      </c>
      <c r="O70" s="12" t="inlineStr">
        <is>
          <t>Draft Kings</t>
        </is>
      </c>
    </row>
    <row r="71">
      <c r="A71" s="17" t="inlineStr">
        <is>
          <t>2026-09-12</t>
        </is>
      </c>
      <c r="B71" s="17" t="inlineStr">
        <is>
          <t>WAKE @ PUR</t>
        </is>
      </c>
      <c r="C71" s="17" t="inlineStr">
        <is>
          <t>ATS</t>
        </is>
      </c>
      <c r="D71" s="17" t="inlineStr">
        <is>
          <t>PUR +3.5</t>
        </is>
      </c>
      <c r="E71" s="18" t="n">
        <v>-115</v>
      </c>
      <c r="F71" s="21" t="n">
        <v>26</v>
      </c>
      <c r="G71" s="17" t="inlineStr">
        <is>
          <t>Win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GOOD</t>
        </is>
      </c>
      <c r="L71" s="19" t="n">
        <v>0.0922</v>
      </c>
      <c r="M71" s="19" t="n">
        <v>0.0014</v>
      </c>
      <c r="N71" s="17" t="inlineStr">
        <is>
          <t>WAKE 38 - PUR 36</t>
        </is>
      </c>
      <c r="O71" s="17" t="inlineStr">
        <is>
          <t>Draft Kings</t>
        </is>
      </c>
    </row>
    <row r="72">
      <c r="A72" s="12" t="inlineStr">
        <is>
          <t>2026-09-12</t>
        </is>
      </c>
      <c r="B72" s="12" t="inlineStr">
        <is>
          <t>WAKE @ PUR</t>
        </is>
      </c>
      <c r="C72" s="12" t="inlineStr">
        <is>
          <t>ML</t>
        </is>
      </c>
      <c r="D72" s="12" t="inlineStr">
        <is>
          <t>PUR ML</t>
        </is>
      </c>
      <c r="E72" s="13" t="n">
        <v>164</v>
      </c>
      <c r="F72" s="16" t="n">
        <v>4.5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GOOD</t>
        </is>
      </c>
      <c r="L72" s="14" t="n">
        <v>0.0949</v>
      </c>
      <c r="M72" s="14" t="n">
        <v>0.056</v>
      </c>
      <c r="N72" s="12" t="inlineStr">
        <is>
          <t>WAKE 38 - PUR 36</t>
        </is>
      </c>
      <c r="O72" s="12" t="inlineStr">
        <is>
          <t>DraftKings</t>
        </is>
      </c>
    </row>
    <row r="73">
      <c r="A73" s="17" t="inlineStr">
        <is>
          <t>2026-09-12</t>
        </is>
      </c>
      <c r="B73" s="17" t="inlineStr">
        <is>
          <t>WAKE @ PUR</t>
        </is>
      </c>
      <c r="C73" s="17" t="inlineStr">
        <is>
          <t>TOTAL</t>
        </is>
      </c>
      <c r="D73" s="17" t="inlineStr">
        <is>
          <t>Over 49.5</t>
        </is>
      </c>
      <c r="E73" s="18" t="n">
        <v>-110</v>
      </c>
      <c r="F73" s="21" t="n">
        <v>25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0.1129</v>
      </c>
      <c r="M73" s="19" t="n">
        <v>0.0254</v>
      </c>
      <c r="N73" s="17" t="inlineStr">
        <is>
          <t>WAKE 38 - PUR 36</t>
        </is>
      </c>
      <c r="O73" s="17" t="inlineStr">
        <is>
          <t>Draft Kings</t>
        </is>
      </c>
    </row>
    <row r="74">
      <c r="A74" s="12" t="inlineStr">
        <is>
          <t>2026-09-12</t>
        </is>
      </c>
      <c r="B74" s="12" t="inlineStr">
        <is>
          <t>PSU @ TEM</t>
        </is>
      </c>
      <c r="C74" s="12" t="inlineStr">
        <is>
          <t>TOTAL</t>
        </is>
      </c>
      <c r="D74" s="12" t="inlineStr">
        <is>
          <t>Over 51.5</t>
        </is>
      </c>
      <c r="E74" s="13" t="n">
        <v>-105</v>
      </c>
      <c r="F74" s="16" t="n">
        <v>25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0.09859999999999999</v>
      </c>
      <c r="M74" s="14" t="n">
        <v>-0.0072</v>
      </c>
      <c r="N74" s="12" t="inlineStr">
        <is>
          <t>PSU 27 - TEM 9</t>
        </is>
      </c>
      <c r="O74" s="12" t="inlineStr">
        <is>
          <t>DraftKings</t>
        </is>
      </c>
    </row>
    <row r="75">
      <c r="A75" s="17" t="inlineStr">
        <is>
          <t>2026-09-12</t>
        </is>
      </c>
      <c r="B75" s="17" t="inlineStr">
        <is>
          <t>APP @ ECU</t>
        </is>
      </c>
      <c r="C75" s="17" t="inlineStr">
        <is>
          <t>ATS</t>
        </is>
      </c>
      <c r="D75" s="17" t="inlineStr">
        <is>
          <t>APP +10</t>
        </is>
      </c>
      <c r="E75" s="18" t="n">
        <v>-110</v>
      </c>
      <c r="F75" s="21" t="n">
        <v>22.5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GOOD</t>
        </is>
      </c>
      <c r="L75" s="19" t="n">
        <v>0.0818</v>
      </c>
      <c r="M75" s="19" t="n">
        <v>0.0829</v>
      </c>
      <c r="N75" s="17" t="inlineStr">
        <is>
          <t>APP 27 - ECU 24</t>
        </is>
      </c>
      <c r="O75" s="17" t="inlineStr">
        <is>
          <t>Draft Kings</t>
        </is>
      </c>
    </row>
    <row r="76">
      <c r="A76" s="12" t="inlineStr">
        <is>
          <t>2026-09-12</t>
        </is>
      </c>
      <c r="B76" s="12" t="inlineStr">
        <is>
          <t>MIZ @ KU</t>
        </is>
      </c>
      <c r="C76" s="12" t="inlineStr">
        <is>
          <t>ATS</t>
        </is>
      </c>
      <c r="D76" s="12" t="inlineStr">
        <is>
          <t>KU +6.5</t>
        </is>
      </c>
      <c r="E76" s="13" t="n">
        <v>-105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0.1173</v>
      </c>
      <c r="M76" s="14" t="n">
        <v>0.06610000000000001</v>
      </c>
      <c r="N76" s="12" t="inlineStr">
        <is>
          <t>MIZ 38 - KU 21</t>
        </is>
      </c>
      <c r="O76" s="12" t="inlineStr">
        <is>
          <t>Draft Kings</t>
        </is>
      </c>
    </row>
    <row r="77">
      <c r="A77" s="17" t="inlineStr">
        <is>
          <t>2026-09-12</t>
        </is>
      </c>
      <c r="B77" s="17" t="inlineStr">
        <is>
          <t>MIZ @ KU</t>
        </is>
      </c>
      <c r="C77" s="17" t="inlineStr">
        <is>
          <t>ML</t>
        </is>
      </c>
      <c r="D77" s="17" t="inlineStr">
        <is>
          <t>KU ML</t>
        </is>
      </c>
      <c r="E77" s="18" t="n">
        <v>205</v>
      </c>
      <c r="F77" s="21" t="n">
        <v>22.5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0.1213</v>
      </c>
      <c r="M77" s="19" t="n">
        <v>0.0567</v>
      </c>
      <c r="N77" s="17" t="inlineStr">
        <is>
          <t>MIZ 38 - KU 21</t>
        </is>
      </c>
      <c r="O77" s="17" t="inlineStr">
        <is>
          <t>DraftKings</t>
        </is>
      </c>
    </row>
    <row r="78">
      <c r="A78" s="12" t="inlineStr">
        <is>
          <t>2026-09-07</t>
        </is>
      </c>
      <c r="B78" s="12" t="inlineStr">
        <is>
          <t>SMU @ FSU</t>
        </is>
      </c>
      <c r="C78" s="12" t="inlineStr">
        <is>
          <t>ML</t>
        </is>
      </c>
      <c r="D78" s="12" t="inlineStr">
        <is>
          <t>FSU ML</t>
        </is>
      </c>
      <c r="E78" s="13" t="n">
        <v>130</v>
      </c>
      <c r="F78" s="16" t="n">
        <v>21.5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0.0935</v>
      </c>
      <c r="M78" s="14" t="n">
        <v>0.0116</v>
      </c>
      <c r="N78" s="12" t="inlineStr">
        <is>
          <t>SMU 27 - FSU 24</t>
        </is>
      </c>
      <c r="O78" s="12" t="inlineStr">
        <is>
          <t>Draft Kings</t>
        </is>
      </c>
    </row>
    <row r="79">
      <c r="A79" s="17" t="inlineStr">
        <is>
          <t>2026-09-06</t>
        </is>
      </c>
      <c r="B79" s="17" t="inlineStr">
        <is>
          <t>UNLV @ HAW</t>
        </is>
      </c>
      <c r="C79" s="17" t="inlineStr">
        <is>
          <t>ATS</t>
        </is>
      </c>
      <c r="D79" s="17" t="inlineStr">
        <is>
          <t>HAW +3</t>
        </is>
      </c>
      <c r="E79" s="18" t="n">
        <v>-108</v>
      </c>
      <c r="F79" s="21" t="n">
        <v>23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GOOD</t>
        </is>
      </c>
      <c r="L79" s="19" t="n">
        <v>0.08989999999999999</v>
      </c>
      <c r="M79" s="19" t="n">
        <v>0</v>
      </c>
      <c r="N79" s="17" t="inlineStr">
        <is>
          <t>UNLV 21 - HAW 6</t>
        </is>
      </c>
      <c r="O79" s="17" t="inlineStr">
        <is>
          <t>Draft Kings</t>
        </is>
      </c>
    </row>
    <row r="80">
      <c r="A80" s="12" t="inlineStr">
        <is>
          <t>2026-09-06</t>
        </is>
      </c>
      <c r="B80" s="12" t="inlineStr">
        <is>
          <t>UNLV @ HAW</t>
        </is>
      </c>
      <c r="C80" s="12" t="inlineStr">
        <is>
          <t>ML</t>
        </is>
      </c>
      <c r="D80" s="12" t="inlineStr">
        <is>
          <t>HAW ML</t>
        </is>
      </c>
      <c r="E80" s="13" t="n">
        <v>136</v>
      </c>
      <c r="F80" s="16" t="n">
        <v>24.5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GOOD</t>
        </is>
      </c>
      <c r="L80" s="14" t="n">
        <v>0.1085</v>
      </c>
      <c r="M80" s="14" t="n">
        <v>0.0111</v>
      </c>
      <c r="N80" s="12" t="inlineStr">
        <is>
          <t>UNLV 21 - HAW 6</t>
        </is>
      </c>
      <c r="O80" s="12" t="inlineStr">
        <is>
          <t>DraftKings</t>
        </is>
      </c>
    </row>
    <row r="81">
      <c r="A81" s="17" t="inlineStr">
        <is>
          <t>2026-09-06</t>
        </is>
      </c>
      <c r="B81" s="17" t="inlineStr">
        <is>
          <t>CMU @ UNM</t>
        </is>
      </c>
      <c r="C81" s="17" t="inlineStr">
        <is>
          <t>ATS</t>
        </is>
      </c>
      <c r="D81" s="17" t="inlineStr">
        <is>
          <t>CMU +10.5</t>
        </is>
      </c>
      <c r="E81" s="18" t="n">
        <v>-112</v>
      </c>
      <c r="F81" s="21" t="n">
        <v>25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0.0988</v>
      </c>
      <c r="M81" s="19" t="n">
        <v>-0.0045</v>
      </c>
      <c r="N81" s="17" t="inlineStr">
        <is>
          <t>CMU 7 - UNM 38</t>
        </is>
      </c>
      <c r="O81" s="17" t="inlineStr">
        <is>
          <t>Draft Kings</t>
        </is>
      </c>
    </row>
    <row r="82">
      <c r="A82" s="12" t="inlineStr">
        <is>
          <t>2026-09-05</t>
        </is>
      </c>
      <c r="B82" s="12" t="inlineStr">
        <is>
          <t>CLEM @ LSU</t>
        </is>
      </c>
      <c r="C82" s="12" t="inlineStr">
        <is>
          <t>ATS</t>
        </is>
      </c>
      <c r="D82" s="12" t="inlineStr">
        <is>
          <t>CLEM +10.5</t>
        </is>
      </c>
      <c r="E82" s="13" t="n">
        <v>-110</v>
      </c>
      <c r="F82" s="16" t="n">
        <v>25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0.109</v>
      </c>
      <c r="M82" s="14" t="n">
        <v>0.0236</v>
      </c>
      <c r="N82" s="12" t="inlineStr">
        <is>
          <t>CLEM 10 - LSU 51</t>
        </is>
      </c>
      <c r="O82" s="12" t="inlineStr">
        <is>
          <t>Draft Kings</t>
        </is>
      </c>
    </row>
    <row r="83">
      <c r="A83" s="17" t="inlineStr">
        <is>
          <t>2026-09-05</t>
        </is>
      </c>
      <c r="B83" s="17" t="inlineStr">
        <is>
          <t>CLEM @ LSU</t>
        </is>
      </c>
      <c r="C83" s="17" t="inlineStr">
        <is>
          <t>ML</t>
        </is>
      </c>
      <c r="D83" s="17" t="inlineStr">
        <is>
          <t>CLEM ML</t>
        </is>
      </c>
      <c r="E83" s="18" t="n">
        <v>275</v>
      </c>
      <c r="F83" s="21" t="n">
        <v>15.5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0.0896</v>
      </c>
      <c r="M83" s="19" t="n">
        <v>-0.0069</v>
      </c>
      <c r="N83" s="17" t="inlineStr">
        <is>
          <t>CLEM 10 - LSU 51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CLEM @ LSU</t>
        </is>
      </c>
      <c r="C84" s="12" t="inlineStr">
        <is>
          <t>TOTAL</t>
        </is>
      </c>
      <c r="D84" s="12" t="inlineStr">
        <is>
          <t>Over 50.5</t>
        </is>
      </c>
      <c r="E84" s="13" t="n">
        <v>-112</v>
      </c>
      <c r="F84" s="16" t="n">
        <v>25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0.0901</v>
      </c>
      <c r="M84" s="14" t="n">
        <v>-0.0345</v>
      </c>
      <c r="N84" s="12" t="inlineStr">
        <is>
          <t>CLEM 10 - LSU 51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WMU @ MICH</t>
        </is>
      </c>
      <c r="C85" s="17" t="inlineStr">
        <is>
          <t>TOTAL</t>
        </is>
      </c>
      <c r="D85" s="17" t="inlineStr">
        <is>
          <t>Over 47.5</t>
        </is>
      </c>
      <c r="E85" s="18" t="n">
        <v>-115</v>
      </c>
      <c r="F85" s="21" t="n">
        <v>25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0.1073</v>
      </c>
      <c r="M85" s="19" t="n">
        <v>0.0443</v>
      </c>
      <c r="N85" s="17" t="inlineStr">
        <is>
          <t>WMU 12 - MICH 13</t>
        </is>
      </c>
      <c r="O85" s="17" t="inlineStr">
        <is>
          <t>Draft Kings</t>
        </is>
      </c>
    </row>
    <row r="86">
      <c r="A86" s="12" t="inlineStr">
        <is>
          <t>2026-09-05</t>
        </is>
      </c>
      <c r="B86" s="12" t="inlineStr">
        <is>
          <t>ARST @ MEM</t>
        </is>
      </c>
      <c r="C86" s="12" t="inlineStr">
        <is>
          <t>ATS</t>
        </is>
      </c>
      <c r="D86" s="12" t="inlineStr">
        <is>
          <t>ARST +11.5</t>
        </is>
      </c>
      <c r="E86" s="13" t="n">
        <v>-112</v>
      </c>
      <c r="F86" s="16" t="n">
        <v>25</v>
      </c>
      <c r="G86" s="12" t="inlineStr">
        <is>
          <t>Loss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0.1011</v>
      </c>
      <c r="M86" s="14" t="n">
        <v>0.0159</v>
      </c>
      <c r="N86" s="12" t="inlineStr">
        <is>
          <t>ARST 24 - MEM 42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FIU @ USF</t>
        </is>
      </c>
      <c r="C87" s="17" t="inlineStr">
        <is>
          <t>ATS</t>
        </is>
      </c>
      <c r="D87" s="17" t="inlineStr">
        <is>
          <t>FIU +14.5</t>
        </is>
      </c>
      <c r="E87" s="18" t="n">
        <v>-115</v>
      </c>
      <c r="F87" s="21" t="n">
        <v>26</v>
      </c>
      <c r="G87" s="17" t="inlineStr">
        <is>
          <t>Win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0.1214</v>
      </c>
      <c r="M87" s="19" t="n">
        <v>0</v>
      </c>
      <c r="N87" s="17" t="inlineStr">
        <is>
          <t>FIU 9 - USF 19</t>
        </is>
      </c>
      <c r="O87" s="17" t="inlineStr">
        <is>
          <t>Draft Kings</t>
        </is>
      </c>
    </row>
    <row r="88">
      <c r="A88" s="12" t="inlineStr">
        <is>
          <t>2026-09-05</t>
        </is>
      </c>
      <c r="B88" s="12" t="inlineStr">
        <is>
          <t>FIU @ USF</t>
        </is>
      </c>
      <c r="C88" s="12" t="inlineStr">
        <is>
          <t>ML</t>
        </is>
      </c>
      <c r="D88" s="12" t="inlineStr">
        <is>
          <t>FIU ML</t>
        </is>
      </c>
      <c r="E88" s="13" t="n">
        <v>425</v>
      </c>
      <c r="F88" s="16" t="n">
        <v>18</v>
      </c>
      <c r="G88" s="12" t="inlineStr">
        <is>
          <t>Loss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0.1165</v>
      </c>
      <c r="M88" s="14" t="n">
        <v>-0.015</v>
      </c>
      <c r="N88" s="12" t="inlineStr">
        <is>
          <t>FIU 9 - USF 19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FIU @ USF</t>
        </is>
      </c>
      <c r="C89" s="17" t="inlineStr">
        <is>
          <t>TOTAL</t>
        </is>
      </c>
      <c r="D89" s="17" t="inlineStr">
        <is>
          <t>Over 53.5</t>
        </is>
      </c>
      <c r="E89" s="18" t="n">
        <v>-115</v>
      </c>
      <c r="F89" s="21" t="n">
        <v>25</v>
      </c>
      <c r="G89" s="17" t="inlineStr">
        <is>
          <t>Loss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0.09329999999999999</v>
      </c>
      <c r="M89" s="19" t="n">
        <v>-0.0227</v>
      </c>
      <c r="N89" s="17" t="inlineStr">
        <is>
          <t>FIU 9 - USF 19</t>
        </is>
      </c>
      <c r="O89" s="17" t="inlineStr">
        <is>
          <t>DraftKings</t>
        </is>
      </c>
    </row>
    <row r="90">
      <c r="A90" s="12" t="inlineStr">
        <is>
          <t>2026-09-05</t>
        </is>
      </c>
      <c r="B90" s="12" t="inlineStr">
        <is>
          <t>SHSU @ TROY</t>
        </is>
      </c>
      <c r="C90" s="12" t="inlineStr">
        <is>
          <t>ML</t>
        </is>
      </c>
      <c r="D90" s="12" t="inlineStr">
        <is>
          <t>SHSU ML</t>
        </is>
      </c>
      <c r="E90" s="13" t="n">
        <v>600</v>
      </c>
      <c r="F90" s="16" t="n">
        <v>19.5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0.1337</v>
      </c>
      <c r="M90" s="14" t="n">
        <v>0.0053</v>
      </c>
      <c r="N90" s="12" t="inlineStr">
        <is>
          <t>SHSU 21 - TROY 24</t>
        </is>
      </c>
      <c r="O90" s="12" t="inlineStr">
        <is>
          <t>DraftKings</t>
        </is>
      </c>
    </row>
    <row r="91">
      <c r="A91" s="17" t="inlineStr">
        <is>
          <t>2026-09-05</t>
        </is>
      </c>
      <c r="B91" s="17" t="inlineStr">
        <is>
          <t>WYO @ CSU</t>
        </is>
      </c>
      <c r="C91" s="17" t="inlineStr">
        <is>
          <t>TOTAL</t>
        </is>
      </c>
      <c r="D91" s="17" t="inlineStr">
        <is>
          <t>Over 47.5</t>
        </is>
      </c>
      <c r="E91" s="18" t="n">
        <v>-112</v>
      </c>
      <c r="F91" s="21" t="n">
        <v>25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0.1091</v>
      </c>
      <c r="M91" s="19" t="n">
        <v>-0.0345</v>
      </c>
      <c r="N91" s="17" t="inlineStr">
        <is>
          <t>WYO 13 - CSU 35</t>
        </is>
      </c>
      <c r="O91" s="17" t="inlineStr">
        <is>
          <t>Draft Kings</t>
        </is>
      </c>
    </row>
    <row r="92">
      <c r="A92" s="12" t="inlineStr">
        <is>
          <t>2026-09-05</t>
        </is>
      </c>
      <c r="B92" s="12" t="inlineStr">
        <is>
          <t>OKST @ TLSA</t>
        </is>
      </c>
      <c r="C92" s="12" t="inlineStr">
        <is>
          <t>TOTAL</t>
        </is>
      </c>
      <c r="D92" s="12" t="inlineStr">
        <is>
          <t>Under 60.5</t>
        </is>
      </c>
      <c r="E92" s="13" t="n">
        <v>-102</v>
      </c>
      <c r="F92" s="16" t="n">
        <v>25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0.1091</v>
      </c>
      <c r="M92" s="14" t="n">
        <v>0.1089</v>
      </c>
      <c r="N92" s="12" t="inlineStr">
        <is>
          <t>OKST 10 - TLSA 24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BAY @ AUB</t>
        </is>
      </c>
      <c r="C93" s="17" t="inlineStr">
        <is>
          <t>ATS</t>
        </is>
      </c>
      <c r="D93" s="17" t="inlineStr">
        <is>
          <t>BAY +7</t>
        </is>
      </c>
      <c r="E93" s="18" t="n">
        <v>-105</v>
      </c>
      <c r="F93" s="21" t="n">
        <v>26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0.099</v>
      </c>
      <c r="M93" s="19" t="n">
        <v>0</v>
      </c>
      <c r="N93" s="17" t="inlineStr">
        <is>
          <t>BAY 16 - AUB 17</t>
        </is>
      </c>
      <c r="O93" s="17" t="inlineStr">
        <is>
          <t>DraftKings</t>
        </is>
      </c>
    </row>
    <row r="94">
      <c r="A94" s="12" t="inlineStr">
        <is>
          <t>2026-09-05</t>
        </is>
      </c>
      <c r="B94" s="12" t="inlineStr">
        <is>
          <t>BAY @ AUB</t>
        </is>
      </c>
      <c r="C94" s="12" t="inlineStr">
        <is>
          <t>ML</t>
        </is>
      </c>
      <c r="D94" s="12" t="inlineStr">
        <is>
          <t>BAY ML</t>
        </is>
      </c>
      <c r="E94" s="13" t="n">
        <v>240</v>
      </c>
      <c r="F94" s="16" t="n">
        <v>18</v>
      </c>
      <c r="G94" s="12" t="inlineStr">
        <is>
          <t>Loss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0.0969</v>
      </c>
      <c r="M94" s="14" t="n">
        <v>0.0184</v>
      </c>
      <c r="N94" s="12" t="inlineStr">
        <is>
          <t>BAY 16 - AUB 17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BAY @ AUB</t>
        </is>
      </c>
      <c r="C95" s="17" t="inlineStr">
        <is>
          <t>TOTAL</t>
        </is>
      </c>
      <c r="D95" s="17" t="inlineStr">
        <is>
          <t>Under 59.5</t>
        </is>
      </c>
      <c r="E95" s="18" t="n">
        <v>-115</v>
      </c>
      <c r="F95" s="21" t="n">
        <v>25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0.098</v>
      </c>
      <c r="M95" s="19" t="n">
        <v>0.0373</v>
      </c>
      <c r="N95" s="17" t="inlineStr">
        <is>
          <t>BAY 16 - AUB 17</t>
        </is>
      </c>
      <c r="O95" s="17" t="inlineStr">
        <is>
          <t>DraftKings</t>
        </is>
      </c>
    </row>
    <row r="96">
      <c r="A96" s="12" t="inlineStr">
        <is>
          <t>2026-09-05</t>
        </is>
      </c>
      <c r="B96" s="12" t="inlineStr">
        <is>
          <t>BC @ CIN</t>
        </is>
      </c>
      <c r="C96" s="12" t="inlineStr">
        <is>
          <t>TOTAL</t>
        </is>
      </c>
      <c r="D96" s="12" t="inlineStr">
        <is>
          <t>Over 49.5</t>
        </is>
      </c>
      <c r="E96" s="13" t="n">
        <v>-115</v>
      </c>
      <c r="F96" s="16" t="n">
        <v>25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0.1042</v>
      </c>
      <c r="M96" s="14" t="n">
        <v>0.0301</v>
      </c>
      <c r="N96" s="12" t="inlineStr">
        <is>
          <t>BC 15 - CIN 34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TULN @ DUKE</t>
        </is>
      </c>
      <c r="C97" s="17" t="inlineStr">
        <is>
          <t>TOTAL</t>
        </is>
      </c>
      <c r="D97" s="17" t="inlineStr">
        <is>
          <t>Over 51.5</t>
        </is>
      </c>
      <c r="E97" s="18" t="n">
        <v>-108</v>
      </c>
      <c r="F97" s="21" t="n">
        <v>25</v>
      </c>
      <c r="G97" s="17" t="inlineStr">
        <is>
          <t>Loss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0.1029</v>
      </c>
      <c r="M97" s="19" t="n">
        <v>-0.0143</v>
      </c>
      <c r="N97" s="17" t="inlineStr">
        <is>
          <t>TULN 3 - DUKE 17</t>
        </is>
      </c>
      <c r="O97" s="17" t="inlineStr">
        <is>
          <t>DraftKings</t>
        </is>
      </c>
    </row>
    <row r="98">
      <c r="A98" s="12" t="inlineStr">
        <is>
          <t>2026-09-05</t>
        </is>
      </c>
      <c r="B98" s="12" t="inlineStr">
        <is>
          <t>BOIS @ ORE</t>
        </is>
      </c>
      <c r="C98" s="12" t="inlineStr">
        <is>
          <t>TOTAL</t>
        </is>
      </c>
      <c r="D98" s="12" t="inlineStr">
        <is>
          <t>Over 51.5</t>
        </is>
      </c>
      <c r="E98" s="13" t="n">
        <v>-108</v>
      </c>
      <c r="F98" s="16" t="n">
        <v>23.5</v>
      </c>
      <c r="G98" s="12" t="inlineStr">
        <is>
          <t>Win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0.0898</v>
      </c>
      <c r="M98" s="14" t="n">
        <v>0.0091</v>
      </c>
      <c r="N98" s="12" t="inlineStr">
        <is>
          <t>BOIS 27 - ORE 34</t>
        </is>
      </c>
      <c r="O98" s="12" t="inlineStr">
        <is>
          <t>Draft Kings</t>
        </is>
      </c>
    </row>
    <row r="99">
      <c r="A99" s="17" t="inlineStr">
        <is>
          <t>2026-09-05</t>
        </is>
      </c>
      <c r="B99" s="17" t="inlineStr">
        <is>
          <t>MRSH @ PSU</t>
        </is>
      </c>
      <c r="C99" s="17" t="inlineStr">
        <is>
          <t>TOTAL</t>
        </is>
      </c>
      <c r="D99" s="17" t="inlineStr">
        <is>
          <t>Over 52.5</t>
        </is>
      </c>
      <c r="E99" s="18" t="n">
        <v>-102</v>
      </c>
      <c r="F99" s="21" t="n">
        <v>24.5</v>
      </c>
      <c r="G99" s="17" t="inlineStr">
        <is>
          <t>Loss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0.0925</v>
      </c>
      <c r="M99" s="19" t="n">
        <v>0</v>
      </c>
      <c r="N99" s="17" t="inlineStr">
        <is>
          <t>MRSH 0 - PSU 45</t>
        </is>
      </c>
      <c r="O99" s="17" t="inlineStr">
        <is>
          <t>DraftKings</t>
        </is>
      </c>
    </row>
    <row r="100">
      <c r="A100" s="12" t="inlineStr">
        <is>
          <t>2026-09-05</t>
        </is>
      </c>
      <c r="B100" s="12" t="inlineStr">
        <is>
          <t>M-OH @ PITT</t>
        </is>
      </c>
      <c r="C100" s="12" t="inlineStr">
        <is>
          <t>ML</t>
        </is>
      </c>
      <c r="D100" s="12" t="inlineStr">
        <is>
          <t>M-OH ML</t>
        </is>
      </c>
      <c r="E100" s="13" t="n">
        <v>550</v>
      </c>
      <c r="F100" s="16" t="n">
        <v>19</v>
      </c>
      <c r="G100" s="12" t="inlineStr">
        <is>
          <t>Loss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GOOD</t>
        </is>
      </c>
      <c r="L100" s="14" t="n">
        <v>0.1283</v>
      </c>
      <c r="M100" s="14" t="n">
        <v>0</v>
      </c>
      <c r="N100" s="12" t="inlineStr">
        <is>
          <t>M-OH 14 - PITT 59</t>
        </is>
      </c>
      <c r="O100" s="12" t="inlineStr">
        <is>
          <t>DraftKings</t>
        </is>
      </c>
    </row>
    <row r="101">
      <c r="A101" s="17" t="inlineStr">
        <is>
          <t>2026-09-05</t>
        </is>
      </c>
      <c r="B101" s="17" t="inlineStr">
        <is>
          <t>BALL @ OSU</t>
        </is>
      </c>
      <c r="C101" s="17" t="inlineStr">
        <is>
          <t>TOTAL</t>
        </is>
      </c>
      <c r="D101" s="17" t="inlineStr">
        <is>
          <t>Under 56.5</t>
        </is>
      </c>
      <c r="E101" s="18" t="n">
        <v>-105</v>
      </c>
      <c r="F101" s="21" t="n">
        <v>22.5</v>
      </c>
      <c r="G101" s="17" t="inlineStr">
        <is>
          <t>Loss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LEAN</t>
        </is>
      </c>
      <c r="L101" s="19" t="n">
        <v>0.0886</v>
      </c>
      <c r="M101" s="19" t="n">
        <v>0.0161</v>
      </c>
      <c r="N101" s="17" t="inlineStr">
        <is>
          <t>BALL 3 - OSU 56</t>
        </is>
      </c>
      <c r="O101" s="17" t="inlineStr">
        <is>
          <t>DraftKings</t>
        </is>
      </c>
    </row>
    <row r="102">
      <c r="A102" s="12" t="inlineStr">
        <is>
          <t>2026-09-05</t>
        </is>
      </c>
      <c r="B102" s="12" t="inlineStr">
        <is>
          <t>ORST @ HOU</t>
        </is>
      </c>
      <c r="C102" s="12" t="inlineStr">
        <is>
          <t>TOTAL</t>
        </is>
      </c>
      <c r="D102" s="12" t="inlineStr">
        <is>
          <t>Over 49.5</t>
        </is>
      </c>
      <c r="E102" s="13" t="n">
        <v>-110</v>
      </c>
      <c r="F102" s="16" t="n">
        <v>25</v>
      </c>
      <c r="G102" s="12" t="inlineStr">
        <is>
          <t>Win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LEAN</t>
        </is>
      </c>
      <c r="L102" s="14" t="n">
        <v>0.0973</v>
      </c>
      <c r="M102" s="14" t="n">
        <v>0.0475</v>
      </c>
      <c r="N102" s="12" t="inlineStr">
        <is>
          <t>ORST 20 - HOU 33</t>
        </is>
      </c>
      <c r="O102" s="12" t="inlineStr">
        <is>
          <t>DraftKings</t>
        </is>
      </c>
    </row>
    <row r="103">
      <c r="A103" s="17" t="inlineStr">
        <is>
          <t>2026-09-05</t>
        </is>
      </c>
      <c r="B103" s="17" t="inlineStr">
        <is>
          <t>UNT @ IU</t>
        </is>
      </c>
      <c r="C103" s="17" t="inlineStr">
        <is>
          <t>TOTAL</t>
        </is>
      </c>
      <c r="D103" s="17" t="inlineStr">
        <is>
          <t>Over 55.5</t>
        </is>
      </c>
      <c r="E103" s="18" t="n">
        <v>-108</v>
      </c>
      <c r="F103" s="21" t="n">
        <v>23.5</v>
      </c>
      <c r="G103" s="17" t="inlineStr">
        <is>
          <t>Win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0.0898</v>
      </c>
      <c r="M103" s="19" t="n">
        <v>0.03</v>
      </c>
      <c r="N103" s="17" t="inlineStr">
        <is>
          <t>UNT 16 - IU 52</t>
        </is>
      </c>
      <c r="O103" s="17" t="inlineStr">
        <is>
          <t>DraftKings</t>
        </is>
      </c>
    </row>
    <row r="104">
      <c r="A104" s="12" t="inlineStr">
        <is>
          <t>2026-09-05</t>
        </is>
      </c>
      <c r="B104" s="12" t="inlineStr">
        <is>
          <t>OHIO @ NEB</t>
        </is>
      </c>
      <c r="C104" s="12" t="inlineStr">
        <is>
          <t>TOTAL</t>
        </is>
      </c>
      <c r="D104" s="12" t="inlineStr">
        <is>
          <t>Over 47.5</t>
        </is>
      </c>
      <c r="E104" s="13" t="n">
        <v>-108</v>
      </c>
      <c r="F104" s="16" t="n">
        <v>25</v>
      </c>
      <c r="G104" s="12" t="inlineStr">
        <is>
          <t>Win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0.1092</v>
      </c>
      <c r="M104" s="14" t="n">
        <v>-0.0254</v>
      </c>
      <c r="N104" s="12" t="inlineStr">
        <is>
          <t>OHIO 21 - NEB 49</t>
        </is>
      </c>
      <c r="O104" s="12" t="inlineStr">
        <is>
          <t>DraftKings</t>
        </is>
      </c>
    </row>
    <row r="105">
      <c r="A105" s="17" t="inlineStr">
        <is>
          <t>2026-09-05</t>
        </is>
      </c>
      <c r="B105" s="17" t="inlineStr">
        <is>
          <t>LIB @ JMU</t>
        </is>
      </c>
      <c r="C105" s="17" t="inlineStr">
        <is>
          <t>TOTAL</t>
        </is>
      </c>
      <c r="D105" s="17" t="inlineStr">
        <is>
          <t>Over 50.5</t>
        </is>
      </c>
      <c r="E105" s="18" t="n">
        <v>-112</v>
      </c>
      <c r="F105" s="21" t="n">
        <v>25</v>
      </c>
      <c r="G105" s="17" t="inlineStr">
        <is>
          <t>Loss</t>
        </is>
      </c>
      <c r="H105" s="21">
        <f>IF(OR($G105="",$G105="Pending"),"",ROUND(IF($G105="Win",IF($E105&gt;0,$F105*$E105/100,$F105*100/-$E105),IF($G105="Loss",-$F105,0)),2))</f>
        <v/>
      </c>
      <c r="I105" s="21">
        <f>Settings!$B$5+SUM($H$6:$H105)</f>
        <v/>
      </c>
      <c r="J105" s="19">
        <f>IFERROR(SUM($H$6:$H105)/SUMIF($G$6:$G105,"&lt;&gt;Pending",$F$6:$F105),"")</f>
        <v/>
      </c>
      <c r="K105" s="17" t="inlineStr">
        <is>
          <t>LEAN</t>
        </is>
      </c>
      <c r="L105" s="19" t="n">
        <v>0.0982</v>
      </c>
      <c r="M105" s="19" t="n">
        <v>0</v>
      </c>
      <c r="N105" s="17" t="inlineStr">
        <is>
          <t>LIB 13 - JMU 20</t>
        </is>
      </c>
      <c r="O105" s="17" t="inlineStr">
        <is>
          <t>DraftKings</t>
        </is>
      </c>
    </row>
    <row r="106">
      <c r="A106" s="12" t="inlineStr">
        <is>
          <t>2026-09-05</t>
        </is>
      </c>
      <c r="B106" s="12" t="inlineStr">
        <is>
          <t>MIA @ STAN</t>
        </is>
      </c>
      <c r="C106" s="12" t="inlineStr">
        <is>
          <t>TOTAL</t>
        </is>
      </c>
      <c r="D106" s="12" t="inlineStr">
        <is>
          <t>Over 48.5</t>
        </is>
      </c>
      <c r="E106" s="13" t="n">
        <v>100</v>
      </c>
      <c r="F106" s="16" t="n">
        <v>25</v>
      </c>
      <c r="G106" s="12" t="inlineStr">
        <is>
          <t>Win</t>
        </is>
      </c>
      <c r="H106" s="16">
        <f>IF(OR($G106="",$G106="Pending"),"",ROUND(IF($G106="Win",IF($E106&gt;0,$F106*$E106/100,$F106*100/-$E106),IF($G106="Loss",-$F106,0)),2))</f>
        <v/>
      </c>
      <c r="I106" s="16">
        <f>Settings!$B$5+SUM($H$6:$H106)</f>
        <v/>
      </c>
      <c r="J106" s="14">
        <f>IFERROR(SUM($H$6:$H106)/SUMIF($G$6:$G106,"&lt;&gt;Pending",$F$6:$F106),"")</f>
        <v/>
      </c>
      <c r="K106" s="12" t="inlineStr">
        <is>
          <t>LEAN</t>
        </is>
      </c>
      <c r="L106" s="14" t="n">
        <v>0.1103</v>
      </c>
      <c r="M106" s="14" t="n">
        <v>-0.0362</v>
      </c>
      <c r="N106" s="12" t="inlineStr">
        <is>
          <t>MIA 45 - STAN 6</t>
        </is>
      </c>
      <c r="O106" s="12" t="inlineStr">
        <is>
          <t>Draft Kings</t>
        </is>
      </c>
    </row>
    <row r="107">
      <c r="A107" s="17" t="inlineStr">
        <is>
          <t>2026-09-05</t>
        </is>
      </c>
      <c r="B107" s="17" t="inlineStr">
        <is>
          <t>TOL @ MSU</t>
        </is>
      </c>
      <c r="C107" s="17" t="inlineStr">
        <is>
          <t>ATS</t>
        </is>
      </c>
      <c r="D107" s="17" t="inlineStr">
        <is>
          <t>TOL +10</t>
        </is>
      </c>
      <c r="E107" s="18" t="n">
        <v>-105</v>
      </c>
      <c r="F107" s="21" t="n">
        <v>25</v>
      </c>
      <c r="G107" s="17" t="inlineStr">
        <is>
          <t>Push</t>
        </is>
      </c>
      <c r="H107" s="21">
        <f>IF(OR($G107="",$G107="Pending"),"",ROUND(IF($G107="Win",IF($E107&gt;0,$F107*$E107/100,$F107*100/-$E107),IF($G107="Loss",-$F107,0)),2))</f>
        <v/>
      </c>
      <c r="I107" s="21">
        <f>Settings!$B$5+SUM($H$6:$H107)</f>
        <v/>
      </c>
      <c r="J107" s="19">
        <f>IFERROR(SUM($H$6:$H107)/SUMIF($G$6:$G107,"&lt;&gt;Pending",$F$6:$F107),"")</f>
        <v/>
      </c>
      <c r="K107" s="17" t="inlineStr">
        <is>
          <t>LEAN</t>
        </is>
      </c>
      <c r="L107" s="19" t="n">
        <v>0.111</v>
      </c>
      <c r="M107" s="19" t="n">
        <v>0.0241</v>
      </c>
      <c r="N107" s="17" t="inlineStr">
        <is>
          <t>TOL 20 - MSU 30</t>
        </is>
      </c>
      <c r="O107" s="17" t="inlineStr">
        <is>
          <t>Draft Kings</t>
        </is>
      </c>
    </row>
    <row r="108">
      <c r="A108" s="12" t="inlineStr">
        <is>
          <t>2026-09-04</t>
        </is>
      </c>
      <c r="B108" s="12" t="inlineStr">
        <is>
          <t>COLO @ GT</t>
        </is>
      </c>
      <c r="C108" s="12" t="inlineStr">
        <is>
          <t>TOTAL</t>
        </is>
      </c>
      <c r="D108" s="12" t="inlineStr">
        <is>
          <t>Over 50.5</t>
        </is>
      </c>
      <c r="E108" s="13" t="n">
        <v>-115</v>
      </c>
      <c r="F108" s="16" t="n">
        <v>21</v>
      </c>
      <c r="G108" s="12" t="inlineStr">
        <is>
          <t>Loss</t>
        </is>
      </c>
      <c r="H108" s="16">
        <f>IF(OR($G108="",$G108="Pending"),"",ROUND(IF($G108="Win",IF($E108&gt;0,$F108*$E108/100,$F108*100/-$E108),IF($G108="Loss",-$F108,0)),2))</f>
        <v/>
      </c>
      <c r="I108" s="16">
        <f>Settings!$B$5+SUM($H$6:$H108)</f>
        <v/>
      </c>
      <c r="J108" s="14">
        <f>IFERROR(SUM($H$6:$H108)/SUMIF($G$6:$G108,"&lt;&gt;Pending",$F$6:$F108),"")</f>
        <v/>
      </c>
      <c r="K108" s="12" t="inlineStr">
        <is>
          <t>LEAN</t>
        </is>
      </c>
      <c r="L108" s="14" t="n">
        <v>0.0784</v>
      </c>
      <c r="M108" s="14" t="n">
        <v>0.0189</v>
      </c>
      <c r="N108" s="12" t="inlineStr">
        <is>
          <t>COLO 14 - GT 13</t>
        </is>
      </c>
      <c r="O108" s="12" t="inlineStr">
        <is>
          <t>DraftKings</t>
        </is>
      </c>
    </row>
    <row r="109">
      <c r="A109" s="17" t="inlineStr">
        <is>
          <t>2026-09-03</t>
        </is>
      </c>
      <c r="B109" s="17" t="inlineStr">
        <is>
          <t>AKR @ WAKE</t>
        </is>
      </c>
      <c r="C109" s="17" t="inlineStr">
        <is>
          <t>TOTAL</t>
        </is>
      </c>
      <c r="D109" s="17" t="inlineStr">
        <is>
          <t>Over 48.5</t>
        </is>
      </c>
      <c r="E109" s="18" t="n">
        <v>-112</v>
      </c>
      <c r="F109" s="21" t="n">
        <v>24.5</v>
      </c>
      <c r="G109" s="17" t="inlineStr">
        <is>
          <t>Win</t>
        </is>
      </c>
      <c r="H109" s="21">
        <f>IF(OR($G109="",$G109="Pending"),"",ROUND(IF($G109="Win",IF($E109&gt;0,$F109*$E109/100,$F109*100/-$E109),IF($G109="Loss",-$F109,0)),2))</f>
        <v/>
      </c>
      <c r="I109" s="21">
        <f>Settings!$B$5+SUM($H$6:$H109)</f>
        <v/>
      </c>
      <c r="J109" s="19">
        <f>IFERROR(SUM($H$6:$H109)/SUMIF($G$6:$G109,"&lt;&gt;Pending",$F$6:$F109),"")</f>
        <v/>
      </c>
      <c r="K109" s="17" t="inlineStr">
        <is>
          <t>LEAN</t>
        </is>
      </c>
      <c r="L109" s="19" t="n">
        <v>0.0917</v>
      </c>
      <c r="M109" s="19" t="n">
        <v>0.0509</v>
      </c>
      <c r="N109" s="17" t="inlineStr">
        <is>
          <t>AKR 16 - WAKE 38</t>
        </is>
      </c>
      <c r="O109" s="17" t="inlineStr">
        <is>
          <t>DraftKings</t>
        </is>
      </c>
    </row>
    <row r="110">
      <c r="A110" s="12" t="inlineStr">
        <is>
          <t>2026-08-29</t>
        </is>
      </c>
      <c r="B110" s="12" t="inlineStr">
        <is>
          <t>HAW @ STAN</t>
        </is>
      </c>
      <c r="C110" s="12" t="inlineStr">
        <is>
          <t>TOTAL</t>
        </is>
      </c>
      <c r="D110" s="12" t="inlineStr">
        <is>
          <t>Over 49.5</t>
        </is>
      </c>
      <c r="E110" s="13" t="n">
        <v>-105</v>
      </c>
      <c r="F110" s="16" t="n">
        <v>21.5</v>
      </c>
      <c r="G110" s="12" t="inlineStr">
        <is>
          <t>Win</t>
        </is>
      </c>
      <c r="H110" s="16">
        <f>IF(OR($G110="",$G110="Pending"),"",ROUND(IF($G110="Win",IF($E110&gt;0,$F110*$E110/100,$F110*100/-$E110),IF($G110="Loss",-$F110,0)),2))</f>
        <v/>
      </c>
      <c r="I110" s="16">
        <f>Settings!$B$5+SUM($H$6:$H110)</f>
        <v/>
      </c>
      <c r="J110" s="14">
        <f>IFERROR(SUM($H$6:$H110)/SUMIF($G$6:$G110,"&lt;&gt;Pending",$F$6:$F110),"")</f>
        <v/>
      </c>
      <c r="K110" s="12" t="inlineStr">
        <is>
          <t>LEAN</t>
        </is>
      </c>
      <c r="L110" s="14" t="n">
        <v>0.0834</v>
      </c>
      <c r="M110" s="14" t="n">
        <v>-0.0139</v>
      </c>
      <c r="N110" s="12" t="inlineStr">
        <is>
          <t>HAW 27 - STAN 37</t>
        </is>
      </c>
      <c r="O110" s="12" t="inlineStr">
        <is>
          <t>Draft Kings</t>
        </is>
      </c>
    </row>
    <row r="111">
      <c r="A111" s="17" t="inlineStr">
        <is>
          <t>2026-08-29</t>
        </is>
      </c>
      <c r="B111" s="17" t="inlineStr">
        <is>
          <t>SAC @ EMU</t>
        </is>
      </c>
      <c r="C111" s="17" t="inlineStr">
        <is>
          <t>ATS</t>
        </is>
      </c>
      <c r="D111" s="17" t="inlineStr">
        <is>
          <t>SAC +8.5</t>
        </is>
      </c>
      <c r="E111" s="18" t="n">
        <v>-108</v>
      </c>
      <c r="F111" s="21" t="n">
        <v>25</v>
      </c>
      <c r="G111" s="17" t="inlineStr">
        <is>
          <t>Loss</t>
        </is>
      </c>
      <c r="H111" s="21">
        <f>IF(OR($G111="",$G111="Pending"),"",ROUND(IF($G111="Win",IF($E111&gt;0,$F111*$E111/100,$F111*100/-$E111),IF($G111="Loss",-$F111,0)),2))</f>
        <v/>
      </c>
      <c r="I111" s="21">
        <f>Settings!$B$5+SUM($H$6:$H111)</f>
        <v/>
      </c>
      <c r="J111" s="19">
        <f>IFERROR(SUM($H$6:$H111)/SUMIF($G$6:$G111,"&lt;&gt;Pending",$F$6:$F111),"")</f>
        <v/>
      </c>
      <c r="K111" s="17" t="inlineStr">
        <is>
          <t>LEAN</t>
        </is>
      </c>
      <c r="L111" s="19" t="n">
        <v>0.1065</v>
      </c>
      <c r="M111" s="19" t="n">
        <v>0.0046</v>
      </c>
      <c r="N111" s="17" t="inlineStr">
        <is>
          <t>SAC 17 - EMU 28</t>
        </is>
      </c>
      <c r="O111" s="17" t="inlineStr">
        <is>
          <t>DraftKings</t>
        </is>
      </c>
    </row>
    <row r="112">
      <c r="A112" s="12" t="inlineStr">
        <is>
          <t>2026-08-29</t>
        </is>
      </c>
      <c r="B112" s="12" t="inlineStr">
        <is>
          <t>SAC @ EMU</t>
        </is>
      </c>
      <c r="C112" s="12" t="inlineStr">
        <is>
          <t>ML</t>
        </is>
      </c>
      <c r="D112" s="12" t="inlineStr">
        <is>
          <t>SAC ML</t>
        </is>
      </c>
      <c r="E112" s="13" t="n">
        <v>280</v>
      </c>
      <c r="F112" s="16" t="n">
        <v>18</v>
      </c>
      <c r="G112" s="12" t="inlineStr">
        <is>
          <t>Loss</t>
        </is>
      </c>
      <c r="H112" s="16">
        <f>IF(OR($G112="",$G112="Pending"),"",ROUND(IF($G112="Win",IF($E112&gt;0,$F112*$E112/100,$F112*100/-$E112),IF($G112="Loss",-$F112,0)),2))</f>
        <v/>
      </c>
      <c r="I112" s="16">
        <f>Settings!$B$5+SUM($H$6:$H112)</f>
        <v/>
      </c>
      <c r="J112" s="14">
        <f>IFERROR(SUM($H$6:$H112)/SUMIF($G$6:$G112,"&lt;&gt;Pending",$F$6:$F112),"")</f>
        <v/>
      </c>
      <c r="K112" s="12" t="inlineStr">
        <is>
          <t>LEAN</t>
        </is>
      </c>
      <c r="L112" s="14" t="n">
        <v>0.1055</v>
      </c>
      <c r="M112" s="14" t="n">
        <v>0</v>
      </c>
      <c r="N112" s="12" t="inlineStr">
        <is>
          <t>SAC 17 - EMU 28</t>
        </is>
      </c>
      <c r="O112" s="12" t="inlineStr">
        <is>
          <t>Draft Kings</t>
        </is>
      </c>
    </row>
    <row r="113">
      <c r="A113" s="17" t="inlineStr">
        <is>
          <t>2026-08-29</t>
        </is>
      </c>
      <c r="B113" s="17" t="inlineStr">
        <is>
          <t>UNC @ TCU</t>
        </is>
      </c>
      <c r="C113" s="17" t="inlineStr">
        <is>
          <t>ATS</t>
        </is>
      </c>
      <c r="D113" s="17" t="inlineStr">
        <is>
          <t>UNC +7.5</t>
        </is>
      </c>
      <c r="E113" s="18" t="n">
        <v>-108</v>
      </c>
      <c r="F113" s="21" t="n">
        <v>21</v>
      </c>
      <c r="G113" s="17" t="inlineStr">
        <is>
          <t>Win</t>
        </is>
      </c>
      <c r="H113" s="21">
        <f>IF(OR($G113="",$G113="Pending"),"",ROUND(IF($G113="Win",IF($E113&gt;0,$F113*$E113/100,$F113*100/-$E113),IF($G113="Loss",-$F113,0)),2))</f>
        <v/>
      </c>
      <c r="I113" s="21">
        <f>Settings!$B$5+SUM($H$6:$H113)</f>
        <v/>
      </c>
      <c r="J113" s="19">
        <f>IFERROR(SUM($H$6:$H113)/SUMIF($G$6:$G113,"&lt;&gt;Pending",$F$6:$F113),"")</f>
        <v/>
      </c>
      <c r="K113" s="17" t="inlineStr">
        <is>
          <t>LEAN</t>
        </is>
      </c>
      <c r="L113" s="19" t="n">
        <v>0.0801</v>
      </c>
      <c r="M113" s="19" t="n">
        <v>-0.009299999999999999</v>
      </c>
      <c r="N113" s="17" t="inlineStr">
        <is>
          <t>UNC 15 - TCU 10</t>
        </is>
      </c>
      <c r="O113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51.5</v>
      </c>
      <c r="K190" s="18" t="n">
        <v>285</v>
      </c>
      <c r="L190" s="18" t="n">
        <v>-360</v>
      </c>
      <c r="M190" s="17" t="inlineStr">
        <is>
          <t>Draft 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22.5</v>
      </c>
      <c r="J191" s="29" t="n">
        <v>55.5</v>
      </c>
      <c r="K191" s="13" t="n">
        <v>-2100</v>
      </c>
      <c r="L191" s="13" t="n">
        <v>1100</v>
      </c>
      <c r="M191" s="12" t="inlineStr">
        <is>
          <t>Draft 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-8.5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>
        <v>-4.5</v>
      </c>
      <c r="J194" s="30" t="n">
        <v>57.5</v>
      </c>
      <c r="K194" s="18" t="n">
        <v>150</v>
      </c>
      <c r="L194" s="18" t="n">
        <v>-180</v>
      </c>
      <c r="M194" s="17" t="inlineStr">
        <is>
          <t>Draft Kings</t>
        </is>
      </c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24.5</v>
      </c>
      <c r="J195" s="29" t="n">
        <v>54.5</v>
      </c>
      <c r="K195" s="13" t="n">
        <v>-4000</v>
      </c>
      <c r="L195" s="13" t="n">
        <v>1600</v>
      </c>
      <c r="M195" s="12" t="inlineStr">
        <is>
          <t>Draft 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>
        <v>-19.5</v>
      </c>
      <c r="J196" s="30" t="n">
        <v>49.5</v>
      </c>
      <c r="K196" s="18" t="n">
        <v>900</v>
      </c>
      <c r="L196" s="18" t="n">
        <v>-1600</v>
      </c>
      <c r="M196" s="17" t="inlineStr">
        <is>
          <t>Draft Kings</t>
        </is>
      </c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>
        <v>-22.5</v>
      </c>
      <c r="J197" s="29" t="n">
        <v>45.5</v>
      </c>
      <c r="K197" s="13" t="n">
        <v>1300</v>
      </c>
      <c r="L197" s="13" t="n">
        <v>-2800</v>
      </c>
      <c r="M197" s="12" t="inlineStr">
        <is>
          <t>Draft Kings</t>
        </is>
      </c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6</v>
      </c>
      <c r="J198" s="30" t="n">
        <v>52.5</v>
      </c>
      <c r="K198" s="18" t="n">
        <v>-225</v>
      </c>
      <c r="L198" s="18" t="n">
        <v>185</v>
      </c>
      <c r="M198" s="17" t="inlineStr">
        <is>
          <t>Draft 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-4.5</v>
      </c>
      <c r="J200" s="30" t="n">
        <v>44.5</v>
      </c>
      <c r="K200" s="18" t="n">
        <v>164</v>
      </c>
      <c r="L200" s="18" t="n">
        <v>-198</v>
      </c>
      <c r="M200" s="17" t="inlineStr">
        <is>
          <t>Draft 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>
        <v>-26.5</v>
      </c>
      <c r="J201" s="29" t="n">
        <v>49.5</v>
      </c>
      <c r="K201" s="13" t="n">
        <v>1800</v>
      </c>
      <c r="L201" s="13" t="n">
        <v>-5000</v>
      </c>
      <c r="M201" s="12" t="inlineStr">
        <is>
          <t>Draft Kings</t>
        </is>
      </c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-51.5</v>
      </c>
      <c r="J202" s="30" t="n">
        <v>58.5</v>
      </c>
      <c r="K202" s="18" t="n"/>
      <c r="L202" s="18" t="n"/>
      <c r="M202" s="17" t="inlineStr">
        <is>
          <t>Draft 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>
        <v>-39.5</v>
      </c>
      <c r="J203" s="29" t="n">
        <v>48.5</v>
      </c>
      <c r="K203" s="13" t="n"/>
      <c r="L203" s="13" t="n"/>
      <c r="M203" s="12" t="inlineStr">
        <is>
          <t>Draft Kings</t>
        </is>
      </c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>
        <v>-3</v>
      </c>
      <c r="J204" s="30" t="n">
        <v>62.5</v>
      </c>
      <c r="K204" s="18" t="n">
        <v>120</v>
      </c>
      <c r="L204" s="18" t="n">
        <v>-142</v>
      </c>
      <c r="M204" s="17" t="inlineStr">
        <is>
          <t>Draft Kings</t>
        </is>
      </c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>
        <v>-24.5</v>
      </c>
      <c r="J205" s="29" t="n">
        <v>45.5</v>
      </c>
      <c r="K205" s="13" t="n">
        <v>1400</v>
      </c>
      <c r="L205" s="13" t="n">
        <v>-3200</v>
      </c>
      <c r="M205" s="12" t="inlineStr">
        <is>
          <t>Draft Kings</t>
        </is>
      </c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>
        <v>-4</v>
      </c>
      <c r="J206" s="30" t="n">
        <v>53.5</v>
      </c>
      <c r="K206" s="18" t="n">
        <v>150</v>
      </c>
      <c r="L206" s="18" t="n">
        <v>-180</v>
      </c>
      <c r="M206" s="17" t="inlineStr">
        <is>
          <t>Draft Kings</t>
        </is>
      </c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>
        <v>-2.5</v>
      </c>
      <c r="J207" s="29" t="n">
        <v>39.5</v>
      </c>
      <c r="K207" s="13" t="n">
        <v>110</v>
      </c>
      <c r="L207" s="13" t="n">
        <v>-130</v>
      </c>
      <c r="M207" s="12" t="inlineStr">
        <is>
          <t>Draft Kings</t>
        </is>
      </c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>
        <v>-4.5</v>
      </c>
      <c r="J210" s="30" t="n">
        <v>52.5</v>
      </c>
      <c r="K210" s="18" t="n">
        <v>145</v>
      </c>
      <c r="L210" s="18" t="n">
        <v>-175</v>
      </c>
      <c r="M210" s="17" t="inlineStr">
        <is>
          <t>Draft Kings</t>
        </is>
      </c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-19.5</v>
      </c>
      <c r="J211" s="29" t="n">
        <v>50.5</v>
      </c>
      <c r="K211" s="13" t="n">
        <v>750</v>
      </c>
      <c r="L211" s="13" t="n">
        <v>-1200</v>
      </c>
      <c r="M211" s="12" t="inlineStr">
        <is>
          <t>Draft 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48.5</v>
      </c>
      <c r="K212" s="18" t="n">
        <v>525</v>
      </c>
      <c r="L212" s="18" t="n">
        <v>-850</v>
      </c>
      <c r="M212" s="17" t="inlineStr">
        <is>
          <t>Draft 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>
        <v>-15.5</v>
      </c>
      <c r="J213" s="29" t="n">
        <v>49.5</v>
      </c>
      <c r="K213" s="13" t="n">
        <v>525</v>
      </c>
      <c r="L213" s="13" t="n">
        <v>-750</v>
      </c>
      <c r="M213" s="12" t="inlineStr">
        <is>
          <t>Draft Kings</t>
        </is>
      </c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>
        <v>-27.5</v>
      </c>
      <c r="J214" s="30" t="n">
        <v>57.5</v>
      </c>
      <c r="K214" s="18" t="n">
        <v>2000</v>
      </c>
      <c r="L214" s="18" t="n">
        <v>-6500</v>
      </c>
      <c r="M214" s="17" t="inlineStr">
        <is>
          <t>Draft Kings</t>
        </is>
      </c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59.5</v>
      </c>
      <c r="K215" s="13" t="n">
        <v>100</v>
      </c>
      <c r="L215" s="13" t="n">
        <v>-120</v>
      </c>
      <c r="M215" s="12" t="inlineStr">
        <is>
          <t>Draft 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>
        <v>-36.5</v>
      </c>
      <c r="J217" s="29" t="n">
        <v>49.5</v>
      </c>
      <c r="K217" s="13" t="n"/>
      <c r="L217" s="13" t="n"/>
      <c r="M217" s="12" t="inlineStr">
        <is>
          <t>Draft Kings</t>
        </is>
      </c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>
        <v>24.5</v>
      </c>
      <c r="J218" s="30" t="n">
        <v>57.5</v>
      </c>
      <c r="K218" s="18" t="n">
        <v>-3200</v>
      </c>
      <c r="L218" s="18" t="n">
        <v>1400</v>
      </c>
      <c r="M218" s="17" t="inlineStr">
        <is>
          <t>Draft Kings</t>
        </is>
      </c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>
        <v>-10</v>
      </c>
      <c r="J221" s="29" t="n">
        <v>50.5</v>
      </c>
      <c r="K221" s="13" t="n">
        <v>320</v>
      </c>
      <c r="L221" s="13" t="n">
        <v>-410</v>
      </c>
      <c r="M221" s="12" t="inlineStr">
        <is>
          <t>Draft Kings</t>
        </is>
      </c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59.5</v>
      </c>
      <c r="K222" s="18" t="n"/>
      <c r="L222" s="18" t="n"/>
      <c r="M222" s="17" t="inlineStr">
        <is>
          <t>Draft 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>
        <v>-14.5</v>
      </c>
      <c r="J224" s="30" t="n">
        <v>53.5</v>
      </c>
      <c r="K224" s="18" t="n">
        <v>600</v>
      </c>
      <c r="L224" s="18" t="n">
        <v>-900</v>
      </c>
      <c r="M224" s="17" t="inlineStr">
        <is>
          <t>Draft Kings</t>
        </is>
      </c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>
        <v>-17.5</v>
      </c>
      <c r="J225" s="29" t="n">
        <v>54.5</v>
      </c>
      <c r="K225" s="13" t="n">
        <v>750</v>
      </c>
      <c r="L225" s="13" t="n">
        <v>-1200</v>
      </c>
      <c r="M225" s="12" t="inlineStr">
        <is>
          <t>Draft Kings</t>
        </is>
      </c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-3.5</v>
      </c>
      <c r="J226" s="30" t="n">
        <v>58.5</v>
      </c>
      <c r="K226" s="18" t="n">
        <v>145</v>
      </c>
      <c r="L226" s="18" t="n">
        <v>-175</v>
      </c>
      <c r="M226" s="17" t="inlineStr">
        <is>
          <t>Draft 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>
        <v>-2.5</v>
      </c>
      <c r="J228" s="30" t="n">
        <v>49.5</v>
      </c>
      <c r="K228" s="18" t="n">
        <v>110</v>
      </c>
      <c r="L228" s="18" t="n">
        <v>-130</v>
      </c>
      <c r="M228" s="17" t="inlineStr">
        <is>
          <t>Draft Kings</t>
        </is>
      </c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>
        <v>-7.5</v>
      </c>
      <c r="J229" s="29" t="n">
        <v>62.5</v>
      </c>
      <c r="K229" s="13" t="n">
        <v>225</v>
      </c>
      <c r="L229" s="13" t="n">
        <v>-278</v>
      </c>
      <c r="M229" s="12" t="inlineStr">
        <is>
          <t>Draft Kings</t>
        </is>
      </c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>
        <v>-20.5</v>
      </c>
      <c r="J230" s="30" t="n">
        <v>51.5</v>
      </c>
      <c r="K230" s="18" t="n">
        <v>750</v>
      </c>
      <c r="L230" s="18" t="n">
        <v>-1200</v>
      </c>
      <c r="M230" s="17" t="inlineStr">
        <is>
          <t>Draft Kings</t>
        </is>
      </c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>
        <v>4</v>
      </c>
      <c r="J231" s="29" t="n">
        <v>51.5</v>
      </c>
      <c r="K231" s="13" t="n">
        <v>-162</v>
      </c>
      <c r="L231" s="13" t="n">
        <v>136</v>
      </c>
      <c r="M231" s="12" t="inlineStr">
        <is>
          <t>Draft Kings</t>
        </is>
      </c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53.5</v>
      </c>
      <c r="K232" s="18" t="n">
        <v>-135</v>
      </c>
      <c r="L232" s="18" t="n">
        <v>114</v>
      </c>
      <c r="M232" s="17" t="inlineStr">
        <is>
          <t>Draft 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-27.5</v>
      </c>
      <c r="J233" s="29" t="n">
        <v>50.5</v>
      </c>
      <c r="K233" s="13" t="n">
        <v>2000</v>
      </c>
      <c r="L233" s="13" t="n">
        <v>-6500</v>
      </c>
      <c r="M233" s="12" t="inlineStr">
        <is>
          <t>Draft 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>
        <v>-21</v>
      </c>
      <c r="J234" s="30" t="n">
        <v>50.5</v>
      </c>
      <c r="K234" s="18" t="n">
        <v>1000</v>
      </c>
      <c r="L234" s="18" t="n">
        <v>-1800</v>
      </c>
      <c r="M234" s="17" t="inlineStr">
        <is>
          <t>Draft Kings</t>
        </is>
      </c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>
        <v>3.5</v>
      </c>
      <c r="J236" s="30" t="n">
        <v>55.5</v>
      </c>
      <c r="K236" s="18" t="n">
        <v>-166</v>
      </c>
      <c r="L236" s="18" t="n">
        <v>140</v>
      </c>
      <c r="M236" s="17" t="inlineStr">
        <is>
          <t>Draft Kings</t>
        </is>
      </c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>
        <v>12.5</v>
      </c>
      <c r="J238" s="30" t="n">
        <v>44.5</v>
      </c>
      <c r="K238" s="18" t="n">
        <v>-550</v>
      </c>
      <c r="L238" s="18" t="n">
        <v>410</v>
      </c>
      <c r="M238" s="17" t="inlineStr">
        <is>
          <t>Draft Kings</t>
        </is>
      </c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>
        <v>6</v>
      </c>
      <c r="J240" s="30" t="n">
        <v>49.5</v>
      </c>
      <c r="K240" s="18" t="n">
        <v>-225</v>
      </c>
      <c r="L240" s="18" t="n">
        <v>185</v>
      </c>
      <c r="M240" s="17" t="inlineStr">
        <is>
          <t>Draft Kings</t>
        </is>
      </c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>
        <v>-4.5</v>
      </c>
      <c r="J241" s="29" t="n">
        <v>53.5</v>
      </c>
      <c r="K241" s="13" t="n">
        <v>154</v>
      </c>
      <c r="L241" s="13" t="n">
        <v>-185</v>
      </c>
      <c r="M241" s="12" t="inlineStr">
        <is>
          <t>Draft Kings</t>
        </is>
      </c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>
        <v>-3.5</v>
      </c>
      <c r="J242" s="30" t="n">
        <v>53.5</v>
      </c>
      <c r="K242" s="18" t="n">
        <v>154</v>
      </c>
      <c r="L242" s="18" t="n">
        <v>-185</v>
      </c>
      <c r="M242" s="17" t="inlineStr">
        <is>
          <t>Draft Kings</t>
        </is>
      </c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-142</v>
      </c>
      <c r="L246" s="18" t="n">
        <v>120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>
        <v>-23.5</v>
      </c>
      <c r="J247" s="29" t="n">
        <v>48.5</v>
      </c>
      <c r="K247" s="13" t="n">
        <v>1200</v>
      </c>
      <c r="L247" s="13" t="n">
        <v>-2400</v>
      </c>
      <c r="M247" s="12" t="inlineStr">
        <is>
          <t>Draft Kings</t>
        </is>
      </c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>
        <v>20.5</v>
      </c>
      <c r="J248" s="30" t="n">
        <v>52.5</v>
      </c>
      <c r="K248" s="18" t="n">
        <v>-1350</v>
      </c>
      <c r="L248" s="18" t="n">
        <v>800</v>
      </c>
      <c r="M248" s="17" t="inlineStr">
        <is>
          <t>Draft Kings</t>
        </is>
      </c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-3.5</v>
      </c>
      <c r="J249" s="29" t="n">
        <v>47.5</v>
      </c>
      <c r="K249" s="13" t="n">
        <v>136</v>
      </c>
      <c r="L249" s="13" t="n">
        <v>-162</v>
      </c>
      <c r="M249" s="12" t="inlineStr">
        <is>
          <t>Draft 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-9.5</v>
      </c>
      <c r="J250" s="30" t="n">
        <v>54.5</v>
      </c>
      <c r="K250" s="18" t="n">
        <v>285</v>
      </c>
      <c r="L250" s="18" t="n">
        <v>-360</v>
      </c>
      <c r="M250" s="17" t="inlineStr">
        <is>
          <t>Draft 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54.5</v>
      </c>
      <c r="K251" s="13" t="n">
        <v>-155</v>
      </c>
      <c r="L251" s="13" t="n">
        <v>130</v>
      </c>
      <c r="M251" s="12" t="inlineStr">
        <is>
          <t>Draft 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53.5</v>
      </c>
      <c r="K252" s="18" t="n">
        <v>2200</v>
      </c>
      <c r="L252" s="18" t="n">
        <v>-8000</v>
      </c>
      <c r="M252" s="17" t="inlineStr">
        <is>
          <t>Draft 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>
        <v>-34.5</v>
      </c>
      <c r="J253" s="29" t="n">
        <v>59.5</v>
      </c>
      <c r="K253" s="13" t="n">
        <v>4000</v>
      </c>
      <c r="L253" s="13" t="n">
        <v>-50000</v>
      </c>
      <c r="M253" s="12" t="inlineStr">
        <is>
          <t>Draft Kings</t>
        </is>
      </c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-29.5</v>
      </c>
      <c r="J254" s="30" t="n">
        <v>57.5</v>
      </c>
      <c r="K254" s="18" t="n">
        <v>2000</v>
      </c>
      <c r="L254" s="18" t="n">
        <v>-6500</v>
      </c>
      <c r="M254" s="17" t="inlineStr">
        <is>
          <t>Draft 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>
        <v>-20.5</v>
      </c>
      <c r="J255" s="29" t="n">
        <v>57.5</v>
      </c>
      <c r="K255" s="13" t="n">
        <v>850</v>
      </c>
      <c r="L255" s="13" t="n">
        <v>-1450</v>
      </c>
      <c r="M255" s="12" t="inlineStr">
        <is>
          <t>Draft Kings</t>
        </is>
      </c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>
        <v>-10</v>
      </c>
      <c r="J257" s="29" t="n">
        <v>57.5</v>
      </c>
      <c r="K257" s="13" t="n">
        <v>300</v>
      </c>
      <c r="L257" s="13" t="n">
        <v>-380</v>
      </c>
      <c r="M257" s="12" t="inlineStr">
        <is>
          <t>Draft Kings</t>
        </is>
      </c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>
        <v>-1.5</v>
      </c>
      <c r="J259" s="29" t="n">
        <v>46.5</v>
      </c>
      <c r="K259" s="13" t="n">
        <v>-102</v>
      </c>
      <c r="L259" s="13" t="n">
        <v>-118</v>
      </c>
      <c r="M259" s="12" t="inlineStr">
        <is>
          <t>Draft Kings</t>
        </is>
      </c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>
        <v>-35.5</v>
      </c>
      <c r="J260" s="30" t="n">
        <v>49.5</v>
      </c>
      <c r="K260" s="18" t="n"/>
      <c r="L260" s="18" t="n"/>
      <c r="M260" s="17" t="inlineStr">
        <is>
          <t>Draft Kings</t>
        </is>
      </c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>
        <v>27.5</v>
      </c>
      <c r="J261" s="29" t="n">
        <v>53.5</v>
      </c>
      <c r="K261" s="13" t="n">
        <v>-8000</v>
      </c>
      <c r="L261" s="13" t="n">
        <v>2200</v>
      </c>
      <c r="M261" s="12" t="inlineStr">
        <is>
          <t>Draft Kings</t>
        </is>
      </c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>
        <v>-14</v>
      </c>
      <c r="J262" s="30" t="n">
        <v>53.5</v>
      </c>
      <c r="K262" s="18" t="n">
        <v>550</v>
      </c>
      <c r="L262" s="18" t="n">
        <v>-800</v>
      </c>
      <c r="M262" s="17" t="inlineStr">
        <is>
          <t>Draft Kings</t>
        </is>
      </c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>
        <v>7</v>
      </c>
      <c r="J264" s="30" t="n">
        <v>51.5</v>
      </c>
      <c r="K264" s="18" t="n">
        <v>-278</v>
      </c>
      <c r="L264" s="18" t="n">
        <v>225</v>
      </c>
      <c r="M264" s="17" t="inlineStr">
        <is>
          <t>Draft Kings</t>
        </is>
      </c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742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170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2026-09-13T21:08:00Z</dcterms:created>
  <dcterms:modified xsi:type="dcterms:W3CDTF">2026-09-13T21:08:01Z</dcterms:modified>
</cp:coreProperties>
</file>
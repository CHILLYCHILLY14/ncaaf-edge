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2026-09-14T21:08:35+00:00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Ledger'!$G$6:$G$115,"&lt;&gt;Pending",'Bet Ledger'!$H$6:$H$115)</f>
        <v/>
      </c>
    </row>
    <row r="6">
      <c r="A6" s="3" t="inlineStr">
        <is>
          <t>Total Staked</t>
        </is>
      </c>
      <c r="B6" s="5">
        <f>SUMIF('Bet Ledger'!$G$6:$G$115,"&lt;&gt;Pending",'Bet Ledger'!$F$6:$F$115)</f>
        <v/>
      </c>
    </row>
    <row r="7">
      <c r="A7" s="3" t="inlineStr">
        <is>
          <t>Profit / Loss</t>
        </is>
      </c>
      <c r="B7" s="5">
        <f>SUMIF('Bet Ledger'!$G$6:$G$115,"&lt;&gt;Pending",'Bet Ledger'!$H$6:$H$115)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Ledger'!$G$6:$G$115,"&lt;&gt;Pending",'Bet Ledger'!$G$6:$G$115,"&lt;&gt;")</f>
        <v/>
      </c>
    </row>
    <row r="10">
      <c r="A10" s="3" t="inlineStr">
        <is>
          <t>Wins</t>
        </is>
      </c>
      <c r="B10" s="7">
        <f>COUNTIF('Bet Ledger'!$G$6:$G$115,"Win")</f>
        <v/>
      </c>
    </row>
    <row r="11">
      <c r="A11" s="3" t="inlineStr">
        <is>
          <t>Losses</t>
        </is>
      </c>
      <c r="B11" s="7">
        <f>COUNTIF('Bet Ledger'!$G$6:$G$115,"Loss")</f>
        <v/>
      </c>
    </row>
    <row r="12">
      <c r="A12" s="3" t="inlineStr">
        <is>
          <t>Pushes</t>
        </is>
      </c>
      <c r="B12" s="7">
        <f>COUNTIF('Bet Ledger'!$G$6:$G$115,"Push")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Ledger'!$G$6:$G$115,"Pending")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470</v>
      </c>
      <c r="F21" s="14" t="n">
        <v>0.09499876921941031</v>
      </c>
      <c r="G21" s="15" t="n">
        <v>0.2638869365782135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490</v>
      </c>
      <c r="F22" s="19" t="n">
        <v>0.09499846337003791</v>
      </c>
      <c r="G22" s="20" t="n">
        <v>0.2536275719052585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310</v>
      </c>
      <c r="F24" s="19" t="n">
        <v>0.0949932782570538</v>
      </c>
      <c r="G24" s="20" t="n">
        <v>0.3480675974717846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500</v>
      </c>
      <c r="F25" s="14" t="n">
        <v>0.09498291557793589</v>
      </c>
      <c r="G25" s="15" t="n">
        <v>0.2308055700210221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140</v>
      </c>
      <c r="F26" s="19" t="n">
        <v>0.09484041945791273</v>
      </c>
      <c r="G26" s="20" t="n">
        <v>0.5350291495235194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130</v>
      </c>
      <c r="F27" s="14" t="n">
        <v>0.09462974281146971</v>
      </c>
      <c r="G27" s="15" t="n">
        <v>0.5405812204194759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UNT @ TXST</t>
        </is>
      </c>
      <c r="C28" s="17" t="inlineStr">
        <is>
          <t>TOTAL</t>
        </is>
      </c>
      <c r="D28" s="17" t="inlineStr">
        <is>
          <t>Under 63.5</t>
        </is>
      </c>
      <c r="E28" s="18" t="n">
        <v>-115</v>
      </c>
      <c r="F28" s="19" t="n">
        <v>0.09456006199209809</v>
      </c>
      <c r="G28" s="20" t="n">
        <v>0.6580192702036101</v>
      </c>
      <c r="H28" s="21" t="n"/>
      <c r="I28" s="17" t="inlineStr">
        <is>
          <t>2026-09-19 16:00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-115</v>
      </c>
      <c r="F29" s="14" t="n">
        <v>0.0945342993834815</v>
      </c>
      <c r="G29" s="15" t="n">
        <v>0.6566350930337453</v>
      </c>
      <c r="H29" s="16" t="n"/>
      <c r="I29" s="12" t="inlineStr">
        <is>
          <t>2026-09-19 16:00</t>
        </is>
      </c>
    </row>
    <row r="30">
      <c r="A30" s="17" t="inlineStr">
        <is>
          <t>BEST BET</t>
        </is>
      </c>
      <c r="B30" s="17" t="inlineStr">
        <is>
          <t>WYO @ CMU</t>
        </is>
      </c>
      <c r="C30" s="17" t="inlineStr">
        <is>
          <t>TOTAL</t>
        </is>
      </c>
      <c r="D30" s="17" t="inlineStr">
        <is>
          <t>Over 39.5</t>
        </is>
      </c>
      <c r="E30" s="18" t="n">
        <v>-110</v>
      </c>
      <c r="F30" s="19" t="n">
        <v>0.0945038485118886</v>
      </c>
      <c r="G30" s="20" t="n">
        <v>0.6412004786693809</v>
      </c>
      <c r="H30" s="21" t="n"/>
      <c r="I30" s="17" t="inlineStr">
        <is>
          <t>2026-09-19 17:00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470</v>
      </c>
      <c r="I5" s="15" t="n">
        <v>0.2638869365782135</v>
      </c>
      <c r="J5" s="15" t="n">
        <v>0.1683501683501683</v>
      </c>
      <c r="K5" s="15" t="n">
        <v>0.1754385964912281</v>
      </c>
      <c r="L5" s="14" t="n">
        <v>0.09499876921941031</v>
      </c>
      <c r="M5" s="14" t="n">
        <v>0.504155538495817</v>
      </c>
      <c r="N5" s="15" t="n">
        <v>0</v>
      </c>
      <c r="O5" s="24" t="n">
        <v>0.839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490</v>
      </c>
      <c r="I6" s="20" t="n">
        <v>0.2536275719052585</v>
      </c>
      <c r="J6" s="20" t="n">
        <v>0.162900683131897</v>
      </c>
      <c r="K6" s="20" t="n">
        <v>0.1694915254237288</v>
      </c>
      <c r="L6" s="19" t="n">
        <v>0.09499846337003791</v>
      </c>
      <c r="M6" s="19" t="n">
        <v>0.4964026742410255</v>
      </c>
      <c r="N6" s="20" t="n">
        <v>0</v>
      </c>
      <c r="O6" s="27" t="n">
        <v>0.839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310</v>
      </c>
      <c r="I8" s="20" t="n">
        <v>0.3480675974717846</v>
      </c>
      <c r="J8" s="20" t="n">
        <v>0.2340978954835659</v>
      </c>
      <c r="K8" s="20" t="n">
        <v>0.2439024390243902</v>
      </c>
      <c r="L8" s="19" t="n">
        <v>0.0949932782570538</v>
      </c>
      <c r="M8" s="19" t="n">
        <v>0.4270771496343169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500</v>
      </c>
      <c r="I9" s="15" t="n">
        <v>0.2308055700210221</v>
      </c>
      <c r="J9" s="15" t="n">
        <v>0.16</v>
      </c>
      <c r="K9" s="15" t="n">
        <v>0.1666666666666667</v>
      </c>
      <c r="L9" s="14" t="n">
        <v>0.09498291557793589</v>
      </c>
      <c r="M9" s="14" t="n">
        <v>0.3848334201261325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140</v>
      </c>
      <c r="I10" s="20" t="n">
        <v>0.5350291495235194</v>
      </c>
      <c r="J10" s="20" t="n">
        <v>0.4003612281757977</v>
      </c>
      <c r="K10" s="20" t="n">
        <v>0.4166666666666667</v>
      </c>
      <c r="L10" s="19" t="n">
        <v>0.09484041945791273</v>
      </c>
      <c r="M10" s="19" t="n">
        <v>0.2840699588564466</v>
      </c>
      <c r="N10" s="20" t="n">
        <v>0</v>
      </c>
      <c r="O10" s="27" t="n">
        <v>0.839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130</v>
      </c>
      <c r="I11" s="15" t="n">
        <v>0.5405812204194759</v>
      </c>
      <c r="J11" s="15" t="n">
        <v>0.4170073589533933</v>
      </c>
      <c r="K11" s="15" t="n">
        <v>0.4347826086956522</v>
      </c>
      <c r="L11" s="14" t="n">
        <v>0.09462974281146971</v>
      </c>
      <c r="M11" s="14" t="n">
        <v>0.2433368069647943</v>
      </c>
      <c r="N11" s="15" t="n">
        <v>0</v>
      </c>
      <c r="O11" s="24" t="n">
        <v>0.839</v>
      </c>
      <c r="P11" s="12" t="inlineStr">
        <is>
          <t>Draft Kings</t>
        </is>
      </c>
      <c r="Q11" s="12" t="n"/>
    </row>
    <row r="12">
      <c r="A12" s="17" t="inlineStr">
        <is>
          <t>BEST BET</t>
        </is>
      </c>
      <c r="B12" s="17" t="inlineStr">
        <is>
          <t>UNT @ TXST</t>
        </is>
      </c>
      <c r="C12" s="17" t="inlineStr">
        <is>
          <t>2026-09-19 16:00</t>
        </is>
      </c>
      <c r="D12" s="25" t="n">
        <v>3</v>
      </c>
      <c r="E12" s="17" t="inlineStr">
        <is>
          <t>TOTAL</t>
        </is>
      </c>
      <c r="F12" s="17" t="inlineStr">
        <is>
          <t>Under 63.5</t>
        </is>
      </c>
      <c r="G12" s="26" t="n">
        <v>63.5</v>
      </c>
      <c r="H12" s="18" t="n">
        <v>-115</v>
      </c>
      <c r="I12" s="20" t="n">
        <v>0.6580192702036101</v>
      </c>
      <c r="J12" s="20" t="n">
        <v>0.5108342361863488</v>
      </c>
      <c r="K12" s="20" t="n">
        <v>0.5348837209302325</v>
      </c>
      <c r="L12" s="19" t="n">
        <v>0.09456006199209809</v>
      </c>
      <c r="M12" s="19" t="n">
        <v>0.2302099399458797</v>
      </c>
      <c r="N12" s="20" t="n">
        <v>0</v>
      </c>
      <c r="O12" s="27" t="n">
        <v>0.839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-115</v>
      </c>
      <c r="I13" s="15" t="n">
        <v>0.6566350930337453</v>
      </c>
      <c r="J13" s="15" t="n">
        <v>0.5108342361863488</v>
      </c>
      <c r="K13" s="15" t="n">
        <v>0.5348837209302325</v>
      </c>
      <c r="L13" s="14" t="n">
        <v>0.0945342993834815</v>
      </c>
      <c r="M13" s="14" t="n">
        <v>0.2276221304543933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BEST BET</t>
        </is>
      </c>
      <c r="B14" s="17" t="inlineStr">
        <is>
          <t>WYO @ CMU</t>
        </is>
      </c>
      <c r="C14" s="17" t="inlineStr">
        <is>
          <t>2026-09-19 17:00</t>
        </is>
      </c>
      <c r="D14" s="25" t="n">
        <v>3</v>
      </c>
      <c r="E14" s="17" t="inlineStr">
        <is>
          <t>TOTAL</t>
        </is>
      </c>
      <c r="F14" s="17" t="inlineStr">
        <is>
          <t>Over 39.5</t>
        </is>
      </c>
      <c r="G14" s="26" t="n">
        <v>39.5</v>
      </c>
      <c r="H14" s="18" t="n">
        <v>-110</v>
      </c>
      <c r="I14" s="20" t="n">
        <v>0.6412004786693809</v>
      </c>
      <c r="J14" s="20" t="n">
        <v>0.5</v>
      </c>
      <c r="K14" s="20" t="n">
        <v>0.5238095238095238</v>
      </c>
      <c r="L14" s="19" t="n">
        <v>0.0945038485118886</v>
      </c>
      <c r="M14" s="19" t="n">
        <v>0.2241100047324545</v>
      </c>
      <c r="N14" s="20" t="n">
        <v>0</v>
      </c>
      <c r="O14" s="27" t="n">
        <v>0.839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1000</v>
      </c>
      <c r="I15" s="15" t="n">
        <v>0.3394779337547694</v>
      </c>
      <c r="J15" s="15" t="n">
        <v>0.08755760368663595</v>
      </c>
      <c r="K15" s="15" t="n">
        <v>0.09090909090909091</v>
      </c>
      <c r="L15" s="14" t="n">
        <v>0.095</v>
      </c>
      <c r="M15" s="14" t="n">
        <v>2.734257271302464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1700</v>
      </c>
      <c r="I16" s="20" t="n">
        <v>0.3198960198651413</v>
      </c>
      <c r="J16" s="20" t="n">
        <v>0.05373831775700934</v>
      </c>
      <c r="K16" s="20" t="n">
        <v>0.05555555555555555</v>
      </c>
      <c r="L16" s="19" t="n">
        <v>0.095</v>
      </c>
      <c r="M16" s="19" t="n">
        <v>4.758128357572543</v>
      </c>
      <c r="N16" s="20" t="n">
        <v>0</v>
      </c>
      <c r="O16" s="27" t="n">
        <v>0.839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BGSU @ ISU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BGSU ML</t>
        </is>
      </c>
      <c r="G17" s="23" t="n"/>
      <c r="H17" s="13" t="n">
        <v>1500</v>
      </c>
      <c r="I17" s="15" t="n">
        <v>0.1745762366423933</v>
      </c>
      <c r="J17" s="15" t="n">
        <v>0.06035889070146819</v>
      </c>
      <c r="K17" s="15" t="n">
        <v>0.0625</v>
      </c>
      <c r="L17" s="14" t="n">
        <v>0.095</v>
      </c>
      <c r="M17" s="14" t="n">
        <v>1.793219786278293</v>
      </c>
      <c r="N17" s="15" t="n">
        <v>0</v>
      </c>
      <c r="O17" s="24" t="n">
        <v>0.839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AKR @ MINN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AKR ML</t>
        </is>
      </c>
      <c r="G18" s="26" t="n"/>
      <c r="H18" s="18" t="n">
        <v>1400</v>
      </c>
      <c r="I18" s="20" t="n">
        <v>0.2342204240311481</v>
      </c>
      <c r="J18" s="20" t="n">
        <v>0.06432748538011696</v>
      </c>
      <c r="K18" s="20" t="n">
        <v>0.06666666666666667</v>
      </c>
      <c r="L18" s="19" t="n">
        <v>0.095</v>
      </c>
      <c r="M18" s="19" t="n">
        <v>2.513306360467221</v>
      </c>
      <c r="N18" s="20" t="n">
        <v>0</v>
      </c>
      <c r="O18" s="27" t="n">
        <v>0.839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EMU @ WIS</t>
        </is>
      </c>
      <c r="C19" s="12" t="inlineStr">
        <is>
          <t>2026-09-19 16:30</t>
        </is>
      </c>
      <c r="D19" s="22" t="n">
        <v>3</v>
      </c>
      <c r="E19" s="12" t="inlineStr">
        <is>
          <t>ML</t>
        </is>
      </c>
      <c r="F19" s="12" t="inlineStr">
        <is>
          <t>EMU ML</t>
        </is>
      </c>
      <c r="G19" s="23" t="n"/>
      <c r="H19" s="13" t="n">
        <v>1300</v>
      </c>
      <c r="I19" s="15" t="n">
        <v>0.2017029524191898</v>
      </c>
      <c r="J19" s="15" t="n">
        <v>0.06888361045130641</v>
      </c>
      <c r="K19" s="15" t="n">
        <v>0.07142857142857142</v>
      </c>
      <c r="L19" s="14" t="n">
        <v>0.095</v>
      </c>
      <c r="M19" s="14" t="n">
        <v>1.823841333868657</v>
      </c>
      <c r="N19" s="15" t="n">
        <v>0</v>
      </c>
      <c r="O19" s="24" t="n">
        <v>0.839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USU @ UTAH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USU ML</t>
        </is>
      </c>
      <c r="G20" s="26" t="n"/>
      <c r="H20" s="18" t="n">
        <v>2000</v>
      </c>
      <c r="I20" s="20" t="n">
        <v>0.1837630030986662</v>
      </c>
      <c r="J20" s="20" t="n">
        <v>0.0461215932914046</v>
      </c>
      <c r="K20" s="20" t="n">
        <v>0.04761904761904762</v>
      </c>
      <c r="L20" s="19" t="n">
        <v>0.095</v>
      </c>
      <c r="M20" s="19" t="n">
        <v>2.859023065071991</v>
      </c>
      <c r="N20" s="20" t="n">
        <v>0</v>
      </c>
      <c r="O20" s="27" t="n">
        <v>0.839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USC @ RUTG</t>
        </is>
      </c>
      <c r="C21" s="12" t="inlineStr">
        <is>
          <t>2026-09-19 19:30</t>
        </is>
      </c>
      <c r="D21" s="22" t="n">
        <v>3</v>
      </c>
      <c r="E21" s="12" t="inlineStr">
        <is>
          <t>ML</t>
        </is>
      </c>
      <c r="F21" s="12" t="inlineStr">
        <is>
          <t>RUTG ML</t>
        </is>
      </c>
      <c r="G21" s="23" t="n"/>
      <c r="H21" s="13" t="n">
        <v>1300</v>
      </c>
      <c r="I21" s="15" t="n">
        <v>0.3413001593551125</v>
      </c>
      <c r="J21" s="15" t="n">
        <v>0.06888361045130641</v>
      </c>
      <c r="K21" s="15" t="n">
        <v>0.07142857142857142</v>
      </c>
      <c r="L21" s="14" t="n">
        <v>0.095</v>
      </c>
      <c r="M21" s="14" t="n">
        <v>3.778202230971575</v>
      </c>
      <c r="N21" s="15" t="n">
        <v>0</v>
      </c>
      <c r="O21" s="24" t="n">
        <v>0.839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TROY @ MIZ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TROY ML</t>
        </is>
      </c>
      <c r="G22" s="26" t="n"/>
      <c r="H22" s="18" t="n">
        <v>2000</v>
      </c>
      <c r="I22" s="20" t="n">
        <v>0.1682052507748195</v>
      </c>
      <c r="J22" s="20" t="n">
        <v>0.0461215932914046</v>
      </c>
      <c r="K22" s="20" t="n">
        <v>0.04761904761904762</v>
      </c>
      <c r="L22" s="19" t="n">
        <v>0.095</v>
      </c>
      <c r="M22" s="19" t="n">
        <v>2.53231026627121</v>
      </c>
      <c r="N22" s="20" t="n">
        <v>0</v>
      </c>
      <c r="O22" s="27" t="n">
        <v>0.839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BYU @ CSU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CSU ML</t>
        </is>
      </c>
      <c r="G23" s="23" t="n"/>
      <c r="H23" s="13" t="n">
        <v>650</v>
      </c>
      <c r="I23" s="15" t="n">
        <v>0.38681022139775</v>
      </c>
      <c r="J23" s="15" t="n">
        <v>0.1279069767441861</v>
      </c>
      <c r="K23" s="15" t="n">
        <v>0.1333333333333333</v>
      </c>
      <c r="L23" s="14" t="n">
        <v>0.095</v>
      </c>
      <c r="M23" s="14" t="n">
        <v>1.901076660483125</v>
      </c>
      <c r="N23" s="15" t="n">
        <v>0</v>
      </c>
      <c r="O23" s="24" t="n">
        <v>0.839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MSU @ ND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MSU ML</t>
        </is>
      </c>
      <c r="G24" s="26" t="n"/>
      <c r="H24" s="18" t="n">
        <v>2000</v>
      </c>
      <c r="I24" s="20" t="n">
        <v>0.1785898417472206</v>
      </c>
      <c r="J24" s="20" t="n">
        <v>0.0461215932914046</v>
      </c>
      <c r="K24" s="20" t="n">
        <v>0.04761904761904762</v>
      </c>
      <c r="L24" s="19" t="n">
        <v>0.095</v>
      </c>
      <c r="M24" s="19" t="n">
        <v>2.750386676691632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KENN @ TENN</t>
        </is>
      </c>
      <c r="C25" s="12" t="inlineStr">
        <is>
          <t>2026-09-19 23:45</t>
        </is>
      </c>
      <c r="D25" s="22" t="n">
        <v>3</v>
      </c>
      <c r="E25" s="12" t="inlineStr">
        <is>
          <t>ML</t>
        </is>
      </c>
      <c r="F25" s="12" t="inlineStr">
        <is>
          <t>KENN ML</t>
        </is>
      </c>
      <c r="G25" s="23" t="n"/>
      <c r="H25" s="13" t="n">
        <v>5000</v>
      </c>
      <c r="I25" s="15" t="n">
        <v>0.1500632741626556</v>
      </c>
      <c r="J25" s="15" t="n">
        <v>0.01924962981481125</v>
      </c>
      <c r="K25" s="15" t="n">
        <v>0.0196078431372549</v>
      </c>
      <c r="L25" s="14" t="n">
        <v>0.095</v>
      </c>
      <c r="M25" s="14" t="n">
        <v>6.653226982295437</v>
      </c>
      <c r="N25" s="15" t="n">
        <v>0</v>
      </c>
      <c r="O25" s="24" t="n">
        <v>0.839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UTSA @ TEX</t>
        </is>
      </c>
      <c r="C26" s="17" t="inlineStr">
        <is>
          <t>2026-09-20 00:00</t>
        </is>
      </c>
      <c r="D26" s="25" t="n">
        <v>3</v>
      </c>
      <c r="E26" s="17" t="inlineStr">
        <is>
          <t>ML</t>
        </is>
      </c>
      <c r="F26" s="17" t="inlineStr">
        <is>
          <t>UTSA ML</t>
        </is>
      </c>
      <c r="G26" s="26" t="n"/>
      <c r="H26" s="18" t="n">
        <v>2000</v>
      </c>
      <c r="I26" s="20" t="n">
        <v>0.2245573435600018</v>
      </c>
      <c r="J26" s="20" t="n">
        <v>0.0461215932914046</v>
      </c>
      <c r="K26" s="20" t="n">
        <v>0.04761904761904762</v>
      </c>
      <c r="L26" s="19" t="n">
        <v>0.095</v>
      </c>
      <c r="M26" s="19" t="n">
        <v>3.715704214760038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NDSU @ SAC</t>
        </is>
      </c>
      <c r="C27" s="12" t="inlineStr">
        <is>
          <t>2026-09-20 02:30</t>
        </is>
      </c>
      <c r="D27" s="22" t="n">
        <v>3</v>
      </c>
      <c r="E27" s="12" t="inlineStr">
        <is>
          <t>ML</t>
        </is>
      </c>
      <c r="F27" s="12" t="inlineStr">
        <is>
          <t>SAC ML</t>
        </is>
      </c>
      <c r="G27" s="23" t="n"/>
      <c r="H27" s="13" t="n">
        <v>2500</v>
      </c>
      <c r="I27" s="15" t="n">
        <v>0.3132914854546016</v>
      </c>
      <c r="J27" s="15" t="n">
        <v>0.0374331550802139</v>
      </c>
      <c r="K27" s="15" t="n">
        <v>0.03846153846153846</v>
      </c>
      <c r="L27" s="14" t="n">
        <v>0.095</v>
      </c>
      <c r="M27" s="14" t="n">
        <v>7.14557862181964</v>
      </c>
      <c r="N27" s="15" t="n">
        <v>0</v>
      </c>
      <c r="O27" s="24" t="n">
        <v>0.926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UNM @ OU</t>
        </is>
      </c>
      <c r="C28" s="17" t="inlineStr">
        <is>
          <t>2026-09-19 23:30</t>
        </is>
      </c>
      <c r="D28" s="25" t="n">
        <v>3</v>
      </c>
      <c r="E28" s="17" t="inlineStr">
        <is>
          <t>ML</t>
        </is>
      </c>
      <c r="F28" s="17" t="inlineStr">
        <is>
          <t>UNM ML</t>
        </is>
      </c>
      <c r="G28" s="26" t="n"/>
      <c r="H28" s="18" t="n">
        <v>1100</v>
      </c>
      <c r="I28" s="20" t="n">
        <v>0.2199933622931382</v>
      </c>
      <c r="J28" s="20" t="n">
        <v>0.08029197080291971</v>
      </c>
      <c r="K28" s="20" t="n">
        <v>0.08333333333333333</v>
      </c>
      <c r="L28" s="19" t="n">
        <v>0.09499999999999997</v>
      </c>
      <c r="M28" s="19" t="n">
        <v>1.639920347517658</v>
      </c>
      <c r="N28" s="20" t="n">
        <v>0</v>
      </c>
      <c r="O28" s="27" t="n">
        <v>0.839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TULN @ KSU</t>
        </is>
      </c>
      <c r="C29" s="12" t="inlineStr">
        <is>
          <t>2026-09-19 16:00</t>
        </is>
      </c>
      <c r="D29" s="22" t="n">
        <v>3</v>
      </c>
      <c r="E29" s="12" t="inlineStr">
        <is>
          <t>ML</t>
        </is>
      </c>
      <c r="F29" s="12" t="inlineStr">
        <is>
          <t>TULN ML</t>
        </is>
      </c>
      <c r="G29" s="23" t="n"/>
      <c r="H29" s="13" t="n">
        <v>1000</v>
      </c>
      <c r="I29" s="15" t="n">
        <v>0.2057847526979535</v>
      </c>
      <c r="J29" s="15" t="n">
        <v>0.08755760368663595</v>
      </c>
      <c r="K29" s="15" t="n">
        <v>0.09090909090909091</v>
      </c>
      <c r="L29" s="14" t="n">
        <v>0.09499999999991428</v>
      </c>
      <c r="M29" s="14" t="n">
        <v>1.263632279677489</v>
      </c>
      <c r="N29" s="15" t="n">
        <v>0</v>
      </c>
      <c r="O29" s="24" t="n">
        <v>0.839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FSU @ ALA</t>
        </is>
      </c>
      <c r="C30" s="17" t="inlineStr">
        <is>
          <t>2026-09-19 19:30</t>
        </is>
      </c>
      <c r="D30" s="25" t="n">
        <v>3</v>
      </c>
      <c r="E30" s="17" t="inlineStr">
        <is>
          <t>ML</t>
        </is>
      </c>
      <c r="F30" s="17" t="inlineStr">
        <is>
          <t>FSU ML</t>
        </is>
      </c>
      <c r="G30" s="26" t="n"/>
      <c r="H30" s="18" t="n">
        <v>950</v>
      </c>
      <c r="I30" s="20" t="n">
        <v>0.2055337410056303</v>
      </c>
      <c r="J30" s="20" t="n">
        <v>0.09174311926605505</v>
      </c>
      <c r="K30" s="20" t="n">
        <v>0.09523809523809523</v>
      </c>
      <c r="L30" s="19" t="n">
        <v>0.09499999999913208</v>
      </c>
      <c r="M30" s="19" t="n">
        <v>1.158104280559118</v>
      </c>
      <c r="N30" s="20" t="n">
        <v>0</v>
      </c>
      <c r="O30" s="27" t="n">
        <v>0.839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ARST @ TCU</t>
        </is>
      </c>
      <c r="C31" s="12" t="inlineStr">
        <is>
          <t>2026-09-20 00:00</t>
        </is>
      </c>
      <c r="D31" s="22" t="n">
        <v>3</v>
      </c>
      <c r="E31" s="12" t="inlineStr">
        <is>
          <t>ML</t>
        </is>
      </c>
      <c r="F31" s="12" t="inlineStr">
        <is>
          <t>ARST ML</t>
        </is>
      </c>
      <c r="G31" s="23" t="n"/>
      <c r="H31" s="13" t="n">
        <v>800</v>
      </c>
      <c r="I31" s="15" t="n">
        <v>0.2383301549565342</v>
      </c>
      <c r="J31" s="15" t="n">
        <v>0.1066176470588235</v>
      </c>
      <c r="K31" s="15" t="n">
        <v>0.1111111111111111</v>
      </c>
      <c r="L31" s="14" t="n">
        <v>0.09499999999903685</v>
      </c>
      <c r="M31" s="14" t="n">
        <v>1.144971394608808</v>
      </c>
      <c r="N31" s="15" t="n">
        <v>0</v>
      </c>
      <c r="O31" s="24" t="n">
        <v>0.839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GAST @ UCF</t>
        </is>
      </c>
      <c r="C32" s="17" t="inlineStr">
        <is>
          <t>2026-09-19 23:00</t>
        </is>
      </c>
      <c r="D32" s="25" t="n">
        <v>3</v>
      </c>
      <c r="E32" s="17" t="inlineStr">
        <is>
          <t>ML</t>
        </is>
      </c>
      <c r="F32" s="17" t="inlineStr">
        <is>
          <t>GAST ML</t>
        </is>
      </c>
      <c r="G32" s="26" t="n"/>
      <c r="H32" s="18" t="n">
        <v>750</v>
      </c>
      <c r="I32" s="20" t="n">
        <v>0.2459347859855046</v>
      </c>
      <c r="J32" s="20" t="n">
        <v>0.1130434782608696</v>
      </c>
      <c r="K32" s="20" t="n">
        <v>0.1176470588235294</v>
      </c>
      <c r="L32" s="19" t="n">
        <v>0.09499999999660841</v>
      </c>
      <c r="M32" s="19" t="n">
        <v>1.090445680876789</v>
      </c>
      <c r="N32" s="20" t="n">
        <v>0</v>
      </c>
      <c r="O32" s="27" t="n">
        <v>0.839</v>
      </c>
      <c r="P32" s="17" t="inlineStr">
        <is>
          <t>Draft 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LT @ BAY</t>
        </is>
      </c>
      <c r="C33" s="12" t="inlineStr">
        <is>
          <t>2026-09-19 20:00</t>
        </is>
      </c>
      <c r="D33" s="22" t="n">
        <v>3</v>
      </c>
      <c r="E33" s="12" t="inlineStr">
        <is>
          <t>ML</t>
        </is>
      </c>
      <c r="F33" s="12" t="inlineStr">
        <is>
          <t>LT ML</t>
        </is>
      </c>
      <c r="G33" s="23" t="n"/>
      <c r="H33" s="13" t="n">
        <v>750</v>
      </c>
      <c r="I33" s="15" t="n">
        <v>0.2352858536522798</v>
      </c>
      <c r="J33" s="15" t="n">
        <v>0.1130434782608696</v>
      </c>
      <c r="K33" s="15" t="n">
        <v>0.1176470588235294</v>
      </c>
      <c r="L33" s="14" t="n">
        <v>0.09499999997535674</v>
      </c>
      <c r="M33" s="14" t="n">
        <v>0.9999297560443785</v>
      </c>
      <c r="N33" s="15" t="n">
        <v>0</v>
      </c>
      <c r="O33" s="24" t="n">
        <v>0.839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WMU @ RICE</t>
        </is>
      </c>
      <c r="C34" s="17" t="inlineStr">
        <is>
          <t>2026-09-19 23:00</t>
        </is>
      </c>
      <c r="D34" s="25" t="n">
        <v>3</v>
      </c>
      <c r="E34" s="17" t="inlineStr">
        <is>
          <t>ML</t>
        </is>
      </c>
      <c r="F34" s="17" t="inlineStr">
        <is>
          <t>RICE ML</t>
        </is>
      </c>
      <c r="G34" s="26" t="n"/>
      <c r="H34" s="18" t="n">
        <v>295</v>
      </c>
      <c r="I34" s="20" t="n">
        <v>0.4229831592490321</v>
      </c>
      <c r="J34" s="20" t="n">
        <v>0.2428115015974441</v>
      </c>
      <c r="K34" s="20" t="n">
        <v>0.2531645569620253</v>
      </c>
      <c r="L34" s="19" t="n">
        <v>0.09499996878174782</v>
      </c>
      <c r="M34" s="19" t="n">
        <v>0.6707834790336769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675</v>
      </c>
      <c r="I35" s="15" t="n">
        <v>0.2053137478158097</v>
      </c>
      <c r="J35" s="15" t="n">
        <v>0.1238223418573351</v>
      </c>
      <c r="K35" s="15" t="n">
        <v>0.1290322580645161</v>
      </c>
      <c r="L35" s="14" t="n">
        <v>0.09499981743069318</v>
      </c>
      <c r="M35" s="14" t="n">
        <v>0.5911815455725251</v>
      </c>
      <c r="N35" s="15" t="n">
        <v>0</v>
      </c>
      <c r="O35" s="24" t="n">
        <v>0.839</v>
      </c>
      <c r="P35" s="12" t="inlineStr">
        <is>
          <t>Draft 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FRES @ SJSU</t>
        </is>
      </c>
      <c r="C36" s="17" t="inlineStr">
        <is>
          <t>2026-09-20 03:00</t>
        </is>
      </c>
      <c r="D36" s="25" t="n">
        <v>3</v>
      </c>
      <c r="E36" s="17" t="inlineStr">
        <is>
          <t>ML</t>
        </is>
      </c>
      <c r="F36" s="17" t="inlineStr">
        <is>
          <t>SJSU ML</t>
        </is>
      </c>
      <c r="G36" s="26" t="n"/>
      <c r="H36" s="18" t="n">
        <v>205</v>
      </c>
      <c r="I36" s="20" t="n">
        <v>0.4829846249959699</v>
      </c>
      <c r="J36" s="20" t="n">
        <v>0.3146067415730336</v>
      </c>
      <c r="K36" s="20" t="n">
        <v>0.3278688524590164</v>
      </c>
      <c r="L36" s="19" t="n">
        <v>0.09499757125571361</v>
      </c>
      <c r="M36" s="19" t="n">
        <v>0.4731031062377082</v>
      </c>
      <c r="N36" s="20" t="n">
        <v>0</v>
      </c>
      <c r="O36" s="27" t="n">
        <v>0.839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USC @ RUTG</t>
        </is>
      </c>
      <c r="C37" s="12" t="inlineStr">
        <is>
          <t>2026-09-19 19:30</t>
        </is>
      </c>
      <c r="D37" s="22" t="n">
        <v>3</v>
      </c>
      <c r="E37" s="12" t="inlineStr">
        <is>
          <t>ATS</t>
        </is>
      </c>
      <c r="F37" s="12" t="inlineStr">
        <is>
          <t>RUTG +23.5</t>
        </is>
      </c>
      <c r="G37" s="23" t="n">
        <v>23.5</v>
      </c>
      <c r="H37" s="13" t="n">
        <v>-102</v>
      </c>
      <c r="I37" s="15" t="n">
        <v>0.7339257159611219</v>
      </c>
      <c r="J37" s="15" t="n">
        <v>0.4826358742837298</v>
      </c>
      <c r="K37" s="15" t="n">
        <v>0.504950495049505</v>
      </c>
      <c r="L37" s="14" t="n">
        <v>0.09499670149084874</v>
      </c>
      <c r="M37" s="14" t="n">
        <v>0.4534607316092807</v>
      </c>
      <c r="N37" s="15" t="n">
        <v>0</v>
      </c>
      <c r="O37" s="24" t="n">
        <v>0.839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KENT @ OSU</t>
        </is>
      </c>
      <c r="C38" s="17" t="inlineStr">
        <is>
          <t>2026-09-19 16:00</t>
        </is>
      </c>
      <c r="D38" s="25" t="n">
        <v>3</v>
      </c>
      <c r="E38" s="17" t="inlineStr">
        <is>
          <t>ATS</t>
        </is>
      </c>
      <c r="F38" s="17" t="inlineStr">
        <is>
          <t>KENT +52.5</t>
        </is>
      </c>
      <c r="G38" s="26" t="n">
        <v>-52.5</v>
      </c>
      <c r="H38" s="18" t="n">
        <v>-108</v>
      </c>
      <c r="I38" s="20" t="n">
        <v>0.7477418884696789</v>
      </c>
      <c r="J38" s="20" t="n">
        <v>0.4956702459300312</v>
      </c>
      <c r="K38" s="20" t="n">
        <v>0.5192307692307693</v>
      </c>
      <c r="L38" s="19" t="n">
        <v>0.09499574326169095</v>
      </c>
      <c r="M38" s="19" t="n">
        <v>0.440095488904567</v>
      </c>
      <c r="N38" s="20" t="n">
        <v>0</v>
      </c>
      <c r="O38" s="27" t="n">
        <v>0.839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WKU @ IU</t>
        </is>
      </c>
      <c r="C39" s="12" t="inlineStr">
        <is>
          <t>2026-09-19 20:00</t>
        </is>
      </c>
      <c r="D39" s="22" t="n">
        <v>3</v>
      </c>
      <c r="E39" s="12" t="inlineStr">
        <is>
          <t>ATS</t>
        </is>
      </c>
      <c r="F39" s="12" t="inlineStr">
        <is>
          <t>WKU +44.5</t>
        </is>
      </c>
      <c r="G39" s="23" t="n">
        <v>-44.5</v>
      </c>
      <c r="H39" s="13" t="n">
        <v>-108</v>
      </c>
      <c r="I39" s="15" t="n">
        <v>0.746930631659275</v>
      </c>
      <c r="J39" s="15" t="n">
        <v>0.4956702459300312</v>
      </c>
      <c r="K39" s="15" t="n">
        <v>0.5192307692307693</v>
      </c>
      <c r="L39" s="14" t="n">
        <v>0.09499559403640924</v>
      </c>
      <c r="M39" s="14" t="n">
        <v>0.438533068380826</v>
      </c>
      <c r="N39" s="15" t="n">
        <v>0</v>
      </c>
      <c r="O39" s="24" t="n">
        <v>0.839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BUFF @ PSU</t>
        </is>
      </c>
      <c r="C40" s="17" t="inlineStr">
        <is>
          <t>2026-09-19 16:00</t>
        </is>
      </c>
      <c r="D40" s="25" t="n">
        <v>3</v>
      </c>
      <c r="E40" s="17" t="inlineStr">
        <is>
          <t>ATS</t>
        </is>
      </c>
      <c r="F40" s="17" t="inlineStr">
        <is>
          <t>BUFF +39.5</t>
        </is>
      </c>
      <c r="G40" s="26" t="n">
        <v>-39.5</v>
      </c>
      <c r="H40" s="18" t="n">
        <v>-108</v>
      </c>
      <c r="I40" s="20" t="n">
        <v>0.7448826938834172</v>
      </c>
      <c r="J40" s="20" t="n">
        <v>0.4956702459300312</v>
      </c>
      <c r="K40" s="20" t="n">
        <v>0.5192307692307693</v>
      </c>
      <c r="L40" s="19" t="n">
        <v>0.09499519364471777</v>
      </c>
      <c r="M40" s="19" t="n">
        <v>0.4345888919236185</v>
      </c>
      <c r="N40" s="20" t="n">
        <v>0</v>
      </c>
      <c r="O40" s="27" t="n">
        <v>0.839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NDSU @ SAC</t>
        </is>
      </c>
      <c r="C41" s="12" t="inlineStr">
        <is>
          <t>2026-09-20 02:30</t>
        </is>
      </c>
      <c r="D41" s="22" t="n">
        <v>3</v>
      </c>
      <c r="E41" s="12" t="inlineStr">
        <is>
          <t>ATS</t>
        </is>
      </c>
      <c r="F41" s="12" t="inlineStr">
        <is>
          <t>SAC +27.5</t>
        </is>
      </c>
      <c r="G41" s="23" t="n">
        <v>27.5</v>
      </c>
      <c r="H41" s="13" t="n">
        <v>-108</v>
      </c>
      <c r="I41" s="15" t="n">
        <v>0.7437912111159868</v>
      </c>
      <c r="J41" s="15" t="n">
        <v>0.4956702459300312</v>
      </c>
      <c r="K41" s="15" t="n">
        <v>0.5192307692307693</v>
      </c>
      <c r="L41" s="14" t="n">
        <v>0.0949949655893387</v>
      </c>
      <c r="M41" s="14" t="n">
        <v>0.4324867769641227</v>
      </c>
      <c r="N41" s="15" t="n">
        <v>0</v>
      </c>
      <c r="O41" s="24" t="n">
        <v>0.926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KENN @ TENN</t>
        </is>
      </c>
      <c r="C42" s="17" t="inlineStr">
        <is>
          <t>2026-09-19 23:45</t>
        </is>
      </c>
      <c r="D42" s="25" t="n">
        <v>3</v>
      </c>
      <c r="E42" s="17" t="inlineStr">
        <is>
          <t>ATS</t>
        </is>
      </c>
      <c r="F42" s="17" t="inlineStr">
        <is>
          <t>KENN +35.5</t>
        </is>
      </c>
      <c r="G42" s="26" t="n">
        <v>-35.5</v>
      </c>
      <c r="H42" s="18" t="n">
        <v>-108</v>
      </c>
      <c r="I42" s="20" t="n">
        <v>0.7404279364999059</v>
      </c>
      <c r="J42" s="20" t="n">
        <v>0.4956702459300312</v>
      </c>
      <c r="K42" s="20" t="n">
        <v>0.5192307692307693</v>
      </c>
      <c r="L42" s="19" t="n">
        <v>0.09499419255355891</v>
      </c>
      <c r="M42" s="19" t="n">
        <v>0.426009359185004</v>
      </c>
      <c r="N42" s="20" t="n">
        <v>0</v>
      </c>
      <c r="O42" s="27" t="n">
        <v>0.839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BYU @ CSU</t>
        </is>
      </c>
      <c r="C43" s="12" t="inlineStr">
        <is>
          <t>2026-09-19 23:30</t>
        </is>
      </c>
      <c r="D43" s="22" t="n">
        <v>3</v>
      </c>
      <c r="E43" s="12" t="inlineStr">
        <is>
          <t>ATS</t>
        </is>
      </c>
      <c r="F43" s="12" t="inlineStr">
        <is>
          <t>CSU +17.5</t>
        </is>
      </c>
      <c r="G43" s="23" t="n">
        <v>17.5</v>
      </c>
      <c r="H43" s="13" t="n">
        <v>-105</v>
      </c>
      <c r="I43" s="15" t="n">
        <v>0.7277532660511183</v>
      </c>
      <c r="J43" s="15" t="n">
        <v>0.4891657638136511</v>
      </c>
      <c r="K43" s="15" t="n">
        <v>0.5121951219512195</v>
      </c>
      <c r="L43" s="14" t="n">
        <v>0.09499340404251394</v>
      </c>
      <c r="M43" s="14" t="n">
        <v>0.4208516146712311</v>
      </c>
      <c r="N43" s="15" t="n">
        <v>0</v>
      </c>
      <c r="O43" s="24" t="n">
        <v>0.839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UGA @ ARK</t>
        </is>
      </c>
      <c r="C44" s="17" t="inlineStr">
        <is>
          <t>2026-09-19 16:00</t>
        </is>
      </c>
      <c r="D44" s="25" t="n">
        <v>3</v>
      </c>
      <c r="E44" s="17" t="inlineStr">
        <is>
          <t>ATS</t>
        </is>
      </c>
      <c r="F44" s="17" t="inlineStr">
        <is>
          <t>ARK +25.5</t>
        </is>
      </c>
      <c r="G44" s="26" t="n">
        <v>25.5</v>
      </c>
      <c r="H44" s="18" t="n">
        <v>-112</v>
      </c>
      <c r="I44" s="20" t="n">
        <v>0.7460920421295146</v>
      </c>
      <c r="J44" s="20" t="n">
        <v>0.5043297540699688</v>
      </c>
      <c r="K44" s="20" t="n">
        <v>0.5283018867924528</v>
      </c>
      <c r="L44" s="19" t="n">
        <v>0.09499213308832515</v>
      </c>
      <c r="M44" s="19" t="n">
        <v>0.412245651173724</v>
      </c>
      <c r="N44" s="20" t="n">
        <v>0</v>
      </c>
      <c r="O44" s="27" t="n">
        <v>0.839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NIU @ ARIZ</t>
        </is>
      </c>
      <c r="C45" s="12" t="inlineStr">
        <is>
          <t>2026-09-20 02:30</t>
        </is>
      </c>
      <c r="D45" s="22" t="n">
        <v>3</v>
      </c>
      <c r="E45" s="12" t="inlineStr">
        <is>
          <t>ATS</t>
        </is>
      </c>
      <c r="F45" s="12" t="inlineStr">
        <is>
          <t>NIU +34.5</t>
        </is>
      </c>
      <c r="G45" s="23" t="n">
        <v>-34.5</v>
      </c>
      <c r="H45" s="13" t="n">
        <v>-112</v>
      </c>
      <c r="I45" s="15" t="n">
        <v>0.744256934025459</v>
      </c>
      <c r="J45" s="15" t="n">
        <v>0.5043297540699688</v>
      </c>
      <c r="K45" s="15" t="n">
        <v>0.5283018867924528</v>
      </c>
      <c r="L45" s="14" t="n">
        <v>0.09499150679335959</v>
      </c>
      <c r="M45" s="14" t="n">
        <v>0.4087720536910473</v>
      </c>
      <c r="N45" s="15" t="n">
        <v>0</v>
      </c>
      <c r="O45" s="24" t="n">
        <v>0.839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UTSA @ TEX</t>
        </is>
      </c>
      <c r="C46" s="17" t="inlineStr">
        <is>
          <t>2026-09-20 00:00</t>
        </is>
      </c>
      <c r="D46" s="25" t="n">
        <v>3</v>
      </c>
      <c r="E46" s="17" t="inlineStr">
        <is>
          <t>ATS</t>
        </is>
      </c>
      <c r="F46" s="17" t="inlineStr">
        <is>
          <t>UTSA +30.5</t>
        </is>
      </c>
      <c r="G46" s="26" t="n">
        <v>-30.5</v>
      </c>
      <c r="H46" s="18" t="n">
        <v>-112</v>
      </c>
      <c r="I46" s="20" t="n">
        <v>0.744245043012444</v>
      </c>
      <c r="J46" s="20" t="n">
        <v>0.5043297540699688</v>
      </c>
      <c r="K46" s="20" t="n">
        <v>0.5283018867924528</v>
      </c>
      <c r="L46" s="19" t="n">
        <v>0.09499150257667892</v>
      </c>
      <c r="M46" s="19" t="n">
        <v>0.408749545702126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MIA @ WAKE</t>
        </is>
      </c>
      <c r="C47" s="12" t="inlineStr">
        <is>
          <t>2026-09-18 23:30</t>
        </is>
      </c>
      <c r="D47" s="22" t="n">
        <v>3</v>
      </c>
      <c r="E47" s="12" t="inlineStr">
        <is>
          <t>ATS</t>
        </is>
      </c>
      <c r="F47" s="12" t="inlineStr">
        <is>
          <t>WAKE +21</t>
        </is>
      </c>
      <c r="G47" s="23" t="n">
        <v>21</v>
      </c>
      <c r="H47" s="13" t="n">
        <v>-112</v>
      </c>
      <c r="I47" s="15" t="n">
        <v>0.7392782043459014</v>
      </c>
      <c r="J47" s="15" t="n">
        <v>0.502134927412468</v>
      </c>
      <c r="K47" s="15" t="n">
        <v>0.5283018867924528</v>
      </c>
      <c r="L47" s="14" t="n">
        <v>0.09499086416737967</v>
      </c>
      <c r="M47" s="14" t="n">
        <v>0.3968720718708824</v>
      </c>
      <c r="N47" s="15" t="n">
        <v>0.0062</v>
      </c>
      <c r="O47" s="24" t="n">
        <v>0.839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EMU @ WIS</t>
        </is>
      </c>
      <c r="C48" s="17" t="inlineStr">
        <is>
          <t>2026-09-19 16:30</t>
        </is>
      </c>
      <c r="D48" s="25" t="n">
        <v>3</v>
      </c>
      <c r="E48" s="17" t="inlineStr">
        <is>
          <t>ATS</t>
        </is>
      </c>
      <c r="F48" s="17" t="inlineStr">
        <is>
          <t>EMU +23.5</t>
        </is>
      </c>
      <c r="G48" s="26" t="n">
        <v>-23.5</v>
      </c>
      <c r="H48" s="18" t="n">
        <v>100</v>
      </c>
      <c r="I48" s="20" t="n">
        <v>0.7011221034329</v>
      </c>
      <c r="J48" s="20" t="n">
        <v>0.4782608695652174</v>
      </c>
      <c r="K48" s="20" t="n">
        <v>0.5</v>
      </c>
      <c r="L48" s="19" t="n">
        <v>0.09498957126596247</v>
      </c>
      <c r="M48" s="19" t="n">
        <v>0.4022442068658001</v>
      </c>
      <c r="N48" s="20" t="n">
        <v>0</v>
      </c>
      <c r="O48" s="27" t="n">
        <v>0.839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MSU @ ND</t>
        </is>
      </c>
      <c r="C49" s="12" t="inlineStr">
        <is>
          <t>2026-09-19 23:30</t>
        </is>
      </c>
      <c r="D49" s="22" t="n">
        <v>3</v>
      </c>
      <c r="E49" s="12" t="inlineStr">
        <is>
          <t>ATS</t>
        </is>
      </c>
      <c r="F49" s="12" t="inlineStr">
        <is>
          <t>MSU +29.5</t>
        </is>
      </c>
      <c r="G49" s="23" t="n">
        <v>-29.5</v>
      </c>
      <c r="H49" s="13" t="n">
        <v>-110</v>
      </c>
      <c r="I49" s="15" t="n">
        <v>0.7325739440228366</v>
      </c>
      <c r="J49" s="15" t="n">
        <v>0.5</v>
      </c>
      <c r="K49" s="15" t="n">
        <v>0.5238095238095238</v>
      </c>
      <c r="L49" s="14" t="n">
        <v>0.09498938639815166</v>
      </c>
      <c r="M49" s="14" t="n">
        <v>0.3985502567708699</v>
      </c>
      <c r="N49" s="15" t="n">
        <v>0</v>
      </c>
      <c r="O49" s="24" t="n">
        <v>0.839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UTEP @ MICH</t>
        </is>
      </c>
      <c r="C50" s="17" t="inlineStr">
        <is>
          <t>2026-09-19 19:30</t>
        </is>
      </c>
      <c r="D50" s="25" t="n">
        <v>3</v>
      </c>
      <c r="E50" s="17" t="inlineStr">
        <is>
          <t>ATS</t>
        </is>
      </c>
      <c r="F50" s="17" t="inlineStr">
        <is>
          <t>UTEP +35.5</t>
        </is>
      </c>
      <c r="G50" s="26" t="n">
        <v>-35.5</v>
      </c>
      <c r="H50" s="18" t="n">
        <v>-118</v>
      </c>
      <c r="I50" s="20" t="n">
        <v>0.7551016101268098</v>
      </c>
      <c r="J50" s="20" t="n">
        <v>0.5173641257162701</v>
      </c>
      <c r="K50" s="20" t="n">
        <v>0.5412844036697247</v>
      </c>
      <c r="L50" s="19" t="n">
        <v>0.09498805061871345</v>
      </c>
      <c r="M50" s="19" t="n">
        <v>0.3950182288783435</v>
      </c>
      <c r="N50" s="20" t="n">
        <v>0</v>
      </c>
      <c r="O50" s="27" t="n">
        <v>0.839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TROY @ MIZ</t>
        </is>
      </c>
      <c r="C51" s="12" t="inlineStr">
        <is>
          <t>2026-09-19 23:00</t>
        </is>
      </c>
      <c r="D51" s="22" t="n">
        <v>3</v>
      </c>
      <c r="E51" s="12" t="inlineStr">
        <is>
          <t>ATS</t>
        </is>
      </c>
      <c r="F51" s="12" t="inlineStr">
        <is>
          <t>TROY +26.5</t>
        </is>
      </c>
      <c r="G51" s="23" t="n">
        <v>-26.5</v>
      </c>
      <c r="H51" s="13" t="n">
        <v>-108</v>
      </c>
      <c r="I51" s="15" t="n">
        <v>0.7158593512596449</v>
      </c>
      <c r="J51" s="15" t="n">
        <v>0.4956702459300312</v>
      </c>
      <c r="K51" s="15" t="n">
        <v>0.5192307692307693</v>
      </c>
      <c r="L51" s="14" t="n">
        <v>0.09498351274398348</v>
      </c>
      <c r="M51" s="14" t="n">
        <v>0.3786920839074643</v>
      </c>
      <c r="N51" s="15" t="n">
        <v>0</v>
      </c>
      <c r="O51" s="24" t="n">
        <v>0.839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UNM @ OU</t>
        </is>
      </c>
      <c r="C52" s="17" t="inlineStr">
        <is>
          <t>2026-09-19 23:30</t>
        </is>
      </c>
      <c r="D52" s="25" t="n">
        <v>3</v>
      </c>
      <c r="E52" s="17" t="inlineStr">
        <is>
          <t>ATS</t>
        </is>
      </c>
      <c r="F52" s="17" t="inlineStr">
        <is>
          <t>UNM +22.5</t>
        </is>
      </c>
      <c r="G52" s="26" t="n">
        <v>-22.5</v>
      </c>
      <c r="H52" s="18" t="n">
        <v>-108</v>
      </c>
      <c r="I52" s="20" t="n">
        <v>0.7104303180891165</v>
      </c>
      <c r="J52" s="20" t="n">
        <v>0.4956702459300312</v>
      </c>
      <c r="K52" s="20" t="n">
        <v>0.5192307692307693</v>
      </c>
      <c r="L52" s="19" t="n">
        <v>0.09497923740891739</v>
      </c>
      <c r="M52" s="19" t="n">
        <v>0.368236168171632</v>
      </c>
      <c r="N52" s="20" t="n">
        <v>0</v>
      </c>
      <c r="O52" s="27" t="n">
        <v>0.839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USU @ UTAH</t>
        </is>
      </c>
      <c r="C53" s="12" t="inlineStr">
        <is>
          <t>2026-09-19 19:30</t>
        </is>
      </c>
      <c r="D53" s="22" t="n">
        <v>3</v>
      </c>
      <c r="E53" s="12" t="inlineStr">
        <is>
          <t>ATS</t>
        </is>
      </c>
      <c r="F53" s="12" t="inlineStr">
        <is>
          <t>USU +28.5</t>
        </is>
      </c>
      <c r="G53" s="23" t="n">
        <v>-28.5</v>
      </c>
      <c r="H53" s="13" t="n">
        <v>-118</v>
      </c>
      <c r="I53" s="15" t="n">
        <v>0.7395037347650635</v>
      </c>
      <c r="J53" s="15" t="n">
        <v>0.5173641257162701</v>
      </c>
      <c r="K53" s="15" t="n">
        <v>0.5412844036697247</v>
      </c>
      <c r="L53" s="14" t="n">
        <v>0.09497745904175824</v>
      </c>
      <c r="M53" s="14" t="n">
        <v>0.3662018150744393</v>
      </c>
      <c r="N53" s="15" t="n">
        <v>0</v>
      </c>
      <c r="O53" s="24" t="n">
        <v>0.839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AKR @ MINN</t>
        </is>
      </c>
      <c r="C54" s="17" t="inlineStr">
        <is>
          <t>2026-09-19 16:00</t>
        </is>
      </c>
      <c r="D54" s="25" t="n">
        <v>3</v>
      </c>
      <c r="E54" s="17" t="inlineStr">
        <is>
          <t>ATS</t>
        </is>
      </c>
      <c r="F54" s="17" t="inlineStr">
        <is>
          <t>AKR +24.5</t>
        </is>
      </c>
      <c r="G54" s="26" t="n">
        <v>-24.5</v>
      </c>
      <c r="H54" s="18" t="n">
        <v>-118</v>
      </c>
      <c r="I54" s="20" t="n">
        <v>0.7369055188684724</v>
      </c>
      <c r="J54" s="20" t="n">
        <v>0.5173641257162701</v>
      </c>
      <c r="K54" s="20" t="n">
        <v>0.5412844036697247</v>
      </c>
      <c r="L54" s="19" t="n">
        <v>0.09497494564547271</v>
      </c>
      <c r="M54" s="19" t="n">
        <v>0.3614017212993812</v>
      </c>
      <c r="N54" s="20" t="n">
        <v>0</v>
      </c>
      <c r="O54" s="27" t="n">
        <v>0.839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BGSU @ ISU</t>
        </is>
      </c>
      <c r="C55" s="12" t="inlineStr">
        <is>
          <t>2026-09-19 16:00</t>
        </is>
      </c>
      <c r="D55" s="22" t="n">
        <v>3</v>
      </c>
      <c r="E55" s="12" t="inlineStr">
        <is>
          <t>ATS</t>
        </is>
      </c>
      <c r="F55" s="12" t="inlineStr">
        <is>
          <t>BGSU +23.5</t>
        </is>
      </c>
      <c r="G55" s="23" t="n">
        <v>-23.5</v>
      </c>
      <c r="H55" s="13" t="n">
        <v>-105</v>
      </c>
      <c r="I55" s="15" t="n">
        <v>0.6959008725271697</v>
      </c>
      <c r="J55" s="15" t="n">
        <v>0.4891657638136511</v>
      </c>
      <c r="K55" s="15" t="n">
        <v>0.5121951219512195</v>
      </c>
      <c r="L55" s="14" t="n">
        <v>0.09497402296831416</v>
      </c>
      <c r="M55" s="14" t="n">
        <v>0.3586636082673313</v>
      </c>
      <c r="N55" s="15" t="n">
        <v>0</v>
      </c>
      <c r="O55" s="24" t="n">
        <v>0.839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NEV @ MTSU</t>
        </is>
      </c>
      <c r="C56" s="17" t="inlineStr">
        <is>
          <t>2026-09-19 23:00</t>
        </is>
      </c>
      <c r="D56" s="25" t="n">
        <v>3</v>
      </c>
      <c r="E56" s="17" t="inlineStr">
        <is>
          <t>ML</t>
        </is>
      </c>
      <c r="F56" s="17" t="inlineStr">
        <is>
          <t>MTSU ML</t>
        </is>
      </c>
      <c r="G56" s="26" t="n"/>
      <c r="H56" s="18" t="n">
        <v>150</v>
      </c>
      <c r="I56" s="20" t="n">
        <v>0.5404675456977119</v>
      </c>
      <c r="J56" s="20" t="n">
        <v>0.3835616438356164</v>
      </c>
      <c r="K56" s="20" t="n">
        <v>0.4</v>
      </c>
      <c r="L56" s="19" t="n">
        <v>0.0949654478756958</v>
      </c>
      <c r="M56" s="19" t="n">
        <v>0.3511688642442798</v>
      </c>
      <c r="N56" s="20" t="n">
        <v>0</v>
      </c>
      <c r="O56" s="27" t="n">
        <v>0.839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ARST @ TCU</t>
        </is>
      </c>
      <c r="C57" s="12" t="inlineStr">
        <is>
          <t>2026-09-20 00:00</t>
        </is>
      </c>
      <c r="D57" s="22" t="n">
        <v>3</v>
      </c>
      <c r="E57" s="12" t="inlineStr">
        <is>
          <t>ATS</t>
        </is>
      </c>
      <c r="F57" s="12" t="inlineStr">
        <is>
          <t>ARST +20.5</t>
        </is>
      </c>
      <c r="G57" s="23" t="n">
        <v>-20.5</v>
      </c>
      <c r="H57" s="13" t="n">
        <v>-112</v>
      </c>
      <c r="I57" s="15" t="n">
        <v>0.7042893350401672</v>
      </c>
      <c r="J57" s="15" t="n">
        <v>0.5043297540699688</v>
      </c>
      <c r="K57" s="15" t="n">
        <v>0.5283018867924528</v>
      </c>
      <c r="L57" s="14" t="n">
        <v>0.09495496351110942</v>
      </c>
      <c r="M57" s="14" t="n">
        <v>0.3331190984688879</v>
      </c>
      <c r="N57" s="15" t="n">
        <v>0</v>
      </c>
      <c r="O57" s="24" t="n">
        <v>0.839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GAST @ UCF</t>
        </is>
      </c>
      <c r="C58" s="17" t="inlineStr">
        <is>
          <t>2026-09-19 23:00</t>
        </is>
      </c>
      <c r="D58" s="25" t="n">
        <v>3</v>
      </c>
      <c r="E58" s="17" t="inlineStr">
        <is>
          <t>ATS</t>
        </is>
      </c>
      <c r="F58" s="17" t="inlineStr">
        <is>
          <t>GAST +18.5</t>
        </is>
      </c>
      <c r="G58" s="26" t="n">
        <v>-18.5</v>
      </c>
      <c r="H58" s="18" t="n">
        <v>-108</v>
      </c>
      <c r="I58" s="20" t="n">
        <v>0.6901895123376061</v>
      </c>
      <c r="J58" s="20" t="n">
        <v>0.4956702459300312</v>
      </c>
      <c r="K58" s="20" t="n">
        <v>0.5192307692307693</v>
      </c>
      <c r="L58" s="19" t="n">
        <v>0.09495095722250253</v>
      </c>
      <c r="M58" s="19" t="n">
        <v>0.3292538756131673</v>
      </c>
      <c r="N58" s="20" t="n">
        <v>0</v>
      </c>
      <c r="O58" s="27" t="n">
        <v>0.839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FSU @ ALA</t>
        </is>
      </c>
      <c r="C59" s="12" t="inlineStr">
        <is>
          <t>2026-09-19 19:30</t>
        </is>
      </c>
      <c r="D59" s="22" t="n">
        <v>3</v>
      </c>
      <c r="E59" s="12" t="inlineStr">
        <is>
          <t>ATS</t>
        </is>
      </c>
      <c r="F59" s="12" t="inlineStr">
        <is>
          <t>FSU +20.5</t>
        </is>
      </c>
      <c r="G59" s="23" t="n">
        <v>-20.5</v>
      </c>
      <c r="H59" s="13" t="n">
        <v>-110</v>
      </c>
      <c r="I59" s="15" t="n">
        <v>0.6887753710023599</v>
      </c>
      <c r="J59" s="15" t="n">
        <v>0.5</v>
      </c>
      <c r="K59" s="15" t="n">
        <v>0.5238095238095238</v>
      </c>
      <c r="L59" s="14" t="n">
        <v>0.09493291305090019</v>
      </c>
      <c r="M59" s="14" t="n">
        <v>0.3149347991863234</v>
      </c>
      <c r="N59" s="15" t="n">
        <v>0</v>
      </c>
      <c r="O59" s="24" t="n">
        <v>0.839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TULN @ KSU</t>
        </is>
      </c>
      <c r="C60" s="17" t="inlineStr">
        <is>
          <t>2026-09-19 16:00</t>
        </is>
      </c>
      <c r="D60" s="25" t="n">
        <v>3</v>
      </c>
      <c r="E60" s="17" t="inlineStr">
        <is>
          <t>ATS</t>
        </is>
      </c>
      <c r="F60" s="17" t="inlineStr">
        <is>
          <t>TULN +20.5</t>
        </is>
      </c>
      <c r="G60" s="26" t="n">
        <v>-20.5</v>
      </c>
      <c r="H60" s="18" t="n">
        <v>-115</v>
      </c>
      <c r="I60" s="20" t="n">
        <v>0.6955628426805947</v>
      </c>
      <c r="J60" s="20" t="n">
        <v>0.5108342361863488</v>
      </c>
      <c r="K60" s="20" t="n">
        <v>0.5348837209302325</v>
      </c>
      <c r="L60" s="19" t="n">
        <v>0.09490619643988871</v>
      </c>
      <c r="M60" s="19" t="n">
        <v>0.3004000971854595</v>
      </c>
      <c r="N60" s="20" t="n">
        <v>0</v>
      </c>
      <c r="O60" s="27" t="n">
        <v>0.839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WMU @ RICE</t>
        </is>
      </c>
      <c r="C61" s="12" t="inlineStr">
        <is>
          <t>2026-09-19 23:00</t>
        </is>
      </c>
      <c r="D61" s="22" t="n">
        <v>3</v>
      </c>
      <c r="E61" s="12" t="inlineStr">
        <is>
          <t>ATS</t>
        </is>
      </c>
      <c r="F61" s="12" t="inlineStr">
        <is>
          <t>RICE +9.5</t>
        </is>
      </c>
      <c r="G61" s="23" t="n">
        <v>9.5</v>
      </c>
      <c r="H61" s="13" t="n">
        <v>-108</v>
      </c>
      <c r="I61" s="15" t="n">
        <v>0.6747946529062397</v>
      </c>
      <c r="J61" s="15" t="n">
        <v>0.4956702459300312</v>
      </c>
      <c r="K61" s="15" t="n">
        <v>0.5192307692307693</v>
      </c>
      <c r="L61" s="14" t="n">
        <v>0.09490571505817344</v>
      </c>
      <c r="M61" s="14" t="n">
        <v>0.2996045167083137</v>
      </c>
      <c r="N61" s="15" t="n">
        <v>0</v>
      </c>
      <c r="O61" s="24" t="n">
        <v>0.839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LT @ BAY</t>
        </is>
      </c>
      <c r="C62" s="17" t="inlineStr">
        <is>
          <t>2026-09-19 20:00</t>
        </is>
      </c>
      <c r="D62" s="25" t="n">
        <v>3</v>
      </c>
      <c r="E62" s="17" t="inlineStr">
        <is>
          <t>ATS</t>
        </is>
      </c>
      <c r="F62" s="17" t="inlineStr">
        <is>
          <t>LT +19.5</t>
        </is>
      </c>
      <c r="G62" s="26" t="n">
        <v>-19.5</v>
      </c>
      <c r="H62" s="18" t="n">
        <v>-118</v>
      </c>
      <c r="I62" s="20" t="n">
        <v>0.701392402561655</v>
      </c>
      <c r="J62" s="20" t="n">
        <v>0.5173641257162701</v>
      </c>
      <c r="K62" s="20" t="n">
        <v>0.5412844036697247</v>
      </c>
      <c r="L62" s="19" t="n">
        <v>0.09489375758755755</v>
      </c>
      <c r="M62" s="19" t="n">
        <v>0.2957927437155998</v>
      </c>
      <c r="N62" s="20" t="n">
        <v>0</v>
      </c>
      <c r="O62" s="27" t="n">
        <v>0.839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FRES @ SJSU</t>
        </is>
      </c>
      <c r="C63" s="12" t="inlineStr">
        <is>
          <t>2026-09-20 03:00</t>
        </is>
      </c>
      <c r="D63" s="22" t="n">
        <v>3</v>
      </c>
      <c r="E63" s="12" t="inlineStr">
        <is>
          <t>ATS</t>
        </is>
      </c>
      <c r="F63" s="12" t="inlineStr">
        <is>
          <t>SJSU +6.5</t>
        </is>
      </c>
      <c r="G63" s="23" t="n">
        <v>6.5</v>
      </c>
      <c r="H63" s="13" t="n">
        <v>-102</v>
      </c>
      <c r="I63" s="15" t="n">
        <v>0.6511979136001844</v>
      </c>
      <c r="J63" s="15" t="n">
        <v>0.4826358742837298</v>
      </c>
      <c r="K63" s="15" t="n">
        <v>0.504950495049505</v>
      </c>
      <c r="L63" s="14" t="n">
        <v>0.09487831406531574</v>
      </c>
      <c r="M63" s="14" t="n">
        <v>0.2896272406591889</v>
      </c>
      <c r="N63" s="15" t="n">
        <v>0</v>
      </c>
      <c r="O63" s="24" t="n">
        <v>0.839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UK @ TA&amp;M</t>
        </is>
      </c>
      <c r="C64" s="17" t="inlineStr">
        <is>
          <t>2026-09-19 19:30</t>
        </is>
      </c>
      <c r="D64" s="25" t="n">
        <v>3</v>
      </c>
      <c r="E64" s="17" t="inlineStr">
        <is>
          <t>ATS</t>
        </is>
      </c>
      <c r="F64" s="17" t="inlineStr">
        <is>
          <t>UK +16.5</t>
        </is>
      </c>
      <c r="G64" s="26" t="n">
        <v>-16.5</v>
      </c>
      <c r="H64" s="18" t="n">
        <v>-102</v>
      </c>
      <c r="I64" s="20" t="n">
        <v>0.6316665090447426</v>
      </c>
      <c r="J64" s="20" t="n">
        <v>0.4826358742837298</v>
      </c>
      <c r="K64" s="20" t="n">
        <v>0.504950495049505</v>
      </c>
      <c r="L64" s="19" t="n">
        <v>0.09471498410539793</v>
      </c>
      <c r="M64" s="19" t="n">
        <v>0.2509474002650787</v>
      </c>
      <c r="N64" s="20" t="n">
        <v>0</v>
      </c>
      <c r="O64" s="27" t="n">
        <v>0.839</v>
      </c>
      <c r="P64" s="17" t="inlineStr">
        <is>
          <t>Draft 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CLT @ APP</t>
        </is>
      </c>
      <c r="C65" s="12" t="inlineStr">
        <is>
          <t>2026-09-19 22:00</t>
        </is>
      </c>
      <c r="D65" s="22" t="n">
        <v>3</v>
      </c>
      <c r="E65" s="12" t="inlineStr">
        <is>
          <t>ATS</t>
        </is>
      </c>
      <c r="F65" s="12" t="inlineStr">
        <is>
          <t>CLT +17.5</t>
        </is>
      </c>
      <c r="G65" s="23" t="n">
        <v>-17.5</v>
      </c>
      <c r="H65" s="13" t="n">
        <v>-110</v>
      </c>
      <c r="I65" s="15" t="n">
        <v>0.6538796290995894</v>
      </c>
      <c r="J65" s="15" t="n">
        <v>0.5</v>
      </c>
      <c r="K65" s="15" t="n">
        <v>0.5238095238095238</v>
      </c>
      <c r="L65" s="14" t="n">
        <v>0.09470877297328392</v>
      </c>
      <c r="M65" s="14" t="n">
        <v>0.2483156555537616</v>
      </c>
      <c r="N65" s="15" t="n">
        <v>0</v>
      </c>
      <c r="O65" s="24" t="n">
        <v>0.839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FIU @ FAU</t>
        </is>
      </c>
      <c r="C66" s="17" t="inlineStr">
        <is>
          <t>2026-09-19 22:00</t>
        </is>
      </c>
      <c r="D66" s="25" t="n">
        <v>3</v>
      </c>
      <c r="E66" s="17" t="inlineStr">
        <is>
          <t>TOTAL</t>
        </is>
      </c>
      <c r="F66" s="17" t="inlineStr">
        <is>
          <t>Under 62.5</t>
        </is>
      </c>
      <c r="G66" s="26" t="n">
        <v>62.5</v>
      </c>
      <c r="H66" s="18" t="n">
        <v>-110</v>
      </c>
      <c r="I66" s="20" t="n">
        <v>0.6526021510022221</v>
      </c>
      <c r="J66" s="20" t="n">
        <v>0.5</v>
      </c>
      <c r="K66" s="20" t="n">
        <v>0.5238095238095238</v>
      </c>
      <c r="L66" s="19" t="n">
        <v>0.09469270537580907</v>
      </c>
      <c r="M66" s="19" t="n">
        <v>0.2458768337315149</v>
      </c>
      <c r="N66" s="20" t="n">
        <v>0</v>
      </c>
      <c r="O66" s="27" t="n">
        <v>0.839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NEV @ MTSU</t>
        </is>
      </c>
      <c r="C67" s="12" t="inlineStr">
        <is>
          <t>2026-09-19 23:00</t>
        </is>
      </c>
      <c r="D67" s="22" t="n">
        <v>3</v>
      </c>
      <c r="E67" s="12" t="inlineStr">
        <is>
          <t>ATS</t>
        </is>
      </c>
      <c r="F67" s="12" t="inlineStr">
        <is>
          <t>MTSU +4</t>
        </is>
      </c>
      <c r="G67" s="23" t="n">
        <v>4</v>
      </c>
      <c r="H67" s="13" t="n">
        <v>-115</v>
      </c>
      <c r="I67" s="15" t="n">
        <v>0.6621583907731265</v>
      </c>
      <c r="J67" s="15" t="n">
        <v>0.5108342361863488</v>
      </c>
      <c r="K67" s="15" t="n">
        <v>0.5348837209302325</v>
      </c>
      <c r="L67" s="14" t="n">
        <v>0.09462892117027975</v>
      </c>
      <c r="M67" s="14" t="n">
        <v>0.2327372281153645</v>
      </c>
      <c r="N67" s="15" t="n">
        <v>0.0219</v>
      </c>
      <c r="O67" s="24" t="n">
        <v>0.839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M-OH @ CIN</t>
        </is>
      </c>
      <c r="C68" s="17" t="inlineStr">
        <is>
          <t>2026-09-19 19:30</t>
        </is>
      </c>
      <c r="D68" s="25" t="n">
        <v>3</v>
      </c>
      <c r="E68" s="17" t="inlineStr">
        <is>
          <t>ATS</t>
        </is>
      </c>
      <c r="F68" s="17" t="inlineStr">
        <is>
          <t>M-OH +14.5</t>
        </is>
      </c>
      <c r="G68" s="26" t="n">
        <v>-14.5</v>
      </c>
      <c r="H68" s="18" t="n">
        <v>-110</v>
      </c>
      <c r="I68" s="20" t="n">
        <v>0.6451811605078074</v>
      </c>
      <c r="J68" s="20" t="n">
        <v>0.5</v>
      </c>
      <c r="K68" s="20" t="n">
        <v>0.5238095238095238</v>
      </c>
      <c r="L68" s="19" t="n">
        <v>0.09458024269901827</v>
      </c>
      <c r="M68" s="19" t="n">
        <v>0.2317094882421777</v>
      </c>
      <c r="N68" s="20" t="n">
        <v>0</v>
      </c>
      <c r="O68" s="27" t="n">
        <v>0.839</v>
      </c>
      <c r="P68" s="17" t="inlineStr">
        <is>
          <t>Draft 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WVU @ UVA</t>
        </is>
      </c>
      <c r="C69" s="12" t="inlineStr">
        <is>
          <t>2026-09-19 23:30</t>
        </is>
      </c>
      <c r="D69" s="22" t="n">
        <v>3</v>
      </c>
      <c r="E69" s="12" t="inlineStr">
        <is>
          <t>ATS</t>
        </is>
      </c>
      <c r="F69" s="12" t="inlineStr">
        <is>
          <t>WVU +10</t>
        </is>
      </c>
      <c r="G69" s="23" t="n">
        <v>-10</v>
      </c>
      <c r="H69" s="13" t="n">
        <v>-108</v>
      </c>
      <c r="I69" s="15" t="n">
        <v>0.6388180499038745</v>
      </c>
      <c r="J69" s="15" t="n">
        <v>0.4956702459300312</v>
      </c>
      <c r="K69" s="15" t="n">
        <v>0.5192307692307693</v>
      </c>
      <c r="L69" s="14" t="n">
        <v>0.09456620654981601</v>
      </c>
      <c r="M69" s="14" t="n">
        <v>0.2229000611941639</v>
      </c>
      <c r="N69" s="15" t="n">
        <v>0.0322</v>
      </c>
      <c r="O69" s="24" t="n">
        <v>0.839</v>
      </c>
      <c r="P69" s="12" t="inlineStr">
        <is>
          <t>Draft 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BALL @ LIB</t>
        </is>
      </c>
      <c r="C70" s="17" t="inlineStr">
        <is>
          <t>2026-09-19 20:00</t>
        </is>
      </c>
      <c r="D70" s="25" t="n">
        <v>3</v>
      </c>
      <c r="E70" s="17" t="inlineStr">
        <is>
          <t>ATS</t>
        </is>
      </c>
      <c r="F70" s="17" t="inlineStr">
        <is>
          <t>BALL +14.5</t>
        </is>
      </c>
      <c r="G70" s="26" t="n">
        <v>-14.5</v>
      </c>
      <c r="H70" s="18" t="n">
        <v>-115</v>
      </c>
      <c r="I70" s="20" t="n">
        <v>0.6564866705870094</v>
      </c>
      <c r="J70" s="20" t="n">
        <v>0.5108342361863488</v>
      </c>
      <c r="K70" s="20" t="n">
        <v>0.5348837209302325</v>
      </c>
      <c r="L70" s="19" t="n">
        <v>0.0945314490911494</v>
      </c>
      <c r="M70" s="19" t="n">
        <v>0.2273446450104957</v>
      </c>
      <c r="N70" s="20" t="n">
        <v>0</v>
      </c>
      <c r="O70" s="27" t="n">
        <v>0.839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VT @ MD</t>
        </is>
      </c>
      <c r="C71" s="12" t="inlineStr">
        <is>
          <t>2026-09-19 23:30</t>
        </is>
      </c>
      <c r="D71" s="22" t="n">
        <v>3</v>
      </c>
      <c r="E71" s="12" t="inlineStr">
        <is>
          <t>ML</t>
        </is>
      </c>
      <c r="F71" s="12" t="inlineStr">
        <is>
          <t>MD ML</t>
        </is>
      </c>
      <c r="G71" s="23" t="n"/>
      <c r="H71" s="13" t="n">
        <v>120</v>
      </c>
      <c r="I71" s="15" t="n">
        <v>0.5593700551773294</v>
      </c>
      <c r="J71" s="15" t="n">
        <v>0.4365079365079365</v>
      </c>
      <c r="K71" s="15" t="n">
        <v>0.4545454545454545</v>
      </c>
      <c r="L71" s="14" t="n">
        <v>0.09449401153722597</v>
      </c>
      <c r="M71" s="14" t="n">
        <v>0.2306141213901247</v>
      </c>
      <c r="N71" s="15" t="n">
        <v>0</v>
      </c>
      <c r="O71" s="24" t="n">
        <v>0.839</v>
      </c>
      <c r="P71" s="12" t="inlineStr">
        <is>
          <t>Draft 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SYR @ PITT</t>
        </is>
      </c>
      <c r="C72" s="17" t="inlineStr">
        <is>
          <t>2026-09-17 23:30</t>
        </is>
      </c>
      <c r="D72" s="25" t="n">
        <v>3</v>
      </c>
      <c r="E72" s="17" t="inlineStr">
        <is>
          <t>ML</t>
        </is>
      </c>
      <c r="F72" s="17" t="inlineStr">
        <is>
          <t>SYR ML</t>
        </is>
      </c>
      <c r="G72" s="26" t="n"/>
      <c r="H72" s="18" t="n">
        <v>340</v>
      </c>
      <c r="I72" s="20" t="n">
        <v>0.2793579096730459</v>
      </c>
      <c r="J72" s="20" t="n">
        <v>0.2180936995153474</v>
      </c>
      <c r="K72" s="20" t="n">
        <v>0.2272727272727273</v>
      </c>
      <c r="L72" s="19" t="n">
        <v>0.09448804645983883</v>
      </c>
      <c r="M72" s="19" t="n">
        <v>0.2291748025614018</v>
      </c>
      <c r="N72" s="20" t="n">
        <v>0</v>
      </c>
      <c r="O72" s="27" t="n">
        <v>0.839</v>
      </c>
      <c r="P72" s="17" t="inlineStr">
        <is>
          <t>Draft 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CONN @ USM</t>
        </is>
      </c>
      <c r="C73" s="12" t="inlineStr">
        <is>
          <t>2026-09-19 23:00</t>
        </is>
      </c>
      <c r="D73" s="22" t="n">
        <v>3</v>
      </c>
      <c r="E73" s="12" t="inlineStr">
        <is>
          <t>ATS</t>
        </is>
      </c>
      <c r="F73" s="12" t="inlineStr">
        <is>
          <t>USM +3</t>
        </is>
      </c>
      <c r="G73" s="23" t="n">
        <v>3</v>
      </c>
      <c r="H73" s="13" t="n">
        <v>-105</v>
      </c>
      <c r="I73" s="15" t="n">
        <v>0.622927671553746</v>
      </c>
      <c r="J73" s="15" t="n">
        <v>0.4891657638136511</v>
      </c>
      <c r="K73" s="15" t="n">
        <v>0.5121951219512195</v>
      </c>
      <c r="L73" s="14" t="n">
        <v>0.09440127563507143</v>
      </c>
      <c r="M73" s="14" t="n">
        <v>0.2056419451647072</v>
      </c>
      <c r="N73" s="15" t="n">
        <v>0.0488</v>
      </c>
      <c r="O73" s="24" t="n">
        <v>0.839</v>
      </c>
      <c r="P73" s="12" t="inlineStr">
        <is>
          <t>Draft 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LSU @ MISS</t>
        </is>
      </c>
      <c r="C74" s="17" t="inlineStr">
        <is>
          <t>2026-09-19 23:30</t>
        </is>
      </c>
      <c r="D74" s="25" t="n">
        <v>3</v>
      </c>
      <c r="E74" s="17" t="inlineStr">
        <is>
          <t>ML</t>
        </is>
      </c>
      <c r="F74" s="17" t="inlineStr">
        <is>
          <t>MISS ML</t>
        </is>
      </c>
      <c r="G74" s="26" t="n"/>
      <c r="H74" s="18" t="n">
        <v>130</v>
      </c>
      <c r="I74" s="20" t="n">
        <v>0.5256664799798741</v>
      </c>
      <c r="J74" s="20" t="n">
        <v>0.4170073589533933</v>
      </c>
      <c r="K74" s="20" t="n">
        <v>0.4347826086956522</v>
      </c>
      <c r="L74" s="19" t="n">
        <v>0.09421555028487143</v>
      </c>
      <c r="M74" s="19" t="n">
        <v>0.2090329039537104</v>
      </c>
      <c r="N74" s="20" t="n">
        <v>0</v>
      </c>
      <c r="O74" s="27" t="n">
        <v>0.839</v>
      </c>
      <c r="P74" s="17" t="inlineStr">
        <is>
          <t>Draft 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MRSH @ MOST</t>
        </is>
      </c>
      <c r="C75" s="12" t="inlineStr">
        <is>
          <t>2026-09-19 22:30</t>
        </is>
      </c>
      <c r="D75" s="22" t="n">
        <v>3</v>
      </c>
      <c r="E75" s="12" t="inlineStr">
        <is>
          <t>ATS</t>
        </is>
      </c>
      <c r="F75" s="12" t="inlineStr">
        <is>
          <t>MOST +3.5</t>
        </is>
      </c>
      <c r="G75" s="23" t="n">
        <v>3.5</v>
      </c>
      <c r="H75" s="13" t="n">
        <v>-115</v>
      </c>
      <c r="I75" s="15" t="n">
        <v>0.6419872296137685</v>
      </c>
      <c r="J75" s="15" t="n">
        <v>0.5108342361863488</v>
      </c>
      <c r="K75" s="15" t="n">
        <v>0.5348837209302325</v>
      </c>
      <c r="L75" s="14" t="n">
        <v>0.09415004360125051</v>
      </c>
      <c r="M75" s="14" t="n">
        <v>0.2002369944953062</v>
      </c>
      <c r="N75" s="15" t="n">
        <v>0</v>
      </c>
      <c r="O75" s="24" t="n">
        <v>0.839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VT @ MD</t>
        </is>
      </c>
      <c r="C76" s="17" t="inlineStr">
        <is>
          <t>2026-09-19 23:30</t>
        </is>
      </c>
      <c r="D76" s="25" t="n">
        <v>3</v>
      </c>
      <c r="E76" s="17" t="inlineStr">
        <is>
          <t>ATS</t>
        </is>
      </c>
      <c r="F76" s="17" t="inlineStr">
        <is>
          <t>MD +3</t>
        </is>
      </c>
      <c r="G76" s="26" t="n">
        <v>3</v>
      </c>
      <c r="H76" s="18" t="n">
        <v>-115</v>
      </c>
      <c r="I76" s="20" t="n">
        <v>0.6417725157444896</v>
      </c>
      <c r="J76" s="20" t="n">
        <v>0.5108342361863488</v>
      </c>
      <c r="K76" s="20" t="n">
        <v>0.5348837209302325</v>
      </c>
      <c r="L76" s="19" t="n">
        <v>0.09414252318920331</v>
      </c>
      <c r="M76" s="19" t="n">
        <v>0.1904233174293797</v>
      </c>
      <c r="N76" s="20" t="n">
        <v>0.0471</v>
      </c>
      <c r="O76" s="27" t="n">
        <v>0.839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PUR @ UCLA</t>
        </is>
      </c>
      <c r="C77" s="12" t="inlineStr">
        <is>
          <t>2026-09-20 03:00</t>
        </is>
      </c>
      <c r="D77" s="22" t="n">
        <v>3</v>
      </c>
      <c r="E77" s="12" t="inlineStr">
        <is>
          <t>ATS</t>
        </is>
      </c>
      <c r="F77" s="12" t="inlineStr">
        <is>
          <t>PUR +14.5</t>
        </is>
      </c>
      <c r="G77" s="23" t="n">
        <v>-14.5</v>
      </c>
      <c r="H77" s="13" t="n">
        <v>-110</v>
      </c>
      <c r="I77" s="15" t="n">
        <v>0.626725570000096</v>
      </c>
      <c r="J77" s="15" t="n">
        <v>0.5</v>
      </c>
      <c r="K77" s="15" t="n">
        <v>0.5238095238095238</v>
      </c>
      <c r="L77" s="14" t="n">
        <v>0.0940893474354626</v>
      </c>
      <c r="M77" s="14" t="n">
        <v>0.1964760881820016</v>
      </c>
      <c r="N77" s="15" t="n">
        <v>0</v>
      </c>
      <c r="O77" s="24" t="n">
        <v>0.839</v>
      </c>
      <c r="P77" s="12" t="inlineStr">
        <is>
          <t>Draft 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KENN @ TENN</t>
        </is>
      </c>
      <c r="C78" s="17" t="inlineStr">
        <is>
          <t>2026-09-19 23:45</t>
        </is>
      </c>
      <c r="D78" s="25" t="n">
        <v>3</v>
      </c>
      <c r="E78" s="17" t="inlineStr">
        <is>
          <t>TOTAL</t>
        </is>
      </c>
      <c r="F78" s="17" t="inlineStr">
        <is>
          <t>Under 59.5</t>
        </is>
      </c>
      <c r="G78" s="26" t="n">
        <v>59.5</v>
      </c>
      <c r="H78" s="18" t="n">
        <v>-108</v>
      </c>
      <c r="I78" s="20" t="n">
        <v>0.6173353421732071</v>
      </c>
      <c r="J78" s="20" t="n">
        <v>0.4956702459300312</v>
      </c>
      <c r="K78" s="20" t="n">
        <v>0.5192307692307693</v>
      </c>
      <c r="L78" s="19" t="n">
        <v>0.09392335192393866</v>
      </c>
      <c r="M78" s="19" t="n">
        <v>0.1889421404817322</v>
      </c>
      <c r="N78" s="20" t="n">
        <v>0</v>
      </c>
      <c r="O78" s="27" t="n">
        <v>0.839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MSST @ SC</t>
        </is>
      </c>
      <c r="C79" s="12" t="inlineStr">
        <is>
          <t>2026-09-19 20:15</t>
        </is>
      </c>
      <c r="D79" s="22" t="n">
        <v>3</v>
      </c>
      <c r="E79" s="12" t="inlineStr">
        <is>
          <t>TOTAL</t>
        </is>
      </c>
      <c r="F79" s="12" t="inlineStr">
        <is>
          <t>Under 59.5</t>
        </is>
      </c>
      <c r="G79" s="23" t="n">
        <v>59.5</v>
      </c>
      <c r="H79" s="13" t="n">
        <v>-112</v>
      </c>
      <c r="I79" s="15" t="n">
        <v>0.6264949469239921</v>
      </c>
      <c r="J79" s="15" t="n">
        <v>0.5043297540699688</v>
      </c>
      <c r="K79" s="15" t="n">
        <v>0.5283018867924528</v>
      </c>
      <c r="L79" s="14" t="n">
        <v>0.09384822250916708</v>
      </c>
      <c r="M79" s="14" t="n">
        <v>0.185865435248985</v>
      </c>
      <c r="N79" s="15" t="n">
        <v>0</v>
      </c>
      <c r="O79" s="24" t="n">
        <v>0.839</v>
      </c>
      <c r="P79" s="12" t="inlineStr">
        <is>
          <t>Draft 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WKU @ IU</t>
        </is>
      </c>
      <c r="C80" s="17" t="inlineStr">
        <is>
          <t>2026-09-19 20:00</t>
        </is>
      </c>
      <c r="D80" s="25" t="n">
        <v>3</v>
      </c>
      <c r="E80" s="17" t="inlineStr">
        <is>
          <t>TOTAL</t>
        </is>
      </c>
      <c r="F80" s="17" t="inlineStr">
        <is>
          <t>Under 60.5</t>
        </is>
      </c>
      <c r="G80" s="26" t="n">
        <v>60.5</v>
      </c>
      <c r="H80" s="18" t="n">
        <v>-110</v>
      </c>
      <c r="I80" s="20" t="n">
        <v>0.6195002215045176</v>
      </c>
      <c r="J80" s="20" t="n">
        <v>0.5</v>
      </c>
      <c r="K80" s="20" t="n">
        <v>0.5238095238095238</v>
      </c>
      <c r="L80" s="19" t="n">
        <v>0.09376764301607408</v>
      </c>
      <c r="M80" s="19" t="n">
        <v>0.1826822410540789</v>
      </c>
      <c r="N80" s="20" t="n">
        <v>0</v>
      </c>
      <c r="O80" s="27" t="n">
        <v>0.839</v>
      </c>
      <c r="P80" s="17" t="inlineStr">
        <is>
          <t>Draft 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LSU @ MISS</t>
        </is>
      </c>
      <c r="C81" s="12" t="inlineStr">
        <is>
          <t>2026-09-19 23:30</t>
        </is>
      </c>
      <c r="D81" s="22" t="n">
        <v>3</v>
      </c>
      <c r="E81" s="12" t="inlineStr">
        <is>
          <t>ATS</t>
        </is>
      </c>
      <c r="F81" s="12" t="inlineStr">
        <is>
          <t>MISS +3</t>
        </is>
      </c>
      <c r="G81" s="23" t="n">
        <v>3</v>
      </c>
      <c r="H81" s="13" t="n">
        <v>-110</v>
      </c>
      <c r="I81" s="15" t="n">
        <v>0.614830710989105</v>
      </c>
      <c r="J81" s="15" t="n">
        <v>0.5</v>
      </c>
      <c r="K81" s="15" t="n">
        <v>0.5238095238095238</v>
      </c>
      <c r="L81" s="14" t="n">
        <v>0.09350199936537928</v>
      </c>
      <c r="M81" s="14" t="n">
        <v>0.1648534368929676</v>
      </c>
      <c r="N81" s="15" t="n">
        <v>0.0513</v>
      </c>
      <c r="O81" s="24" t="n">
        <v>0.839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USC @ RUTG</t>
        </is>
      </c>
      <c r="C82" s="17" t="inlineStr">
        <is>
          <t>2026-09-19 19:30</t>
        </is>
      </c>
      <c r="D82" s="25" t="n">
        <v>3</v>
      </c>
      <c r="E82" s="17" t="inlineStr">
        <is>
          <t>TOTAL</t>
        </is>
      </c>
      <c r="F82" s="17" t="inlineStr">
        <is>
          <t>Under 59.5</t>
        </is>
      </c>
      <c r="G82" s="26" t="n">
        <v>59.5</v>
      </c>
      <c r="H82" s="18" t="n">
        <v>-112</v>
      </c>
      <c r="I82" s="20" t="n">
        <v>0.6200341946784427</v>
      </c>
      <c r="J82" s="20" t="n">
        <v>0.5043297540699688</v>
      </c>
      <c r="K82" s="20" t="n">
        <v>0.5283018867924528</v>
      </c>
      <c r="L82" s="19" t="n">
        <v>0.09349449588832563</v>
      </c>
      <c r="M82" s="19" t="n">
        <v>0.1736361542127665</v>
      </c>
      <c r="N82" s="20" t="n">
        <v>0</v>
      </c>
      <c r="O82" s="27" t="n">
        <v>0.839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LSU @ MISS</t>
        </is>
      </c>
      <c r="C83" s="12" t="inlineStr">
        <is>
          <t>2026-09-19 23:30</t>
        </is>
      </c>
      <c r="D83" s="22" t="n">
        <v>3</v>
      </c>
      <c r="E83" s="12" t="inlineStr">
        <is>
          <t>TOTAL</t>
        </is>
      </c>
      <c r="F83" s="12" t="inlineStr">
        <is>
          <t>Under 59.5</t>
        </is>
      </c>
      <c r="G83" s="23" t="n">
        <v>59.5</v>
      </c>
      <c r="H83" s="13" t="n">
        <v>-118</v>
      </c>
      <c r="I83" s="15" t="n">
        <v>0.6346008251653976</v>
      </c>
      <c r="J83" s="15" t="n">
        <v>0.5173641257162701</v>
      </c>
      <c r="K83" s="15" t="n">
        <v>0.5412844036697247</v>
      </c>
      <c r="L83" s="14" t="n">
        <v>0.09340323881448255</v>
      </c>
      <c r="M83" s="14" t="n">
        <v>0.1723981346275989</v>
      </c>
      <c r="N83" s="15" t="n">
        <v>0</v>
      </c>
      <c r="O83" s="24" t="n">
        <v>0.839</v>
      </c>
      <c r="P83" s="12" t="inlineStr">
        <is>
          <t>Draft 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FLA @ AUB</t>
        </is>
      </c>
      <c r="C84" s="17" t="inlineStr">
        <is>
          <t>2026-09-19 23:00</t>
        </is>
      </c>
      <c r="D84" s="25" t="n">
        <v>3</v>
      </c>
      <c r="E84" s="17" t="inlineStr">
        <is>
          <t>ML</t>
        </is>
      </c>
      <c r="F84" s="17" t="inlineStr">
        <is>
          <t>AUB ML</t>
        </is>
      </c>
      <c r="G84" s="26" t="n"/>
      <c r="H84" s="18" t="n">
        <v>120</v>
      </c>
      <c r="I84" s="20" t="n">
        <v>0.529941702877028</v>
      </c>
      <c r="J84" s="20" t="n">
        <v>0.4365079365079365</v>
      </c>
      <c r="K84" s="20" t="n">
        <v>0.4545454545454545</v>
      </c>
      <c r="L84" s="19" t="n">
        <v>0.09292540522593648</v>
      </c>
      <c r="M84" s="19" t="n">
        <v>0.1658717463294617</v>
      </c>
      <c r="N84" s="20" t="n">
        <v>0</v>
      </c>
      <c r="O84" s="27" t="n">
        <v>0.839</v>
      </c>
      <c r="P84" s="17" t="inlineStr">
        <is>
          <t>Draft 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JMU @ SDSU</t>
        </is>
      </c>
      <c r="C85" s="12" t="inlineStr">
        <is>
          <t>2026-09-20 02:00</t>
        </is>
      </c>
      <c r="D85" s="22" t="n">
        <v>3</v>
      </c>
      <c r="E85" s="12" t="inlineStr">
        <is>
          <t>TOTAL</t>
        </is>
      </c>
      <c r="F85" s="12" t="inlineStr">
        <is>
          <t>Over 46.5</t>
        </is>
      </c>
      <c r="G85" s="23" t="n">
        <v>46.5</v>
      </c>
      <c r="H85" s="13" t="n">
        <v>-110</v>
      </c>
      <c r="I85" s="15" t="n">
        <v>0.6061699858137528</v>
      </c>
      <c r="J85" s="15" t="n">
        <v>0.5</v>
      </c>
      <c r="K85" s="15" t="n">
        <v>0.5238095238095238</v>
      </c>
      <c r="L85" s="14" t="n">
        <v>0.09285029600564701</v>
      </c>
      <c r="M85" s="14" t="n">
        <v>0.1572336092808009</v>
      </c>
      <c r="N85" s="15" t="n">
        <v>0</v>
      </c>
      <c r="O85" s="24" t="n">
        <v>0.839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STAN @ DUKE</t>
        </is>
      </c>
      <c r="C86" s="17" t="inlineStr">
        <is>
          <t>2026-09-19 20:00</t>
        </is>
      </c>
      <c r="D86" s="25" t="n">
        <v>3</v>
      </c>
      <c r="E86" s="17" t="inlineStr">
        <is>
          <t>ML</t>
        </is>
      </c>
      <c r="F86" s="17" t="inlineStr">
        <is>
          <t>STAN ML</t>
        </is>
      </c>
      <c r="G86" s="26" t="n"/>
      <c r="H86" s="18" t="n">
        <v>295</v>
      </c>
      <c r="I86" s="20" t="n">
        <v>0.2917168107140944</v>
      </c>
      <c r="J86" s="20" t="n">
        <v>0.2428115015974441</v>
      </c>
      <c r="K86" s="20" t="n">
        <v>0.2531645569620253</v>
      </c>
      <c r="L86" s="19" t="n">
        <v>0.09230214597058191</v>
      </c>
      <c r="M86" s="19" t="n">
        <v>0.1522814023206729</v>
      </c>
      <c r="N86" s="20" t="n">
        <v>0</v>
      </c>
      <c r="O86" s="27" t="n">
        <v>0.839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WMU @ RICE</t>
        </is>
      </c>
      <c r="C87" s="12" t="inlineStr">
        <is>
          <t>2026-09-19 23:00</t>
        </is>
      </c>
      <c r="D87" s="22" t="n">
        <v>3</v>
      </c>
      <c r="E87" s="12" t="inlineStr">
        <is>
          <t>TOTAL</t>
        </is>
      </c>
      <c r="F87" s="12" t="inlineStr">
        <is>
          <t>Over 43.5</t>
        </is>
      </c>
      <c r="G87" s="23" t="n">
        <v>43.5</v>
      </c>
      <c r="H87" s="13" t="n">
        <v>-115</v>
      </c>
      <c r="I87" s="15" t="n">
        <v>0.6132881145709708</v>
      </c>
      <c r="J87" s="15" t="n">
        <v>0.5108342361863488</v>
      </c>
      <c r="K87" s="15" t="n">
        <v>0.5348837209302325</v>
      </c>
      <c r="L87" s="14" t="n">
        <v>0.09225409428749758</v>
      </c>
      <c r="M87" s="14" t="n">
        <v>0.1465821272413801</v>
      </c>
      <c r="N87" s="15" t="n">
        <v>0</v>
      </c>
      <c r="O87" s="24" t="n">
        <v>0.839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FLA @ AUB</t>
        </is>
      </c>
      <c r="C88" s="17" t="inlineStr">
        <is>
          <t>2026-09-19 23:00</t>
        </is>
      </c>
      <c r="D88" s="25" t="n">
        <v>3</v>
      </c>
      <c r="E88" s="17" t="inlineStr">
        <is>
          <t>ATS</t>
        </is>
      </c>
      <c r="F88" s="17" t="inlineStr">
        <is>
          <t>AUB +2.5</t>
        </is>
      </c>
      <c r="G88" s="26" t="n">
        <v>2.5</v>
      </c>
      <c r="H88" s="18" t="n">
        <v>-105</v>
      </c>
      <c r="I88" s="20" t="n">
        <v>0.5855778598029548</v>
      </c>
      <c r="J88" s="20" t="n">
        <v>0.4891657638136511</v>
      </c>
      <c r="K88" s="20" t="n">
        <v>0.5121951219512195</v>
      </c>
      <c r="L88" s="19" t="n">
        <v>0.09204940844258044</v>
      </c>
      <c r="M88" s="19" t="n">
        <v>0.1432710596152929</v>
      </c>
      <c r="N88" s="20" t="n">
        <v>0</v>
      </c>
      <c r="O88" s="27" t="n">
        <v>0.839</v>
      </c>
      <c r="P88" s="17" t="inlineStr">
        <is>
          <t>Draft 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CCU @ DEL</t>
        </is>
      </c>
      <c r="C89" s="12" t="inlineStr">
        <is>
          <t>2026-09-19 15:30</t>
        </is>
      </c>
      <c r="D89" s="22" t="n">
        <v>3</v>
      </c>
      <c r="E89" s="12" t="inlineStr">
        <is>
          <t>TOTAL</t>
        </is>
      </c>
      <c r="F89" s="12" t="inlineStr">
        <is>
          <t>Under 57.5</t>
        </is>
      </c>
      <c r="G89" s="23" t="n">
        <v>57.5</v>
      </c>
      <c r="H89" s="13" t="n">
        <v>-110</v>
      </c>
      <c r="I89" s="15" t="n">
        <v>0.5975243736282159</v>
      </c>
      <c r="J89" s="15" t="n">
        <v>0.5</v>
      </c>
      <c r="K89" s="15" t="n">
        <v>0.5238095238095238</v>
      </c>
      <c r="L89" s="14" t="n">
        <v>0.09192163064792221</v>
      </c>
      <c r="M89" s="14" t="n">
        <v>0.1407283496538667</v>
      </c>
      <c r="N89" s="15" t="n">
        <v>0</v>
      </c>
      <c r="O89" s="24" t="n">
        <v>0.839</v>
      </c>
      <c r="P89" s="12" t="inlineStr">
        <is>
          <t>Draft 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UTSA @ TEX</t>
        </is>
      </c>
      <c r="C90" s="17" t="inlineStr">
        <is>
          <t>2026-09-20 00:00</t>
        </is>
      </c>
      <c r="D90" s="25" t="n">
        <v>3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-115</v>
      </c>
      <c r="I90" s="20" t="n">
        <v>0.6098765949800449</v>
      </c>
      <c r="J90" s="20" t="n">
        <v>0.5108342361863488</v>
      </c>
      <c r="K90" s="20" t="n">
        <v>0.5348837209302325</v>
      </c>
      <c r="L90" s="19" t="n">
        <v>0.09184645230237359</v>
      </c>
      <c r="M90" s="19" t="n">
        <v>0.140204068875736</v>
      </c>
      <c r="N90" s="20" t="n">
        <v>0</v>
      </c>
      <c r="O90" s="27" t="n">
        <v>0.839</v>
      </c>
      <c r="P90" s="17" t="inlineStr">
        <is>
          <t>Draft 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SYR @ PITT</t>
        </is>
      </c>
      <c r="C91" s="12" t="inlineStr">
        <is>
          <t>2026-09-17 23:30</t>
        </is>
      </c>
      <c r="D91" s="22" t="n">
        <v>3</v>
      </c>
      <c r="E91" s="12" t="inlineStr">
        <is>
          <t>ATS</t>
        </is>
      </c>
      <c r="F91" s="12" t="inlineStr">
        <is>
          <t>SYR +10.5</t>
        </is>
      </c>
      <c r="G91" s="23" t="n">
        <v>-10.5</v>
      </c>
      <c r="H91" s="13" t="n">
        <v>-108</v>
      </c>
      <c r="I91" s="15" t="n">
        <v>0.5907172898003605</v>
      </c>
      <c r="J91" s="15" t="n">
        <v>0.4956702459300312</v>
      </c>
      <c r="K91" s="15" t="n">
        <v>0.5192307692307693</v>
      </c>
      <c r="L91" s="14" t="n">
        <v>0.09170440105581325</v>
      </c>
      <c r="M91" s="14" t="n">
        <v>0.1376777433192129</v>
      </c>
      <c r="N91" s="15" t="n">
        <v>0</v>
      </c>
      <c r="O91" s="24" t="n">
        <v>0.839</v>
      </c>
      <c r="P91" s="12" t="inlineStr">
        <is>
          <t>Draft 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USU @ UTAH</t>
        </is>
      </c>
      <c r="C92" s="17" t="inlineStr">
        <is>
          <t>2026-09-19 19:30</t>
        </is>
      </c>
      <c r="D92" s="25" t="n">
        <v>3</v>
      </c>
      <c r="E92" s="17" t="inlineStr">
        <is>
          <t>TOTAL</t>
        </is>
      </c>
      <c r="F92" s="17" t="inlineStr">
        <is>
          <t>Under 56.5</t>
        </is>
      </c>
      <c r="G92" s="26" t="n">
        <v>56.5</v>
      </c>
      <c r="H92" s="18" t="n">
        <v>-105</v>
      </c>
      <c r="I92" s="20" t="n">
        <v>0.5778165698312331</v>
      </c>
      <c r="J92" s="20" t="n">
        <v>0.4891657638136511</v>
      </c>
      <c r="K92" s="20" t="n">
        <v>0.5121951219512195</v>
      </c>
      <c r="L92" s="19" t="n">
        <v>0.09090447504671421</v>
      </c>
      <c r="M92" s="19" t="n">
        <v>0.128118064908598</v>
      </c>
      <c r="N92" s="20" t="n">
        <v>0</v>
      </c>
      <c r="O92" s="27" t="n">
        <v>0.839</v>
      </c>
      <c r="P92" s="17" t="inlineStr">
        <is>
          <t>Draft 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BGSU @ ISU</t>
        </is>
      </c>
      <c r="C93" s="12" t="inlineStr">
        <is>
          <t>2026-09-19 16:00</t>
        </is>
      </c>
      <c r="D93" s="22" t="n">
        <v>3</v>
      </c>
      <c r="E93" s="12" t="inlineStr">
        <is>
          <t>TOTAL</t>
        </is>
      </c>
      <c r="F93" s="12" t="inlineStr">
        <is>
          <t>Over 44.5</t>
        </is>
      </c>
      <c r="G93" s="23" t="n">
        <v>44.5</v>
      </c>
      <c r="H93" s="13" t="n">
        <v>-118</v>
      </c>
      <c r="I93" s="15" t="n">
        <v>0.5904463650686067</v>
      </c>
      <c r="J93" s="15" t="n">
        <v>0.5</v>
      </c>
      <c r="K93" s="15" t="n">
        <v>0.5412844036697247</v>
      </c>
      <c r="L93" s="14" t="n">
        <v>0.0908760475434153</v>
      </c>
      <c r="M93" s="14" t="n">
        <v>0.09082464055047668</v>
      </c>
      <c r="N93" s="15" t="n">
        <v>0</v>
      </c>
      <c r="O93" s="24" t="n">
        <v>0.839</v>
      </c>
      <c r="P93" s="12" t="inlineStr">
        <is>
          <t>Draft 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UNC @ CLEM</t>
        </is>
      </c>
      <c r="C94" s="17" t="inlineStr">
        <is>
          <t>2026-09-19 16:00</t>
        </is>
      </c>
      <c r="D94" s="25" t="n">
        <v>3</v>
      </c>
      <c r="E94" s="17" t="inlineStr">
        <is>
          <t>TOTAL</t>
        </is>
      </c>
      <c r="F94" s="17" t="inlineStr">
        <is>
          <t>Over 44.5</t>
        </is>
      </c>
      <c r="G94" s="26" t="n">
        <v>44.5</v>
      </c>
      <c r="H94" s="18" t="n">
        <v>-102</v>
      </c>
      <c r="I94" s="20" t="n">
        <v>0.5635012337599586</v>
      </c>
      <c r="J94" s="20" t="n">
        <v>0.4826358742837298</v>
      </c>
      <c r="K94" s="20" t="n">
        <v>0.504950495049505</v>
      </c>
      <c r="L94" s="19" t="n">
        <v>0.08957667652072997</v>
      </c>
      <c r="M94" s="19" t="n">
        <v>0.1159534237207025</v>
      </c>
      <c r="N94" s="20" t="n">
        <v>0</v>
      </c>
      <c r="O94" s="27" t="n">
        <v>0.839</v>
      </c>
      <c r="P94" s="17" t="inlineStr">
        <is>
          <t>Draft 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ASU @ KU</t>
        </is>
      </c>
      <c r="C95" s="12" t="inlineStr">
        <is>
          <t>2026-09-19 16:00</t>
        </is>
      </c>
      <c r="D95" s="22" t="n">
        <v>3</v>
      </c>
      <c r="E95" s="12" t="inlineStr">
        <is>
          <t>ML</t>
        </is>
      </c>
      <c r="F95" s="12" t="inlineStr">
        <is>
          <t>KU ML</t>
        </is>
      </c>
      <c r="G95" s="23" t="n"/>
      <c r="H95" s="13" t="n">
        <v>170</v>
      </c>
      <c r="I95" s="15" t="n">
        <v>0.4131032673244851</v>
      </c>
      <c r="J95" s="15" t="n">
        <v>0.3552708211997671</v>
      </c>
      <c r="K95" s="15" t="n">
        <v>0.3703703703703703</v>
      </c>
      <c r="L95" s="14" t="n">
        <v>0.08902237484424491</v>
      </c>
      <c r="M95" s="14" t="n">
        <v>0.1153788217761098</v>
      </c>
      <c r="N95" s="15" t="n">
        <v>0</v>
      </c>
      <c r="O95" s="24" t="n">
        <v>0.839</v>
      </c>
      <c r="P95" s="12" t="inlineStr">
        <is>
          <t>Draft 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STAN @ DUKE</t>
        </is>
      </c>
      <c r="C96" s="17" t="inlineStr">
        <is>
          <t>2026-09-19 20:00</t>
        </is>
      </c>
      <c r="D96" s="25" t="n">
        <v>3</v>
      </c>
      <c r="E96" s="17" t="inlineStr">
        <is>
          <t>ATS</t>
        </is>
      </c>
      <c r="F96" s="17" t="inlineStr">
        <is>
          <t>STAN +9.5</t>
        </is>
      </c>
      <c r="G96" s="26" t="n">
        <v>-9.5</v>
      </c>
      <c r="H96" s="18" t="n">
        <v>-108</v>
      </c>
      <c r="I96" s="20" t="n">
        <v>0.5715225930695444</v>
      </c>
      <c r="J96" s="20" t="n">
        <v>0.4956702459300312</v>
      </c>
      <c r="K96" s="20" t="n">
        <v>0.5192307692307693</v>
      </c>
      <c r="L96" s="19" t="n">
        <v>0.08771199459942559</v>
      </c>
      <c r="M96" s="19" t="n">
        <v>0.1007101792450487</v>
      </c>
      <c r="N96" s="20" t="n">
        <v>0</v>
      </c>
      <c r="O96" s="27" t="n">
        <v>0.839</v>
      </c>
      <c r="P96" s="17" t="inlineStr">
        <is>
          <t>Draft 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ARST @ TCU</t>
        </is>
      </c>
      <c r="C97" s="12" t="inlineStr">
        <is>
          <t>2026-09-20 00:00</t>
        </is>
      </c>
      <c r="D97" s="22" t="n">
        <v>3</v>
      </c>
      <c r="E97" s="12" t="inlineStr">
        <is>
          <t>TOTAL</t>
        </is>
      </c>
      <c r="F97" s="12" t="inlineStr">
        <is>
          <t>Under 55.5</t>
        </is>
      </c>
      <c r="G97" s="23" t="n">
        <v>55.5</v>
      </c>
      <c r="H97" s="13" t="n">
        <v>-102</v>
      </c>
      <c r="I97" s="15" t="n">
        <v>0.5559939298474784</v>
      </c>
      <c r="J97" s="15" t="n">
        <v>0.4826358742837298</v>
      </c>
      <c r="K97" s="15" t="n">
        <v>0.504950495049505</v>
      </c>
      <c r="L97" s="14" t="n">
        <v>0.08755770255786806</v>
      </c>
      <c r="M97" s="14" t="n">
        <v>0.1010860179332416</v>
      </c>
      <c r="N97" s="15" t="n">
        <v>0</v>
      </c>
      <c r="O97" s="24" t="n">
        <v>0.839</v>
      </c>
      <c r="P97" s="12" t="inlineStr">
        <is>
          <t>Draft 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GASO @ JVST</t>
        </is>
      </c>
      <c r="C98" s="17" t="inlineStr">
        <is>
          <t>2026-09-19 23:00</t>
        </is>
      </c>
      <c r="D98" s="25" t="n">
        <v>3</v>
      </c>
      <c r="E98" s="17" t="inlineStr">
        <is>
          <t>TOTAL</t>
        </is>
      </c>
      <c r="F98" s="17" t="inlineStr">
        <is>
          <t>Under 52.5</t>
        </is>
      </c>
      <c r="G98" s="26" t="n">
        <v>52.5</v>
      </c>
      <c r="H98" s="18" t="n">
        <v>-105</v>
      </c>
      <c r="I98" s="20" t="n">
        <v>0.5592588257221088</v>
      </c>
      <c r="J98" s="20" t="n">
        <v>0.4891657638136511</v>
      </c>
      <c r="K98" s="20" t="n">
        <v>0.5121951219512195</v>
      </c>
      <c r="L98" s="19" t="n">
        <v>0.08613095438643457</v>
      </c>
      <c r="M98" s="19" t="n">
        <v>0.09188627879078393</v>
      </c>
      <c r="N98" s="20" t="n">
        <v>0</v>
      </c>
      <c r="O98" s="27" t="n">
        <v>0.839</v>
      </c>
      <c r="P98" s="17" t="inlineStr">
        <is>
          <t>Draft 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ASU @ KU</t>
        </is>
      </c>
      <c r="C99" s="12" t="inlineStr">
        <is>
          <t>2026-09-19 16:00</t>
        </is>
      </c>
      <c r="D99" s="22" t="n">
        <v>3</v>
      </c>
      <c r="E99" s="12" t="inlineStr">
        <is>
          <t>ATS</t>
        </is>
      </c>
      <c r="F99" s="12" t="inlineStr">
        <is>
          <t>KU +5.5</t>
        </is>
      </c>
      <c r="G99" s="23" t="n">
        <v>5.5</v>
      </c>
      <c r="H99" s="13" t="n">
        <v>-115</v>
      </c>
      <c r="I99" s="15" t="n">
        <v>0.5799110759069217</v>
      </c>
      <c r="J99" s="15" t="n">
        <v>0.5108342361863488</v>
      </c>
      <c r="K99" s="15" t="n">
        <v>0.5348837209302325</v>
      </c>
      <c r="L99" s="14" t="n">
        <v>0.08457919911805903</v>
      </c>
      <c r="M99" s="14" t="n">
        <v>0.08418157669554915</v>
      </c>
      <c r="N99" s="15" t="n">
        <v>0</v>
      </c>
      <c r="O99" s="24" t="n">
        <v>0.839</v>
      </c>
      <c r="P99" s="12" t="inlineStr">
        <is>
          <t>Draft 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WVU @ UVA</t>
        </is>
      </c>
      <c r="C100" s="17" t="inlineStr">
        <is>
          <t>2026-09-19 23:30</t>
        </is>
      </c>
      <c r="D100" s="25" t="n">
        <v>3</v>
      </c>
      <c r="E100" s="17" t="inlineStr">
        <is>
          <t>TOTAL</t>
        </is>
      </c>
      <c r="F100" s="17" t="inlineStr">
        <is>
          <t>Under 53.5</t>
        </is>
      </c>
      <c r="G100" s="26" t="n">
        <v>53.5</v>
      </c>
      <c r="H100" s="18" t="n">
        <v>-108</v>
      </c>
      <c r="I100" s="20" t="n">
        <v>0.5625110917058415</v>
      </c>
      <c r="J100" s="20" t="n">
        <v>0.4956702459300312</v>
      </c>
      <c r="K100" s="20" t="n">
        <v>0.5192307692307693</v>
      </c>
      <c r="L100" s="19" t="n">
        <v>0.08450134139163748</v>
      </c>
      <c r="M100" s="19" t="n">
        <v>0.08335469513717619</v>
      </c>
      <c r="N100" s="20" t="n">
        <v>0</v>
      </c>
      <c r="O100" s="27" t="n">
        <v>0.839</v>
      </c>
      <c r="P100" s="17" t="inlineStr">
        <is>
          <t>Draft 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UAB @ UL</t>
        </is>
      </c>
      <c r="C101" s="12" t="inlineStr">
        <is>
          <t>2026-09-20 00:00</t>
        </is>
      </c>
      <c r="D101" s="22" t="n">
        <v>3</v>
      </c>
      <c r="E101" s="12" t="inlineStr">
        <is>
          <t>TOTAL</t>
        </is>
      </c>
      <c r="F101" s="12" t="inlineStr">
        <is>
          <t>Under 56.5</t>
        </is>
      </c>
      <c r="G101" s="23" t="n">
        <v>56.5</v>
      </c>
      <c r="H101" s="13" t="n">
        <v>-108</v>
      </c>
      <c r="I101" s="15" t="n">
        <v>0.5606183235247334</v>
      </c>
      <c r="J101" s="15" t="n">
        <v>0.4956702459300312</v>
      </c>
      <c r="K101" s="15" t="n">
        <v>0.5192307692307693</v>
      </c>
      <c r="L101" s="14" t="n">
        <v>0.08367486886758746</v>
      </c>
      <c r="M101" s="14" t="n">
        <v>0.07970936382541249</v>
      </c>
      <c r="N101" s="15" t="n">
        <v>0</v>
      </c>
      <c r="O101" s="24" t="n">
        <v>0.839</v>
      </c>
      <c r="P101" s="12" t="inlineStr">
        <is>
          <t>Draft 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EMU @ WIS</t>
        </is>
      </c>
      <c r="C102" s="17" t="inlineStr">
        <is>
          <t>2026-09-19 16:30</t>
        </is>
      </c>
      <c r="D102" s="25" t="n">
        <v>3</v>
      </c>
      <c r="E102" s="17" t="inlineStr">
        <is>
          <t>TOTAL</t>
        </is>
      </c>
      <c r="F102" s="17" t="inlineStr">
        <is>
          <t>Over 45.5</t>
        </is>
      </c>
      <c r="G102" s="26" t="n">
        <v>45.5</v>
      </c>
      <c r="H102" s="18" t="n">
        <v>-112</v>
      </c>
      <c r="I102" s="20" t="n">
        <v>0.568727561258213</v>
      </c>
      <c r="J102" s="20" t="n">
        <v>0.5043297540699688</v>
      </c>
      <c r="K102" s="20" t="n">
        <v>0.5283018867924528</v>
      </c>
      <c r="L102" s="19" t="n">
        <v>0.08290217412435039</v>
      </c>
      <c r="M102" s="19" t="n">
        <v>0.07652002666733182</v>
      </c>
      <c r="N102" s="20" t="n">
        <v>0</v>
      </c>
      <c r="O102" s="27" t="n">
        <v>0.839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UNM @ OU</t>
        </is>
      </c>
      <c r="C103" s="12" t="inlineStr">
        <is>
          <t>2026-09-19 23:30</t>
        </is>
      </c>
      <c r="D103" s="22" t="n">
        <v>3</v>
      </c>
      <c r="E103" s="12" t="inlineStr">
        <is>
          <t>TOTAL</t>
        </is>
      </c>
      <c r="F103" s="12" t="inlineStr">
        <is>
          <t>Over 46.5</t>
        </is>
      </c>
      <c r="G103" s="23" t="n">
        <v>46.5</v>
      </c>
      <c r="H103" s="13" t="n">
        <v>-115</v>
      </c>
      <c r="I103" s="15" t="n">
        <v>0.5757334679148104</v>
      </c>
      <c r="J103" s="15" t="n">
        <v>0.5108342361863488</v>
      </c>
      <c r="K103" s="15" t="n">
        <v>0.5348837209302325</v>
      </c>
      <c r="L103" s="14" t="n">
        <v>0.08274761209707551</v>
      </c>
      <c r="M103" s="14" t="n">
        <v>0.07637126610160205</v>
      </c>
      <c r="N103" s="15" t="n">
        <v>0</v>
      </c>
      <c r="O103" s="24" t="n">
        <v>0.839</v>
      </c>
      <c r="P103" s="12" t="inlineStr">
        <is>
          <t>Draft 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UAB @ UL</t>
        </is>
      </c>
      <c r="C104" s="17" t="inlineStr">
        <is>
          <t>2026-09-20 00:00</t>
        </is>
      </c>
      <c r="D104" s="25" t="n">
        <v>3</v>
      </c>
      <c r="E104" s="17" t="inlineStr">
        <is>
          <t>ML</t>
        </is>
      </c>
      <c r="F104" s="17" t="inlineStr">
        <is>
          <t>UAB ML</t>
        </is>
      </c>
      <c r="G104" s="26" t="n"/>
      <c r="H104" s="18" t="n">
        <v>250</v>
      </c>
      <c r="I104" s="20" t="n">
        <v>0.3059736485675911</v>
      </c>
      <c r="J104" s="20" t="n">
        <v>0.274247491638796</v>
      </c>
      <c r="K104" s="20" t="n">
        <v>0.2857142857142857</v>
      </c>
      <c r="L104" s="19" t="n">
        <v>0.07970342793993671</v>
      </c>
      <c r="M104" s="19" t="n">
        <v>0.070907769986569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FIU @ FAU</t>
        </is>
      </c>
      <c r="C105" s="12" t="inlineStr">
        <is>
          <t>2026-09-19 22:00</t>
        </is>
      </c>
      <c r="D105" s="22" t="n">
        <v>3</v>
      </c>
      <c r="E105" s="12" t="inlineStr">
        <is>
          <t>ML</t>
        </is>
      </c>
      <c r="F105" s="12" t="inlineStr">
        <is>
          <t>FIU ML</t>
        </is>
      </c>
      <c r="G105" s="23" t="n"/>
      <c r="H105" s="13" t="n">
        <v>205</v>
      </c>
      <c r="I105" s="15" t="n">
        <v>0.3508605516708063</v>
      </c>
      <c r="J105" s="15" t="n">
        <v>0.3146067415730336</v>
      </c>
      <c r="K105" s="15" t="n">
        <v>0.3278688524590164</v>
      </c>
      <c r="L105" s="14" t="n">
        <v>0.07956992486452395</v>
      </c>
      <c r="M105" s="14" t="n">
        <v>0.07012468259595916</v>
      </c>
      <c r="N105" s="15" t="n">
        <v>0</v>
      </c>
      <c r="O105" s="24" t="n">
        <v>0.839</v>
      </c>
      <c r="P105" s="12" t="inlineStr">
        <is>
          <t>Draft 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UK @ TA&amp;M</t>
        </is>
      </c>
      <c r="C106" s="17" t="inlineStr">
        <is>
          <t>2026-09-19 19:30</t>
        </is>
      </c>
      <c r="D106" s="25" t="n">
        <v>3</v>
      </c>
      <c r="E106" s="17" t="inlineStr">
        <is>
          <t>TOTAL</t>
        </is>
      </c>
      <c r="F106" s="17" t="inlineStr">
        <is>
          <t>Over 49.5</t>
        </is>
      </c>
      <c r="G106" s="26" t="n">
        <v>49.5</v>
      </c>
      <c r="H106" s="18" t="n">
        <v>-110</v>
      </c>
      <c r="I106" s="20" t="n">
        <v>0.5570690890896691</v>
      </c>
      <c r="J106" s="20" t="n">
        <v>0.5</v>
      </c>
      <c r="K106" s="20" t="n">
        <v>0.5238095238095238</v>
      </c>
      <c r="L106" s="19" t="n">
        <v>0.07923928370038286</v>
      </c>
      <c r="M106" s="19" t="n">
        <v>0.06349553371664118</v>
      </c>
      <c r="N106" s="20" t="n">
        <v>0</v>
      </c>
      <c r="O106" s="27" t="n">
        <v>0.839</v>
      </c>
      <c r="P106" s="17" t="inlineStr">
        <is>
          <t>Draft 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SMU @ LOU</t>
        </is>
      </c>
      <c r="C107" s="12" t="inlineStr">
        <is>
          <t>2026-09-19 19:30</t>
        </is>
      </c>
      <c r="D107" s="22" t="n">
        <v>3</v>
      </c>
      <c r="E107" s="12" t="inlineStr">
        <is>
          <t>ML</t>
        </is>
      </c>
      <c r="F107" s="12" t="inlineStr">
        <is>
          <t>LOU ML</t>
        </is>
      </c>
      <c r="G107" s="23" t="n"/>
      <c r="H107" s="13" t="n">
        <v>-115</v>
      </c>
      <c r="I107" s="15" t="n">
        <v>0.5669673572258898</v>
      </c>
      <c r="J107" s="15" t="n">
        <v>0.5108342361863488</v>
      </c>
      <c r="K107" s="15" t="n">
        <v>0.5348837209302325</v>
      </c>
      <c r="L107" s="14" t="n">
        <v>0.07789591719715193</v>
      </c>
      <c r="M107" s="14" t="n">
        <v>0.05998245046579376</v>
      </c>
      <c r="N107" s="15" t="n">
        <v>0</v>
      </c>
      <c r="O107" s="24" t="n">
        <v>0.839</v>
      </c>
      <c r="P107" s="12" t="inlineStr">
        <is>
          <t>Draft 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MIA @ WAKE</t>
        </is>
      </c>
      <c r="C108" s="17" t="inlineStr">
        <is>
          <t>2026-09-18 23:30</t>
        </is>
      </c>
      <c r="D108" s="25" t="n">
        <v>3</v>
      </c>
      <c r="E108" s="17" t="inlineStr">
        <is>
          <t>TOTAL</t>
        </is>
      </c>
      <c r="F108" s="17" t="inlineStr">
        <is>
          <t>Under 55.5</t>
        </is>
      </c>
      <c r="G108" s="26" t="n">
        <v>55.5</v>
      </c>
      <c r="H108" s="18" t="n">
        <v>-110</v>
      </c>
      <c r="I108" s="20" t="n">
        <v>0.5532315828247676</v>
      </c>
      <c r="J108" s="20" t="n">
        <v>0.5</v>
      </c>
      <c r="K108" s="20" t="n">
        <v>0.5238095238095238</v>
      </c>
      <c r="L108" s="19" t="n">
        <v>0.07674100634293532</v>
      </c>
      <c r="M108" s="19" t="n">
        <v>0.05616938539273808</v>
      </c>
      <c r="N108" s="20" t="n">
        <v>0</v>
      </c>
      <c r="O108" s="27" t="n">
        <v>0.839</v>
      </c>
      <c r="P108" s="17" t="inlineStr">
        <is>
          <t>Draft 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FIU @ FAU</t>
        </is>
      </c>
      <c r="C109" s="12" t="inlineStr">
        <is>
          <t>2026-09-19 22:00</t>
        </is>
      </c>
      <c r="D109" s="22" t="n">
        <v>3</v>
      </c>
      <c r="E109" s="12" t="inlineStr">
        <is>
          <t>ATS</t>
        </is>
      </c>
      <c r="F109" s="12" t="inlineStr">
        <is>
          <t>FIU +7</t>
        </is>
      </c>
      <c r="G109" s="23" t="n">
        <v>-7</v>
      </c>
      <c r="H109" s="13" t="n">
        <v>-118</v>
      </c>
      <c r="I109" s="15" t="n">
        <v>0.5718590602560836</v>
      </c>
      <c r="J109" s="15" t="n">
        <v>0.5173641257162701</v>
      </c>
      <c r="K109" s="15" t="n">
        <v>0.5412844036697247</v>
      </c>
      <c r="L109" s="14" t="n">
        <v>0.07634413092525391</v>
      </c>
      <c r="M109" s="14" t="n">
        <v>0.05369500461115586</v>
      </c>
      <c r="N109" s="15" t="n">
        <v>0.0494</v>
      </c>
      <c r="O109" s="24" t="n">
        <v>0.839</v>
      </c>
      <c r="P109" s="12" t="inlineStr">
        <is>
          <t>Draft 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WYO @ CMU</t>
        </is>
      </c>
      <c r="C110" s="17" t="inlineStr">
        <is>
          <t>2026-09-19 17:00</t>
        </is>
      </c>
      <c r="D110" s="25" t="n">
        <v>3</v>
      </c>
      <c r="E110" s="17" t="inlineStr">
        <is>
          <t>ML</t>
        </is>
      </c>
      <c r="F110" s="17" t="inlineStr">
        <is>
          <t>CMU ML</t>
        </is>
      </c>
      <c r="G110" s="26" t="n"/>
      <c r="H110" s="18" t="n">
        <v>-120</v>
      </c>
      <c r="I110" s="20" t="n">
        <v>0.5759849761160167</v>
      </c>
      <c r="J110" s="20" t="n">
        <v>0.5217391304347826</v>
      </c>
      <c r="K110" s="20" t="n">
        <v>0.5454545454545454</v>
      </c>
      <c r="L110" s="19" t="n">
        <v>0.07585661476708026</v>
      </c>
      <c r="M110" s="19" t="n">
        <v>0.05597245621269753</v>
      </c>
      <c r="N110" s="20" t="n">
        <v>0</v>
      </c>
      <c r="O110" s="27" t="n">
        <v>0.839</v>
      </c>
      <c r="P110" s="17" t="inlineStr">
        <is>
          <t>Draft 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JMU @ SDSU</t>
        </is>
      </c>
      <c r="C111" s="12" t="inlineStr">
        <is>
          <t>2026-09-20 02:00</t>
        </is>
      </c>
      <c r="D111" s="22" t="n">
        <v>3</v>
      </c>
      <c r="E111" s="12" t="inlineStr">
        <is>
          <t>ML</t>
        </is>
      </c>
      <c r="F111" s="12" t="inlineStr">
        <is>
          <t>SDSU ML</t>
        </is>
      </c>
      <c r="G111" s="23" t="n"/>
      <c r="H111" s="13" t="n">
        <v>-130</v>
      </c>
      <c r="I111" s="15" t="n">
        <v>0.5962475947747694</v>
      </c>
      <c r="J111" s="15" t="n">
        <v>0.5427435387673957</v>
      </c>
      <c r="K111" s="15" t="n">
        <v>0.5652173913043478</v>
      </c>
      <c r="L111" s="14" t="n">
        <v>0.07381262445157261</v>
      </c>
      <c r="M111" s="14" t="n">
        <v>0.05489959075536133</v>
      </c>
      <c r="N111" s="15" t="n">
        <v>0</v>
      </c>
      <c r="O111" s="24" t="n">
        <v>0.839</v>
      </c>
      <c r="P111" s="12" t="inlineStr">
        <is>
          <t>Draft 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UAB @ UL</t>
        </is>
      </c>
      <c r="C112" s="17" t="inlineStr">
        <is>
          <t>2026-09-20 00:00</t>
        </is>
      </c>
      <c r="D112" s="25" t="n">
        <v>3</v>
      </c>
      <c r="E112" s="17" t="inlineStr">
        <is>
          <t>ATS</t>
        </is>
      </c>
      <c r="F112" s="17" t="inlineStr">
        <is>
          <t>UAB +7.5</t>
        </is>
      </c>
      <c r="G112" s="26" t="n">
        <v>-7.5</v>
      </c>
      <c r="H112" s="18" t="n">
        <v>-110</v>
      </c>
      <c r="I112" s="20" t="n">
        <v>0.5472095939894825</v>
      </c>
      <c r="J112" s="20" t="n">
        <v>0.5</v>
      </c>
      <c r="K112" s="20" t="n">
        <v>0.5238095238095238</v>
      </c>
      <c r="L112" s="19" t="n">
        <v>0.07210638064482937</v>
      </c>
      <c r="M112" s="19" t="n">
        <v>0.04467286125264858</v>
      </c>
      <c r="N112" s="20" t="n">
        <v>0</v>
      </c>
      <c r="O112" s="27" t="n">
        <v>0.839</v>
      </c>
      <c r="P112" s="17" t="inlineStr">
        <is>
          <t>Draft Kings</t>
        </is>
      </c>
      <c r="Q112" s="17" t="n"/>
    </row>
    <row r="113">
      <c r="A113" s="12" t="inlineStr">
        <is>
          <t>PASS</t>
        </is>
      </c>
      <c r="B113" s="12" t="inlineStr">
        <is>
          <t>SMU @ LOU</t>
        </is>
      </c>
      <c r="C113" s="12" t="inlineStr">
        <is>
          <t>2026-09-19 19:30</t>
        </is>
      </c>
      <c r="D113" s="22" t="n">
        <v>3</v>
      </c>
      <c r="E113" s="12" t="inlineStr">
        <is>
          <t>ATS</t>
        </is>
      </c>
      <c r="F113" s="12" t="inlineStr">
        <is>
          <t>LOU -1.5</t>
        </is>
      </c>
      <c r="G113" s="23" t="n">
        <v>-1.5</v>
      </c>
      <c r="H113" s="13" t="n">
        <v>-108</v>
      </c>
      <c r="I113" s="15" t="n">
        <v>0.541493713325953</v>
      </c>
      <c r="J113" s="15" t="n">
        <v>0.4956702459300312</v>
      </c>
      <c r="K113" s="15" t="n">
        <v>0.5192307692307693</v>
      </c>
      <c r="L113" s="14" t="n">
        <v>0.07125732823047302</v>
      </c>
      <c r="M113" s="14" t="n">
        <v>0.04287678122035388</v>
      </c>
      <c r="N113" s="15" t="n">
        <v>0</v>
      </c>
      <c r="O113" s="24" t="n">
        <v>0.839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AKR @ MINN</t>
        </is>
      </c>
      <c r="C114" s="17" t="inlineStr">
        <is>
          <t>2026-09-19 16:00</t>
        </is>
      </c>
      <c r="D114" s="25" t="n">
        <v>3</v>
      </c>
      <c r="E114" s="17" t="inlineStr">
        <is>
          <t>TOTAL</t>
        </is>
      </c>
      <c r="F114" s="17" t="inlineStr">
        <is>
          <t>Over 49.5</t>
        </is>
      </c>
      <c r="G114" s="26" t="n">
        <v>49.5</v>
      </c>
      <c r="H114" s="18" t="n">
        <v>-105</v>
      </c>
      <c r="I114" s="20" t="n">
        <v>0.5342290726844449</v>
      </c>
      <c r="J114" s="20" t="n">
        <v>0.4891657638136511</v>
      </c>
      <c r="K114" s="20" t="n">
        <v>0.5121951219512195</v>
      </c>
      <c r="L114" s="19" t="n">
        <v>0.07111494203374541</v>
      </c>
      <c r="M114" s="19" t="n">
        <v>0.04301866571724955</v>
      </c>
      <c r="N114" s="20" t="n">
        <v>0</v>
      </c>
      <c r="O114" s="27" t="n">
        <v>0.839</v>
      </c>
      <c r="P114" s="17" t="inlineStr">
        <is>
          <t>Draft Kings</t>
        </is>
      </c>
      <c r="Q114" s="17" t="n"/>
    </row>
    <row r="115">
      <c r="A115" s="12" t="inlineStr">
        <is>
          <t>PASS</t>
        </is>
      </c>
      <c r="B115" s="12" t="inlineStr">
        <is>
          <t>ECU @ ODU</t>
        </is>
      </c>
      <c r="C115" s="12" t="inlineStr">
        <is>
          <t>2026-09-19 22:00</t>
        </is>
      </c>
      <c r="D115" s="22" t="n">
        <v>3</v>
      </c>
      <c r="E115" s="12" t="inlineStr">
        <is>
          <t>ATS</t>
        </is>
      </c>
      <c r="F115" s="12" t="inlineStr">
        <is>
          <t>ODU -3</t>
        </is>
      </c>
      <c r="G115" s="23" t="n">
        <v>-3</v>
      </c>
      <c r="H115" s="13" t="n">
        <v>-108</v>
      </c>
      <c r="I115" s="15" t="n">
        <v>0.5412771879339008</v>
      </c>
      <c r="J115" s="15" t="n">
        <v>0.4956702459300312</v>
      </c>
      <c r="K115" s="15" t="n">
        <v>0.5192307692307693</v>
      </c>
      <c r="L115" s="14" t="n">
        <v>0.07106560418871048</v>
      </c>
      <c r="M115" s="14" t="n">
        <v>0.03992067514679936</v>
      </c>
      <c r="N115" s="15" t="n">
        <v>0.0598</v>
      </c>
      <c r="O115" s="24" t="n">
        <v>0.839</v>
      </c>
      <c r="P115" s="12" t="inlineStr">
        <is>
          <t>Draft Kings</t>
        </is>
      </c>
      <c r="Q115" s="12" t="n"/>
    </row>
    <row r="116">
      <c r="A116" s="17" t="inlineStr">
        <is>
          <t>PASS</t>
        </is>
      </c>
      <c r="B116" s="17" t="inlineStr">
        <is>
          <t>WYO @ CMU</t>
        </is>
      </c>
      <c r="C116" s="17" t="inlineStr">
        <is>
          <t>2026-09-19 17:00</t>
        </is>
      </c>
      <c r="D116" s="25" t="n">
        <v>3</v>
      </c>
      <c r="E116" s="17" t="inlineStr">
        <is>
          <t>ATS</t>
        </is>
      </c>
      <c r="F116" s="17" t="inlineStr">
        <is>
          <t>CMU -1.5</t>
        </is>
      </c>
      <c r="G116" s="26" t="n">
        <v>-1.5</v>
      </c>
      <c r="H116" s="18" t="n">
        <v>-112</v>
      </c>
      <c r="I116" s="20" t="n">
        <v>0.5494763879953697</v>
      </c>
      <c r="J116" s="20" t="n">
        <v>0.5043297540699688</v>
      </c>
      <c r="K116" s="20" t="n">
        <v>0.5283018867924528</v>
      </c>
      <c r="L116" s="19" t="n">
        <v>0.06994614391061148</v>
      </c>
      <c r="M116" s="19" t="n">
        <v>0.04008030584837829</v>
      </c>
      <c r="N116" s="20" t="n">
        <v>0</v>
      </c>
      <c r="O116" s="27" t="n">
        <v>0.839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ECU @ ODU</t>
        </is>
      </c>
      <c r="C117" s="12" t="inlineStr">
        <is>
          <t>2026-09-19 22:00</t>
        </is>
      </c>
      <c r="D117" s="22" t="n">
        <v>3</v>
      </c>
      <c r="E117" s="12" t="inlineStr">
        <is>
          <t>ML</t>
        </is>
      </c>
      <c r="F117" s="12" t="inlineStr">
        <is>
          <t>ODU ML</t>
        </is>
      </c>
      <c r="G117" s="23" t="n"/>
      <c r="H117" s="13" t="n">
        <v>-148</v>
      </c>
      <c r="I117" s="15" t="n">
        <v>0.6220606248236609</v>
      </c>
      <c r="J117" s="15" t="n">
        <v>0.5720596355604638</v>
      </c>
      <c r="K117" s="15" t="n">
        <v>0.5967741935483871</v>
      </c>
      <c r="L117" s="14" t="n">
        <v>0.06896271628100531</v>
      </c>
      <c r="M117" s="14" t="n">
        <v>0.04237185781262087</v>
      </c>
      <c r="N117" s="15" t="n">
        <v>0</v>
      </c>
      <c r="O117" s="24" t="n">
        <v>0.839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COLO @ NU</t>
        </is>
      </c>
      <c r="C118" s="17" t="inlineStr">
        <is>
          <t>2026-09-19 23:30</t>
        </is>
      </c>
      <c r="D118" s="25" t="n">
        <v>3</v>
      </c>
      <c r="E118" s="17" t="inlineStr">
        <is>
          <t>TOTAL</t>
        </is>
      </c>
      <c r="F118" s="17" t="inlineStr">
        <is>
          <t>Over 48.5</t>
        </is>
      </c>
      <c r="G118" s="26" t="n">
        <v>48.5</v>
      </c>
      <c r="H118" s="18" t="n">
        <v>-115</v>
      </c>
      <c r="I118" s="20" t="n">
        <v>0.554790475724132</v>
      </c>
      <c r="J118" s="20" t="n">
        <v>0.5108342361863488</v>
      </c>
      <c r="K118" s="20" t="n">
        <v>0.5348837209302325</v>
      </c>
      <c r="L118" s="19" t="n">
        <v>0.06831400400388417</v>
      </c>
      <c r="M118" s="19" t="n">
        <v>0.03721697635381194</v>
      </c>
      <c r="N118" s="20" t="n">
        <v>0</v>
      </c>
      <c r="O118" s="27" t="n">
        <v>0.725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CONN @ USM</t>
        </is>
      </c>
      <c r="C119" s="12" t="inlineStr">
        <is>
          <t>2026-09-19 23:00</t>
        </is>
      </c>
      <c r="D119" s="22" t="n">
        <v>3</v>
      </c>
      <c r="E119" s="12" t="inlineStr">
        <is>
          <t>TOTAL</t>
        </is>
      </c>
      <c r="F119" s="12" t="inlineStr">
        <is>
          <t>Under 54.5</t>
        </is>
      </c>
      <c r="G119" s="23" t="n">
        <v>54.5</v>
      </c>
      <c r="H119" s="13" t="n">
        <v>-108</v>
      </c>
      <c r="I119" s="15" t="n">
        <v>0.5374812731816272</v>
      </c>
      <c r="J119" s="15" t="n">
        <v>0.4956702459300312</v>
      </c>
      <c r="K119" s="15" t="n">
        <v>0.5192307692307693</v>
      </c>
      <c r="L119" s="14" t="n">
        <v>0.06748471401583311</v>
      </c>
      <c r="M119" s="14" t="n">
        <v>0.0351491187201709</v>
      </c>
      <c r="N119" s="15" t="n">
        <v>0</v>
      </c>
      <c r="O119" s="24" t="n">
        <v>0.839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FLA @ AUB</t>
        </is>
      </c>
      <c r="C120" s="17" t="inlineStr">
        <is>
          <t>2026-09-19 23:00</t>
        </is>
      </c>
      <c r="D120" s="25" t="n">
        <v>3</v>
      </c>
      <c r="E120" s="17" t="inlineStr">
        <is>
          <t>TOTAL</t>
        </is>
      </c>
      <c r="F120" s="17" t="inlineStr">
        <is>
          <t>Under 53.5</t>
        </is>
      </c>
      <c r="G120" s="26" t="n">
        <v>53.5</v>
      </c>
      <c r="H120" s="18" t="n">
        <v>-108</v>
      </c>
      <c r="I120" s="20" t="n">
        <v>0.5374812644972277</v>
      </c>
      <c r="J120" s="20" t="n">
        <v>0.4956702459300312</v>
      </c>
      <c r="K120" s="20" t="n">
        <v>0.5192307692307693</v>
      </c>
      <c r="L120" s="19" t="n">
        <v>0.06748470533650047</v>
      </c>
      <c r="M120" s="19" t="n">
        <v>0.03514910199466081</v>
      </c>
      <c r="N120" s="20" t="n">
        <v>0</v>
      </c>
      <c r="O120" s="27" t="n">
        <v>0.839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JMU @ SDSU</t>
        </is>
      </c>
      <c r="C121" s="12" t="inlineStr">
        <is>
          <t>2026-09-20 02:00</t>
        </is>
      </c>
      <c r="D121" s="22" t="n">
        <v>3</v>
      </c>
      <c r="E121" s="12" t="inlineStr">
        <is>
          <t>ATS</t>
        </is>
      </c>
      <c r="F121" s="12" t="inlineStr">
        <is>
          <t>SDSU -2.5</t>
        </is>
      </c>
      <c r="G121" s="23" t="n">
        <v>-2.5</v>
      </c>
      <c r="H121" s="13" t="n">
        <v>-112</v>
      </c>
      <c r="I121" s="15" t="n">
        <v>0.5462264199872242</v>
      </c>
      <c r="J121" s="15" t="n">
        <v>0.5043297540699688</v>
      </c>
      <c r="K121" s="15" t="n">
        <v>0.5283018867924528</v>
      </c>
      <c r="L121" s="14" t="n">
        <v>0.06684526818819336</v>
      </c>
      <c r="M121" s="14" t="n">
        <v>0.03392858069010285</v>
      </c>
      <c r="N121" s="15" t="n">
        <v>0</v>
      </c>
      <c r="O121" s="24" t="n">
        <v>0.839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HOU @ TTU</t>
        </is>
      </c>
      <c r="C122" s="17" t="inlineStr">
        <is>
          <t>2026-09-19 00:00</t>
        </is>
      </c>
      <c r="D122" s="25" t="n">
        <v>3</v>
      </c>
      <c r="E122" s="17" t="inlineStr">
        <is>
          <t>ATS</t>
        </is>
      </c>
      <c r="F122" s="17" t="inlineStr">
        <is>
          <t>HOU +7.5</t>
        </is>
      </c>
      <c r="G122" s="26" t="n">
        <v>-7.5</v>
      </c>
      <c r="H122" s="18" t="n">
        <v>-108</v>
      </c>
      <c r="I122" s="20" t="n">
        <v>0.5366533409410109</v>
      </c>
      <c r="J122" s="20" t="n">
        <v>0.4956702459300312</v>
      </c>
      <c r="K122" s="20" t="n">
        <v>0.5192307692307693</v>
      </c>
      <c r="L122" s="19" t="n">
        <v>0.06664688686685612</v>
      </c>
      <c r="M122" s="19" t="n">
        <v>0.0335545825530581</v>
      </c>
      <c r="N122" s="20" t="n">
        <v>0</v>
      </c>
      <c r="O122" s="27" t="n">
        <v>0.839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FSU @ ALA</t>
        </is>
      </c>
      <c r="C123" s="12" t="inlineStr">
        <is>
          <t>2026-09-19 19:30</t>
        </is>
      </c>
      <c r="D123" s="22" t="n">
        <v>3</v>
      </c>
      <c r="E123" s="12" t="inlineStr">
        <is>
          <t>TOTAL</t>
        </is>
      </c>
      <c r="F123" s="12" t="inlineStr">
        <is>
          <t>Over 49.5</t>
        </is>
      </c>
      <c r="G123" s="23" t="n">
        <v>49.5</v>
      </c>
      <c r="H123" s="13" t="n">
        <v>-112</v>
      </c>
      <c r="I123" s="15" t="n">
        <v>0.5437650738099299</v>
      </c>
      <c r="J123" s="15" t="n">
        <v>0.5043297540699688</v>
      </c>
      <c r="K123" s="15" t="n">
        <v>0.5283018867924528</v>
      </c>
      <c r="L123" s="14" t="n">
        <v>0.06429106344870614</v>
      </c>
      <c r="M123" s="14" t="n">
        <v>0.02926960399736722</v>
      </c>
      <c r="N123" s="15" t="n">
        <v>0</v>
      </c>
      <c r="O123" s="24" t="n">
        <v>0.839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ECU @ ODU</t>
        </is>
      </c>
      <c r="C124" s="17" t="inlineStr">
        <is>
          <t>2026-09-19 22:00</t>
        </is>
      </c>
      <c r="D124" s="25" t="n">
        <v>3</v>
      </c>
      <c r="E124" s="17" t="inlineStr">
        <is>
          <t>TOTAL</t>
        </is>
      </c>
      <c r="F124" s="17" t="inlineStr">
        <is>
          <t>Over 49.5</t>
        </is>
      </c>
      <c r="G124" s="26" t="n">
        <v>49.5</v>
      </c>
      <c r="H124" s="18" t="n">
        <v>-110</v>
      </c>
      <c r="I124" s="20" t="n">
        <v>0.5376882696790126</v>
      </c>
      <c r="J124" s="20" t="n">
        <v>0.5</v>
      </c>
      <c r="K124" s="20" t="n">
        <v>0.5238095238095238</v>
      </c>
      <c r="L124" s="19" t="n">
        <v>0.0627334237387708</v>
      </c>
      <c r="M124" s="19" t="n">
        <v>0.02649578756902415</v>
      </c>
      <c r="N124" s="20" t="n">
        <v>0</v>
      </c>
      <c r="O124" s="27" t="n">
        <v>0.839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M-OH @ CIN</t>
        </is>
      </c>
      <c r="C125" s="12" t="inlineStr">
        <is>
          <t>2026-09-19 19:30</t>
        </is>
      </c>
      <c r="D125" s="22" t="n">
        <v>3</v>
      </c>
      <c r="E125" s="12" t="inlineStr">
        <is>
          <t>TOTAL</t>
        </is>
      </c>
      <c r="F125" s="12" t="inlineStr">
        <is>
          <t>Over 50.5</t>
        </is>
      </c>
      <c r="G125" s="23" t="n">
        <v>50.5</v>
      </c>
      <c r="H125" s="13" t="n">
        <v>-118</v>
      </c>
      <c r="I125" s="15" t="n">
        <v>0.5502822482107446</v>
      </c>
      <c r="J125" s="15" t="n">
        <v>0.5173641257162701</v>
      </c>
      <c r="K125" s="15" t="n">
        <v>0.5412844036697247</v>
      </c>
      <c r="L125" s="14" t="n">
        <v>0.05555769698473964</v>
      </c>
      <c r="M125" s="14" t="n">
        <v>0.01662313652493475</v>
      </c>
      <c r="N125" s="15" t="n">
        <v>0</v>
      </c>
      <c r="O125" s="24" t="n">
        <v>0.839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CLT @ APP</t>
        </is>
      </c>
      <c r="C126" s="17" t="inlineStr">
        <is>
          <t>2026-09-19 22:00</t>
        </is>
      </c>
      <c r="D126" s="25" t="n">
        <v>3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-105</v>
      </c>
      <c r="I126" s="20" t="n">
        <v>0.5184720195948997</v>
      </c>
      <c r="J126" s="20" t="n">
        <v>0.4891657638136511</v>
      </c>
      <c r="K126" s="20" t="n">
        <v>0.5121951219512195</v>
      </c>
      <c r="L126" s="19" t="n">
        <v>0.05305673162940578</v>
      </c>
      <c r="M126" s="19" t="n">
        <v>0.01225489539956603</v>
      </c>
      <c r="N126" s="20" t="n">
        <v>0</v>
      </c>
      <c r="O126" s="27" t="n">
        <v>0.839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GASO @ JVST</t>
        </is>
      </c>
      <c r="C127" s="12" t="inlineStr">
        <is>
          <t>2026-09-19 23:00</t>
        </is>
      </c>
      <c r="D127" s="22" t="n">
        <v>3</v>
      </c>
      <c r="E127" s="12" t="inlineStr">
        <is>
          <t>ATS</t>
        </is>
      </c>
      <c r="F127" s="12" t="inlineStr">
        <is>
          <t>JVST -3</t>
        </is>
      </c>
      <c r="G127" s="23" t="n">
        <v>-3</v>
      </c>
      <c r="H127" s="13" t="n">
        <v>-115</v>
      </c>
      <c r="I127" s="15" t="n">
        <v>0.5409038393189131</v>
      </c>
      <c r="J127" s="15" t="n">
        <v>0.5108342361863488</v>
      </c>
      <c r="K127" s="15" t="n">
        <v>0.5348837209302325</v>
      </c>
      <c r="L127" s="14" t="n">
        <v>0.05233189673175039</v>
      </c>
      <c r="M127" s="14" t="n">
        <v>0.01057632720622837</v>
      </c>
      <c r="N127" s="15" t="n">
        <v>0.0603</v>
      </c>
      <c r="O127" s="24" t="n">
        <v>0.839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NDSU @ SAC</t>
        </is>
      </c>
      <c r="C128" s="17" t="inlineStr">
        <is>
          <t>2026-09-20 02:30</t>
        </is>
      </c>
      <c r="D128" s="25" t="n">
        <v>3</v>
      </c>
      <c r="E128" s="17" t="inlineStr">
        <is>
          <t>TOTAL</t>
        </is>
      </c>
      <c r="F128" s="17" t="inlineStr">
        <is>
          <t>Under 52.5</t>
        </is>
      </c>
      <c r="G128" s="26" t="n">
        <v>52.5</v>
      </c>
      <c r="H128" s="18" t="n">
        <v>-118</v>
      </c>
      <c r="I128" s="20" t="n">
        <v>0.5463702688202144</v>
      </c>
      <c r="J128" s="20" t="n">
        <v>0.5173641257162701</v>
      </c>
      <c r="K128" s="20" t="n">
        <v>0.5412844036697247</v>
      </c>
      <c r="L128" s="19" t="n">
        <v>0.05035104148096504</v>
      </c>
      <c r="M128" s="19" t="n">
        <v>0.009395920362768928</v>
      </c>
      <c r="N128" s="20" t="n">
        <v>0</v>
      </c>
      <c r="O128" s="27" t="n">
        <v>0.926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UTEP @ MICH</t>
        </is>
      </c>
      <c r="C129" s="12" t="inlineStr">
        <is>
          <t>2026-09-19 19:30</t>
        </is>
      </c>
      <c r="D129" s="22" t="n">
        <v>3</v>
      </c>
      <c r="E129" s="12" t="inlineStr">
        <is>
          <t>TOTAL</t>
        </is>
      </c>
      <c r="F129" s="12" t="inlineStr">
        <is>
          <t>Over 48.5</t>
        </is>
      </c>
      <c r="G129" s="23" t="n">
        <v>48.5</v>
      </c>
      <c r="H129" s="13" t="n">
        <v>-105</v>
      </c>
      <c r="I129" s="15" t="n">
        <v>0.5164897065922213</v>
      </c>
      <c r="J129" s="15" t="n">
        <v>0.4891657638136511</v>
      </c>
      <c r="K129" s="15" t="n">
        <v>0.5121951219512195</v>
      </c>
      <c r="L129" s="14" t="n">
        <v>0.0502020255010589</v>
      </c>
      <c r="M129" s="14" t="n">
        <v>0.008384665251479628</v>
      </c>
      <c r="N129" s="15" t="n">
        <v>0</v>
      </c>
      <c r="O129" s="24" t="n">
        <v>0.839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OHIO @ USA</t>
        </is>
      </c>
      <c r="C130" s="17" t="inlineStr">
        <is>
          <t>2026-09-19 23:00</t>
        </is>
      </c>
      <c r="D130" s="25" t="n">
        <v>3</v>
      </c>
      <c r="E130" s="17" t="inlineStr">
        <is>
          <t>ATS</t>
        </is>
      </c>
      <c r="F130" s="17" t="inlineStr">
        <is>
          <t>USA -4.5</t>
        </is>
      </c>
      <c r="G130" s="26" t="n">
        <v>-4.5</v>
      </c>
      <c r="H130" s="18" t="n">
        <v>-105</v>
      </c>
      <c r="I130" s="20" t="n">
        <v>0.5155053290436606</v>
      </c>
      <c r="J130" s="20" t="n">
        <v>0.4891657638136511</v>
      </c>
      <c r="K130" s="20" t="n">
        <v>0.5121951219512195</v>
      </c>
      <c r="L130" s="19" t="n">
        <v>0.04873542224059591</v>
      </c>
      <c r="M130" s="19" t="n">
        <v>0.006462785275718419</v>
      </c>
      <c r="N130" s="20" t="n">
        <v>0</v>
      </c>
      <c r="O130" s="27" t="n">
        <v>0.839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GASO @ JVST</t>
        </is>
      </c>
      <c r="C131" s="12" t="inlineStr">
        <is>
          <t>2026-09-19 23:00</t>
        </is>
      </c>
      <c r="D131" s="22" t="n">
        <v>3</v>
      </c>
      <c r="E131" s="12" t="inlineStr">
        <is>
          <t>ML</t>
        </is>
      </c>
      <c r="F131" s="12" t="inlineStr">
        <is>
          <t>JVST ML</t>
        </is>
      </c>
      <c r="G131" s="23" t="n"/>
      <c r="H131" s="13" t="n">
        <v>-166</v>
      </c>
      <c r="I131" s="15" t="n">
        <v>0.6288426675128902</v>
      </c>
      <c r="J131" s="15" t="n">
        <v>0.5996387718242023</v>
      </c>
      <c r="K131" s="15" t="n">
        <v>0.6240601503759399</v>
      </c>
      <c r="L131" s="14" t="n">
        <v>0.04484126873372907</v>
      </c>
      <c r="M131" s="14" t="n">
        <v>0.007663551556799986</v>
      </c>
      <c r="N131" s="15" t="n">
        <v>0</v>
      </c>
      <c r="O131" s="24" t="n">
        <v>0.839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BALL @ LIB</t>
        </is>
      </c>
      <c r="C132" s="17" t="inlineStr">
        <is>
          <t>2026-09-19 20:00</t>
        </is>
      </c>
      <c r="D132" s="25" t="n">
        <v>3</v>
      </c>
      <c r="E132" s="17" t="inlineStr">
        <is>
          <t>TOTAL</t>
        </is>
      </c>
      <c r="F132" s="17" t="inlineStr">
        <is>
          <t>Over 49.5</t>
        </is>
      </c>
      <c r="G132" s="26" t="n">
        <v>49.5</v>
      </c>
      <c r="H132" s="18" t="n">
        <v>-108</v>
      </c>
      <c r="I132" s="20" t="n">
        <v>0.5197419177567473</v>
      </c>
      <c r="J132" s="20" t="n">
        <v>0.4956702459300312</v>
      </c>
      <c r="K132" s="20" t="n">
        <v>0.5192307692307693</v>
      </c>
      <c r="L132" s="19" t="n">
        <v>0.04473347600297891</v>
      </c>
      <c r="M132" s="19" t="n">
        <v>0.0009844341981799509</v>
      </c>
      <c r="N132" s="20" t="n">
        <v>0</v>
      </c>
      <c r="O132" s="27" t="n">
        <v>0.839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LT @ BAY</t>
        </is>
      </c>
      <c r="C133" s="12" t="inlineStr">
        <is>
          <t>2026-09-19 20:00</t>
        </is>
      </c>
      <c r="D133" s="22" t="n">
        <v>3</v>
      </c>
      <c r="E133" s="12" t="inlineStr">
        <is>
          <t>TOTAL</t>
        </is>
      </c>
      <c r="F133" s="12" t="inlineStr">
        <is>
          <t>Under 53.5</t>
        </is>
      </c>
      <c r="G133" s="23" t="n">
        <v>53.5</v>
      </c>
      <c r="H133" s="13" t="n">
        <v>-108</v>
      </c>
      <c r="I133" s="15" t="n">
        <v>0.519741860665571</v>
      </c>
      <c r="J133" s="15" t="n">
        <v>0.4956702459300312</v>
      </c>
      <c r="K133" s="15" t="n">
        <v>0.5192307692307693</v>
      </c>
      <c r="L133" s="14" t="n">
        <v>0.04473338636160695</v>
      </c>
      <c r="M133" s="14" t="n">
        <v>0.0009843242448035472</v>
      </c>
      <c r="N133" s="15" t="n">
        <v>0</v>
      </c>
      <c r="O133" s="24" t="n">
        <v>0.839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NCSU @ VAN</t>
        </is>
      </c>
      <c r="C134" s="17" t="inlineStr">
        <is>
          <t>2026-09-19 16:45</t>
        </is>
      </c>
      <c r="D134" s="25" t="n">
        <v>3</v>
      </c>
      <c r="E134" s="17" t="inlineStr">
        <is>
          <t>TOTAL</t>
        </is>
      </c>
      <c r="F134" s="17" t="inlineStr">
        <is>
          <t>Over 51.5</t>
        </is>
      </c>
      <c r="G134" s="26" t="n">
        <v>51.5</v>
      </c>
      <c r="H134" s="18" t="n">
        <v>-105</v>
      </c>
      <c r="I134" s="20" t="n">
        <v>0.5125185508338179</v>
      </c>
      <c r="J134" s="20" t="n">
        <v>0.4891657638136511</v>
      </c>
      <c r="K134" s="20" t="n">
        <v>0.5121951219512195</v>
      </c>
      <c r="L134" s="19" t="n">
        <v>0.04408967848061744</v>
      </c>
      <c r="M134" s="19" t="n">
        <v>0.0006314563898348613</v>
      </c>
      <c r="N134" s="20" t="n">
        <v>0</v>
      </c>
      <c r="O134" s="27" t="n">
        <v>0.839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OHIO @ USA</t>
        </is>
      </c>
      <c r="C135" s="12" t="inlineStr">
        <is>
          <t>2026-09-19 23:00</t>
        </is>
      </c>
      <c r="D135" s="22" t="n">
        <v>3</v>
      </c>
      <c r="E135" s="12" t="inlineStr">
        <is>
          <t>ML</t>
        </is>
      </c>
      <c r="F135" s="12" t="inlineStr">
        <is>
          <t>USA ML</t>
        </is>
      </c>
      <c r="G135" s="23" t="n"/>
      <c r="H135" s="13" t="n">
        <v>-192</v>
      </c>
      <c r="I135" s="15" t="n">
        <v>0.6609675373481816</v>
      </c>
      <c r="J135" s="15" t="n">
        <v>0.6309403437815976</v>
      </c>
      <c r="K135" s="15" t="n">
        <v>0.6575342465753424</v>
      </c>
      <c r="L135" s="14" t="n">
        <v>0.04397280406027947</v>
      </c>
      <c r="M135" s="14" t="n">
        <v>0.005221463050359532</v>
      </c>
      <c r="N135" s="15" t="n">
        <v>0</v>
      </c>
      <c r="O135" s="24" t="n">
        <v>0.839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BUFF @ PSU</t>
        </is>
      </c>
      <c r="C136" s="17" t="inlineStr">
        <is>
          <t>2026-09-19 16:00</t>
        </is>
      </c>
      <c r="D136" s="25" t="n">
        <v>3</v>
      </c>
      <c r="E136" s="17" t="inlineStr">
        <is>
          <t>TOTAL</t>
        </is>
      </c>
      <c r="F136" s="17" t="inlineStr">
        <is>
          <t>Over 48.5</t>
        </is>
      </c>
      <c r="G136" s="26" t="n">
        <v>48.5</v>
      </c>
      <c r="H136" s="18" t="n">
        <v>-108</v>
      </c>
      <c r="I136" s="20" t="n">
        <v>0.5177573952126979</v>
      </c>
      <c r="J136" s="20" t="n">
        <v>0.4956702459300312</v>
      </c>
      <c r="K136" s="20" t="n">
        <v>0.5192307692307693</v>
      </c>
      <c r="L136" s="19" t="n">
        <v>0.04155632201891916</v>
      </c>
      <c r="M136" s="19" t="n">
        <v>-0.002837609219989101</v>
      </c>
      <c r="N136" s="20" t="n">
        <v>0</v>
      </c>
      <c r="O136" s="27" t="n">
        <v>0.839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COLO @ NU</t>
        </is>
      </c>
      <c r="C137" s="12" t="inlineStr">
        <is>
          <t>2026-09-19 23:30</t>
        </is>
      </c>
      <c r="D137" s="22" t="n">
        <v>3</v>
      </c>
      <c r="E137" s="12" t="inlineStr">
        <is>
          <t>ML</t>
        </is>
      </c>
      <c r="F137" s="12" t="inlineStr">
        <is>
          <t>NU ML</t>
        </is>
      </c>
      <c r="G137" s="23" t="n"/>
      <c r="H137" s="13" t="n">
        <v>-180</v>
      </c>
      <c r="I137" s="15" t="n">
        <v>0.6428045510260727</v>
      </c>
      <c r="J137" s="15" t="n">
        <v>0.6164383561643836</v>
      </c>
      <c r="K137" s="15" t="n">
        <v>0.6428571428571429</v>
      </c>
      <c r="L137" s="14" t="n">
        <v>0.04009834576111896</v>
      </c>
      <c r="M137" s="14" t="n">
        <v>-8.180951499803246e-05</v>
      </c>
      <c r="N137" s="15" t="n">
        <v>0</v>
      </c>
      <c r="O137" s="24" t="n">
        <v>0.725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TULN @ KSU</t>
        </is>
      </c>
      <c r="C138" s="17" t="inlineStr">
        <is>
          <t>2026-09-19 16:00</t>
        </is>
      </c>
      <c r="D138" s="25" t="n">
        <v>3</v>
      </c>
      <c r="E138" s="17" t="inlineStr">
        <is>
          <t>TOTAL</t>
        </is>
      </c>
      <c r="F138" s="17" t="inlineStr">
        <is>
          <t>Over 49.5</t>
        </is>
      </c>
      <c r="G138" s="26" t="n">
        <v>49.5</v>
      </c>
      <c r="H138" s="18" t="n">
        <v>-110</v>
      </c>
      <c r="I138" s="20" t="n">
        <v>0.519922241033544</v>
      </c>
      <c r="J138" s="20" t="n">
        <v>0.5</v>
      </c>
      <c r="K138" s="20" t="n">
        <v>0.5238095238095238</v>
      </c>
      <c r="L138" s="19" t="n">
        <v>0.03766160932064762</v>
      </c>
      <c r="M138" s="19" t="n">
        <v>-0.007421176208688651</v>
      </c>
      <c r="N138" s="20" t="n">
        <v>0</v>
      </c>
      <c r="O138" s="27" t="n">
        <v>0.839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ASU @ KU</t>
        </is>
      </c>
      <c r="C139" s="12" t="inlineStr">
        <is>
          <t>2026-09-19 16:00</t>
        </is>
      </c>
      <c r="D139" s="22" t="n">
        <v>3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0.5199222111459331</v>
      </c>
      <c r="J139" s="15" t="n">
        <v>0.5</v>
      </c>
      <c r="K139" s="15" t="n">
        <v>0.5238095238095238</v>
      </c>
      <c r="L139" s="14" t="n">
        <v>0.03766155893987126</v>
      </c>
      <c r="M139" s="14" t="n">
        <v>-0.007421233266855065</v>
      </c>
      <c r="N139" s="15" t="n">
        <v>0</v>
      </c>
      <c r="O139" s="24" t="n">
        <v>0.839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COLO @ NU</t>
        </is>
      </c>
      <c r="C140" s="17" t="inlineStr">
        <is>
          <t>2026-09-19 23:30</t>
        </is>
      </c>
      <c r="D140" s="25" t="n">
        <v>3</v>
      </c>
      <c r="E140" s="17" t="inlineStr">
        <is>
          <t>ATS</t>
        </is>
      </c>
      <c r="F140" s="17" t="inlineStr">
        <is>
          <t>NU -3.5</t>
        </is>
      </c>
      <c r="G140" s="26" t="n">
        <v>-3.5</v>
      </c>
      <c r="H140" s="18" t="n">
        <v>-115</v>
      </c>
      <c r="I140" s="20" t="n">
        <v>0.5297299584649824</v>
      </c>
      <c r="J140" s="20" t="n">
        <v>0.5108342361863488</v>
      </c>
      <c r="K140" s="20" t="n">
        <v>0.5348837209302325</v>
      </c>
      <c r="L140" s="19" t="n">
        <v>0.03522742304385739</v>
      </c>
      <c r="M140" s="19" t="n">
        <v>-0.00963529504372862</v>
      </c>
      <c r="N140" s="20" t="n">
        <v>0</v>
      </c>
      <c r="O140" s="27" t="n">
        <v>0.725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OHIO @ USA</t>
        </is>
      </c>
      <c r="C141" s="12" t="inlineStr">
        <is>
          <t>2026-09-19 23:00</t>
        </is>
      </c>
      <c r="D141" s="22" t="n">
        <v>3</v>
      </c>
      <c r="E141" s="12" t="inlineStr">
        <is>
          <t>TOTAL</t>
        </is>
      </c>
      <c r="F141" s="12" t="inlineStr">
        <is>
          <t>Over 51.5</t>
        </is>
      </c>
      <c r="G141" s="23" t="n">
        <v>51.5</v>
      </c>
      <c r="H141" s="13" t="n">
        <v>-112</v>
      </c>
      <c r="I141" s="15" t="n">
        <v>0.5220870881809174</v>
      </c>
      <c r="J141" s="15" t="n">
        <v>0.5043297540699688</v>
      </c>
      <c r="K141" s="15" t="n">
        <v>0.5283018867924528</v>
      </c>
      <c r="L141" s="14" t="n">
        <v>0.03368148032496549</v>
      </c>
      <c r="M141" s="14" t="n">
        <v>-0.01176372594326347</v>
      </c>
      <c r="N141" s="15" t="n">
        <v>0</v>
      </c>
      <c r="O141" s="24" t="n">
        <v>0.839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UGA @ ARK</t>
        </is>
      </c>
      <c r="C142" s="17" t="inlineStr">
        <is>
          <t>2026-09-19 16:00</t>
        </is>
      </c>
      <c r="D142" s="25" t="n">
        <v>3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-110</v>
      </c>
      <c r="I142" s="20" t="n">
        <v>0.5159473127094389</v>
      </c>
      <c r="J142" s="20" t="n">
        <v>0.5</v>
      </c>
      <c r="K142" s="20" t="n">
        <v>0.5238095238095238</v>
      </c>
      <c r="L142" s="19" t="n">
        <v>0.0307479466624253</v>
      </c>
      <c r="M142" s="19" t="n">
        <v>-0.01500967573652556</v>
      </c>
      <c r="N142" s="20" t="n">
        <v>0</v>
      </c>
      <c r="O142" s="27" t="n">
        <v>0.839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TEM @ TOL</t>
        </is>
      </c>
      <c r="C143" s="12" t="inlineStr">
        <is>
          <t>2026-09-19 19:00</t>
        </is>
      </c>
      <c r="D143" s="22" t="n">
        <v>3</v>
      </c>
      <c r="E143" s="12" t="inlineStr">
        <is>
          <t>ML</t>
        </is>
      </c>
      <c r="F143" s="12" t="inlineStr">
        <is>
          <t>TOL ML</t>
        </is>
      </c>
      <c r="G143" s="23" t="n"/>
      <c r="H143" s="13" t="n">
        <v>-218</v>
      </c>
      <c r="I143" s="15" t="n">
        <v>0.6781856250702285</v>
      </c>
      <c r="J143" s="15" t="n">
        <v>0.6574752261956054</v>
      </c>
      <c r="K143" s="15" t="n">
        <v>0.6855345911949685</v>
      </c>
      <c r="L143" s="14" t="n">
        <v>0.03039409102524932</v>
      </c>
      <c r="M143" s="14" t="n">
        <v>-0.01072005150306121</v>
      </c>
      <c r="N143" s="15" t="n">
        <v>0</v>
      </c>
      <c r="O143" s="24" t="n">
        <v>0.839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TROY @ MIZ</t>
        </is>
      </c>
      <c r="C144" s="17" t="inlineStr">
        <is>
          <t>2026-09-19 23:00</t>
        </is>
      </c>
      <c r="D144" s="25" t="n">
        <v>3</v>
      </c>
      <c r="E144" s="17" t="inlineStr">
        <is>
          <t>TOTAL</t>
        </is>
      </c>
      <c r="F144" s="17" t="inlineStr">
        <is>
          <t>Over 50.5</t>
        </is>
      </c>
      <c r="G144" s="26" t="n">
        <v>50.5</v>
      </c>
      <c r="H144" s="18" t="n">
        <v>-108</v>
      </c>
      <c r="I144" s="20" t="n">
        <v>0.5098012284358664</v>
      </c>
      <c r="J144" s="20" t="n">
        <v>0.4956702459300312</v>
      </c>
      <c r="K144" s="20" t="n">
        <v>0.5192307692307693</v>
      </c>
      <c r="L144" s="19" t="n">
        <v>0.02768278550697907</v>
      </c>
      <c r="M144" s="19" t="n">
        <v>-0.01816059708647944</v>
      </c>
      <c r="N144" s="20" t="n">
        <v>0</v>
      </c>
      <c r="O144" s="27" t="n">
        <v>0.839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CCU @ DEL</t>
        </is>
      </c>
      <c r="C145" s="12" t="inlineStr">
        <is>
          <t>2026-09-19 15:30</t>
        </is>
      </c>
      <c r="D145" s="22" t="n">
        <v>3</v>
      </c>
      <c r="E145" s="12" t="inlineStr">
        <is>
          <t>ATS</t>
        </is>
      </c>
      <c r="F145" s="12" t="inlineStr">
        <is>
          <t>CCU +5.5</t>
        </is>
      </c>
      <c r="G145" s="23" t="n">
        <v>-5.5</v>
      </c>
      <c r="H145" s="13" t="n">
        <v>-115</v>
      </c>
      <c r="I145" s="15" t="n">
        <v>0.5246512561420218</v>
      </c>
      <c r="J145" s="15" t="n">
        <v>0.5108342361863488</v>
      </c>
      <c r="K145" s="15" t="n">
        <v>0.5348837209302325</v>
      </c>
      <c r="L145" s="14" t="n">
        <v>0.02634003666683046</v>
      </c>
      <c r="M145" s="14" t="n">
        <v>-0.01913026025622022</v>
      </c>
      <c r="N145" s="15" t="n">
        <v>0</v>
      </c>
      <c r="O145" s="24" t="n">
        <v>0.839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TEM @ TOL</t>
        </is>
      </c>
      <c r="C146" s="17" t="inlineStr">
        <is>
          <t>2026-09-19 19:00</t>
        </is>
      </c>
      <c r="D146" s="25" t="n">
        <v>3</v>
      </c>
      <c r="E146" s="17" t="inlineStr">
        <is>
          <t>ATS</t>
        </is>
      </c>
      <c r="F146" s="17" t="inlineStr">
        <is>
          <t>TOL -5.5</t>
        </is>
      </c>
      <c r="G146" s="26" t="n">
        <v>-5.5</v>
      </c>
      <c r="H146" s="18" t="n">
        <v>-110</v>
      </c>
      <c r="I146" s="20" t="n">
        <v>0.5130654502461751</v>
      </c>
      <c r="J146" s="20" t="n">
        <v>0.5</v>
      </c>
      <c r="K146" s="20" t="n">
        <v>0.5238095238095238</v>
      </c>
      <c r="L146" s="19" t="n">
        <v>0.02549123803810194</v>
      </c>
      <c r="M146" s="19" t="n">
        <v>-0.02051141316639293</v>
      </c>
      <c r="N146" s="20" t="n">
        <v>0</v>
      </c>
      <c r="O146" s="27" t="n">
        <v>0.839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MSST @ SC</t>
        </is>
      </c>
      <c r="C147" s="12" t="inlineStr">
        <is>
          <t>2026-09-19 20:15</t>
        </is>
      </c>
      <c r="D147" s="22" t="n">
        <v>3</v>
      </c>
      <c r="E147" s="12" t="inlineStr">
        <is>
          <t>ATS</t>
        </is>
      </c>
      <c r="F147" s="12" t="inlineStr">
        <is>
          <t>MSST +4</t>
        </is>
      </c>
      <c r="G147" s="23" t="n">
        <v>-4</v>
      </c>
      <c r="H147" s="13" t="n">
        <v>-115</v>
      </c>
      <c r="I147" s="15" t="n">
        <v>0.523694728211634</v>
      </c>
      <c r="J147" s="15" t="n">
        <v>0.5108342361863488</v>
      </c>
      <c r="K147" s="15" t="n">
        <v>0.5348837209302325</v>
      </c>
      <c r="L147" s="14" t="n">
        <v>0.02460222982133908</v>
      </c>
      <c r="M147" s="14" t="n">
        <v>-0.02026589279428123</v>
      </c>
      <c r="N147" s="15" t="n">
        <v>0.0312</v>
      </c>
      <c r="O147" s="24" t="n">
        <v>0.839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CCU @ DEL</t>
        </is>
      </c>
      <c r="C148" s="17" t="inlineStr">
        <is>
          <t>2026-09-19 15:30</t>
        </is>
      </c>
      <c r="D148" s="25" t="n">
        <v>3</v>
      </c>
      <c r="E148" s="17" t="inlineStr">
        <is>
          <t>ML</t>
        </is>
      </c>
      <c r="F148" s="17" t="inlineStr">
        <is>
          <t>CCU ML</t>
        </is>
      </c>
      <c r="G148" s="26" t="n"/>
      <c r="H148" s="18" t="n">
        <v>180</v>
      </c>
      <c r="I148" s="20" t="n">
        <v>0.3511097637938756</v>
      </c>
      <c r="J148" s="20" t="n">
        <v>0.3425247738043947</v>
      </c>
      <c r="K148" s="20" t="n">
        <v>0.3571428571428572</v>
      </c>
      <c r="L148" s="19" t="n">
        <v>0.02449806519387096</v>
      </c>
      <c r="M148" s="19" t="n">
        <v>-0.0168926613771484</v>
      </c>
      <c r="N148" s="20" t="n">
        <v>0</v>
      </c>
      <c r="O148" s="27" t="n">
        <v>0.839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MRSH @ MOST</t>
        </is>
      </c>
      <c r="C149" s="12" t="inlineStr">
        <is>
          <t>2026-09-19 22:30</t>
        </is>
      </c>
      <c r="D149" s="22" t="n">
        <v>3</v>
      </c>
      <c r="E149" s="12" t="inlineStr">
        <is>
          <t>TOTAL</t>
        </is>
      </c>
      <c r="F149" s="12" t="inlineStr">
        <is>
          <t>Over 51.5</t>
        </is>
      </c>
      <c r="G149" s="23" t="n">
        <v>51.5</v>
      </c>
      <c r="H149" s="13" t="n">
        <v>-112</v>
      </c>
      <c r="I149" s="15" t="n">
        <v>0.514130969174035</v>
      </c>
      <c r="J149" s="15" t="n">
        <v>0.5043297540699688</v>
      </c>
      <c r="K149" s="15" t="n">
        <v>0.5283018867924528</v>
      </c>
      <c r="L149" s="14" t="n">
        <v>0.01916750383849712</v>
      </c>
      <c r="M149" s="14" t="n">
        <v>-0.02682352263486232</v>
      </c>
      <c r="N149" s="15" t="n">
        <v>0</v>
      </c>
      <c r="O149" s="24" t="n">
        <v>0.839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BYU @ CSU</t>
        </is>
      </c>
      <c r="C150" s="17" t="inlineStr">
        <is>
          <t>2026-09-19 23:30</t>
        </is>
      </c>
      <c r="D150" s="25" t="n">
        <v>3</v>
      </c>
      <c r="E150" s="17" t="inlineStr">
        <is>
          <t>TOTAL</t>
        </is>
      </c>
      <c r="F150" s="17" t="inlineStr">
        <is>
          <t>Over 52.5</t>
        </is>
      </c>
      <c r="G150" s="26" t="n">
        <v>52.5</v>
      </c>
      <c r="H150" s="18" t="n">
        <v>-105</v>
      </c>
      <c r="I150" s="20" t="n">
        <v>0.4985737151668523</v>
      </c>
      <c r="J150" s="20" t="n">
        <v>0.4891657638136511</v>
      </c>
      <c r="K150" s="20" t="n">
        <v>0.5121951219512195</v>
      </c>
      <c r="L150" s="19" t="n">
        <v>0.01897412855126167</v>
      </c>
      <c r="M150" s="19" t="n">
        <v>-0.02659417515043117</v>
      </c>
      <c r="N150" s="20" t="n">
        <v>0</v>
      </c>
      <c r="O150" s="27" t="n">
        <v>0.839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VT @ MD</t>
        </is>
      </c>
      <c r="C151" s="12" t="inlineStr">
        <is>
          <t>2026-09-19 23:30</t>
        </is>
      </c>
      <c r="D151" s="22" t="n">
        <v>3</v>
      </c>
      <c r="E151" s="12" t="inlineStr">
        <is>
          <t>TOTAL</t>
        </is>
      </c>
      <c r="F151" s="12" t="inlineStr">
        <is>
          <t>Under 53.5</t>
        </is>
      </c>
      <c r="G151" s="23" t="n">
        <v>53.5</v>
      </c>
      <c r="H151" s="13" t="n">
        <v>-105</v>
      </c>
      <c r="I151" s="15" t="n">
        <v>0.4985736930994028</v>
      </c>
      <c r="J151" s="15" t="n">
        <v>0.4891657638136511</v>
      </c>
      <c r="K151" s="15" t="n">
        <v>0.5121951219512195</v>
      </c>
      <c r="L151" s="14" t="n">
        <v>0.01897408523842711</v>
      </c>
      <c r="M151" s="14" t="n">
        <v>-0.02659421823449937</v>
      </c>
      <c r="N151" s="15" t="n">
        <v>0</v>
      </c>
      <c r="O151" s="24" t="n">
        <v>0.839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MSU @ ND</t>
        </is>
      </c>
      <c r="C152" s="17" t="inlineStr">
        <is>
          <t>2026-09-19 23:30</t>
        </is>
      </c>
      <c r="D152" s="25" t="n">
        <v>3</v>
      </c>
      <c r="E152" s="17" t="inlineStr">
        <is>
          <t>TOTAL</t>
        </is>
      </c>
      <c r="F152" s="17" t="inlineStr">
        <is>
          <t>Under 52.5</t>
        </is>
      </c>
      <c r="G152" s="26" t="n">
        <v>52.5</v>
      </c>
      <c r="H152" s="18" t="n">
        <v>-118</v>
      </c>
      <c r="I152" s="20" t="n">
        <v>0.5266176939377067</v>
      </c>
      <c r="J152" s="20" t="n">
        <v>0.5173641257162701</v>
      </c>
      <c r="K152" s="20" t="n">
        <v>0.5412844036697247</v>
      </c>
      <c r="L152" s="19" t="n">
        <v>0.01767760700769214</v>
      </c>
      <c r="M152" s="19" t="n">
        <v>-0.02709612475915202</v>
      </c>
      <c r="N152" s="20" t="n">
        <v>0</v>
      </c>
      <c r="O152" s="27" t="n">
        <v>0.839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STAN @ DUKE</t>
        </is>
      </c>
      <c r="C153" s="12" t="inlineStr">
        <is>
          <t>2026-09-19 20:00</t>
        </is>
      </c>
      <c r="D153" s="22" t="n">
        <v>3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-102</v>
      </c>
      <c r="I153" s="15" t="n">
        <v>0.4893224529444102</v>
      </c>
      <c r="J153" s="15" t="n">
        <v>0.4826358742837298</v>
      </c>
      <c r="K153" s="15" t="n">
        <v>0.504950495049505</v>
      </c>
      <c r="L153" s="14" t="n">
        <v>0.0137569045525029</v>
      </c>
      <c r="M153" s="14" t="n">
        <v>-0.03094965201205024</v>
      </c>
      <c r="N153" s="15" t="n">
        <v>0</v>
      </c>
      <c r="O153" s="24" t="n">
        <v>0.839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NCSU @ VAN</t>
        </is>
      </c>
      <c r="C154" s="17" t="inlineStr">
        <is>
          <t>2026-09-19 16:45</t>
        </is>
      </c>
      <c r="D154" s="25" t="n">
        <v>3</v>
      </c>
      <c r="E154" s="17" t="inlineStr">
        <is>
          <t>ML</t>
        </is>
      </c>
      <c r="F154" s="17" t="inlineStr">
        <is>
          <t>VAN ML</t>
        </is>
      </c>
      <c r="G154" s="26" t="n"/>
      <c r="H154" s="18" t="n">
        <v>-175</v>
      </c>
      <c r="I154" s="20" t="n">
        <v>0.6169928872884611</v>
      </c>
      <c r="J154" s="20" t="n">
        <v>0.6092362344582594</v>
      </c>
      <c r="K154" s="20" t="n">
        <v>0.6363636363636364</v>
      </c>
      <c r="L154" s="19" t="n">
        <v>0.01265608411264996</v>
      </c>
      <c r="M154" s="19" t="n">
        <v>-0.03043974854670395</v>
      </c>
      <c r="N154" s="20" t="n">
        <v>0</v>
      </c>
      <c r="O154" s="27" t="n">
        <v>0.839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NCSU @ VAN</t>
        </is>
      </c>
      <c r="C155" s="12" t="inlineStr">
        <is>
          <t>2026-09-19 16:45</t>
        </is>
      </c>
      <c r="D155" s="22" t="n">
        <v>3</v>
      </c>
      <c r="E155" s="12" t="inlineStr">
        <is>
          <t>ATS</t>
        </is>
      </c>
      <c r="F155" s="12" t="inlineStr">
        <is>
          <t>VAN -3.5</t>
        </is>
      </c>
      <c r="G155" s="23" t="n">
        <v>-3.5</v>
      </c>
      <c r="H155" s="13" t="n">
        <v>-105</v>
      </c>
      <c r="I155" s="15" t="n">
        <v>0.4951735642459161</v>
      </c>
      <c r="J155" s="15" t="n">
        <v>0.4891657638136511</v>
      </c>
      <c r="K155" s="15" t="n">
        <v>0.5121951219512195</v>
      </c>
      <c r="L155" s="14" t="n">
        <v>0.01221375728161167</v>
      </c>
      <c r="M155" s="14" t="n">
        <v>-0.03323256504368766</v>
      </c>
      <c r="N155" s="15" t="n">
        <v>0</v>
      </c>
      <c r="O155" s="24" t="n">
        <v>0.839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UNT @ TXST</t>
        </is>
      </c>
      <c r="C156" s="17" t="inlineStr">
        <is>
          <t>2026-09-19 16:00</t>
        </is>
      </c>
      <c r="D156" s="25" t="n">
        <v>3</v>
      </c>
      <c r="E156" s="17" t="inlineStr">
        <is>
          <t>ML</t>
        </is>
      </c>
      <c r="F156" s="17" t="inlineStr">
        <is>
          <t>TXST ML</t>
        </is>
      </c>
      <c r="G156" s="26" t="n"/>
      <c r="H156" s="18" t="n">
        <v>-155</v>
      </c>
      <c r="I156" s="20" t="n">
        <v>0.5901397490546068</v>
      </c>
      <c r="J156" s="20" t="n">
        <v>0.5829926410466066</v>
      </c>
      <c r="K156" s="20" t="n">
        <v>0.6078431372549019</v>
      </c>
      <c r="L156" s="19" t="n">
        <v>0.01219174459406908</v>
      </c>
      <c r="M156" s="19" t="n">
        <v>-0.02912492897467933</v>
      </c>
      <c r="N156" s="20" t="n">
        <v>0</v>
      </c>
      <c r="O156" s="27" t="n">
        <v>0.839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UNC @ CLEM</t>
        </is>
      </c>
      <c r="C157" s="12" t="inlineStr">
        <is>
          <t>2026-09-19 16:00</t>
        </is>
      </c>
      <c r="D157" s="22" t="n">
        <v>3</v>
      </c>
      <c r="E157" s="12" t="inlineStr">
        <is>
          <t>ATS</t>
        </is>
      </c>
      <c r="F157" s="12" t="inlineStr">
        <is>
          <t>UNC +3.5</t>
        </is>
      </c>
      <c r="G157" s="23" t="n">
        <v>-3.5</v>
      </c>
      <c r="H157" s="13" t="n">
        <v>-115</v>
      </c>
      <c r="I157" s="15" t="n">
        <v>0.5168979298761311</v>
      </c>
      <c r="J157" s="15" t="n">
        <v>0.5108342361863488</v>
      </c>
      <c r="K157" s="15" t="n">
        <v>0.5348837209302325</v>
      </c>
      <c r="L157" s="14" t="n">
        <v>0.01180878843221538</v>
      </c>
      <c r="M157" s="14" t="n">
        <v>-0.03362560936201575</v>
      </c>
      <c r="N157" s="15" t="n">
        <v>0</v>
      </c>
      <c r="O157" s="24" t="n">
        <v>0.839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PUR @ UCLA</t>
        </is>
      </c>
      <c r="C158" s="17" t="inlineStr">
        <is>
          <t>2026-09-20 03:00</t>
        </is>
      </c>
      <c r="D158" s="25" t="n">
        <v>3</v>
      </c>
      <c r="E158" s="17" t="inlineStr">
        <is>
          <t>TOTAL</t>
        </is>
      </c>
      <c r="F158" s="17" t="inlineStr">
        <is>
          <t>Over 52.5</t>
        </is>
      </c>
      <c r="G158" s="26" t="n">
        <v>52.5</v>
      </c>
      <c r="H158" s="18" t="n">
        <v>-112</v>
      </c>
      <c r="I158" s="20" t="n">
        <v>0.510144932073888</v>
      </c>
      <c r="J158" s="20" t="n">
        <v>0.5043297540699688</v>
      </c>
      <c r="K158" s="20" t="n">
        <v>0.5283018867924528</v>
      </c>
      <c r="L158" s="19" t="n">
        <v>0.01147421824891267</v>
      </c>
      <c r="M158" s="19" t="n">
        <v>-0.03436852143156921</v>
      </c>
      <c r="N158" s="20" t="n">
        <v>0</v>
      </c>
      <c r="O158" s="27" t="n">
        <v>0.839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SYR @ PITT</t>
        </is>
      </c>
      <c r="C159" s="12" t="inlineStr">
        <is>
          <t>2026-09-17 23:30</t>
        </is>
      </c>
      <c r="D159" s="22" t="n">
        <v>3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-102</v>
      </c>
      <c r="I159" s="15" t="n">
        <v>0.4873271438797994</v>
      </c>
      <c r="J159" s="15" t="n">
        <v>0.4826358742837298</v>
      </c>
      <c r="K159" s="15" t="n">
        <v>0.504950495049505</v>
      </c>
      <c r="L159" s="14" t="n">
        <v>0.009686323683237564</v>
      </c>
      <c r="M159" s="14" t="n">
        <v>-0.03490114643412279</v>
      </c>
      <c r="N159" s="15" t="n">
        <v>0</v>
      </c>
      <c r="O159" s="24" t="n">
        <v>0.839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NIU @ ARIZ</t>
        </is>
      </c>
      <c r="C160" s="17" t="inlineStr">
        <is>
          <t>2026-09-20 02:30</t>
        </is>
      </c>
      <c r="D160" s="25" t="n">
        <v>3</v>
      </c>
      <c r="E160" s="17" t="inlineStr">
        <is>
          <t>TOTAL</t>
        </is>
      </c>
      <c r="F160" s="17" t="inlineStr">
        <is>
          <t>Under 49.5</t>
        </is>
      </c>
      <c r="G160" s="26" t="n">
        <v>49.5</v>
      </c>
      <c r="H160" s="18" t="n">
        <v>-108</v>
      </c>
      <c r="I160" s="20" t="n">
        <v>0.4998305588677219</v>
      </c>
      <c r="J160" s="20" t="n">
        <v>0.4956702459300312</v>
      </c>
      <c r="K160" s="20" t="n">
        <v>0.5192307692307693</v>
      </c>
      <c r="L160" s="19" t="n">
        <v>0.008371536854861306</v>
      </c>
      <c r="M160" s="19" t="n">
        <v>-0.03736336810660967</v>
      </c>
      <c r="N160" s="20" t="n">
        <v>0</v>
      </c>
      <c r="O160" s="27" t="n">
        <v>0.839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UNT @ TXST</t>
        </is>
      </c>
      <c r="C161" s="12" t="inlineStr">
        <is>
          <t>2026-09-19 16:00</t>
        </is>
      </c>
      <c r="D161" s="22" t="n">
        <v>3</v>
      </c>
      <c r="E161" s="12" t="inlineStr">
        <is>
          <t>ATS</t>
        </is>
      </c>
      <c r="F161" s="12" t="inlineStr">
        <is>
          <t>TXST -3</t>
        </is>
      </c>
      <c r="G161" s="23" t="n">
        <v>-3</v>
      </c>
      <c r="H161" s="13" t="n">
        <v>-108</v>
      </c>
      <c r="I161" s="15" t="n">
        <v>0.4995829263106649</v>
      </c>
      <c r="J161" s="15" t="n">
        <v>0.4956702459300312</v>
      </c>
      <c r="K161" s="15" t="n">
        <v>0.5192307692307693</v>
      </c>
      <c r="L161" s="14" t="n">
        <v>0.007875599791871683</v>
      </c>
      <c r="M161" s="14" t="n">
        <v>-0.03552824834517297</v>
      </c>
      <c r="N161" s="15" t="n">
        <v>0.0611</v>
      </c>
      <c r="O161" s="24" t="n">
        <v>0.839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MSST @ SC</t>
        </is>
      </c>
      <c r="C162" s="17" t="inlineStr">
        <is>
          <t>2026-09-19 20:15</t>
        </is>
      </c>
      <c r="D162" s="25" t="n">
        <v>3</v>
      </c>
      <c r="E162" s="17" t="inlineStr">
        <is>
          <t>ML</t>
        </is>
      </c>
      <c r="F162" s="17" t="inlineStr">
        <is>
          <t>MSST ML</t>
        </is>
      </c>
      <c r="G162" s="26" t="n"/>
      <c r="H162" s="18" t="n">
        <v>145</v>
      </c>
      <c r="I162" s="20" t="n">
        <v>0.393107494495158</v>
      </c>
      <c r="J162" s="20" t="n">
        <v>0.3907637655417407</v>
      </c>
      <c r="K162" s="20" t="n">
        <v>0.4081632653061225</v>
      </c>
      <c r="L162" s="19" t="n">
        <v>0.00598985901507957</v>
      </c>
      <c r="M162" s="19" t="n">
        <v>-0.0368866384868628</v>
      </c>
      <c r="N162" s="20" t="n">
        <v>0</v>
      </c>
      <c r="O162" s="27" t="n">
        <v>0.839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GAST @ UCF</t>
        </is>
      </c>
      <c r="C163" s="12" t="inlineStr">
        <is>
          <t>2026-09-19 23:00</t>
        </is>
      </c>
      <c r="D163" s="22" t="n">
        <v>3</v>
      </c>
      <c r="E163" s="12" t="inlineStr">
        <is>
          <t>TOTAL</t>
        </is>
      </c>
      <c r="F163" s="12" t="inlineStr">
        <is>
          <t>Over 51.5</t>
        </is>
      </c>
      <c r="G163" s="23" t="n">
        <v>51.5</v>
      </c>
      <c r="H163" s="13" t="n">
        <v>-108</v>
      </c>
      <c r="I163" s="15" t="n">
        <v>0.4978351475877192</v>
      </c>
      <c r="J163" s="15" t="n">
        <v>0.4956702459300312</v>
      </c>
      <c r="K163" s="15" t="n">
        <v>0.5192307692307693</v>
      </c>
      <c r="L163" s="14" t="n">
        <v>0.004364550113953183</v>
      </c>
      <c r="M163" s="14" t="n">
        <v>-0.04120638242365193</v>
      </c>
      <c r="N163" s="15" t="n">
        <v>0</v>
      </c>
      <c r="O163" s="24" t="n">
        <v>0.839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NEV @ MTSU</t>
        </is>
      </c>
      <c r="C164" s="17" t="inlineStr">
        <is>
          <t>2026-09-19 23:00</t>
        </is>
      </c>
      <c r="D164" s="25" t="n">
        <v>3</v>
      </c>
      <c r="E164" s="17" t="inlineStr">
        <is>
          <t>TOTAL</t>
        </is>
      </c>
      <c r="F164" s="17" t="inlineStr">
        <is>
          <t>Under 50.5</t>
        </is>
      </c>
      <c r="G164" s="26" t="n">
        <v>50.5</v>
      </c>
      <c r="H164" s="18" t="n">
        <v>-108</v>
      </c>
      <c r="I164" s="20" t="n">
        <v>0.4978350809818011</v>
      </c>
      <c r="J164" s="20" t="n">
        <v>0.4956702459300312</v>
      </c>
      <c r="K164" s="20" t="n">
        <v>0.5192307692307693</v>
      </c>
      <c r="L164" s="19" t="n">
        <v>0.004364416022112758</v>
      </c>
      <c r="M164" s="19" t="n">
        <v>-0.04120651070171644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FRES @ SJSU</t>
        </is>
      </c>
      <c r="C165" s="12" t="inlineStr">
        <is>
          <t>2026-09-20 03:00</t>
        </is>
      </c>
      <c r="D165" s="22" t="n">
        <v>3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-112</v>
      </c>
      <c r="I165" s="15" t="n">
        <v>0.5061556513640563</v>
      </c>
      <c r="J165" s="15" t="n">
        <v>0.5043297540699688</v>
      </c>
      <c r="K165" s="15" t="n">
        <v>0.5283018867924528</v>
      </c>
      <c r="L165" s="14" t="n">
        <v>0.003618691610171043</v>
      </c>
      <c r="M165" s="14" t="n">
        <v>-0.04191965991803637</v>
      </c>
      <c r="N165" s="15" t="n">
        <v>0</v>
      </c>
      <c r="O165" s="24" t="n">
        <v>0.839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UNC @ CLEM</t>
        </is>
      </c>
      <c r="C166" s="17" t="inlineStr">
        <is>
          <t>2026-09-19 16:00</t>
        </is>
      </c>
      <c r="D166" s="25" t="n">
        <v>3</v>
      </c>
      <c r="E166" s="17" t="inlineStr">
        <is>
          <t>ML</t>
        </is>
      </c>
      <c r="F166" s="17" t="inlineStr">
        <is>
          <t>CLEM ML</t>
        </is>
      </c>
      <c r="G166" s="26" t="n"/>
      <c r="H166" s="18" t="n">
        <v>-166</v>
      </c>
      <c r="I166" s="20" t="n">
        <v>0.6005596022697135</v>
      </c>
      <c r="J166" s="20" t="n">
        <v>0.5996387718242023</v>
      </c>
      <c r="K166" s="20" t="n">
        <v>0.6240601503759399</v>
      </c>
      <c r="L166" s="19" t="n">
        <v>0.00153550819937143</v>
      </c>
      <c r="M166" s="19" t="n">
        <v>-0.03765750479672414</v>
      </c>
      <c r="N166" s="20" t="n">
        <v>0</v>
      </c>
      <c r="O166" s="27" t="n">
        <v>0.839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TEM @ TOL</t>
        </is>
      </c>
      <c r="C167" s="12" t="inlineStr">
        <is>
          <t>2026-09-19 19:00</t>
        </is>
      </c>
      <c r="D167" s="22" t="n">
        <v>3</v>
      </c>
      <c r="E167" s="12" t="inlineStr">
        <is>
          <t>TOTAL</t>
        </is>
      </c>
      <c r="F167" s="12" t="inlineStr">
        <is>
          <t>Under 51.5</t>
        </is>
      </c>
      <c r="G167" s="23" t="n">
        <v>51.5</v>
      </c>
      <c r="H167" s="13" t="n">
        <v>-115</v>
      </c>
      <c r="I167" s="15" t="n">
        <v>0.5114028210164896</v>
      </c>
      <c r="J167" s="15" t="n">
        <v>0.5108342361863488</v>
      </c>
      <c r="K167" s="15" t="n">
        <v>0.5348837209302325</v>
      </c>
      <c r="L167" s="14" t="n">
        <v>0.001113000606235724</v>
      </c>
      <c r="M167" s="14" t="n">
        <v>-0.04389907375178037</v>
      </c>
      <c r="N167" s="15" t="n">
        <v>0</v>
      </c>
      <c r="O167" s="24" t="n">
        <v>0.839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TEM @ TOL</t>
        </is>
      </c>
      <c r="C168" s="17" t="inlineStr">
        <is>
          <t>2026-09-19 19:00</t>
        </is>
      </c>
      <c r="D168" s="25" t="n">
        <v>3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-105</v>
      </c>
      <c r="I168" s="20" t="n">
        <v>0.4885971789835103</v>
      </c>
      <c r="J168" s="20" t="n">
        <v>0.4891657638136511</v>
      </c>
      <c r="K168" s="20" t="n">
        <v>0.5121951219512195</v>
      </c>
      <c r="L168" s="19" t="n">
        <v>-0.001162298142880448</v>
      </c>
      <c r="M168" s="19" t="n">
        <v>-0.04607217436552746</v>
      </c>
      <c r="N168" s="20" t="n">
        <v>0</v>
      </c>
      <c r="O168" s="27" t="n">
        <v>0.839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UNC @ CLEM</t>
        </is>
      </c>
      <c r="C169" s="12" t="inlineStr">
        <is>
          <t>2026-09-19 16:00</t>
        </is>
      </c>
      <c r="D169" s="22" t="n">
        <v>3</v>
      </c>
      <c r="E169" s="12" t="inlineStr">
        <is>
          <t>ML</t>
        </is>
      </c>
      <c r="F169" s="12" t="inlineStr">
        <is>
          <t>UNC ML</t>
        </is>
      </c>
      <c r="G169" s="23" t="n"/>
      <c r="H169" s="13" t="n">
        <v>140</v>
      </c>
      <c r="I169" s="15" t="n">
        <v>0.3994403977302865</v>
      </c>
      <c r="J169" s="15" t="n">
        <v>0.4003612281757977</v>
      </c>
      <c r="K169" s="15" t="n">
        <v>0.4166666666666667</v>
      </c>
      <c r="L169" s="14" t="n">
        <v>-0.002299549777166658</v>
      </c>
      <c r="M169" s="14" t="n">
        <v>-0.04134304544731249</v>
      </c>
      <c r="N169" s="15" t="n">
        <v>0</v>
      </c>
      <c r="O169" s="24" t="n">
        <v>0.839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FRES @ SJSU</t>
        </is>
      </c>
      <c r="C170" s="17" t="inlineStr">
        <is>
          <t>2026-09-20 03:00</t>
        </is>
      </c>
      <c r="D170" s="25" t="n">
        <v>3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-108</v>
      </c>
      <c r="I170" s="20" t="n">
        <v>0.4938443486359437</v>
      </c>
      <c r="J170" s="20" t="n">
        <v>0.4956702459300312</v>
      </c>
      <c r="K170" s="20" t="n">
        <v>0.5192307692307693</v>
      </c>
      <c r="L170" s="19" t="n">
        <v>-0.003681848458328739</v>
      </c>
      <c r="M170" s="19" t="n">
        <v>-0.04889236559003429</v>
      </c>
      <c r="N170" s="20" t="n">
        <v>0</v>
      </c>
      <c r="O170" s="27" t="n">
        <v>0.839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MSST @ SC</t>
        </is>
      </c>
      <c r="C171" s="12" t="inlineStr">
        <is>
          <t>2026-09-19 20:15</t>
        </is>
      </c>
      <c r="D171" s="22" t="n">
        <v>3</v>
      </c>
      <c r="E171" s="12" t="inlineStr">
        <is>
          <t>ML</t>
        </is>
      </c>
      <c r="F171" s="12" t="inlineStr">
        <is>
          <t>SC ML</t>
        </is>
      </c>
      <c r="G171" s="23" t="n"/>
      <c r="H171" s="13" t="n">
        <v>-175</v>
      </c>
      <c r="I171" s="15" t="n">
        <v>0.606892505504842</v>
      </c>
      <c r="J171" s="15" t="n">
        <v>0.6092362344582594</v>
      </c>
      <c r="K171" s="15" t="n">
        <v>0.6363636363636364</v>
      </c>
      <c r="L171" s="14" t="n">
        <v>-0.003844893922938249</v>
      </c>
      <c r="M171" s="14" t="n">
        <v>-0.04631177706381973</v>
      </c>
      <c r="N171" s="15" t="n">
        <v>0</v>
      </c>
      <c r="O171" s="24" t="n">
        <v>0.839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NEV @ MTSU</t>
        </is>
      </c>
      <c r="C172" s="17" t="inlineStr">
        <is>
          <t>2026-09-19 23:00</t>
        </is>
      </c>
      <c r="D172" s="25" t="n">
        <v>3</v>
      </c>
      <c r="E172" s="17" t="inlineStr">
        <is>
          <t>TOTAL</t>
        </is>
      </c>
      <c r="F172" s="17" t="inlineStr">
        <is>
          <t>Over 50.5</t>
        </is>
      </c>
      <c r="G172" s="26" t="n">
        <v>50.5</v>
      </c>
      <c r="H172" s="18" t="n">
        <v>-112</v>
      </c>
      <c r="I172" s="20" t="n">
        <v>0.5021649190181989</v>
      </c>
      <c r="J172" s="20" t="n">
        <v>0.5043297540699688</v>
      </c>
      <c r="K172" s="20" t="n">
        <v>0.5283018867924528</v>
      </c>
      <c r="L172" s="19" t="n">
        <v>-0.004289580349563814</v>
      </c>
      <c r="M172" s="19" t="n">
        <v>-0.04947354614412347</v>
      </c>
      <c r="N172" s="20" t="n">
        <v>0</v>
      </c>
      <c r="O172" s="27" t="n">
        <v>0.839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GAST @ UCF</t>
        </is>
      </c>
      <c r="C173" s="12" t="inlineStr">
        <is>
          <t>2026-09-19 23:00</t>
        </is>
      </c>
      <c r="D173" s="22" t="n">
        <v>3</v>
      </c>
      <c r="E173" s="12" t="inlineStr">
        <is>
          <t>TOTAL</t>
        </is>
      </c>
      <c r="F173" s="12" t="inlineStr">
        <is>
          <t>Under 51.5</t>
        </is>
      </c>
      <c r="G173" s="23" t="n">
        <v>51.5</v>
      </c>
      <c r="H173" s="13" t="n">
        <v>-112</v>
      </c>
      <c r="I173" s="15" t="n">
        <v>0.5021648524122808</v>
      </c>
      <c r="J173" s="15" t="n">
        <v>0.5043297540699688</v>
      </c>
      <c r="K173" s="15" t="n">
        <v>0.5283018867924528</v>
      </c>
      <c r="L173" s="14" t="n">
        <v>-0.004289712148480808</v>
      </c>
      <c r="M173" s="14" t="n">
        <v>-0.0494736722196113</v>
      </c>
      <c r="N173" s="15" t="n">
        <v>0</v>
      </c>
      <c r="O173" s="24" t="n">
        <v>0.839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UNT @ TXST</t>
        </is>
      </c>
      <c r="C174" s="17" t="inlineStr">
        <is>
          <t>2026-09-19 16:00</t>
        </is>
      </c>
      <c r="D174" s="25" t="n">
        <v>3</v>
      </c>
      <c r="E174" s="17" t="inlineStr">
        <is>
          <t>ATS</t>
        </is>
      </c>
      <c r="F174" s="17" t="inlineStr">
        <is>
          <t>UNT +3</t>
        </is>
      </c>
      <c r="G174" s="26" t="n">
        <v>-3</v>
      </c>
      <c r="H174" s="18" t="n">
        <v>-112</v>
      </c>
      <c r="I174" s="20" t="n">
        <v>0.5004170736893352</v>
      </c>
      <c r="J174" s="20" t="n">
        <v>0.5043297540699688</v>
      </c>
      <c r="K174" s="20" t="n">
        <v>0.5283018867924528</v>
      </c>
      <c r="L174" s="19" t="n">
        <v>-0.007740977741005956</v>
      </c>
      <c r="M174" s="19" t="n">
        <v>-0.04955698943547895</v>
      </c>
      <c r="N174" s="20" t="n">
        <v>0.0611</v>
      </c>
      <c r="O174" s="27" t="n">
        <v>0.839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NIU @ ARIZ</t>
        </is>
      </c>
      <c r="C175" s="12" t="inlineStr">
        <is>
          <t>2026-09-20 02:30</t>
        </is>
      </c>
      <c r="D175" s="22" t="n">
        <v>3</v>
      </c>
      <c r="E175" s="12" t="inlineStr">
        <is>
          <t>TOTAL</t>
        </is>
      </c>
      <c r="F175" s="12" t="inlineStr">
        <is>
          <t>Over 49.5</t>
        </is>
      </c>
      <c r="G175" s="23" t="n">
        <v>49.5</v>
      </c>
      <c r="H175" s="13" t="n">
        <v>-112</v>
      </c>
      <c r="I175" s="15" t="n">
        <v>0.5001694411322781</v>
      </c>
      <c r="J175" s="15" t="n">
        <v>0.5043297540699688</v>
      </c>
      <c r="K175" s="15" t="n">
        <v>0.5283018867924528</v>
      </c>
      <c r="L175" s="14" t="n">
        <v>-0.008228521099880216</v>
      </c>
      <c r="M175" s="14" t="n">
        <v>-0.05325070071390214</v>
      </c>
      <c r="N175" s="15" t="n">
        <v>0</v>
      </c>
      <c r="O175" s="24" t="n">
        <v>0.839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SYR @ PITT</t>
        </is>
      </c>
      <c r="C176" s="17" t="inlineStr">
        <is>
          <t>2026-09-17 23:30</t>
        </is>
      </c>
      <c r="D176" s="25" t="n">
        <v>3</v>
      </c>
      <c r="E176" s="17" t="inlineStr">
        <is>
          <t>TOTAL</t>
        </is>
      </c>
      <c r="F176" s="17" t="inlineStr">
        <is>
          <t>Under 51.5</t>
        </is>
      </c>
      <c r="G176" s="26" t="n">
        <v>51.5</v>
      </c>
      <c r="H176" s="18" t="n">
        <v>-118</v>
      </c>
      <c r="I176" s="20" t="n">
        <v>0.5126728561202006</v>
      </c>
      <c r="J176" s="20" t="n">
        <v>0.5173641257162701</v>
      </c>
      <c r="K176" s="20" t="n">
        <v>0.5412844036697247</v>
      </c>
      <c r="L176" s="19" t="n">
        <v>-0.009040199208922843</v>
      </c>
      <c r="M176" s="19" t="n">
        <v>-0.05285862174403611</v>
      </c>
      <c r="N176" s="20" t="n">
        <v>0</v>
      </c>
      <c r="O176" s="27" t="n">
        <v>0.839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PUR @ UCLA</t>
        </is>
      </c>
      <c r="C177" s="12" t="inlineStr">
        <is>
          <t>2026-09-20 03:00</t>
        </is>
      </c>
      <c r="D177" s="22" t="n">
        <v>3</v>
      </c>
      <c r="E177" s="12" t="inlineStr">
        <is>
          <t>TOTAL</t>
        </is>
      </c>
      <c r="F177" s="12" t="inlineStr">
        <is>
          <t>Under 52.5</t>
        </is>
      </c>
      <c r="G177" s="23" t="n">
        <v>52.5</v>
      </c>
      <c r="H177" s="13" t="n">
        <v>-108</v>
      </c>
      <c r="I177" s="15" t="n">
        <v>0.489855067926112</v>
      </c>
      <c r="J177" s="15" t="n">
        <v>0.4956702459300312</v>
      </c>
      <c r="K177" s="15" t="n">
        <v>0.5192307692307693</v>
      </c>
      <c r="L177" s="14" t="n">
        <v>-0.01167266990722887</v>
      </c>
      <c r="M177" s="14" t="n">
        <v>-0.05657542473489541</v>
      </c>
      <c r="N177" s="15" t="n">
        <v>0</v>
      </c>
      <c r="O177" s="24" t="n">
        <v>0.839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NCSU @ VAN</t>
        </is>
      </c>
      <c r="C178" s="17" t="inlineStr">
        <is>
          <t>2026-09-19 16:45</t>
        </is>
      </c>
      <c r="D178" s="25" t="n">
        <v>3</v>
      </c>
      <c r="E178" s="17" t="inlineStr">
        <is>
          <t>ATS</t>
        </is>
      </c>
      <c r="F178" s="17" t="inlineStr">
        <is>
          <t>NCSU +3.5</t>
        </is>
      </c>
      <c r="G178" s="26" t="n">
        <v>-3.5</v>
      </c>
      <c r="H178" s="18" t="n">
        <v>-115</v>
      </c>
      <c r="I178" s="20" t="n">
        <v>0.5048264357540839</v>
      </c>
      <c r="J178" s="20" t="n">
        <v>0.5108342361863488</v>
      </c>
      <c r="K178" s="20" t="n">
        <v>0.5348837209302325</v>
      </c>
      <c r="L178" s="19" t="n">
        <v>-0.01170104801794024</v>
      </c>
      <c r="M178" s="19" t="n">
        <v>-0.05619405489453877</v>
      </c>
      <c r="N178" s="20" t="n">
        <v>0</v>
      </c>
      <c r="O178" s="27" t="n">
        <v>0.839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UNC @ CLEM</t>
        </is>
      </c>
      <c r="C179" s="12" t="inlineStr">
        <is>
          <t>2026-09-19 16:00</t>
        </is>
      </c>
      <c r="D179" s="22" t="n">
        <v>3</v>
      </c>
      <c r="E179" s="12" t="inlineStr">
        <is>
          <t>ATS</t>
        </is>
      </c>
      <c r="F179" s="12" t="inlineStr">
        <is>
          <t>CLEM -3.5</t>
        </is>
      </c>
      <c r="G179" s="23" t="n">
        <v>-3.5</v>
      </c>
      <c r="H179" s="13" t="n">
        <v>-105</v>
      </c>
      <c r="I179" s="15" t="n">
        <v>0.4831020701238688</v>
      </c>
      <c r="J179" s="15" t="n">
        <v>0.4891657638136511</v>
      </c>
      <c r="K179" s="15" t="n">
        <v>0.5121951219512195</v>
      </c>
      <c r="L179" s="14" t="n">
        <v>-0.01232611359603768</v>
      </c>
      <c r="M179" s="14" t="n">
        <v>-0.05680072023435145</v>
      </c>
      <c r="N179" s="15" t="n">
        <v>0</v>
      </c>
      <c r="O179" s="24" t="n">
        <v>0.839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STAN @ DUKE</t>
        </is>
      </c>
      <c r="C180" s="17" t="inlineStr">
        <is>
          <t>2026-09-19 20:00</t>
        </is>
      </c>
      <c r="D180" s="25" t="n">
        <v>3</v>
      </c>
      <c r="E180" s="17" t="inlineStr">
        <is>
          <t>TOTAL</t>
        </is>
      </c>
      <c r="F180" s="17" t="inlineStr">
        <is>
          <t>Under 51.5</t>
        </is>
      </c>
      <c r="G180" s="26" t="n">
        <v>51.5</v>
      </c>
      <c r="H180" s="18" t="n">
        <v>-118</v>
      </c>
      <c r="I180" s="20" t="n">
        <v>0.5106775470555898</v>
      </c>
      <c r="J180" s="20" t="n">
        <v>0.5173641257162701</v>
      </c>
      <c r="K180" s="20" t="n">
        <v>0.5412844036697247</v>
      </c>
      <c r="L180" s="19" t="n">
        <v>-0.01284516826271762</v>
      </c>
      <c r="M180" s="19" t="n">
        <v>-0.05654487069391045</v>
      </c>
      <c r="N180" s="20" t="n">
        <v>0</v>
      </c>
      <c r="O180" s="27" t="n">
        <v>0.839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CCU @ DEL</t>
        </is>
      </c>
      <c r="C181" s="12" t="inlineStr">
        <is>
          <t>2026-09-19 15:30</t>
        </is>
      </c>
      <c r="D181" s="22" t="n">
        <v>3</v>
      </c>
      <c r="E181" s="12" t="inlineStr">
        <is>
          <t>ML</t>
        </is>
      </c>
      <c r="F181" s="12" t="inlineStr">
        <is>
          <t>DEL ML</t>
        </is>
      </c>
      <c r="G181" s="23" t="n"/>
      <c r="H181" s="13" t="n">
        <v>-218</v>
      </c>
      <c r="I181" s="15" t="n">
        <v>0.6488902362061244</v>
      </c>
      <c r="J181" s="15" t="n">
        <v>0.6574752261956054</v>
      </c>
      <c r="K181" s="15" t="n">
        <v>0.6855345911949685</v>
      </c>
      <c r="L181" s="14" t="n">
        <v>-0.0129759009596392</v>
      </c>
      <c r="M181" s="14" t="n">
        <v>-0.05345369213969009</v>
      </c>
      <c r="N181" s="15" t="n">
        <v>0</v>
      </c>
      <c r="O181" s="24" t="n">
        <v>0.839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UNT @ TXST</t>
        </is>
      </c>
      <c r="C182" s="17" t="inlineStr">
        <is>
          <t>2026-09-19 16:00</t>
        </is>
      </c>
      <c r="D182" s="25" t="n">
        <v>3</v>
      </c>
      <c r="E182" s="17" t="inlineStr">
        <is>
          <t>ML</t>
        </is>
      </c>
      <c r="F182" s="17" t="inlineStr">
        <is>
          <t>UNT ML</t>
        </is>
      </c>
      <c r="G182" s="26" t="n"/>
      <c r="H182" s="18" t="n">
        <v>130</v>
      </c>
      <c r="I182" s="20" t="n">
        <v>0.4098602509453932</v>
      </c>
      <c r="J182" s="20" t="n">
        <v>0.4170073589533933</v>
      </c>
      <c r="K182" s="20" t="n">
        <v>0.4347826086956522</v>
      </c>
      <c r="L182" s="19" t="n">
        <v>-0.01695548674894086</v>
      </c>
      <c r="M182" s="19" t="n">
        <v>-0.0573214228255956</v>
      </c>
      <c r="N182" s="20" t="n">
        <v>0</v>
      </c>
      <c r="O182" s="27" t="n">
        <v>0.839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VT @ MD</t>
        </is>
      </c>
      <c r="C183" s="12" t="inlineStr">
        <is>
          <t>2026-09-19 23:30</t>
        </is>
      </c>
      <c r="D183" s="22" t="n">
        <v>3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-115</v>
      </c>
      <c r="I183" s="15" t="n">
        <v>0.5014263069005972</v>
      </c>
      <c r="J183" s="15" t="n">
        <v>0.5108342361863488</v>
      </c>
      <c r="K183" s="15" t="n">
        <v>0.5348837209302325</v>
      </c>
      <c r="L183" s="14" t="n">
        <v>-0.018189497221788</v>
      </c>
      <c r="M183" s="14" t="n">
        <v>-0.0625508175336662</v>
      </c>
      <c r="N183" s="15" t="n">
        <v>0</v>
      </c>
      <c r="O183" s="24" t="n">
        <v>0.839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BYU @ CSU</t>
        </is>
      </c>
      <c r="C184" s="17" t="inlineStr">
        <is>
          <t>2026-09-19 23:30</t>
        </is>
      </c>
      <c r="D184" s="25" t="n">
        <v>3</v>
      </c>
      <c r="E184" s="17" t="inlineStr">
        <is>
          <t>TOTAL</t>
        </is>
      </c>
      <c r="F184" s="17" t="inlineStr">
        <is>
          <t>Under 52.5</t>
        </is>
      </c>
      <c r="G184" s="26" t="n">
        <v>52.5</v>
      </c>
      <c r="H184" s="18" t="n">
        <v>-115</v>
      </c>
      <c r="I184" s="20" t="n">
        <v>0.5014262848331477</v>
      </c>
      <c r="J184" s="20" t="n">
        <v>0.5108342361863488</v>
      </c>
      <c r="K184" s="20" t="n">
        <v>0.5348837209302325</v>
      </c>
      <c r="L184" s="19" t="n">
        <v>-0.01818953883695447</v>
      </c>
      <c r="M184" s="19" t="n">
        <v>-0.06255085879020228</v>
      </c>
      <c r="N184" s="20" t="n">
        <v>0</v>
      </c>
      <c r="O184" s="27" t="n">
        <v>0.839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MSU @ ND</t>
        </is>
      </c>
      <c r="C185" s="12" t="inlineStr">
        <is>
          <t>2026-09-19 23:30</t>
        </is>
      </c>
      <c r="D185" s="22" t="n">
        <v>3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-102</v>
      </c>
      <c r="I185" s="15" t="n">
        <v>0.4733823060622933</v>
      </c>
      <c r="J185" s="15" t="n">
        <v>0.4826358742837298</v>
      </c>
      <c r="K185" s="15" t="n">
        <v>0.504950495049505</v>
      </c>
      <c r="L185" s="14" t="n">
        <v>-0.0189168372395283</v>
      </c>
      <c r="M185" s="14" t="n">
        <v>-0.0625173938766348</v>
      </c>
      <c r="N185" s="15" t="n">
        <v>0</v>
      </c>
      <c r="O185" s="24" t="n">
        <v>0.839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MRSH @ MOST</t>
        </is>
      </c>
      <c r="C186" s="17" t="inlineStr">
        <is>
          <t>2026-09-19 22:30</t>
        </is>
      </c>
      <c r="D186" s="25" t="n">
        <v>3</v>
      </c>
      <c r="E186" s="17" t="inlineStr">
        <is>
          <t>TOTAL</t>
        </is>
      </c>
      <c r="F186" s="17" t="inlineStr">
        <is>
          <t>Under 51.5</t>
        </is>
      </c>
      <c r="G186" s="26" t="n">
        <v>51.5</v>
      </c>
      <c r="H186" s="18" t="n">
        <v>-108</v>
      </c>
      <c r="I186" s="20" t="n">
        <v>0.485869030825965</v>
      </c>
      <c r="J186" s="20" t="n">
        <v>0.4956702459300312</v>
      </c>
      <c r="K186" s="20" t="n">
        <v>0.5192307692307693</v>
      </c>
      <c r="L186" s="19" t="n">
        <v>-0.01949296671240393</v>
      </c>
      <c r="M186" s="19" t="n">
        <v>-0.06425223692777104</v>
      </c>
      <c r="N186" s="20" t="n">
        <v>0</v>
      </c>
      <c r="O186" s="27" t="n">
        <v>0.839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NCSU @ VAN</t>
        </is>
      </c>
      <c r="C187" s="12" t="inlineStr">
        <is>
          <t>2026-09-19 16:45</t>
        </is>
      </c>
      <c r="D187" s="22" t="n">
        <v>3</v>
      </c>
      <c r="E187" s="12" t="inlineStr">
        <is>
          <t>ML</t>
        </is>
      </c>
      <c r="F187" s="12" t="inlineStr">
        <is>
          <t>NCSU ML</t>
        </is>
      </c>
      <c r="G187" s="23" t="n"/>
      <c r="H187" s="13" t="n">
        <v>145</v>
      </c>
      <c r="I187" s="15" t="n">
        <v>0.3830071127115389</v>
      </c>
      <c r="J187" s="15" t="n">
        <v>0.3907637655417407</v>
      </c>
      <c r="K187" s="15" t="n">
        <v>0.4081632653061225</v>
      </c>
      <c r="L187" s="14" t="n">
        <v>-0.01956606076761507</v>
      </c>
      <c r="M187" s="14" t="n">
        <v>-0.06163257385672971</v>
      </c>
      <c r="N187" s="15" t="n">
        <v>0</v>
      </c>
      <c r="O187" s="24" t="n">
        <v>0.839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TEM @ TOL</t>
        </is>
      </c>
      <c r="C188" s="17" t="inlineStr">
        <is>
          <t>2026-09-19 19:00</t>
        </is>
      </c>
      <c r="D188" s="25" t="n">
        <v>3</v>
      </c>
      <c r="E188" s="17" t="inlineStr">
        <is>
          <t>ATS</t>
        </is>
      </c>
      <c r="F188" s="17" t="inlineStr">
        <is>
          <t>TEM +5.5</t>
        </is>
      </c>
      <c r="G188" s="26" t="n">
        <v>-5.5</v>
      </c>
      <c r="H188" s="18" t="n">
        <v>-110</v>
      </c>
      <c r="I188" s="20" t="n">
        <v>0.4869345497538249</v>
      </c>
      <c r="J188" s="20" t="n">
        <v>0.5</v>
      </c>
      <c r="K188" s="20" t="n">
        <v>0.5238095238095238</v>
      </c>
      <c r="L188" s="19" t="n">
        <v>-0.02549123803810194</v>
      </c>
      <c r="M188" s="19" t="n">
        <v>-0.0703976777426979</v>
      </c>
      <c r="N188" s="20" t="n">
        <v>0</v>
      </c>
      <c r="O188" s="27" t="n">
        <v>0.839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MSST @ SC</t>
        </is>
      </c>
      <c r="C189" s="12" t="inlineStr">
        <is>
          <t>2026-09-19 20:15</t>
        </is>
      </c>
      <c r="D189" s="22" t="n">
        <v>3</v>
      </c>
      <c r="E189" s="12" t="inlineStr">
        <is>
          <t>ATS</t>
        </is>
      </c>
      <c r="F189" s="12" t="inlineStr">
        <is>
          <t>SC -4</t>
        </is>
      </c>
      <c r="G189" s="23" t="n">
        <v>-4</v>
      </c>
      <c r="H189" s="13" t="n">
        <v>-105</v>
      </c>
      <c r="I189" s="15" t="n">
        <v>0.4763052717883661</v>
      </c>
      <c r="J189" s="15" t="n">
        <v>0.4891657638136511</v>
      </c>
      <c r="K189" s="15" t="n">
        <v>0.5121951219512195</v>
      </c>
      <c r="L189" s="14" t="n">
        <v>-0.02563943015515805</v>
      </c>
      <c r="M189" s="14" t="n">
        <v>-0.06788445525469856</v>
      </c>
      <c r="N189" s="15" t="n">
        <v>0.0312</v>
      </c>
      <c r="O189" s="24" t="n">
        <v>0.839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TROY @ MIZ</t>
        </is>
      </c>
      <c r="C190" s="17" t="inlineStr">
        <is>
          <t>2026-09-19 23:00</t>
        </is>
      </c>
      <c r="D190" s="25" t="n">
        <v>3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-112</v>
      </c>
      <c r="I190" s="20" t="n">
        <v>0.4901987715641336</v>
      </c>
      <c r="J190" s="20" t="n">
        <v>0.5043297540699688</v>
      </c>
      <c r="K190" s="20" t="n">
        <v>0.5283018867924528</v>
      </c>
      <c r="L190" s="19" t="n">
        <v>-0.02723417501752164</v>
      </c>
      <c r="M190" s="19" t="n">
        <v>-0.07212375382503289</v>
      </c>
      <c r="N190" s="20" t="n">
        <v>0</v>
      </c>
      <c r="O190" s="27" t="n">
        <v>0.839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CCU @ DEL</t>
        </is>
      </c>
      <c r="C191" s="12" t="inlineStr">
        <is>
          <t>2026-09-19 15:30</t>
        </is>
      </c>
      <c r="D191" s="22" t="n">
        <v>3</v>
      </c>
      <c r="E191" s="12" t="inlineStr">
        <is>
          <t>ATS</t>
        </is>
      </c>
      <c r="F191" s="12" t="inlineStr">
        <is>
          <t>DEL -5.5</t>
        </is>
      </c>
      <c r="G191" s="23" t="n">
        <v>-5.5</v>
      </c>
      <c r="H191" s="13" t="n">
        <v>-105</v>
      </c>
      <c r="I191" s="15" t="n">
        <v>0.4753487438579782</v>
      </c>
      <c r="J191" s="15" t="n">
        <v>0.4891657638136511</v>
      </c>
      <c r="K191" s="15" t="n">
        <v>0.5121951219512195</v>
      </c>
      <c r="L191" s="14" t="n">
        <v>-0.02744215481395811</v>
      </c>
      <c r="M191" s="14" t="n">
        <v>-0.0719381667534712</v>
      </c>
      <c r="N191" s="15" t="n">
        <v>0</v>
      </c>
      <c r="O191" s="24" t="n">
        <v>0.839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UGA @ ARK</t>
        </is>
      </c>
      <c r="C192" s="17" t="inlineStr">
        <is>
          <t>2026-09-19 16:00</t>
        </is>
      </c>
      <c r="D192" s="25" t="n">
        <v>3</v>
      </c>
      <c r="E192" s="17" t="inlineStr">
        <is>
          <t>TOTAL</t>
        </is>
      </c>
      <c r="F192" s="17" t="inlineStr">
        <is>
          <t>Over 54.5</t>
        </is>
      </c>
      <c r="G192" s="26" t="n">
        <v>54.5</v>
      </c>
      <c r="H192" s="18" t="n">
        <v>-110</v>
      </c>
      <c r="I192" s="20" t="n">
        <v>0.4840526872905611</v>
      </c>
      <c r="J192" s="20" t="n">
        <v>0.5</v>
      </c>
      <c r="K192" s="20" t="n">
        <v>0.5238095238095238</v>
      </c>
      <c r="L192" s="19" t="n">
        <v>-0.0307479466624253</v>
      </c>
      <c r="M192" s="19" t="n">
        <v>-0.07589941517256527</v>
      </c>
      <c r="N192" s="20" t="n">
        <v>0</v>
      </c>
      <c r="O192" s="27" t="n">
        <v>0.839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OHIO @ USA</t>
        </is>
      </c>
      <c r="C193" s="12" t="inlineStr">
        <is>
          <t>2026-09-19 23:00</t>
        </is>
      </c>
      <c r="D193" s="22" t="n">
        <v>3</v>
      </c>
      <c r="E193" s="12" t="inlineStr">
        <is>
          <t>TOTAL</t>
        </is>
      </c>
      <c r="F193" s="12" t="inlineStr">
        <is>
          <t>Under 51.5</t>
        </is>
      </c>
      <c r="G193" s="23" t="n">
        <v>51.5</v>
      </c>
      <c r="H193" s="13" t="n">
        <v>-108</v>
      </c>
      <c r="I193" s="15" t="n">
        <v>0.4779129118190826</v>
      </c>
      <c r="J193" s="15" t="n">
        <v>0.4956702459300312</v>
      </c>
      <c r="K193" s="15" t="n">
        <v>0.5192307692307693</v>
      </c>
      <c r="L193" s="14" t="n">
        <v>-0.03421804508283911</v>
      </c>
      <c r="M193" s="14" t="n">
        <v>-0.07957513279287798</v>
      </c>
      <c r="N193" s="15" t="n">
        <v>0</v>
      </c>
      <c r="O193" s="24" t="n">
        <v>0.839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COLO @ NU</t>
        </is>
      </c>
      <c r="C194" s="17" t="inlineStr">
        <is>
          <t>2026-09-19 23:30</t>
        </is>
      </c>
      <c r="D194" s="25" t="n">
        <v>3</v>
      </c>
      <c r="E194" s="17" t="inlineStr">
        <is>
          <t>ATS</t>
        </is>
      </c>
      <c r="F194" s="17" t="inlineStr">
        <is>
          <t>COLO +3.5</t>
        </is>
      </c>
      <c r="G194" s="26" t="n">
        <v>-3.5</v>
      </c>
      <c r="H194" s="18" t="n">
        <v>-105</v>
      </c>
      <c r="I194" s="20" t="n">
        <v>0.4702700415350176</v>
      </c>
      <c r="J194" s="20" t="n">
        <v>0.4891657638136511</v>
      </c>
      <c r="K194" s="20" t="n">
        <v>0.5121951219512195</v>
      </c>
      <c r="L194" s="19" t="n">
        <v>-0.03663153387249715</v>
      </c>
      <c r="M194" s="19" t="n">
        <v>-0.0818537284316323</v>
      </c>
      <c r="N194" s="20" t="n">
        <v>0</v>
      </c>
      <c r="O194" s="27" t="n">
        <v>0.725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ASU @ KU</t>
        </is>
      </c>
      <c r="C195" s="12" t="inlineStr">
        <is>
          <t>2026-09-19 16:00</t>
        </is>
      </c>
      <c r="D195" s="22" t="n">
        <v>3</v>
      </c>
      <c r="E195" s="12" t="inlineStr">
        <is>
          <t>TOTAL</t>
        </is>
      </c>
      <c r="F195" s="12" t="inlineStr">
        <is>
          <t>Under 51.5</t>
        </is>
      </c>
      <c r="G195" s="23" t="n">
        <v>51.5</v>
      </c>
      <c r="H195" s="13" t="n">
        <v>-110</v>
      </c>
      <c r="I195" s="15" t="n">
        <v>0.4800777888540669</v>
      </c>
      <c r="J195" s="15" t="n">
        <v>0.5</v>
      </c>
      <c r="K195" s="15" t="n">
        <v>0.5238095238095238</v>
      </c>
      <c r="L195" s="14" t="n">
        <v>-0.03766155893987126</v>
      </c>
      <c r="M195" s="14" t="n">
        <v>-0.08348785764223576</v>
      </c>
      <c r="N195" s="15" t="n">
        <v>0</v>
      </c>
      <c r="O195" s="24" t="n">
        <v>0.839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TULN @ KSU</t>
        </is>
      </c>
      <c r="C196" s="17" t="inlineStr">
        <is>
          <t>2026-09-19 16:00</t>
        </is>
      </c>
      <c r="D196" s="25" t="n">
        <v>3</v>
      </c>
      <c r="E196" s="17" t="inlineStr">
        <is>
          <t>TOTAL</t>
        </is>
      </c>
      <c r="F196" s="17" t="inlineStr">
        <is>
          <t>Under 49.5</t>
        </is>
      </c>
      <c r="G196" s="26" t="n">
        <v>49.5</v>
      </c>
      <c r="H196" s="18" t="n">
        <v>-110</v>
      </c>
      <c r="I196" s="20" t="n">
        <v>0.480077758966456</v>
      </c>
      <c r="J196" s="20" t="n">
        <v>0.5</v>
      </c>
      <c r="K196" s="20" t="n">
        <v>0.5238095238095238</v>
      </c>
      <c r="L196" s="19" t="n">
        <v>-0.03766160932064762</v>
      </c>
      <c r="M196" s="19" t="n">
        <v>-0.08348791470040218</v>
      </c>
      <c r="N196" s="20" t="n">
        <v>0</v>
      </c>
      <c r="O196" s="27" t="n">
        <v>0.839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UAB @ UL</t>
        </is>
      </c>
      <c r="C197" s="12" t="inlineStr">
        <is>
          <t>2026-09-20 00:00</t>
        </is>
      </c>
      <c r="D197" s="22" t="n">
        <v>3</v>
      </c>
      <c r="E197" s="12" t="inlineStr">
        <is>
          <t>ML</t>
        </is>
      </c>
      <c r="F197" s="12" t="inlineStr">
        <is>
          <t>UL ML</t>
        </is>
      </c>
      <c r="G197" s="23" t="n"/>
      <c r="H197" s="13" t="n">
        <v>-310</v>
      </c>
      <c r="I197" s="15" t="n">
        <v>0.6940263514324089</v>
      </c>
      <c r="J197" s="15" t="n">
        <v>0.725752508361204</v>
      </c>
      <c r="K197" s="15" t="n">
        <v>0.7560975609756098</v>
      </c>
      <c r="L197" s="14" t="n">
        <v>-0.04087009668957784</v>
      </c>
      <c r="M197" s="14" t="n">
        <v>-0.08209418036358829</v>
      </c>
      <c r="N197" s="15" t="n">
        <v>0</v>
      </c>
      <c r="O197" s="24" t="n">
        <v>0.839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BUFF @ PSU</t>
        </is>
      </c>
      <c r="C198" s="17" t="inlineStr">
        <is>
          <t>2026-09-19 16:00</t>
        </is>
      </c>
      <c r="D198" s="25" t="n">
        <v>3</v>
      </c>
      <c r="E198" s="17" t="inlineStr">
        <is>
          <t>TOTAL</t>
        </is>
      </c>
      <c r="F198" s="17" t="inlineStr">
        <is>
          <t>Under 48.5</t>
        </is>
      </c>
      <c r="G198" s="26" t="n">
        <v>48.5</v>
      </c>
      <c r="H198" s="18" t="n">
        <v>-112</v>
      </c>
      <c r="I198" s="20" t="n">
        <v>0.4822426047873021</v>
      </c>
      <c r="J198" s="20" t="n">
        <v>0.5043297540699688</v>
      </c>
      <c r="K198" s="20" t="n">
        <v>0.5283018867924528</v>
      </c>
      <c r="L198" s="19" t="n">
        <v>-0.04093543912204675</v>
      </c>
      <c r="M198" s="19" t="n">
        <v>-0.08718364093832109</v>
      </c>
      <c r="N198" s="20" t="n">
        <v>0</v>
      </c>
      <c r="O198" s="27" t="n">
        <v>0.839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NCSU @ VAN</t>
        </is>
      </c>
      <c r="C199" s="12" t="inlineStr">
        <is>
          <t>2026-09-19 16:45</t>
        </is>
      </c>
      <c r="D199" s="22" t="n">
        <v>3</v>
      </c>
      <c r="E199" s="12" t="inlineStr">
        <is>
          <t>TOTAL</t>
        </is>
      </c>
      <c r="F199" s="12" t="inlineStr">
        <is>
          <t>Under 51.5</t>
        </is>
      </c>
      <c r="G199" s="23" t="n">
        <v>51.5</v>
      </c>
      <c r="H199" s="13" t="n">
        <v>-115</v>
      </c>
      <c r="I199" s="15" t="n">
        <v>0.4874814491661821</v>
      </c>
      <c r="J199" s="15" t="n">
        <v>0.5108342361863488</v>
      </c>
      <c r="K199" s="15" t="n">
        <v>0.5348837209302325</v>
      </c>
      <c r="L199" s="14" t="n">
        <v>-0.04248519273151656</v>
      </c>
      <c r="M199" s="14" t="n">
        <v>-0.08862163851539884</v>
      </c>
      <c r="N199" s="15" t="n">
        <v>0</v>
      </c>
      <c r="O199" s="24" t="n">
        <v>0.839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LT @ BAY</t>
        </is>
      </c>
      <c r="C200" s="17" t="inlineStr">
        <is>
          <t>2026-09-19 20:00</t>
        </is>
      </c>
      <c r="D200" s="25" t="n">
        <v>3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-112</v>
      </c>
      <c r="I200" s="20" t="n">
        <v>0.480258139334429</v>
      </c>
      <c r="J200" s="20" t="n">
        <v>0.5043297540699688</v>
      </c>
      <c r="K200" s="20" t="n">
        <v>0.5283018867924528</v>
      </c>
      <c r="L200" s="19" t="n">
        <v>-0.04408174129539089</v>
      </c>
      <c r="M200" s="19" t="n">
        <v>-0.09093995054554527</v>
      </c>
      <c r="N200" s="20" t="n">
        <v>0</v>
      </c>
      <c r="O200" s="27" t="n">
        <v>0.839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BALL @ LIB</t>
        </is>
      </c>
      <c r="C201" s="12" t="inlineStr">
        <is>
          <t>2026-09-19 20:00</t>
        </is>
      </c>
      <c r="D201" s="22" t="n">
        <v>3</v>
      </c>
      <c r="E201" s="12" t="inlineStr">
        <is>
          <t>TOTAL</t>
        </is>
      </c>
      <c r="F201" s="12" t="inlineStr">
        <is>
          <t>Under 49.5</t>
        </is>
      </c>
      <c r="G201" s="23" t="n">
        <v>49.5</v>
      </c>
      <c r="H201" s="13" t="n">
        <v>-112</v>
      </c>
      <c r="I201" s="15" t="n">
        <v>0.4802580822432527</v>
      </c>
      <c r="J201" s="15" t="n">
        <v>0.5043297540699688</v>
      </c>
      <c r="K201" s="15" t="n">
        <v>0.5283018867924528</v>
      </c>
      <c r="L201" s="14" t="n">
        <v>-0.04408183012353974</v>
      </c>
      <c r="M201" s="14" t="n">
        <v>-0.09094005861098597</v>
      </c>
      <c r="N201" s="15" t="n">
        <v>0</v>
      </c>
      <c r="O201" s="24" t="n">
        <v>0.839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OHIO @ USA</t>
        </is>
      </c>
      <c r="C202" s="17" t="inlineStr">
        <is>
          <t>2026-09-19 23:00</t>
        </is>
      </c>
      <c r="D202" s="25" t="n">
        <v>3</v>
      </c>
      <c r="E202" s="17" t="inlineStr">
        <is>
          <t>ATS</t>
        </is>
      </c>
      <c r="F202" s="17" t="inlineStr">
        <is>
          <t>OHIO +4.5</t>
        </is>
      </c>
      <c r="G202" s="26" t="n">
        <v>-4.5</v>
      </c>
      <c r="H202" s="18" t="n">
        <v>-115</v>
      </c>
      <c r="I202" s="20" t="n">
        <v>0.4844946709563394</v>
      </c>
      <c r="J202" s="20" t="n">
        <v>0.5108342361863488</v>
      </c>
      <c r="K202" s="20" t="n">
        <v>0.5348837209302325</v>
      </c>
      <c r="L202" s="19" t="n">
        <v>-0.04703180838894528</v>
      </c>
      <c r="M202" s="19" t="n">
        <v>-0.09420561516858306</v>
      </c>
      <c r="N202" s="20" t="n">
        <v>0</v>
      </c>
      <c r="O202" s="27" t="n">
        <v>0.839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FIU @ FAU</t>
        </is>
      </c>
      <c r="C203" s="12" t="inlineStr">
        <is>
          <t>2026-09-19 22:00</t>
        </is>
      </c>
      <c r="D203" s="22" t="n">
        <v>3</v>
      </c>
      <c r="E203" s="12" t="inlineStr">
        <is>
          <t>ML</t>
        </is>
      </c>
      <c r="F203" s="12" t="inlineStr">
        <is>
          <t>FAU ML</t>
        </is>
      </c>
      <c r="G203" s="23" t="n"/>
      <c r="H203" s="13" t="n">
        <v>-250</v>
      </c>
      <c r="I203" s="15" t="n">
        <v>0.6491394483291937</v>
      </c>
      <c r="J203" s="15" t="n">
        <v>0.6853932584269663</v>
      </c>
      <c r="K203" s="15" t="n">
        <v>0.7142857142857143</v>
      </c>
      <c r="L203" s="14" t="n">
        <v>-0.04803111775364441</v>
      </c>
      <c r="M203" s="14" t="n">
        <v>-0.09120477233912894</v>
      </c>
      <c r="N203" s="15" t="n">
        <v>0</v>
      </c>
      <c r="O203" s="24" t="n">
        <v>0.839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UTEP @ MICH</t>
        </is>
      </c>
      <c r="C204" s="17" t="inlineStr">
        <is>
          <t>2026-09-19 19:30</t>
        </is>
      </c>
      <c r="D204" s="25" t="n">
        <v>3</v>
      </c>
      <c r="E204" s="17" t="inlineStr">
        <is>
          <t>TOTAL</t>
        </is>
      </c>
      <c r="F204" s="17" t="inlineStr">
        <is>
          <t>Under 48.5</t>
        </is>
      </c>
      <c r="G204" s="26" t="n">
        <v>48.5</v>
      </c>
      <c r="H204" s="18" t="n">
        <v>-115</v>
      </c>
      <c r="I204" s="20" t="n">
        <v>0.4835102934077787</v>
      </c>
      <c r="J204" s="20" t="n">
        <v>0.5108342361863488</v>
      </c>
      <c r="K204" s="20" t="n">
        <v>0.5348837209302325</v>
      </c>
      <c r="L204" s="19" t="n">
        <v>-0.04847184985543468</v>
      </c>
      <c r="M204" s="19" t="n">
        <v>-0.09604597319415287</v>
      </c>
      <c r="N204" s="20" t="n">
        <v>0</v>
      </c>
      <c r="O204" s="27" t="n">
        <v>0.839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CLT @ APP</t>
        </is>
      </c>
      <c r="C205" s="12" t="inlineStr">
        <is>
          <t>2026-09-19 22:00</t>
        </is>
      </c>
      <c r="D205" s="22" t="n">
        <v>3</v>
      </c>
      <c r="E205" s="12" t="inlineStr">
        <is>
          <t>TOTAL</t>
        </is>
      </c>
      <c r="F205" s="12" t="inlineStr">
        <is>
          <t>Under 51.5</t>
        </is>
      </c>
      <c r="G205" s="23" t="n">
        <v>51.5</v>
      </c>
      <c r="H205" s="13" t="n">
        <v>-115</v>
      </c>
      <c r="I205" s="15" t="n">
        <v>0.4815279804051003</v>
      </c>
      <c r="J205" s="15" t="n">
        <v>0.5108342361863488</v>
      </c>
      <c r="K205" s="15" t="n">
        <v>0.5348837209302325</v>
      </c>
      <c r="L205" s="14" t="n">
        <v>-0.05128201958250349</v>
      </c>
      <c r="M205" s="14" t="n">
        <v>-0.09975203663394305</v>
      </c>
      <c r="N205" s="15" t="n">
        <v>0</v>
      </c>
      <c r="O205" s="24" t="n">
        <v>0.839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NDSU @ SAC</t>
        </is>
      </c>
      <c r="C206" s="17" t="inlineStr">
        <is>
          <t>2026-09-20 02:30</t>
        </is>
      </c>
      <c r="D206" s="25" t="n">
        <v>3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-102</v>
      </c>
      <c r="I206" s="20" t="n">
        <v>0.4536297311797856</v>
      </c>
      <c r="J206" s="20" t="n">
        <v>0.4826358742837298</v>
      </c>
      <c r="K206" s="20" t="n">
        <v>0.504950495049505</v>
      </c>
      <c r="L206" s="19" t="n">
        <v>-0.05318646381742838</v>
      </c>
      <c r="M206" s="19" t="n">
        <v>-0.1016352382517972</v>
      </c>
      <c r="N206" s="20" t="n">
        <v>0</v>
      </c>
      <c r="O206" s="27" t="n">
        <v>0.926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TEM @ TOL</t>
        </is>
      </c>
      <c r="C207" s="12" t="inlineStr">
        <is>
          <t>2026-09-19 19:00</t>
        </is>
      </c>
      <c r="D207" s="22" t="n">
        <v>3</v>
      </c>
      <c r="E207" s="12" t="inlineStr">
        <is>
          <t>ML</t>
        </is>
      </c>
      <c r="F207" s="12" t="inlineStr">
        <is>
          <t>TEM ML</t>
        </is>
      </c>
      <c r="G207" s="23" t="n"/>
      <c r="H207" s="13" t="n">
        <v>180</v>
      </c>
      <c r="I207" s="15" t="n">
        <v>0.3218143749297715</v>
      </c>
      <c r="J207" s="15" t="n">
        <v>0.3425247738043947</v>
      </c>
      <c r="K207" s="15" t="n">
        <v>0.3571428571428572</v>
      </c>
      <c r="L207" s="14" t="n">
        <v>-0.05343618392095172</v>
      </c>
      <c r="M207" s="14" t="n">
        <v>-0.0989197501966399</v>
      </c>
      <c r="N207" s="15" t="n">
        <v>0</v>
      </c>
      <c r="O207" s="24" t="n">
        <v>0.839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GASO @ JVST</t>
        </is>
      </c>
      <c r="C208" s="17" t="inlineStr">
        <is>
          <t>2026-09-19 23:00</t>
        </is>
      </c>
      <c r="D208" s="25" t="n">
        <v>3</v>
      </c>
      <c r="E208" s="17" t="inlineStr">
        <is>
          <t>ATS</t>
        </is>
      </c>
      <c r="F208" s="17" t="inlineStr">
        <is>
          <t>GASO +3</t>
        </is>
      </c>
      <c r="G208" s="26" t="n">
        <v>-3</v>
      </c>
      <c r="H208" s="18" t="n">
        <v>-105</v>
      </c>
      <c r="I208" s="20" t="n">
        <v>0.4590961606810869</v>
      </c>
      <c r="J208" s="20" t="n">
        <v>0.4891657638136511</v>
      </c>
      <c r="K208" s="20" t="n">
        <v>0.5121951219512195</v>
      </c>
      <c r="L208" s="19" t="n">
        <v>-0.05412064092361407</v>
      </c>
      <c r="M208" s="19" t="n">
        <v>-0.09741813572034697</v>
      </c>
      <c r="N208" s="20" t="n">
        <v>0.0603</v>
      </c>
      <c r="O208" s="27" t="n">
        <v>0.839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STAN @ DUKE</t>
        </is>
      </c>
      <c r="C209" s="12" t="inlineStr">
        <is>
          <t>2026-09-19 20:00</t>
        </is>
      </c>
      <c r="D209" s="22" t="n">
        <v>3</v>
      </c>
      <c r="E209" s="12" t="inlineStr">
        <is>
          <t>ML</t>
        </is>
      </c>
      <c r="F209" s="12" t="inlineStr">
        <is>
          <t>DUKE ML</t>
        </is>
      </c>
      <c r="G209" s="23" t="n"/>
      <c r="H209" s="13" t="n">
        <v>-375</v>
      </c>
      <c r="I209" s="15" t="n">
        <v>0.7082831892859056</v>
      </c>
      <c r="J209" s="15" t="n">
        <v>0.7571884984025559</v>
      </c>
      <c r="K209" s="15" t="n">
        <v>0.7894736842105263</v>
      </c>
      <c r="L209" s="14" t="n">
        <v>-0.05618655651003966</v>
      </c>
      <c r="M209" s="14" t="n">
        <v>-0.1028412935711863</v>
      </c>
      <c r="N209" s="15" t="n">
        <v>0</v>
      </c>
      <c r="O209" s="24" t="n">
        <v>0.839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M-OH @ CIN</t>
        </is>
      </c>
      <c r="C210" s="17" t="inlineStr">
        <is>
          <t>2026-09-19 19:30</t>
        </is>
      </c>
      <c r="D210" s="25" t="n">
        <v>3</v>
      </c>
      <c r="E210" s="17" t="inlineStr">
        <is>
          <t>TOTAL</t>
        </is>
      </c>
      <c r="F210" s="17" t="inlineStr">
        <is>
          <t>Under 50.5</t>
        </is>
      </c>
      <c r="G210" s="26" t="n">
        <v>50.5</v>
      </c>
      <c r="H210" s="18" t="n">
        <v>-102</v>
      </c>
      <c r="I210" s="20" t="n">
        <v>0.4497177517892554</v>
      </c>
      <c r="J210" s="20" t="n">
        <v>0.4826358742837298</v>
      </c>
      <c r="K210" s="20" t="n">
        <v>0.504950495049505</v>
      </c>
      <c r="L210" s="19" t="n">
        <v>-0.0584853695896224</v>
      </c>
      <c r="M210" s="19" t="n">
        <v>-0.1093824915546118</v>
      </c>
      <c r="N210" s="20" t="n">
        <v>0</v>
      </c>
      <c r="O210" s="27" t="n">
        <v>0.839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COLO @ NU</t>
        </is>
      </c>
      <c r="C211" s="12" t="inlineStr">
        <is>
          <t>2026-09-19 23:30</t>
        </is>
      </c>
      <c r="D211" s="22" t="n">
        <v>3</v>
      </c>
      <c r="E211" s="12" t="inlineStr">
        <is>
          <t>ML</t>
        </is>
      </c>
      <c r="F211" s="12" t="inlineStr">
        <is>
          <t>COLO ML</t>
        </is>
      </c>
      <c r="G211" s="23" t="n"/>
      <c r="H211" s="13" t="n">
        <v>150</v>
      </c>
      <c r="I211" s="15" t="n">
        <v>0.3571954489739273</v>
      </c>
      <c r="J211" s="15" t="n">
        <v>0.3835616438356164</v>
      </c>
      <c r="K211" s="15" t="n">
        <v>0.4</v>
      </c>
      <c r="L211" s="14" t="n">
        <v>-0.05881679195126074</v>
      </c>
      <c r="M211" s="14" t="n">
        <v>-0.1070113775651818</v>
      </c>
      <c r="N211" s="15" t="n">
        <v>0</v>
      </c>
      <c r="O211" s="24" t="n">
        <v>0.725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GASO @ JVST</t>
        </is>
      </c>
      <c r="C212" s="17" t="inlineStr">
        <is>
          <t>2026-09-19 23:00</t>
        </is>
      </c>
      <c r="D212" s="25" t="n">
        <v>3</v>
      </c>
      <c r="E212" s="17" t="inlineStr">
        <is>
          <t>ML</t>
        </is>
      </c>
      <c r="F212" s="17" t="inlineStr">
        <is>
          <t>GASO ML</t>
        </is>
      </c>
      <c r="G212" s="26" t="n"/>
      <c r="H212" s="18" t="n">
        <v>140</v>
      </c>
      <c r="I212" s="20" t="n">
        <v>0.3711573324871098</v>
      </c>
      <c r="J212" s="20" t="n">
        <v>0.4003612281757977</v>
      </c>
      <c r="K212" s="20" t="n">
        <v>0.4166666666666667</v>
      </c>
      <c r="L212" s="19" t="n">
        <v>-0.06133826608661176</v>
      </c>
      <c r="M212" s="19" t="n">
        <v>-0.1092224020309365</v>
      </c>
      <c r="N212" s="20" t="n">
        <v>0</v>
      </c>
      <c r="O212" s="27" t="n">
        <v>0.839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ECU @ ODU</t>
        </is>
      </c>
      <c r="C213" s="12" t="inlineStr">
        <is>
          <t>2026-09-19 22:00</t>
        </is>
      </c>
      <c r="D213" s="22" t="n">
        <v>3</v>
      </c>
      <c r="E213" s="12" t="inlineStr">
        <is>
          <t>TOTAL</t>
        </is>
      </c>
      <c r="F213" s="12" t="inlineStr">
        <is>
          <t>Under 49.5</t>
        </is>
      </c>
      <c r="G213" s="23" t="n">
        <v>49.5</v>
      </c>
      <c r="H213" s="13" t="n">
        <v>-110</v>
      </c>
      <c r="I213" s="15" t="n">
        <v>0.4623117303209874</v>
      </c>
      <c r="J213" s="15" t="n">
        <v>0.5</v>
      </c>
      <c r="K213" s="15" t="n">
        <v>0.5238095238095238</v>
      </c>
      <c r="L213" s="14" t="n">
        <v>-0.0627334237387708</v>
      </c>
      <c r="M213" s="14" t="n">
        <v>-0.117404878478115</v>
      </c>
      <c r="N213" s="15" t="n">
        <v>0</v>
      </c>
      <c r="O213" s="24" t="n">
        <v>0.839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SYR @ PITT</t>
        </is>
      </c>
      <c r="C214" s="17" t="inlineStr">
        <is>
          <t>2026-09-17 23:30</t>
        </is>
      </c>
      <c r="D214" s="25" t="n">
        <v>3</v>
      </c>
      <c r="E214" s="17" t="inlineStr">
        <is>
          <t>ML</t>
        </is>
      </c>
      <c r="F214" s="17" t="inlineStr">
        <is>
          <t>PITT ML</t>
        </is>
      </c>
      <c r="G214" s="26" t="n"/>
      <c r="H214" s="18" t="n">
        <v>-440</v>
      </c>
      <c r="I214" s="20" t="n">
        <v>0.7206420903269541</v>
      </c>
      <c r="J214" s="20" t="n">
        <v>0.7819063004846527</v>
      </c>
      <c r="K214" s="20" t="n">
        <v>0.8148148148148148</v>
      </c>
      <c r="L214" s="19" t="n">
        <v>-0.0643770624597795</v>
      </c>
      <c r="M214" s="19" t="n">
        <v>-0.1155756164169199</v>
      </c>
      <c r="N214" s="20" t="n">
        <v>0</v>
      </c>
      <c r="O214" s="27" t="n">
        <v>0.839</v>
      </c>
      <c r="P214" s="17" t="inlineStr">
        <is>
          <t>Draft Kings</t>
        </is>
      </c>
      <c r="Q214" s="17" t="inlineStr">
        <is>
          <t>price outside allowed range</t>
        </is>
      </c>
    </row>
    <row r="215">
      <c r="A215" s="12" t="inlineStr">
        <is>
          <t>PASS</t>
        </is>
      </c>
      <c r="B215" s="12" t="inlineStr">
        <is>
          <t>FSU @ ALA</t>
        </is>
      </c>
      <c r="C215" s="12" t="inlineStr">
        <is>
          <t>2026-09-19 19:30</t>
        </is>
      </c>
      <c r="D215" s="22" t="n">
        <v>3</v>
      </c>
      <c r="E215" s="12" t="inlineStr">
        <is>
          <t>TOTAL</t>
        </is>
      </c>
      <c r="F215" s="12" t="inlineStr">
        <is>
          <t>Under 49.5</t>
        </is>
      </c>
      <c r="G215" s="23" t="n">
        <v>49.5</v>
      </c>
      <c r="H215" s="13" t="n">
        <v>-108</v>
      </c>
      <c r="I215" s="15" t="n">
        <v>0.4562349261900701</v>
      </c>
      <c r="J215" s="15" t="n">
        <v>0.4956702459300312</v>
      </c>
      <c r="K215" s="15" t="n">
        <v>0.5192307692307693</v>
      </c>
      <c r="L215" s="14" t="n">
        <v>-0.06502430088521186</v>
      </c>
      <c r="M215" s="14" t="n">
        <v>-0.1213253273376427</v>
      </c>
      <c r="N215" s="15" t="n">
        <v>0</v>
      </c>
      <c r="O215" s="24" t="n">
        <v>0.839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HOU @ TTU</t>
        </is>
      </c>
      <c r="C216" s="17" t="inlineStr">
        <is>
          <t>2026-09-19 00:00</t>
        </is>
      </c>
      <c r="D216" s="25" t="n">
        <v>3</v>
      </c>
      <c r="E216" s="17" t="inlineStr">
        <is>
          <t>ATS</t>
        </is>
      </c>
      <c r="F216" s="17" t="inlineStr">
        <is>
          <t>TTU -7.5</t>
        </is>
      </c>
      <c r="G216" s="26" t="n">
        <v>-7.5</v>
      </c>
      <c r="H216" s="18" t="n">
        <v>-112</v>
      </c>
      <c r="I216" s="20" t="n">
        <v>0.4633466590589891</v>
      </c>
      <c r="J216" s="20" t="n">
        <v>0.5043297540699688</v>
      </c>
      <c r="K216" s="20" t="n">
        <v>0.5283018867924528</v>
      </c>
      <c r="L216" s="19" t="n">
        <v>-0.06591834269153674</v>
      </c>
      <c r="M216" s="19" t="n">
        <v>-0.1229509667811992</v>
      </c>
      <c r="N216" s="20" t="n">
        <v>0</v>
      </c>
      <c r="O216" s="27" t="n">
        <v>0.839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OHIO @ USA</t>
        </is>
      </c>
      <c r="C217" s="12" t="inlineStr">
        <is>
          <t>2026-09-19 23:00</t>
        </is>
      </c>
      <c r="D217" s="22" t="n">
        <v>3</v>
      </c>
      <c r="E217" s="12" t="inlineStr">
        <is>
          <t>ML</t>
        </is>
      </c>
      <c r="F217" s="12" t="inlineStr">
        <is>
          <t>OHIO ML</t>
        </is>
      </c>
      <c r="G217" s="23" t="n"/>
      <c r="H217" s="13" t="n">
        <v>160</v>
      </c>
      <c r="I217" s="15" t="n">
        <v>0.3390324626518184</v>
      </c>
      <c r="J217" s="15" t="n">
        <v>0.3690596562184025</v>
      </c>
      <c r="K217" s="15" t="n">
        <v>0.3846153846153846</v>
      </c>
      <c r="L217" s="14" t="n">
        <v>-0.0659695668744965</v>
      </c>
      <c r="M217" s="14" t="n">
        <v>-0.1185155971052722</v>
      </c>
      <c r="N217" s="15" t="n">
        <v>0</v>
      </c>
      <c r="O217" s="24" t="n">
        <v>0.839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FLA @ AUB</t>
        </is>
      </c>
      <c r="C218" s="17" t="inlineStr">
        <is>
          <t>2026-09-19 23:00</t>
        </is>
      </c>
      <c r="D218" s="25" t="n">
        <v>3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-112</v>
      </c>
      <c r="I218" s="20" t="n">
        <v>0.4625187355027723</v>
      </c>
      <c r="J218" s="20" t="n">
        <v>0.5043297540699688</v>
      </c>
      <c r="K218" s="20" t="n">
        <v>0.5283018867924528</v>
      </c>
      <c r="L218" s="19" t="n">
        <v>-0.06675941633376785</v>
      </c>
      <c r="M218" s="19" t="n">
        <v>-0.1245181077983238</v>
      </c>
      <c r="N218" s="20" t="n">
        <v>0</v>
      </c>
      <c r="O218" s="27" t="n">
        <v>0.839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CONN @ USM</t>
        </is>
      </c>
      <c r="C219" s="12" t="inlineStr">
        <is>
          <t>2026-09-19 23:00</t>
        </is>
      </c>
      <c r="D219" s="22" t="n">
        <v>3</v>
      </c>
      <c r="E219" s="12" t="inlineStr">
        <is>
          <t>TOTAL</t>
        </is>
      </c>
      <c r="F219" s="12" t="inlineStr">
        <is>
          <t>Over 54.5</t>
        </is>
      </c>
      <c r="G219" s="23" t="n">
        <v>54.5</v>
      </c>
      <c r="H219" s="13" t="n">
        <v>-112</v>
      </c>
      <c r="I219" s="15" t="n">
        <v>0.4625187268183728</v>
      </c>
      <c r="J219" s="15" t="n">
        <v>0.5043297540699688</v>
      </c>
      <c r="K219" s="15" t="n">
        <v>0.5283018867924528</v>
      </c>
      <c r="L219" s="14" t="n">
        <v>-0.06675942504984723</v>
      </c>
      <c r="M219" s="14" t="n">
        <v>-0.1245181242366515</v>
      </c>
      <c r="N219" s="15" t="n">
        <v>0</v>
      </c>
      <c r="O219" s="24" t="n">
        <v>0.839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PUR @ UCLA</t>
        </is>
      </c>
      <c r="C220" s="17" t="inlineStr">
        <is>
          <t>2026-09-20 03:00</t>
        </is>
      </c>
      <c r="D220" s="25" t="n">
        <v>3</v>
      </c>
      <c r="E220" s="17" t="inlineStr">
        <is>
          <t>ML</t>
        </is>
      </c>
      <c r="F220" s="17" t="inlineStr">
        <is>
          <t>UCLA ML</t>
        </is>
      </c>
      <c r="G220" s="26" t="n"/>
      <c r="H220" s="18" t="n">
        <v>-700</v>
      </c>
      <c r="I220" s="20" t="n">
        <v>0.7691944299789779</v>
      </c>
      <c r="J220" s="20" t="n">
        <v>0.84</v>
      </c>
      <c r="K220" s="20" t="n">
        <v>0.875</v>
      </c>
      <c r="L220" s="19" t="n">
        <v>-0.06745489826432</v>
      </c>
      <c r="M220" s="19" t="n">
        <v>-0.1209206514525967</v>
      </c>
      <c r="N220" s="20" t="n">
        <v>0</v>
      </c>
      <c r="O220" s="27" t="n">
        <v>0.839</v>
      </c>
      <c r="P220" s="17" t="inlineStr">
        <is>
          <t>Draft 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JMU @ SDSU</t>
        </is>
      </c>
      <c r="C221" s="12" t="inlineStr">
        <is>
          <t>2026-09-20 02:00</t>
        </is>
      </c>
      <c r="D221" s="22" t="n">
        <v>3</v>
      </c>
      <c r="E221" s="12" t="inlineStr">
        <is>
          <t>ATS</t>
        </is>
      </c>
      <c r="F221" s="12" t="inlineStr">
        <is>
          <t>JMU +2.5</t>
        </is>
      </c>
      <c r="G221" s="23" t="n">
        <v>-2.5</v>
      </c>
      <c r="H221" s="13" t="n">
        <v>-108</v>
      </c>
      <c r="I221" s="15" t="n">
        <v>0.4537735800127758</v>
      </c>
      <c r="J221" s="15" t="n">
        <v>0.4956702459300312</v>
      </c>
      <c r="K221" s="15" t="n">
        <v>0.5192307692307693</v>
      </c>
      <c r="L221" s="14" t="n">
        <v>-0.06757019217948999</v>
      </c>
      <c r="M221" s="14" t="n">
        <v>-0.1260656977531724</v>
      </c>
      <c r="N221" s="15" t="n">
        <v>0</v>
      </c>
      <c r="O221" s="24" t="n">
        <v>0.839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UK @ TA&amp;M</t>
        </is>
      </c>
      <c r="C222" s="17" t="inlineStr">
        <is>
          <t>2026-09-19 19:30</t>
        </is>
      </c>
      <c r="D222" s="25" t="n">
        <v>3</v>
      </c>
      <c r="E222" s="17" t="inlineStr">
        <is>
          <t>ML</t>
        </is>
      </c>
      <c r="F222" s="17" t="inlineStr">
        <is>
          <t>TA&amp;M ML</t>
        </is>
      </c>
      <c r="G222" s="26" t="n"/>
      <c r="H222" s="18" t="n">
        <v>-850</v>
      </c>
      <c r="I222" s="20" t="n">
        <v>0.7840769193671434</v>
      </c>
      <c r="J222" s="20" t="n">
        <v>0.8579439252336449</v>
      </c>
      <c r="K222" s="20" t="n">
        <v>0.8947368421052632</v>
      </c>
      <c r="L222" s="19" t="n">
        <v>-0.06833802271869539</v>
      </c>
      <c r="M222" s="19" t="n">
        <v>-0.1236787371778986</v>
      </c>
      <c r="N222" s="20" t="n">
        <v>0</v>
      </c>
      <c r="O222" s="27" t="n">
        <v>0.839</v>
      </c>
      <c r="P222" s="17" t="inlineStr">
        <is>
          <t>Draft Kings</t>
        </is>
      </c>
      <c r="Q222" s="17" t="inlineStr">
        <is>
          <t>price outside allowed range</t>
        </is>
      </c>
    </row>
    <row r="223">
      <c r="A223" s="12" t="inlineStr">
        <is>
          <t>PASS</t>
        </is>
      </c>
      <c r="B223" s="12" t="inlineStr">
        <is>
          <t>AKR @ MINN</t>
        </is>
      </c>
      <c r="C223" s="12" t="inlineStr">
        <is>
          <t>2026-09-19 16:00</t>
        </is>
      </c>
      <c r="D223" s="22" t="n">
        <v>3</v>
      </c>
      <c r="E223" s="12" t="inlineStr">
        <is>
          <t>TOTAL</t>
        </is>
      </c>
      <c r="F223" s="12" t="inlineStr">
        <is>
          <t>Under 49.5</t>
        </is>
      </c>
      <c r="G223" s="23" t="n">
        <v>49.5</v>
      </c>
      <c r="H223" s="13" t="n">
        <v>-115</v>
      </c>
      <c r="I223" s="15" t="n">
        <v>0.4657709273155551</v>
      </c>
      <c r="J223" s="15" t="n">
        <v>0.5108342361863488</v>
      </c>
      <c r="K223" s="15" t="n">
        <v>0.5348837209302325</v>
      </c>
      <c r="L223" s="14" t="n">
        <v>-0.06934347438782833</v>
      </c>
      <c r="M223" s="14" t="n">
        <v>-0.1292108750187448</v>
      </c>
      <c r="N223" s="15" t="n">
        <v>0</v>
      </c>
      <c r="O223" s="24" t="n">
        <v>0.839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ASU @ KU</t>
        </is>
      </c>
      <c r="C224" s="17" t="inlineStr">
        <is>
          <t>2026-09-19 16:00</t>
        </is>
      </c>
      <c r="D224" s="25" t="n">
        <v>3</v>
      </c>
      <c r="E224" s="17" t="inlineStr">
        <is>
          <t>ML</t>
        </is>
      </c>
      <c r="F224" s="17" t="inlineStr">
        <is>
          <t>ASU ML</t>
        </is>
      </c>
      <c r="G224" s="26" t="n"/>
      <c r="H224" s="18" t="n">
        <v>-205</v>
      </c>
      <c r="I224" s="20" t="n">
        <v>0.5868967326755149</v>
      </c>
      <c r="J224" s="20" t="n">
        <v>0.6447291788002329</v>
      </c>
      <c r="K224" s="20" t="n">
        <v>0.6721311475409836</v>
      </c>
      <c r="L224" s="19" t="n">
        <v>-0.07002949419066838</v>
      </c>
      <c r="M224" s="19" t="n">
        <v>-0.1268121782144779</v>
      </c>
      <c r="N224" s="20" t="n">
        <v>0</v>
      </c>
      <c r="O224" s="27" t="n">
        <v>0.839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COLO @ NU</t>
        </is>
      </c>
      <c r="C225" s="12" t="inlineStr">
        <is>
          <t>2026-09-19 23:30</t>
        </is>
      </c>
      <c r="D225" s="22" t="n">
        <v>3</v>
      </c>
      <c r="E225" s="12" t="inlineStr">
        <is>
          <t>TOTAL</t>
        </is>
      </c>
      <c r="F225" s="12" t="inlineStr">
        <is>
          <t>Under 48.5</t>
        </is>
      </c>
      <c r="G225" s="23" t="n">
        <v>48.5</v>
      </c>
      <c r="H225" s="13" t="n">
        <v>-105</v>
      </c>
      <c r="I225" s="15" t="n">
        <v>0.445209524275868</v>
      </c>
      <c r="J225" s="15" t="n">
        <v>0.4891657638136511</v>
      </c>
      <c r="K225" s="15" t="n">
        <v>0.5121951219512195</v>
      </c>
      <c r="L225" s="14" t="n">
        <v>-0.07010210931374714</v>
      </c>
      <c r="M225" s="14" t="n">
        <v>-0.1307814049852101</v>
      </c>
      <c r="N225" s="15" t="n">
        <v>0</v>
      </c>
      <c r="O225" s="24" t="n">
        <v>0.725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ECU @ ODU</t>
        </is>
      </c>
      <c r="C226" s="17" t="inlineStr">
        <is>
          <t>2026-09-19 22:00</t>
        </is>
      </c>
      <c r="D226" s="25" t="n">
        <v>3</v>
      </c>
      <c r="E226" s="17" t="inlineStr">
        <is>
          <t>ATS</t>
        </is>
      </c>
      <c r="F226" s="17" t="inlineStr">
        <is>
          <t>ECU +3</t>
        </is>
      </c>
      <c r="G226" s="26" t="n">
        <v>-3</v>
      </c>
      <c r="H226" s="18" t="n">
        <v>-112</v>
      </c>
      <c r="I226" s="20" t="n">
        <v>0.4587228120660992</v>
      </c>
      <c r="J226" s="20" t="n">
        <v>0.5043297540699688</v>
      </c>
      <c r="K226" s="20" t="n">
        <v>0.5283018867924528</v>
      </c>
      <c r="L226" s="19" t="n">
        <v>-0.07036112565367562</v>
      </c>
      <c r="M226" s="19" t="n">
        <v>-0.1238273943235371</v>
      </c>
      <c r="N226" s="20" t="n">
        <v>0.0598</v>
      </c>
      <c r="O226" s="27" t="n">
        <v>0.839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SMU @ LOU</t>
        </is>
      </c>
      <c r="C227" s="12" t="inlineStr">
        <is>
          <t>2026-09-19 19:30</t>
        </is>
      </c>
      <c r="D227" s="22" t="n">
        <v>3</v>
      </c>
      <c r="E227" s="12" t="inlineStr">
        <is>
          <t>ATS</t>
        </is>
      </c>
      <c r="F227" s="12" t="inlineStr">
        <is>
          <t>SMU +1.5</t>
        </is>
      </c>
      <c r="G227" s="23" t="n">
        <v>-1.5</v>
      </c>
      <c r="H227" s="13" t="n">
        <v>-112</v>
      </c>
      <c r="I227" s="15" t="n">
        <v>0.458506286674047</v>
      </c>
      <c r="J227" s="15" t="n">
        <v>0.5043297540699688</v>
      </c>
      <c r="K227" s="15" t="n">
        <v>0.5283018867924528</v>
      </c>
      <c r="L227" s="14" t="n">
        <v>-0.07055429896792037</v>
      </c>
      <c r="M227" s="14" t="n">
        <v>-0.1321131002241253</v>
      </c>
      <c r="N227" s="15" t="n">
        <v>0</v>
      </c>
      <c r="O227" s="24" t="n">
        <v>0.839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WYO @ CMU</t>
        </is>
      </c>
      <c r="C228" s="17" t="inlineStr">
        <is>
          <t>2026-09-19 17:00</t>
        </is>
      </c>
      <c r="D228" s="25" t="n">
        <v>3</v>
      </c>
      <c r="E228" s="17" t="inlineStr">
        <is>
          <t>ATS</t>
        </is>
      </c>
      <c r="F228" s="17" t="inlineStr">
        <is>
          <t>WYO +1.5</t>
        </is>
      </c>
      <c r="G228" s="26" t="n">
        <v>-1.5</v>
      </c>
      <c r="H228" s="18" t="n">
        <v>-108</v>
      </c>
      <c r="I228" s="20" t="n">
        <v>0.4505236120046303</v>
      </c>
      <c r="J228" s="20" t="n">
        <v>0.4956702459300312</v>
      </c>
      <c r="K228" s="20" t="n">
        <v>0.5192307692307693</v>
      </c>
      <c r="L228" s="19" t="n">
        <v>-0.07065361651501766</v>
      </c>
      <c r="M228" s="19" t="n">
        <v>-0.1323248953984897</v>
      </c>
      <c r="N228" s="20" t="n">
        <v>0</v>
      </c>
      <c r="O228" s="27" t="n">
        <v>0.839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CLT @ APP</t>
        </is>
      </c>
      <c r="C229" s="12" t="inlineStr">
        <is>
          <t>2026-09-19 22:00</t>
        </is>
      </c>
      <c r="D229" s="22" t="n">
        <v>3</v>
      </c>
      <c r="E229" s="12" t="inlineStr">
        <is>
          <t>ML</t>
        </is>
      </c>
      <c r="F229" s="12" t="inlineStr">
        <is>
          <t>APP ML</t>
        </is>
      </c>
      <c r="G229" s="23" t="n"/>
      <c r="H229" s="13" t="n">
        <v>-1050</v>
      </c>
      <c r="I229" s="15" t="n">
        <v>0.7946862521841903</v>
      </c>
      <c r="J229" s="15" t="n">
        <v>0.8761776581426649</v>
      </c>
      <c r="K229" s="15" t="n">
        <v>0.9130434782608695</v>
      </c>
      <c r="L229" s="14" t="n">
        <v>-0.07150134368871548</v>
      </c>
      <c r="M229" s="14" t="n">
        <v>-0.1296293428458867</v>
      </c>
      <c r="N229" s="15" t="n">
        <v>0</v>
      </c>
      <c r="O229" s="24" t="n">
        <v>0.839</v>
      </c>
      <c r="P229" s="12" t="inlineStr">
        <is>
          <t>Draft 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UAB @ UL</t>
        </is>
      </c>
      <c r="C230" s="17" t="inlineStr">
        <is>
          <t>2026-09-20 00:00</t>
        </is>
      </c>
      <c r="D230" s="25" t="n">
        <v>3</v>
      </c>
      <c r="E230" s="17" t="inlineStr">
        <is>
          <t>ATS</t>
        </is>
      </c>
      <c r="F230" s="17" t="inlineStr">
        <is>
          <t>UL -7.5</t>
        </is>
      </c>
      <c r="G230" s="26" t="n">
        <v>-7.5</v>
      </c>
      <c r="H230" s="18" t="n">
        <v>-110</v>
      </c>
      <c r="I230" s="20" t="n">
        <v>0.4527904060105175</v>
      </c>
      <c r="J230" s="20" t="n">
        <v>0.5</v>
      </c>
      <c r="K230" s="20" t="n">
        <v>0.5238095238095238</v>
      </c>
      <c r="L230" s="19" t="n">
        <v>-0.07210638064482937</v>
      </c>
      <c r="M230" s="19" t="n">
        <v>-0.1355819521617394</v>
      </c>
      <c r="N230" s="20" t="n">
        <v>0</v>
      </c>
      <c r="O230" s="27" t="n">
        <v>0.839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MIA @ WAKE</t>
        </is>
      </c>
      <c r="C231" s="12" t="inlineStr">
        <is>
          <t>2026-09-18 23:30</t>
        </is>
      </c>
      <c r="D231" s="22" t="n">
        <v>3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-110</v>
      </c>
      <c r="I231" s="15" t="n">
        <v>0.4467684171752324</v>
      </c>
      <c r="J231" s="15" t="n">
        <v>0.5</v>
      </c>
      <c r="K231" s="15" t="n">
        <v>0.5238095238095238</v>
      </c>
      <c r="L231" s="14" t="n">
        <v>-0.07674100634293535</v>
      </c>
      <c r="M231" s="14" t="n">
        <v>-0.1470784763018291</v>
      </c>
      <c r="N231" s="15" t="n">
        <v>0</v>
      </c>
      <c r="O231" s="24" t="n">
        <v>0.839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M-OH @ CIN</t>
        </is>
      </c>
      <c r="C232" s="17" t="inlineStr">
        <is>
          <t>2026-09-19 19:30</t>
        </is>
      </c>
      <c r="D232" s="25" t="n">
        <v>3</v>
      </c>
      <c r="E232" s="17" t="inlineStr">
        <is>
          <t>ML</t>
        </is>
      </c>
      <c r="F232" s="17" t="inlineStr">
        <is>
          <t>CIN ML</t>
        </is>
      </c>
      <c r="G232" s="26" t="n"/>
      <c r="H232" s="18" t="n">
        <v>-675</v>
      </c>
      <c r="I232" s="20" t="n">
        <v>0.7463724280947415</v>
      </c>
      <c r="J232" s="20" t="n">
        <v>0.8370993168681029</v>
      </c>
      <c r="K232" s="20" t="n">
        <v>0.8709677419354839</v>
      </c>
      <c r="L232" s="19" t="n">
        <v>-0.07739708824387737</v>
      </c>
      <c r="M232" s="19" t="n">
        <v>-0.1430538788541857</v>
      </c>
      <c r="N232" s="20" t="n">
        <v>0</v>
      </c>
      <c r="O232" s="27" t="n">
        <v>0.839</v>
      </c>
      <c r="P232" s="17" t="inlineStr">
        <is>
          <t>Draft 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FIU @ FAU</t>
        </is>
      </c>
      <c r="C233" s="12" t="inlineStr">
        <is>
          <t>2026-09-19 22:00</t>
        </is>
      </c>
      <c r="D233" s="22" t="n">
        <v>3</v>
      </c>
      <c r="E233" s="12" t="inlineStr">
        <is>
          <t>ATS</t>
        </is>
      </c>
      <c r="F233" s="12" t="inlineStr">
        <is>
          <t>FAU -7</t>
        </is>
      </c>
      <c r="G233" s="23" t="n">
        <v>-7</v>
      </c>
      <c r="H233" s="13" t="n">
        <v>-102</v>
      </c>
      <c r="I233" s="15" t="n">
        <v>0.4281409397439165</v>
      </c>
      <c r="J233" s="15" t="n">
        <v>0.4826358742837298</v>
      </c>
      <c r="K233" s="15" t="n">
        <v>0.504950495049505</v>
      </c>
      <c r="L233" s="14" t="n">
        <v>-0.07886185356718828</v>
      </c>
      <c r="M233" s="14" t="n">
        <v>-0.1445986566788771</v>
      </c>
      <c r="N233" s="15" t="n">
        <v>0.0494</v>
      </c>
      <c r="O233" s="24" t="n">
        <v>0.839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WYO @ CMU</t>
        </is>
      </c>
      <c r="C234" s="17" t="inlineStr">
        <is>
          <t>2026-09-19 17:00</t>
        </is>
      </c>
      <c r="D234" s="25" t="n">
        <v>3</v>
      </c>
      <c r="E234" s="17" t="inlineStr">
        <is>
          <t>ML</t>
        </is>
      </c>
      <c r="F234" s="17" t="inlineStr">
        <is>
          <t>WYO ML</t>
        </is>
      </c>
      <c r="G234" s="26" t="n"/>
      <c r="H234" s="18" t="n">
        <v>100</v>
      </c>
      <c r="I234" s="20" t="n">
        <v>0.4240150238839833</v>
      </c>
      <c r="J234" s="20" t="n">
        <v>0.4782608695652174</v>
      </c>
      <c r="K234" s="20" t="n">
        <v>0.5</v>
      </c>
      <c r="L234" s="19" t="n">
        <v>-0.07902033828117308</v>
      </c>
      <c r="M234" s="19" t="n">
        <v>-0.1519699522320335</v>
      </c>
      <c r="N234" s="20" t="n">
        <v>0</v>
      </c>
      <c r="O234" s="27" t="n">
        <v>0.839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UK @ TA&amp;M</t>
        </is>
      </c>
      <c r="C235" s="12" t="inlineStr">
        <is>
          <t>2026-09-19 19:30</t>
        </is>
      </c>
      <c r="D235" s="22" t="n">
        <v>3</v>
      </c>
      <c r="E235" s="12" t="inlineStr">
        <is>
          <t>TOTAL</t>
        </is>
      </c>
      <c r="F235" s="12" t="inlineStr">
        <is>
          <t>Under 49.5</t>
        </is>
      </c>
      <c r="G235" s="23" t="n">
        <v>49.5</v>
      </c>
      <c r="H235" s="13" t="n">
        <v>-110</v>
      </c>
      <c r="I235" s="15" t="n">
        <v>0.4429309109103309</v>
      </c>
      <c r="J235" s="15" t="n">
        <v>0.5</v>
      </c>
      <c r="K235" s="15" t="n">
        <v>0.5238095238095238</v>
      </c>
      <c r="L235" s="14" t="n">
        <v>-0.07923928370038286</v>
      </c>
      <c r="M235" s="14" t="n">
        <v>-0.1544046246257319</v>
      </c>
      <c r="N235" s="15" t="n">
        <v>0</v>
      </c>
      <c r="O235" s="24" t="n">
        <v>0.839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SMU @ LOU</t>
        </is>
      </c>
      <c r="C236" s="17" t="inlineStr">
        <is>
          <t>2026-09-19 19:30</t>
        </is>
      </c>
      <c r="D236" s="25" t="n">
        <v>3</v>
      </c>
      <c r="E236" s="17" t="inlineStr">
        <is>
          <t>ML</t>
        </is>
      </c>
      <c r="F236" s="17" t="inlineStr">
        <is>
          <t>SMU ML</t>
        </is>
      </c>
      <c r="G236" s="26" t="n"/>
      <c r="H236" s="18" t="n">
        <v>-105</v>
      </c>
      <c r="I236" s="20" t="n">
        <v>0.4330326427741102</v>
      </c>
      <c r="J236" s="20" t="n">
        <v>0.4891657638136511</v>
      </c>
      <c r="K236" s="20" t="n">
        <v>0.5121951219512195</v>
      </c>
      <c r="L236" s="19" t="n">
        <v>-0.07942528273414519</v>
      </c>
      <c r="M236" s="19" t="n">
        <v>-0.154555316488642</v>
      </c>
      <c r="N236" s="20" t="n">
        <v>0</v>
      </c>
      <c r="O236" s="27" t="n">
        <v>0.839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BALL @ LIB</t>
        </is>
      </c>
      <c r="C237" s="12" t="inlineStr">
        <is>
          <t>2026-09-19 20:00</t>
        </is>
      </c>
      <c r="D237" s="22" t="n">
        <v>3</v>
      </c>
      <c r="E237" s="12" t="inlineStr">
        <is>
          <t>ML</t>
        </is>
      </c>
      <c r="F237" s="12" t="inlineStr">
        <is>
          <t>LIB ML</t>
        </is>
      </c>
      <c r="G237" s="23" t="n"/>
      <c r="H237" s="13" t="n">
        <v>-650</v>
      </c>
      <c r="I237" s="15" t="n">
        <v>0.7361130634217865</v>
      </c>
      <c r="J237" s="15" t="n">
        <v>0.8316498316498315</v>
      </c>
      <c r="K237" s="15" t="n">
        <v>0.8666666666666667</v>
      </c>
      <c r="L237" s="14" t="n">
        <v>-0.0794623979688158</v>
      </c>
      <c r="M237" s="14" t="n">
        <v>-0.1506387729748618</v>
      </c>
      <c r="N237" s="15" t="n">
        <v>0</v>
      </c>
      <c r="O237" s="24" t="n">
        <v>0.839</v>
      </c>
      <c r="P237" s="12" t="inlineStr">
        <is>
          <t>Draft 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ECU @ ODU</t>
        </is>
      </c>
      <c r="C238" s="17" t="inlineStr">
        <is>
          <t>2026-09-19 22:00</t>
        </is>
      </c>
      <c r="D238" s="25" t="n">
        <v>3</v>
      </c>
      <c r="E238" s="17" t="inlineStr">
        <is>
          <t>ML</t>
        </is>
      </c>
      <c r="F238" s="17" t="inlineStr">
        <is>
          <t>ECU ML</t>
        </is>
      </c>
      <c r="G238" s="26" t="n"/>
      <c r="H238" s="18" t="n">
        <v>124</v>
      </c>
      <c r="I238" s="20" t="n">
        <v>0.3779393751763391</v>
      </c>
      <c r="J238" s="20" t="n">
        <v>0.4279403644395361</v>
      </c>
      <c r="K238" s="20" t="n">
        <v>0.4464285714285715</v>
      </c>
      <c r="L238" s="19" t="n">
        <v>-0.08004243138577664</v>
      </c>
      <c r="M238" s="19" t="n">
        <v>-0.1534157996050003</v>
      </c>
      <c r="N238" s="20" t="n">
        <v>0</v>
      </c>
      <c r="O238" s="27" t="n">
        <v>0.839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JMU @ SDSU</t>
        </is>
      </c>
      <c r="C239" s="12" t="inlineStr">
        <is>
          <t>2026-09-20 02:00</t>
        </is>
      </c>
      <c r="D239" s="22" t="n">
        <v>3</v>
      </c>
      <c r="E239" s="12" t="inlineStr">
        <is>
          <t>ML</t>
        </is>
      </c>
      <c r="F239" s="12" t="inlineStr">
        <is>
          <t>JMU ML</t>
        </is>
      </c>
      <c r="G239" s="23" t="n"/>
      <c r="H239" s="13" t="n">
        <v>110</v>
      </c>
      <c r="I239" s="15" t="n">
        <v>0.4037524052252306</v>
      </c>
      <c r="J239" s="15" t="n">
        <v>0.4572564612326044</v>
      </c>
      <c r="K239" s="15" t="n">
        <v>0.4761904761904762</v>
      </c>
      <c r="L239" s="14" t="n">
        <v>-0.08009168176742731</v>
      </c>
      <c r="M239" s="14" t="n">
        <v>-0.1521199490270158</v>
      </c>
      <c r="N239" s="15" t="n">
        <v>0</v>
      </c>
      <c r="O239" s="24" t="n">
        <v>0.839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BGSU @ ISU</t>
        </is>
      </c>
      <c r="C240" s="17" t="inlineStr">
        <is>
          <t>2026-09-19 16:00</t>
        </is>
      </c>
      <c r="D240" s="25" t="n">
        <v>3</v>
      </c>
      <c r="E240" s="17" t="inlineStr">
        <is>
          <t>ML</t>
        </is>
      </c>
      <c r="F240" s="17" t="inlineStr">
        <is>
          <t>ISU ML</t>
        </is>
      </c>
      <c r="G240" s="26" t="n"/>
      <c r="H240" s="18" t="n">
        <v>-3600</v>
      </c>
      <c r="I240" s="20" t="n">
        <v>0.8254237633576067</v>
      </c>
      <c r="J240" s="20" t="n">
        <v>0.9396411092985318</v>
      </c>
      <c r="K240" s="20" t="n">
        <v>0.972972972972973</v>
      </c>
      <c r="L240" s="19" t="n">
        <v>-0.08135386568885872</v>
      </c>
      <c r="M240" s="19" t="n">
        <v>-0.1516477987713487</v>
      </c>
      <c r="N240" s="20" t="n">
        <v>0</v>
      </c>
      <c r="O240" s="27" t="n">
        <v>0.839</v>
      </c>
      <c r="P240" s="17" t="inlineStr">
        <is>
          <t>Draft 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FSU @ ALA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ALA ML</t>
        </is>
      </c>
      <c r="G241" s="23" t="n"/>
      <c r="H241" s="13" t="n">
        <v>-1650</v>
      </c>
      <c r="I241" s="15" t="n">
        <v>0.7944662589943697</v>
      </c>
      <c r="J241" s="15" t="n">
        <v>0.9082568807339451</v>
      </c>
      <c r="K241" s="15" t="n">
        <v>0.9428571428571428</v>
      </c>
      <c r="L241" s="14" t="n">
        <v>-0.08231575065048438</v>
      </c>
      <c r="M241" s="14" t="n">
        <v>-0.1573842707635473</v>
      </c>
      <c r="N241" s="15" t="n">
        <v>0</v>
      </c>
      <c r="O241" s="24" t="n">
        <v>0.839</v>
      </c>
      <c r="P241" s="12" t="inlineStr">
        <is>
          <t>Draft 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TROY @ MIZ</t>
        </is>
      </c>
      <c r="C242" s="17" t="inlineStr">
        <is>
          <t>2026-09-19 23:00</t>
        </is>
      </c>
      <c r="D242" s="25" t="n">
        <v>3</v>
      </c>
      <c r="E242" s="17" t="inlineStr">
        <is>
          <t>ML</t>
        </is>
      </c>
      <c r="F242" s="17" t="inlineStr">
        <is>
          <t>MIZ ML</t>
        </is>
      </c>
      <c r="G242" s="26" t="n"/>
      <c r="H242" s="18" t="n">
        <v>-6500</v>
      </c>
      <c r="I242" s="20" t="n">
        <v>0.8317947492251805</v>
      </c>
      <c r="J242" s="20" t="n">
        <v>0.9538784067085954</v>
      </c>
      <c r="K242" s="20" t="n">
        <v>0.9848484848484849</v>
      </c>
      <c r="L242" s="19" t="n">
        <v>-0.08297274179583243</v>
      </c>
      <c r="M242" s="19" t="n">
        <v>-0.1554084084790476</v>
      </c>
      <c r="N242" s="20" t="n">
        <v>0</v>
      </c>
      <c r="O242" s="27" t="n">
        <v>0.839</v>
      </c>
      <c r="P242" s="17" t="inlineStr">
        <is>
          <t>Draft 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UAB @ UL</t>
        </is>
      </c>
      <c r="C243" s="12" t="inlineStr">
        <is>
          <t>2026-09-20 00:00</t>
        </is>
      </c>
      <c r="D243" s="22" t="n">
        <v>3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-112</v>
      </c>
      <c r="I243" s="15" t="n">
        <v>0.4393816764752666</v>
      </c>
      <c r="J243" s="15" t="n">
        <v>0.5043297540699688</v>
      </c>
      <c r="K243" s="15" t="n">
        <v>0.5283018867924528</v>
      </c>
      <c r="L243" s="14" t="n">
        <v>-0.0831597783271758</v>
      </c>
      <c r="M243" s="14" t="n">
        <v>-0.1683132552432454</v>
      </c>
      <c r="N243" s="15" t="n">
        <v>0</v>
      </c>
      <c r="O243" s="24" t="n">
        <v>0.839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TULN @ KSU</t>
        </is>
      </c>
      <c r="C244" s="17" t="inlineStr">
        <is>
          <t>2026-09-19 16:00</t>
        </is>
      </c>
      <c r="D244" s="25" t="n">
        <v>3</v>
      </c>
      <c r="E244" s="17" t="inlineStr">
        <is>
          <t>ML</t>
        </is>
      </c>
      <c r="F244" s="17" t="inlineStr">
        <is>
          <t>KSU ML</t>
        </is>
      </c>
      <c r="G244" s="26" t="n"/>
      <c r="H244" s="18" t="n">
        <v>-1800</v>
      </c>
      <c r="I244" s="20" t="n">
        <v>0.7942152473020465</v>
      </c>
      <c r="J244" s="20" t="n">
        <v>0.912442396313364</v>
      </c>
      <c r="K244" s="20" t="n">
        <v>0.9473684210526315</v>
      </c>
      <c r="L244" s="19" t="n">
        <v>-0.08334336689120363</v>
      </c>
      <c r="M244" s="19" t="n">
        <v>-0.1616616834033954</v>
      </c>
      <c r="N244" s="20" t="n">
        <v>0</v>
      </c>
      <c r="O244" s="27" t="n">
        <v>0.839</v>
      </c>
      <c r="P244" s="17" t="inlineStr">
        <is>
          <t>Draft 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EMU @ WIS</t>
        </is>
      </c>
      <c r="C245" s="12" t="inlineStr">
        <is>
          <t>2026-09-19 16:30</t>
        </is>
      </c>
      <c r="D245" s="22" t="n">
        <v>3</v>
      </c>
      <c r="E245" s="12" t="inlineStr">
        <is>
          <t>TOTAL</t>
        </is>
      </c>
      <c r="F245" s="12" t="inlineStr">
        <is>
          <t>Under 45.5</t>
        </is>
      </c>
      <c r="G245" s="23" t="n">
        <v>45.5</v>
      </c>
      <c r="H245" s="13" t="n">
        <v>-108</v>
      </c>
      <c r="I245" s="15" t="n">
        <v>0.431272438741787</v>
      </c>
      <c r="J245" s="15" t="n">
        <v>0.4956702459300312</v>
      </c>
      <c r="K245" s="15" t="n">
        <v>0.5192307692307693</v>
      </c>
      <c r="L245" s="14" t="n">
        <v>-0.08342338155527183</v>
      </c>
      <c r="M245" s="14" t="n">
        <v>-0.1694012290898916</v>
      </c>
      <c r="N245" s="15" t="n">
        <v>0</v>
      </c>
      <c r="O245" s="24" t="n">
        <v>0.839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WVU @ UVA</t>
        </is>
      </c>
      <c r="C246" s="17" t="inlineStr">
        <is>
          <t>2026-09-19 23:30</t>
        </is>
      </c>
      <c r="D246" s="25" t="n">
        <v>3</v>
      </c>
      <c r="E246" s="17" t="inlineStr">
        <is>
          <t>TOTAL</t>
        </is>
      </c>
      <c r="F246" s="17" t="inlineStr">
        <is>
          <t>Over 53.5</t>
        </is>
      </c>
      <c r="G246" s="26" t="n">
        <v>53.5</v>
      </c>
      <c r="H246" s="18" t="n">
        <v>-112</v>
      </c>
      <c r="I246" s="20" t="n">
        <v>0.4374889082941585</v>
      </c>
      <c r="J246" s="20" t="n">
        <v>0.5043297540699688</v>
      </c>
      <c r="K246" s="20" t="n">
        <v>0.5283018867924528</v>
      </c>
      <c r="L246" s="19" t="n">
        <v>-0.08400724365321681</v>
      </c>
      <c r="M246" s="19" t="n">
        <v>-0.1718959950146285</v>
      </c>
      <c r="N246" s="20" t="n">
        <v>0</v>
      </c>
      <c r="O246" s="27" t="n">
        <v>0.839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UNM @ OU</t>
        </is>
      </c>
      <c r="C247" s="12" t="inlineStr">
        <is>
          <t>2026-09-19 23:30</t>
        </is>
      </c>
      <c r="D247" s="22" t="n">
        <v>3</v>
      </c>
      <c r="E247" s="12" t="inlineStr">
        <is>
          <t>TOTAL</t>
        </is>
      </c>
      <c r="F247" s="12" t="inlineStr">
        <is>
          <t>Under 46.5</t>
        </is>
      </c>
      <c r="G247" s="23" t="n">
        <v>46.5</v>
      </c>
      <c r="H247" s="13" t="n">
        <v>-105</v>
      </c>
      <c r="I247" s="15" t="n">
        <v>0.4242665320851896</v>
      </c>
      <c r="J247" s="15" t="n">
        <v>0.4891657638136511</v>
      </c>
      <c r="K247" s="15" t="n">
        <v>0.5121951219512195</v>
      </c>
      <c r="L247" s="14" t="n">
        <v>-0.08403757223048447</v>
      </c>
      <c r="M247" s="14" t="n">
        <v>-0.1716701040241536</v>
      </c>
      <c r="N247" s="15" t="n">
        <v>0</v>
      </c>
      <c r="O247" s="24" t="n">
        <v>0.839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KENN @ TENN</t>
        </is>
      </c>
      <c r="C248" s="17" t="inlineStr">
        <is>
          <t>2026-09-19 23:45</t>
        </is>
      </c>
      <c r="D248" s="25" t="n">
        <v>3</v>
      </c>
      <c r="E248" s="17" t="inlineStr">
        <is>
          <t>ML</t>
        </is>
      </c>
      <c r="F248" s="17" t="inlineStr">
        <is>
          <t>TENN ML</t>
        </is>
      </c>
      <c r="G248" s="26" t="n"/>
      <c r="H248" s="18" t="n">
        <v>-100000</v>
      </c>
      <c r="I248" s="20" t="n">
        <v>0.8499367258373444</v>
      </c>
      <c r="J248" s="20" t="n">
        <v>0.9807503701851887</v>
      </c>
      <c r="K248" s="20" t="n">
        <v>0.999000999000999</v>
      </c>
      <c r="L248" s="19" t="n">
        <v>-0.08419050806545607</v>
      </c>
      <c r="M248" s="19" t="n">
        <v>-0.1492133374368184</v>
      </c>
      <c r="N248" s="20" t="n">
        <v>0</v>
      </c>
      <c r="O248" s="27" t="n">
        <v>0.839</v>
      </c>
      <c r="P248" s="17" t="inlineStr">
        <is>
          <t>Draft 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GASO @ JVST</t>
        </is>
      </c>
      <c r="C249" s="12" t="inlineStr">
        <is>
          <t>2026-09-19 23:00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-115</v>
      </c>
      <c r="I249" s="15" t="n">
        <v>0.4407411742778912</v>
      </c>
      <c r="J249" s="15" t="n">
        <v>0.5108342361863488</v>
      </c>
      <c r="K249" s="15" t="n">
        <v>0.5348837209302325</v>
      </c>
      <c r="L249" s="14" t="n">
        <v>-0.08498408637536668</v>
      </c>
      <c r="M249" s="14" t="n">
        <v>-0.1760056306978557</v>
      </c>
      <c r="N249" s="15" t="n">
        <v>0</v>
      </c>
      <c r="O249" s="24" t="n">
        <v>0.839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LT @ BAY</t>
        </is>
      </c>
      <c r="C250" s="17" t="inlineStr">
        <is>
          <t>2026-09-19 20:00</t>
        </is>
      </c>
      <c r="D250" s="25" t="n">
        <v>3</v>
      </c>
      <c r="E250" s="17" t="inlineStr">
        <is>
          <t>ML</t>
        </is>
      </c>
      <c r="F250" s="17" t="inlineStr">
        <is>
          <t>BAY ML</t>
        </is>
      </c>
      <c r="G250" s="26" t="n"/>
      <c r="H250" s="18" t="n">
        <v>-1200</v>
      </c>
      <c r="I250" s="20" t="n">
        <v>0.7647141463477202</v>
      </c>
      <c r="J250" s="20" t="n">
        <v>0.8869565217391304</v>
      </c>
      <c r="K250" s="20" t="n">
        <v>0.9230769230769231</v>
      </c>
      <c r="L250" s="19" t="n">
        <v>-0.08510510669348836</v>
      </c>
      <c r="M250" s="19" t="n">
        <v>-0.1715596747899699</v>
      </c>
      <c r="N250" s="20" t="n">
        <v>0</v>
      </c>
      <c r="O250" s="27" t="n">
        <v>0.839</v>
      </c>
      <c r="P250" s="17" t="inlineStr">
        <is>
          <t>Draft 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MSU @ ND</t>
        </is>
      </c>
      <c r="C251" s="12" t="inlineStr">
        <is>
          <t>2026-09-19 23:30</t>
        </is>
      </c>
      <c r="D251" s="22" t="n">
        <v>3</v>
      </c>
      <c r="E251" s="12" t="inlineStr">
        <is>
          <t>ML</t>
        </is>
      </c>
      <c r="F251" s="12" t="inlineStr">
        <is>
          <t>ND ML</t>
        </is>
      </c>
      <c r="G251" s="23" t="n"/>
      <c r="H251" s="13" t="n">
        <v>-6500</v>
      </c>
      <c r="I251" s="15" t="n">
        <v>0.8214101582527794</v>
      </c>
      <c r="J251" s="15" t="n">
        <v>0.9538784067085954</v>
      </c>
      <c r="K251" s="15" t="n">
        <v>0.9848484848484849</v>
      </c>
      <c r="L251" s="14" t="n">
        <v>-0.08531060133862964</v>
      </c>
      <c r="M251" s="14" t="n">
        <v>-0.1659527623894855</v>
      </c>
      <c r="N251" s="15" t="n">
        <v>0</v>
      </c>
      <c r="O251" s="24" t="n">
        <v>0.839</v>
      </c>
      <c r="P251" s="12" t="inlineStr">
        <is>
          <t>Draft Kings</t>
        </is>
      </c>
      <c r="Q251" s="12" t="inlineStr">
        <is>
          <t>price outside allowed range</t>
        </is>
      </c>
    </row>
    <row r="252">
      <c r="A252" s="17" t="inlineStr">
        <is>
          <t>PASS</t>
        </is>
      </c>
      <c r="B252" s="17" t="inlineStr">
        <is>
          <t>ASU @ KU</t>
        </is>
      </c>
      <c r="C252" s="17" t="inlineStr">
        <is>
          <t>2026-09-19 16:00</t>
        </is>
      </c>
      <c r="D252" s="25" t="n">
        <v>3</v>
      </c>
      <c r="E252" s="17" t="inlineStr">
        <is>
          <t>ATS</t>
        </is>
      </c>
      <c r="F252" s="17" t="inlineStr">
        <is>
          <t>ASU -5.5</t>
        </is>
      </c>
      <c r="G252" s="26" t="n">
        <v>5.5</v>
      </c>
      <c r="H252" s="18" t="n">
        <v>-105</v>
      </c>
      <c r="I252" s="20" t="n">
        <v>0.4200889240930783</v>
      </c>
      <c r="J252" s="20" t="n">
        <v>0.4891657638136511</v>
      </c>
      <c r="K252" s="20" t="n">
        <v>0.5121951219512195</v>
      </c>
      <c r="L252" s="19" t="n">
        <v>-0.0857537459757826</v>
      </c>
      <c r="M252" s="19" t="n">
        <v>-0.1798263862944662</v>
      </c>
      <c r="N252" s="20" t="n">
        <v>0</v>
      </c>
      <c r="O252" s="27" t="n">
        <v>0.839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ARST @ TCU</t>
        </is>
      </c>
      <c r="C253" s="12" t="inlineStr">
        <is>
          <t>2026-09-20 00:00</t>
        </is>
      </c>
      <c r="D253" s="22" t="n">
        <v>3</v>
      </c>
      <c r="E253" s="12" t="inlineStr">
        <is>
          <t>TOTAL</t>
        </is>
      </c>
      <c r="F253" s="12" t="inlineStr">
        <is>
          <t>Over 55.5</t>
        </is>
      </c>
      <c r="G253" s="23" t="n">
        <v>55.5</v>
      </c>
      <c r="H253" s="13" t="n">
        <v>-118</v>
      </c>
      <c r="I253" s="15" t="n">
        <v>0.4440060701525216</v>
      </c>
      <c r="J253" s="15" t="n">
        <v>0.5173641257162701</v>
      </c>
      <c r="K253" s="15" t="n">
        <v>0.5412844036697247</v>
      </c>
      <c r="L253" s="14" t="n">
        <v>-0.08586026363623361</v>
      </c>
      <c r="M253" s="14" t="n">
        <v>-0.1797175992097483</v>
      </c>
      <c r="N253" s="15" t="n">
        <v>0</v>
      </c>
      <c r="O253" s="24" t="n">
        <v>0.839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EMU @ WIS</t>
        </is>
      </c>
      <c r="C254" s="17" t="inlineStr">
        <is>
          <t>2026-09-19 16:30</t>
        </is>
      </c>
      <c r="D254" s="25" t="n">
        <v>3</v>
      </c>
      <c r="E254" s="17" t="inlineStr">
        <is>
          <t>ML</t>
        </is>
      </c>
      <c r="F254" s="17" t="inlineStr">
        <is>
          <t>WIS ML</t>
        </is>
      </c>
      <c r="G254" s="26" t="n"/>
      <c r="H254" s="18" t="n">
        <v>-2800</v>
      </c>
      <c r="I254" s="20" t="n">
        <v>0.7982970475808102</v>
      </c>
      <c r="J254" s="20" t="n">
        <v>0.9311163895486935</v>
      </c>
      <c r="K254" s="20" t="n">
        <v>0.9655172413793104</v>
      </c>
      <c r="L254" s="19" t="n">
        <v>-0.08601529772470062</v>
      </c>
      <c r="M254" s="19" t="n">
        <v>-0.173192343577018</v>
      </c>
      <c r="N254" s="20" t="n">
        <v>0</v>
      </c>
      <c r="O254" s="27" t="n">
        <v>0.839</v>
      </c>
      <c r="P254" s="17" t="inlineStr">
        <is>
          <t>Draft Kings</t>
        </is>
      </c>
      <c r="Q254" s="17" t="inlineStr">
        <is>
          <t>price outside allowed range</t>
        </is>
      </c>
    </row>
    <row r="255">
      <c r="A255" s="12" t="inlineStr">
        <is>
          <t>PASS</t>
        </is>
      </c>
      <c r="B255" s="12" t="inlineStr">
        <is>
          <t>USU @ UTAH</t>
        </is>
      </c>
      <c r="C255" s="12" t="inlineStr">
        <is>
          <t>2026-09-19 19:30</t>
        </is>
      </c>
      <c r="D255" s="22" t="n">
        <v>3</v>
      </c>
      <c r="E255" s="12" t="inlineStr">
        <is>
          <t>ML</t>
        </is>
      </c>
      <c r="F255" s="12" t="inlineStr">
        <is>
          <t>UTAH ML</t>
        </is>
      </c>
      <c r="G255" s="23" t="n"/>
      <c r="H255" s="13" t="n">
        <v>-6500</v>
      </c>
      <c r="I255" s="15" t="n">
        <v>0.8162369969013338</v>
      </c>
      <c r="J255" s="15" t="n">
        <v>0.9538784067085954</v>
      </c>
      <c r="K255" s="15" t="n">
        <v>0.9848484848484849</v>
      </c>
      <c r="L255" s="14" t="n">
        <v>-0.08630824014848124</v>
      </c>
      <c r="M255" s="14" t="n">
        <v>-0.1712055108386458</v>
      </c>
      <c r="N255" s="15" t="n">
        <v>0</v>
      </c>
      <c r="O255" s="24" t="n">
        <v>0.839</v>
      </c>
      <c r="P255" s="12" t="inlineStr">
        <is>
          <t>Draft 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ARST @ TCU</t>
        </is>
      </c>
      <c r="C256" s="17" t="inlineStr">
        <is>
          <t>2026-09-20 00:00</t>
        </is>
      </c>
      <c r="D256" s="25" t="n">
        <v>3</v>
      </c>
      <c r="E256" s="17" t="inlineStr">
        <is>
          <t>ML</t>
        </is>
      </c>
      <c r="F256" s="17" t="inlineStr">
        <is>
          <t>TCU ML</t>
        </is>
      </c>
      <c r="G256" s="26" t="n"/>
      <c r="H256" s="18" t="n">
        <v>-1350</v>
      </c>
      <c r="I256" s="20" t="n">
        <v>0.7616698450434658</v>
      </c>
      <c r="J256" s="20" t="n">
        <v>0.8933823529411765</v>
      </c>
      <c r="K256" s="20" t="n">
        <v>0.9310344827586207</v>
      </c>
      <c r="L256" s="19" t="n">
        <v>-0.0868394806998839</v>
      </c>
      <c r="M256" s="19" t="n">
        <v>-0.1819101664347961</v>
      </c>
      <c r="N256" s="20" t="n">
        <v>0</v>
      </c>
      <c r="O256" s="27" t="n">
        <v>0.839</v>
      </c>
      <c r="P256" s="17" t="inlineStr">
        <is>
          <t>Draft 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WVU @ UVA</t>
        </is>
      </c>
      <c r="C257" s="12" t="inlineStr">
        <is>
          <t>2026-09-19 23:30</t>
        </is>
      </c>
      <c r="D257" s="22" t="n">
        <v>3</v>
      </c>
      <c r="E257" s="12" t="inlineStr">
        <is>
          <t>ML</t>
        </is>
      </c>
      <c r="F257" s="12" t="inlineStr">
        <is>
          <t>UVA ML</t>
        </is>
      </c>
      <c r="G257" s="23" t="n"/>
      <c r="H257" s="13" t="n">
        <v>-395</v>
      </c>
      <c r="I257" s="15" t="n">
        <v>0.6519324025282154</v>
      </c>
      <c r="J257" s="15" t="n">
        <v>0.7659021045164341</v>
      </c>
      <c r="K257" s="15" t="n">
        <v>0.797979797979798</v>
      </c>
      <c r="L257" s="14" t="n">
        <v>-0.08706231180975971</v>
      </c>
      <c r="M257" s="14" t="n">
        <v>-0.1830214196165402</v>
      </c>
      <c r="N257" s="15" t="n">
        <v>0</v>
      </c>
      <c r="O257" s="24" t="n">
        <v>0.839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GAST @ UCF</t>
        </is>
      </c>
      <c r="C258" s="17" t="inlineStr">
        <is>
          <t>2026-09-19 23:00</t>
        </is>
      </c>
      <c r="D258" s="25" t="n">
        <v>3</v>
      </c>
      <c r="E258" s="17" t="inlineStr">
        <is>
          <t>ML</t>
        </is>
      </c>
      <c r="F258" s="17" t="inlineStr">
        <is>
          <t>UCF ML</t>
        </is>
      </c>
      <c r="G258" s="26" t="n"/>
      <c r="H258" s="18" t="n">
        <v>-1200</v>
      </c>
      <c r="I258" s="20" t="n">
        <v>0.7540652140144954</v>
      </c>
      <c r="J258" s="20" t="n">
        <v>0.8869565217391304</v>
      </c>
      <c r="K258" s="20" t="n">
        <v>0.9230769230769231</v>
      </c>
      <c r="L258" s="19" t="n">
        <v>-0.08722465784831755</v>
      </c>
      <c r="M258" s="19" t="n">
        <v>-0.1830960181509633</v>
      </c>
      <c r="N258" s="20" t="n">
        <v>0</v>
      </c>
      <c r="O258" s="27" t="n">
        <v>0.839</v>
      </c>
      <c r="P258" s="17" t="inlineStr">
        <is>
          <t>Draft Kings</t>
        </is>
      </c>
      <c r="Q258" s="17" t="inlineStr">
        <is>
          <t>price outside allowed range</t>
        </is>
      </c>
    </row>
    <row r="259">
      <c r="A259" s="12" t="inlineStr">
        <is>
          <t>PASS</t>
        </is>
      </c>
      <c r="B259" s="12" t="inlineStr">
        <is>
          <t>STAN @ DUKE</t>
        </is>
      </c>
      <c r="C259" s="12" t="inlineStr">
        <is>
          <t>2026-09-19 20:00</t>
        </is>
      </c>
      <c r="D259" s="22" t="n">
        <v>3</v>
      </c>
      <c r="E259" s="12" t="inlineStr">
        <is>
          <t>ATS</t>
        </is>
      </c>
      <c r="F259" s="12" t="inlineStr">
        <is>
          <t>DUKE -9.5</t>
        </is>
      </c>
      <c r="G259" s="23" t="n">
        <v>-9.5</v>
      </c>
      <c r="H259" s="13" t="n">
        <v>-112</v>
      </c>
      <c r="I259" s="15" t="n">
        <v>0.4284774069304556</v>
      </c>
      <c r="J259" s="15" t="n">
        <v>0.5043297540699688</v>
      </c>
      <c r="K259" s="15" t="n">
        <v>0.5283018867924528</v>
      </c>
      <c r="L259" s="14" t="n">
        <v>-0.08731425001538265</v>
      </c>
      <c r="M259" s="14" t="n">
        <v>-0.1889534797387806</v>
      </c>
      <c r="N259" s="15" t="n">
        <v>0</v>
      </c>
      <c r="O259" s="24" t="n">
        <v>0.839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UNM @ OU</t>
        </is>
      </c>
      <c r="C260" s="17" t="inlineStr">
        <is>
          <t>2026-09-19 23:30</t>
        </is>
      </c>
      <c r="D260" s="25" t="n">
        <v>3</v>
      </c>
      <c r="E260" s="17" t="inlineStr">
        <is>
          <t>ML</t>
        </is>
      </c>
      <c r="F260" s="17" t="inlineStr">
        <is>
          <t>OU ML</t>
        </is>
      </c>
      <c r="G260" s="26" t="n"/>
      <c r="H260" s="18" t="n">
        <v>-2100</v>
      </c>
      <c r="I260" s="20" t="n">
        <v>0.7800066377068618</v>
      </c>
      <c r="J260" s="20" t="n">
        <v>0.9197080291970804</v>
      </c>
      <c r="K260" s="20" t="n">
        <v>0.9545454545454546</v>
      </c>
      <c r="L260" s="19" t="n">
        <v>-0.08754307503525306</v>
      </c>
      <c r="M260" s="19" t="n">
        <v>-0.1828501890690019</v>
      </c>
      <c r="N260" s="20" t="n">
        <v>0</v>
      </c>
      <c r="O260" s="27" t="n">
        <v>0.839</v>
      </c>
      <c r="P260" s="17" t="inlineStr">
        <is>
          <t>Draft 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UNC @ CLEM</t>
        </is>
      </c>
      <c r="C261" s="12" t="inlineStr">
        <is>
          <t>2026-09-19 16:00</t>
        </is>
      </c>
      <c r="D261" s="22" t="n">
        <v>3</v>
      </c>
      <c r="E261" s="12" t="inlineStr">
        <is>
          <t>TOTAL</t>
        </is>
      </c>
      <c r="F261" s="12" t="inlineStr">
        <is>
          <t>Under 44.5</t>
        </is>
      </c>
      <c r="G261" s="23" t="n">
        <v>44.5</v>
      </c>
      <c r="H261" s="13" t="n">
        <v>-118</v>
      </c>
      <c r="I261" s="15" t="n">
        <v>0.4364987662400414</v>
      </c>
      <c r="J261" s="15" t="n">
        <v>0.5173641257162701</v>
      </c>
      <c r="K261" s="15" t="n">
        <v>0.5412844036697247</v>
      </c>
      <c r="L261" s="14" t="n">
        <v>-0.08817981134676509</v>
      </c>
      <c r="M261" s="14" t="n">
        <v>-0.1935870250819575</v>
      </c>
      <c r="N261" s="15" t="n">
        <v>0</v>
      </c>
      <c r="O261" s="24" t="n">
        <v>0.839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FLA @ AUB</t>
        </is>
      </c>
      <c r="C262" s="17" t="inlineStr">
        <is>
          <t>2026-09-19 23:00</t>
        </is>
      </c>
      <c r="D262" s="25" t="n">
        <v>3</v>
      </c>
      <c r="E262" s="17" t="inlineStr">
        <is>
          <t>ML</t>
        </is>
      </c>
      <c r="F262" s="17" t="inlineStr">
        <is>
          <t>FLA ML</t>
        </is>
      </c>
      <c r="G262" s="26" t="n"/>
      <c r="H262" s="18" t="n">
        <v>-142</v>
      </c>
      <c r="I262" s="20" t="n">
        <v>0.470058297122972</v>
      </c>
      <c r="J262" s="20" t="n">
        <v>0.5634920634920635</v>
      </c>
      <c r="K262" s="20" t="n">
        <v>0.5867768595041323</v>
      </c>
      <c r="L262" s="19" t="n">
        <v>-0.089380613656537</v>
      </c>
      <c r="M262" s="19" t="n">
        <v>-0.1989147330721182</v>
      </c>
      <c r="N262" s="20" t="n">
        <v>0</v>
      </c>
      <c r="O262" s="27" t="n">
        <v>0.839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USU @ UTAH</t>
        </is>
      </c>
      <c r="C263" s="12" t="inlineStr">
        <is>
          <t>2026-09-19 19:30</t>
        </is>
      </c>
      <c r="D263" s="22" t="n">
        <v>3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-115</v>
      </c>
      <c r="I263" s="15" t="n">
        <v>0.4221834301687669</v>
      </c>
      <c r="J263" s="15" t="n">
        <v>0.5108342361863488</v>
      </c>
      <c r="K263" s="15" t="n">
        <v>0.5348837209302325</v>
      </c>
      <c r="L263" s="14" t="n">
        <v>-0.09020317749210099</v>
      </c>
      <c r="M263" s="14" t="n">
        <v>-0.2107005435975228</v>
      </c>
      <c r="N263" s="15" t="n">
        <v>0</v>
      </c>
      <c r="O263" s="24" t="n">
        <v>0.839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BGSU @ ISU</t>
        </is>
      </c>
      <c r="C264" s="17" t="inlineStr">
        <is>
          <t>2026-09-19 16:00</t>
        </is>
      </c>
      <c r="D264" s="25" t="n">
        <v>3</v>
      </c>
      <c r="E264" s="17" t="inlineStr">
        <is>
          <t>TOTAL</t>
        </is>
      </c>
      <c r="F264" s="17" t="inlineStr">
        <is>
          <t>Under 44.5</t>
        </is>
      </c>
      <c r="G264" s="26" t="n">
        <v>44.5</v>
      </c>
      <c r="H264" s="18" t="n">
        <v>-118</v>
      </c>
      <c r="I264" s="20" t="n">
        <v>0.4095536349313933</v>
      </c>
      <c r="J264" s="20" t="n">
        <v>0.5</v>
      </c>
      <c r="K264" s="20" t="n">
        <v>0.5412844036697247</v>
      </c>
      <c r="L264" s="19" t="n">
        <v>-0.0908760475434153</v>
      </c>
      <c r="M264" s="19" t="n">
        <v>-0.2433670134318328</v>
      </c>
      <c r="N264" s="20" t="n">
        <v>0</v>
      </c>
      <c r="O264" s="27" t="n">
        <v>0.839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AKR @ MINN</t>
        </is>
      </c>
      <c r="C265" s="12" t="inlineStr">
        <is>
          <t>2026-09-19 16:00</t>
        </is>
      </c>
      <c r="D265" s="22" t="n">
        <v>3</v>
      </c>
      <c r="E265" s="12" t="inlineStr">
        <is>
          <t>ML</t>
        </is>
      </c>
      <c r="F265" s="12" t="inlineStr">
        <is>
          <t>MINN ML</t>
        </is>
      </c>
      <c r="G265" s="23" t="n"/>
      <c r="H265" s="13" t="n">
        <v>-3200</v>
      </c>
      <c r="I265" s="15" t="n">
        <v>0.7657795759688519</v>
      </c>
      <c r="J265" s="15" t="n">
        <v>0.9356725146198831</v>
      </c>
      <c r="K265" s="15" t="n">
        <v>0.9696969696969697</v>
      </c>
      <c r="L265" s="14" t="n">
        <v>-0.09093343917488417</v>
      </c>
      <c r="M265" s="14" t="n">
        <v>-0.2102898122821214</v>
      </c>
      <c r="N265" s="15" t="n">
        <v>0</v>
      </c>
      <c r="O265" s="24" t="n">
        <v>0.839</v>
      </c>
      <c r="P265" s="12" t="inlineStr">
        <is>
          <t>Draft Kings</t>
        </is>
      </c>
      <c r="Q265" s="12" t="inlineStr">
        <is>
          <t>price outside allowed range</t>
        </is>
      </c>
    </row>
    <row r="266">
      <c r="A266" s="17" t="inlineStr">
        <is>
          <t>PASS</t>
        </is>
      </c>
      <c r="B266" s="17" t="inlineStr">
        <is>
          <t>LSU @ MISS</t>
        </is>
      </c>
      <c r="C266" s="17" t="inlineStr">
        <is>
          <t>2026-09-19 23:30</t>
        </is>
      </c>
      <c r="D266" s="25" t="n">
        <v>3</v>
      </c>
      <c r="E266" s="17" t="inlineStr">
        <is>
          <t>ML</t>
        </is>
      </c>
      <c r="F266" s="17" t="inlineStr">
        <is>
          <t>LSU ML</t>
        </is>
      </c>
      <c r="G266" s="26" t="n"/>
      <c r="H266" s="18" t="n">
        <v>-155</v>
      </c>
      <c r="I266" s="20" t="n">
        <v>0.4743335200201259</v>
      </c>
      <c r="J266" s="20" t="n">
        <v>0.5829926410466066</v>
      </c>
      <c r="K266" s="20" t="n">
        <v>0.6078431372549019</v>
      </c>
      <c r="L266" s="19" t="n">
        <v>-0.09131736831628295</v>
      </c>
      <c r="M266" s="19" t="n">
        <v>-0.2196448541604382</v>
      </c>
      <c r="N266" s="20" t="n">
        <v>0</v>
      </c>
      <c r="O266" s="27" t="n">
        <v>0.839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UTSA @ TEX</t>
        </is>
      </c>
      <c r="C267" s="12" t="inlineStr">
        <is>
          <t>2026-09-20 00:00</t>
        </is>
      </c>
      <c r="D267" s="22" t="n">
        <v>3</v>
      </c>
      <c r="E267" s="12" t="inlineStr">
        <is>
          <t>ML</t>
        </is>
      </c>
      <c r="F267" s="12" t="inlineStr">
        <is>
          <t>TEX ML</t>
        </is>
      </c>
      <c r="G267" s="23" t="n"/>
      <c r="H267" s="13" t="n">
        <v>-6500</v>
      </c>
      <c r="I267" s="15" t="n">
        <v>0.7754426564399982</v>
      </c>
      <c r="J267" s="15" t="n">
        <v>0.9538784067085954</v>
      </c>
      <c r="K267" s="15" t="n">
        <v>0.9848484848484849</v>
      </c>
      <c r="L267" s="14" t="n">
        <v>-0.09136884551946439</v>
      </c>
      <c r="M267" s="14" t="n">
        <v>-0.212627456537848</v>
      </c>
      <c r="N267" s="15" t="n">
        <v>0</v>
      </c>
      <c r="O267" s="24" t="n">
        <v>0.839</v>
      </c>
      <c r="P267" s="12" t="inlineStr">
        <is>
          <t>Draft 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SYR @ PITT</t>
        </is>
      </c>
      <c r="C268" s="17" t="inlineStr">
        <is>
          <t>2026-09-17 23:30</t>
        </is>
      </c>
      <c r="D268" s="25" t="n">
        <v>3</v>
      </c>
      <c r="E268" s="17" t="inlineStr">
        <is>
          <t>ATS</t>
        </is>
      </c>
      <c r="F268" s="17" t="inlineStr">
        <is>
          <t>PITT -10.5</t>
        </is>
      </c>
      <c r="G268" s="26" t="n">
        <v>-10.5</v>
      </c>
      <c r="H268" s="18" t="n">
        <v>-112</v>
      </c>
      <c r="I268" s="20" t="n">
        <v>0.4092827101996394</v>
      </c>
      <c r="J268" s="20" t="n">
        <v>0.5043297540699688</v>
      </c>
      <c r="K268" s="20" t="n">
        <v>0.5283018867924528</v>
      </c>
      <c r="L268" s="19" t="n">
        <v>-0.09147225335581981</v>
      </c>
      <c r="M268" s="19" t="n">
        <v>-0.2252862985506826</v>
      </c>
      <c r="N268" s="20" t="n">
        <v>0</v>
      </c>
      <c r="O268" s="27" t="n">
        <v>0.839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FLA @ AUB</t>
        </is>
      </c>
      <c r="C269" s="12" t="inlineStr">
        <is>
          <t>2026-09-19 23:00</t>
        </is>
      </c>
      <c r="D269" s="22" t="n">
        <v>3</v>
      </c>
      <c r="E269" s="12" t="inlineStr">
        <is>
          <t>ATS</t>
        </is>
      </c>
      <c r="F269" s="12" t="inlineStr">
        <is>
          <t>FLA -2.5</t>
        </is>
      </c>
      <c r="G269" s="23" t="n">
        <v>2.5</v>
      </c>
      <c r="H269" s="13" t="n">
        <v>-115</v>
      </c>
      <c r="I269" s="15" t="n">
        <v>0.4144221401970452</v>
      </c>
      <c r="J269" s="15" t="n">
        <v>0.5108342361863488</v>
      </c>
      <c r="K269" s="15" t="n">
        <v>0.5348837209302325</v>
      </c>
      <c r="L269" s="14" t="n">
        <v>-0.09149206116145595</v>
      </c>
      <c r="M269" s="14" t="n">
        <v>-0.2252107813707417</v>
      </c>
      <c r="N269" s="15" t="n">
        <v>0</v>
      </c>
      <c r="O269" s="24" t="n">
        <v>0.839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CCU @ DEL</t>
        </is>
      </c>
      <c r="C270" s="17" t="inlineStr">
        <is>
          <t>2026-09-19 15:30</t>
        </is>
      </c>
      <c r="D270" s="25" t="n">
        <v>3</v>
      </c>
      <c r="E270" s="17" t="inlineStr">
        <is>
          <t>TOTAL</t>
        </is>
      </c>
      <c r="F270" s="17" t="inlineStr">
        <is>
          <t>Over 57.5</t>
        </is>
      </c>
      <c r="G270" s="26" t="n">
        <v>57.5</v>
      </c>
      <c r="H270" s="18" t="n">
        <v>-110</v>
      </c>
      <c r="I270" s="20" t="n">
        <v>0.4024756263717841</v>
      </c>
      <c r="J270" s="20" t="n">
        <v>0.5</v>
      </c>
      <c r="K270" s="20" t="n">
        <v>0.5238095238095238</v>
      </c>
      <c r="L270" s="19" t="n">
        <v>-0.09192163064792221</v>
      </c>
      <c r="M270" s="19" t="n">
        <v>-0.2316374405629577</v>
      </c>
      <c r="N270" s="20" t="n">
        <v>0</v>
      </c>
      <c r="O270" s="27" t="n">
        <v>0.839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UTSA @ TEX</t>
        </is>
      </c>
      <c r="C271" s="12" t="inlineStr">
        <is>
          <t>2026-09-20 00:00</t>
        </is>
      </c>
      <c r="D271" s="22" t="n">
        <v>3</v>
      </c>
      <c r="E271" s="12" t="inlineStr">
        <is>
          <t>TOTAL</t>
        </is>
      </c>
      <c r="F271" s="12" t="inlineStr">
        <is>
          <t>Over 58.5</t>
        </is>
      </c>
      <c r="G271" s="23" t="n">
        <v>58.5</v>
      </c>
      <c r="H271" s="13" t="n">
        <v>-105</v>
      </c>
      <c r="I271" s="15" t="n">
        <v>0.3901234050199552</v>
      </c>
      <c r="J271" s="15" t="n">
        <v>0.4891657638136511</v>
      </c>
      <c r="K271" s="15" t="n">
        <v>0.5121951219512195</v>
      </c>
      <c r="L271" s="14" t="n">
        <v>-0.09236081974578154</v>
      </c>
      <c r="M271" s="14" t="n">
        <v>-0.2383304949610399</v>
      </c>
      <c r="N271" s="15" t="n">
        <v>0</v>
      </c>
      <c r="O271" s="24" t="n">
        <v>0.839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WMU @ RICE</t>
        </is>
      </c>
      <c r="C272" s="17" t="inlineStr">
        <is>
          <t>2026-09-19 23:00</t>
        </is>
      </c>
      <c r="D272" s="25" t="n">
        <v>3</v>
      </c>
      <c r="E272" s="17" t="inlineStr">
        <is>
          <t>TOTAL</t>
        </is>
      </c>
      <c r="F272" s="17" t="inlineStr">
        <is>
          <t>Under 43.5</t>
        </is>
      </c>
      <c r="G272" s="26" t="n">
        <v>43.5</v>
      </c>
      <c r="H272" s="18" t="n">
        <v>-105</v>
      </c>
      <c r="I272" s="20" t="n">
        <v>0.3867118854290292</v>
      </c>
      <c r="J272" s="20" t="n">
        <v>0.4891657638136511</v>
      </c>
      <c r="K272" s="20" t="n">
        <v>0.5121951219512195</v>
      </c>
      <c r="L272" s="19" t="n">
        <v>-0.09271688082241272</v>
      </c>
      <c r="M272" s="19" t="n">
        <v>-0.2449910808290382</v>
      </c>
      <c r="N272" s="20" t="n">
        <v>0</v>
      </c>
      <c r="O272" s="27" t="n">
        <v>0.839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CONN @ USM</t>
        </is>
      </c>
      <c r="C273" s="12" t="inlineStr">
        <is>
          <t>2026-09-19 23:00</t>
        </is>
      </c>
      <c r="D273" s="22" t="n">
        <v>3</v>
      </c>
      <c r="E273" s="12" t="inlineStr">
        <is>
          <t>ML</t>
        </is>
      </c>
      <c r="F273" s="12" t="inlineStr">
        <is>
          <t>CONN ML</t>
        </is>
      </c>
      <c r="G273" s="23" t="n"/>
      <c r="H273" s="13" t="n">
        <v>-155</v>
      </c>
      <c r="I273" s="15" t="n">
        <v>0.4594187795805241</v>
      </c>
      <c r="J273" s="15" t="n">
        <v>0.5829926410466066</v>
      </c>
      <c r="K273" s="15" t="n">
        <v>0.6078431372549019</v>
      </c>
      <c r="L273" s="14" t="n">
        <v>-0.09283343962281329</v>
      </c>
      <c r="M273" s="14" t="n">
        <v>-0.2441820077868797</v>
      </c>
      <c r="N273" s="15" t="n">
        <v>0</v>
      </c>
      <c r="O273" s="24" t="n">
        <v>0.839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JMU @ SDSU</t>
        </is>
      </c>
      <c r="C274" s="17" t="inlineStr">
        <is>
          <t>2026-09-20 02:00</t>
        </is>
      </c>
      <c r="D274" s="25" t="n">
        <v>3</v>
      </c>
      <c r="E274" s="17" t="inlineStr">
        <is>
          <t>TOTAL</t>
        </is>
      </c>
      <c r="F274" s="17" t="inlineStr">
        <is>
          <t>Under 46.5</t>
        </is>
      </c>
      <c r="G274" s="26" t="n">
        <v>46.5</v>
      </c>
      <c r="H274" s="18" t="n">
        <v>-110</v>
      </c>
      <c r="I274" s="20" t="n">
        <v>0.3938300141862472</v>
      </c>
      <c r="J274" s="20" t="n">
        <v>0.5</v>
      </c>
      <c r="K274" s="20" t="n">
        <v>0.5238095238095238</v>
      </c>
      <c r="L274" s="19" t="n">
        <v>-0.09285029600564701</v>
      </c>
      <c r="M274" s="19" t="n">
        <v>-0.2481427001898917</v>
      </c>
      <c r="N274" s="20" t="n">
        <v>0</v>
      </c>
      <c r="O274" s="27" t="n">
        <v>0.839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VT @ MD</t>
        </is>
      </c>
      <c r="C275" s="12" t="inlineStr">
        <is>
          <t>2026-09-19 23:30</t>
        </is>
      </c>
      <c r="D275" s="22" t="n">
        <v>3</v>
      </c>
      <c r="E275" s="12" t="inlineStr">
        <is>
          <t>ML</t>
        </is>
      </c>
      <c r="F275" s="12" t="inlineStr">
        <is>
          <t>VT ML</t>
        </is>
      </c>
      <c r="G275" s="23" t="n"/>
      <c r="H275" s="13" t="n">
        <v>-142</v>
      </c>
      <c r="I275" s="15" t="n">
        <v>0.4406299448226706</v>
      </c>
      <c r="J275" s="15" t="n">
        <v>0.5634920634920635</v>
      </c>
      <c r="K275" s="15" t="n">
        <v>0.5867768595041323</v>
      </c>
      <c r="L275" s="14" t="n">
        <v>-0.09309082286648408</v>
      </c>
      <c r="M275" s="14" t="n">
        <v>-0.2490672771331952</v>
      </c>
      <c r="N275" s="15" t="n">
        <v>0</v>
      </c>
      <c r="O275" s="24" t="n">
        <v>0.839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MRSH @ MOST</t>
        </is>
      </c>
      <c r="C276" s="17" t="inlineStr">
        <is>
          <t>2026-09-19 22:30</t>
        </is>
      </c>
      <c r="D276" s="25" t="n">
        <v>3</v>
      </c>
      <c r="E276" s="17" t="inlineStr">
        <is>
          <t>ML</t>
        </is>
      </c>
      <c r="F276" s="17" t="inlineStr">
        <is>
          <t>MRSH ML</t>
        </is>
      </c>
      <c r="G276" s="26" t="n"/>
      <c r="H276" s="18" t="n">
        <v>-166</v>
      </c>
      <c r="I276" s="20" t="n">
        <v>0.4649708504764806</v>
      </c>
      <c r="J276" s="20" t="n">
        <v>0.5996387718242023</v>
      </c>
      <c r="K276" s="20" t="n">
        <v>0.6240601503759399</v>
      </c>
      <c r="L276" s="19" t="n">
        <v>-0.09333440501169969</v>
      </c>
      <c r="M276" s="19" t="n">
        <v>-0.2549262275497359</v>
      </c>
      <c r="N276" s="20" t="n">
        <v>0</v>
      </c>
      <c r="O276" s="27" t="n">
        <v>0.839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LSU @ MISS</t>
        </is>
      </c>
      <c r="C277" s="12" t="inlineStr">
        <is>
          <t>2026-09-19 23:30</t>
        </is>
      </c>
      <c r="D277" s="22" t="n">
        <v>3</v>
      </c>
      <c r="E277" s="12" t="inlineStr">
        <is>
          <t>ATS</t>
        </is>
      </c>
      <c r="F277" s="12" t="inlineStr">
        <is>
          <t>LSU -3</t>
        </is>
      </c>
      <c r="G277" s="23" t="n">
        <v>3</v>
      </c>
      <c r="H277" s="13" t="n">
        <v>-110</v>
      </c>
      <c r="I277" s="15" t="n">
        <v>0.385169289010895</v>
      </c>
      <c r="J277" s="15" t="n">
        <v>0.5</v>
      </c>
      <c r="K277" s="15" t="n">
        <v>0.5238095238095238</v>
      </c>
      <c r="L277" s="14" t="n">
        <v>-0.09350199936537928</v>
      </c>
      <c r="M277" s="14" t="n">
        <v>-0.2510988914384221</v>
      </c>
      <c r="N277" s="15" t="n">
        <v>0.0513</v>
      </c>
      <c r="O277" s="24" t="n">
        <v>0.839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USC @ RUTG</t>
        </is>
      </c>
      <c r="C278" s="17" t="inlineStr">
        <is>
          <t>2026-09-19 19:30</t>
        </is>
      </c>
      <c r="D278" s="25" t="n">
        <v>3</v>
      </c>
      <c r="E278" s="17" t="inlineStr">
        <is>
          <t>TOTAL</t>
        </is>
      </c>
      <c r="F278" s="17" t="inlineStr">
        <is>
          <t>Over 59.5</t>
        </is>
      </c>
      <c r="G278" s="26" t="n">
        <v>59.5</v>
      </c>
      <c r="H278" s="18" t="n">
        <v>-108</v>
      </c>
      <c r="I278" s="20" t="n">
        <v>0.3799658053215573</v>
      </c>
      <c r="J278" s="20" t="n">
        <v>0.4956702459300312</v>
      </c>
      <c r="K278" s="20" t="n">
        <v>0.5192307692307693</v>
      </c>
      <c r="L278" s="19" t="n">
        <v>-0.0936154313326031</v>
      </c>
      <c r="M278" s="19" t="n">
        <v>-0.2682140045658895</v>
      </c>
      <c r="N278" s="20" t="n">
        <v>0</v>
      </c>
      <c r="O278" s="27" t="n">
        <v>0.839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WMU @ RICE</t>
        </is>
      </c>
      <c r="C279" s="12" t="inlineStr">
        <is>
          <t>2026-09-19 23:00</t>
        </is>
      </c>
      <c r="D279" s="22" t="n">
        <v>3</v>
      </c>
      <c r="E279" s="12" t="inlineStr">
        <is>
          <t>ML</t>
        </is>
      </c>
      <c r="F279" s="12" t="inlineStr">
        <is>
          <t>WMU ML</t>
        </is>
      </c>
      <c r="G279" s="23" t="n"/>
      <c r="H279" s="13" t="n">
        <v>-375</v>
      </c>
      <c r="I279" s="15" t="n">
        <v>0.5770168407509679</v>
      </c>
      <c r="J279" s="15" t="n">
        <v>0.7571884984025559</v>
      </c>
      <c r="K279" s="15" t="n">
        <v>0.7894736842105263</v>
      </c>
      <c r="L279" s="14" t="n">
        <v>-0.09374022225691331</v>
      </c>
      <c r="M279" s="14" t="n">
        <v>-0.2691120017154407</v>
      </c>
      <c r="N279" s="15" t="n">
        <v>0</v>
      </c>
      <c r="O279" s="24" t="n">
        <v>0.839</v>
      </c>
      <c r="P279" s="12" t="inlineStr">
        <is>
          <t>Draft 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WKU @ IU</t>
        </is>
      </c>
      <c r="C280" s="17" t="inlineStr">
        <is>
          <t>2026-09-19 20:00</t>
        </is>
      </c>
      <c r="D280" s="25" t="n">
        <v>3</v>
      </c>
      <c r="E280" s="17" t="inlineStr">
        <is>
          <t>TOTAL</t>
        </is>
      </c>
      <c r="F280" s="17" t="inlineStr">
        <is>
          <t>Over 60.5</t>
        </is>
      </c>
      <c r="G280" s="26" t="n">
        <v>60.5</v>
      </c>
      <c r="H280" s="18" t="n">
        <v>-110</v>
      </c>
      <c r="I280" s="20" t="n">
        <v>0.3804997784954824</v>
      </c>
      <c r="J280" s="20" t="n">
        <v>0.5</v>
      </c>
      <c r="K280" s="20" t="n">
        <v>0.5238095238095238</v>
      </c>
      <c r="L280" s="19" t="n">
        <v>-0.09376764301607408</v>
      </c>
      <c r="M280" s="19" t="n">
        <v>-0.2735913319631699</v>
      </c>
      <c r="N280" s="20" t="n">
        <v>0</v>
      </c>
      <c r="O280" s="27" t="n">
        <v>0.839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KENN @ TENN</t>
        </is>
      </c>
      <c r="C281" s="12" t="inlineStr">
        <is>
          <t>2026-09-19 23:45</t>
        </is>
      </c>
      <c r="D281" s="22" t="n">
        <v>3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-112</v>
      </c>
      <c r="I281" s="15" t="n">
        <v>0.3826646578267929</v>
      </c>
      <c r="J281" s="15" t="n">
        <v>0.5043297540699688</v>
      </c>
      <c r="K281" s="15" t="n">
        <v>0.5283018867924528</v>
      </c>
      <c r="L281" s="14" t="n">
        <v>-0.09382407573615809</v>
      </c>
      <c r="M281" s="14" t="n">
        <v>-0.2756704691135705</v>
      </c>
      <c r="N281" s="15" t="n">
        <v>0</v>
      </c>
      <c r="O281" s="24" t="n">
        <v>0.839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LSU @ MISS</t>
        </is>
      </c>
      <c r="C282" s="17" t="inlineStr">
        <is>
          <t>2026-09-19 23:30</t>
        </is>
      </c>
      <c r="D282" s="25" t="n">
        <v>3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-102</v>
      </c>
      <c r="I282" s="20" t="n">
        <v>0.3653991748346024</v>
      </c>
      <c r="J282" s="20" t="n">
        <v>0.4826358742837298</v>
      </c>
      <c r="K282" s="20" t="n">
        <v>0.504950495049505</v>
      </c>
      <c r="L282" s="19" t="n">
        <v>-0.09386441126080745</v>
      </c>
      <c r="M282" s="19" t="n">
        <v>-0.2763663400334344</v>
      </c>
      <c r="N282" s="20" t="n">
        <v>0</v>
      </c>
      <c r="O282" s="27" t="n">
        <v>0.839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FRES @ SJSU</t>
        </is>
      </c>
      <c r="C283" s="12" t="inlineStr">
        <is>
          <t>2026-09-20 03:00</t>
        </is>
      </c>
      <c r="D283" s="22" t="n">
        <v>3</v>
      </c>
      <c r="E283" s="12" t="inlineStr">
        <is>
          <t>ML</t>
        </is>
      </c>
      <c r="F283" s="12" t="inlineStr">
        <is>
          <t>FRES ML</t>
        </is>
      </c>
      <c r="G283" s="23" t="n"/>
      <c r="H283" s="13" t="n">
        <v>-250</v>
      </c>
      <c r="I283" s="15" t="n">
        <v>0.5170153750040301</v>
      </c>
      <c r="J283" s="15" t="n">
        <v>0.6853932584269663</v>
      </c>
      <c r="K283" s="15" t="n">
        <v>0.7142857142857143</v>
      </c>
      <c r="L283" s="14" t="n">
        <v>-0.09392808293129191</v>
      </c>
      <c r="M283" s="14" t="n">
        <v>-0.276178474994358</v>
      </c>
      <c r="N283" s="15" t="n">
        <v>0</v>
      </c>
      <c r="O283" s="24" t="n">
        <v>0.839</v>
      </c>
      <c r="P283" s="12" t="inlineStr">
        <is>
          <t>Draft 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MSST @ SC</t>
        </is>
      </c>
      <c r="C284" s="17" t="inlineStr">
        <is>
          <t>2026-09-19 20:15</t>
        </is>
      </c>
      <c r="D284" s="25" t="n">
        <v>3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-108</v>
      </c>
      <c r="I284" s="20" t="n">
        <v>0.3735050530760079</v>
      </c>
      <c r="J284" s="20" t="n">
        <v>0.4956702459300312</v>
      </c>
      <c r="K284" s="20" t="n">
        <v>0.5192307692307693</v>
      </c>
      <c r="L284" s="19" t="n">
        <v>-0.09394585390761559</v>
      </c>
      <c r="M284" s="19" t="n">
        <v>-0.2806569348165774</v>
      </c>
      <c r="N284" s="20" t="n">
        <v>0</v>
      </c>
      <c r="O284" s="27" t="n">
        <v>0.839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PUR @ UCLA</t>
        </is>
      </c>
      <c r="C285" s="12" t="inlineStr">
        <is>
          <t>2026-09-20 03:00</t>
        </is>
      </c>
      <c r="D285" s="22" t="n">
        <v>3</v>
      </c>
      <c r="E285" s="12" t="inlineStr">
        <is>
          <t>ATS</t>
        </is>
      </c>
      <c r="F285" s="12" t="inlineStr">
        <is>
          <t>UCLA -14.5</t>
        </is>
      </c>
      <c r="G285" s="23" t="n">
        <v>-14.5</v>
      </c>
      <c r="H285" s="13" t="n">
        <v>-110</v>
      </c>
      <c r="I285" s="15" t="n">
        <v>0.3732744299999041</v>
      </c>
      <c r="J285" s="15" t="n">
        <v>0.5</v>
      </c>
      <c r="K285" s="15" t="n">
        <v>0.5238095238095238</v>
      </c>
      <c r="L285" s="14" t="n">
        <v>-0.0940893474354626</v>
      </c>
      <c r="M285" s="14" t="n">
        <v>-0.2873851790910922</v>
      </c>
      <c r="N285" s="15" t="n">
        <v>0</v>
      </c>
      <c r="O285" s="24" t="n">
        <v>0.839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NEV @ MTSU</t>
        </is>
      </c>
      <c r="C286" s="17" t="inlineStr">
        <is>
          <t>2026-09-19 23:00</t>
        </is>
      </c>
      <c r="D286" s="25" t="n">
        <v>3</v>
      </c>
      <c r="E286" s="17" t="inlineStr">
        <is>
          <t>ML</t>
        </is>
      </c>
      <c r="F286" s="17" t="inlineStr">
        <is>
          <t>NEV ML</t>
        </is>
      </c>
      <c r="G286" s="26" t="n"/>
      <c r="H286" s="18" t="n">
        <v>-180</v>
      </c>
      <c r="I286" s="20" t="n">
        <v>0.4595324543022881</v>
      </c>
      <c r="J286" s="20" t="n">
        <v>0.6164383561643836</v>
      </c>
      <c r="K286" s="20" t="n">
        <v>0.6428571428571429</v>
      </c>
      <c r="L286" s="19" t="n">
        <v>-0.09410981841137971</v>
      </c>
      <c r="M286" s="19" t="n">
        <v>-0.2851717377519963</v>
      </c>
      <c r="N286" s="20" t="n">
        <v>0</v>
      </c>
      <c r="O286" s="27" t="n">
        <v>0.839</v>
      </c>
      <c r="P286" s="17" t="inlineStr">
        <is>
          <t>Draft 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CONN @ USM</t>
        </is>
      </c>
      <c r="C287" s="12" t="inlineStr">
        <is>
          <t>2026-09-19 23:00</t>
        </is>
      </c>
      <c r="D287" s="22" t="n">
        <v>3</v>
      </c>
      <c r="E287" s="12" t="inlineStr">
        <is>
          <t>ATS</t>
        </is>
      </c>
      <c r="F287" s="12" t="inlineStr">
        <is>
          <t>CONN -3</t>
        </is>
      </c>
      <c r="G287" s="23" t="n">
        <v>3</v>
      </c>
      <c r="H287" s="13" t="n">
        <v>-115</v>
      </c>
      <c r="I287" s="15" t="n">
        <v>0.377072328446254</v>
      </c>
      <c r="J287" s="15" t="n">
        <v>0.5108342361863488</v>
      </c>
      <c r="K287" s="15" t="n">
        <v>0.5348837209302325</v>
      </c>
      <c r="L287" s="14" t="n">
        <v>-0.09423634055429721</v>
      </c>
      <c r="M287" s="14" t="n">
        <v>-0.2806408022096825</v>
      </c>
      <c r="N287" s="15" t="n">
        <v>0.0488</v>
      </c>
      <c r="O287" s="24" t="n">
        <v>0.839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VT @ MD</t>
        </is>
      </c>
      <c r="C288" s="17" t="inlineStr">
        <is>
          <t>2026-09-19 23:30</t>
        </is>
      </c>
      <c r="D288" s="25" t="n">
        <v>3</v>
      </c>
      <c r="E288" s="17" t="inlineStr">
        <is>
          <t>ATS</t>
        </is>
      </c>
      <c r="F288" s="17" t="inlineStr">
        <is>
          <t>VT -3</t>
        </is>
      </c>
      <c r="G288" s="26" t="n">
        <v>3</v>
      </c>
      <c r="H288" s="18" t="n">
        <v>-105</v>
      </c>
      <c r="I288" s="20" t="n">
        <v>0.3582274842555104</v>
      </c>
      <c r="J288" s="20" t="n">
        <v>0.4891657638136511</v>
      </c>
      <c r="K288" s="20" t="n">
        <v>0.5121951219512195</v>
      </c>
      <c r="L288" s="19" t="n">
        <v>-0.09432418656267386</v>
      </c>
      <c r="M288" s="19" t="n">
        <v>-0.2864450590652328</v>
      </c>
      <c r="N288" s="20" t="n">
        <v>0.0471</v>
      </c>
      <c r="O288" s="27" t="n">
        <v>0.839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MRSH @ MOST</t>
        </is>
      </c>
      <c r="C289" s="12" t="inlineStr">
        <is>
          <t>2026-09-19 22:30</t>
        </is>
      </c>
      <c r="D289" s="22" t="n">
        <v>3</v>
      </c>
      <c r="E289" s="12" t="inlineStr">
        <is>
          <t>ATS</t>
        </is>
      </c>
      <c r="F289" s="12" t="inlineStr">
        <is>
          <t>MRSH -3.5</t>
        </is>
      </c>
      <c r="G289" s="23" t="n">
        <v>3.5</v>
      </c>
      <c r="H289" s="13" t="n">
        <v>-105</v>
      </c>
      <c r="I289" s="15" t="n">
        <v>0.3580127703862315</v>
      </c>
      <c r="J289" s="15" t="n">
        <v>0.4891657638136511</v>
      </c>
      <c r="K289" s="15" t="n">
        <v>0.5121951219512195</v>
      </c>
      <c r="L289" s="14" t="n">
        <v>-0.0943303809576284</v>
      </c>
      <c r="M289" s="14" t="n">
        <v>-0.3010226863887862</v>
      </c>
      <c r="N289" s="15" t="n">
        <v>0</v>
      </c>
      <c r="O289" s="24" t="n">
        <v>0.839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MIA @ WAKE</t>
        </is>
      </c>
      <c r="C290" s="17" t="inlineStr">
        <is>
          <t>2026-09-18 23:30</t>
        </is>
      </c>
      <c r="D290" s="25" t="n">
        <v>3</v>
      </c>
      <c r="E290" s="17" t="inlineStr">
        <is>
          <t>ML</t>
        </is>
      </c>
      <c r="F290" s="17" t="inlineStr">
        <is>
          <t>MIA ML</t>
        </is>
      </c>
      <c r="G290" s="26" t="n"/>
      <c r="H290" s="18" t="n">
        <v>-1800</v>
      </c>
      <c r="I290" s="20" t="n">
        <v>0.6605220662452306</v>
      </c>
      <c r="J290" s="20" t="n">
        <v>0.912442396313364</v>
      </c>
      <c r="K290" s="20" t="n">
        <v>0.9473684210526315</v>
      </c>
      <c r="L290" s="19" t="n">
        <v>-0.09443361273520971</v>
      </c>
      <c r="M290" s="19" t="n">
        <v>-0.3027822634078121</v>
      </c>
      <c r="N290" s="20" t="n">
        <v>0</v>
      </c>
      <c r="O290" s="27" t="n">
        <v>0.839</v>
      </c>
      <c r="P290" s="17" t="inlineStr">
        <is>
          <t>Draft 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UGA @ ARK</t>
        </is>
      </c>
      <c r="C291" s="12" t="inlineStr">
        <is>
          <t>2026-09-19 16:00</t>
        </is>
      </c>
      <c r="D291" s="22" t="n">
        <v>3</v>
      </c>
      <c r="E291" s="12" t="inlineStr">
        <is>
          <t>ML</t>
        </is>
      </c>
      <c r="F291" s="12" t="inlineStr">
        <is>
          <t>UGA ML</t>
        </is>
      </c>
      <c r="G291" s="23" t="n"/>
      <c r="H291" s="13" t="n">
        <v>-4500</v>
      </c>
      <c r="I291" s="15" t="n">
        <v>0.6801039801348587</v>
      </c>
      <c r="J291" s="15" t="n">
        <v>0.9462616822429908</v>
      </c>
      <c r="K291" s="15" t="n">
        <v>0.9782608695652174</v>
      </c>
      <c r="L291" s="14" t="n">
        <v>-0.09449195573926773</v>
      </c>
      <c r="M291" s="14" t="n">
        <v>-0.3047825980843667</v>
      </c>
      <c r="N291" s="15" t="n">
        <v>0</v>
      </c>
      <c r="O291" s="24" t="n">
        <v>0.839</v>
      </c>
      <c r="P291" s="12" t="inlineStr">
        <is>
          <t>Draft 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WYO @ CMU</t>
        </is>
      </c>
      <c r="C292" s="17" t="inlineStr">
        <is>
          <t>2026-09-19 17:00</t>
        </is>
      </c>
      <c r="D292" s="25" t="n">
        <v>3</v>
      </c>
      <c r="E292" s="17" t="inlineStr">
        <is>
          <t>TOTAL</t>
        </is>
      </c>
      <c r="F292" s="17" t="inlineStr">
        <is>
          <t>Under 39.5</t>
        </is>
      </c>
      <c r="G292" s="26" t="n">
        <v>39.5</v>
      </c>
      <c r="H292" s="18" t="n">
        <v>-110</v>
      </c>
      <c r="I292" s="20" t="n">
        <v>0.3587995213306191</v>
      </c>
      <c r="J292" s="20" t="n">
        <v>0.5</v>
      </c>
      <c r="K292" s="20" t="n">
        <v>0.5238095238095238</v>
      </c>
      <c r="L292" s="19" t="n">
        <v>-0.0945038485118886</v>
      </c>
      <c r="M292" s="19" t="n">
        <v>-0.3150190956415453</v>
      </c>
      <c r="N292" s="20" t="n">
        <v>0</v>
      </c>
      <c r="O292" s="27" t="n">
        <v>0.839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WVU @ UVA</t>
        </is>
      </c>
      <c r="C293" s="12" t="inlineStr">
        <is>
          <t>2026-09-19 23:30</t>
        </is>
      </c>
      <c r="D293" s="22" t="n">
        <v>3</v>
      </c>
      <c r="E293" s="12" t="inlineStr">
        <is>
          <t>ATS</t>
        </is>
      </c>
      <c r="F293" s="12" t="inlineStr">
        <is>
          <t>UVA -10</t>
        </is>
      </c>
      <c r="G293" s="23" t="n">
        <v>-10</v>
      </c>
      <c r="H293" s="13" t="n">
        <v>-112</v>
      </c>
      <c r="I293" s="15" t="n">
        <v>0.3611819500961256</v>
      </c>
      <c r="J293" s="15" t="n">
        <v>0.5043297540699688</v>
      </c>
      <c r="K293" s="15" t="n">
        <v>0.5283018867924528</v>
      </c>
      <c r="L293" s="14" t="n">
        <v>-0.09451859369654776</v>
      </c>
      <c r="M293" s="14" t="n">
        <v>-0.3061482057478355</v>
      </c>
      <c r="N293" s="15" t="n">
        <v>0.0322</v>
      </c>
      <c r="O293" s="24" t="n">
        <v>0.839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NDSU @ SAC</t>
        </is>
      </c>
      <c r="C294" s="17" t="inlineStr">
        <is>
          <t>2026-09-20 02:30</t>
        </is>
      </c>
      <c r="D294" s="25" t="n">
        <v>3</v>
      </c>
      <c r="E294" s="17" t="inlineStr">
        <is>
          <t>ML</t>
        </is>
      </c>
      <c r="F294" s="17" t="inlineStr">
        <is>
          <t>NDSU ML</t>
        </is>
      </c>
      <c r="G294" s="26" t="n"/>
      <c r="H294" s="18" t="n">
        <v>-9000</v>
      </c>
      <c r="I294" s="20" t="n">
        <v>0.6867085145453984</v>
      </c>
      <c r="J294" s="20" t="n">
        <v>0.9625668449197861</v>
      </c>
      <c r="K294" s="20" t="n">
        <v>0.9890109890109891</v>
      </c>
      <c r="L294" s="19" t="n">
        <v>-0.0945455935096015</v>
      </c>
      <c r="M294" s="19" t="n">
        <v>-0.3056613908485417</v>
      </c>
      <c r="N294" s="20" t="n">
        <v>0</v>
      </c>
      <c r="O294" s="27" t="n">
        <v>0.926</v>
      </c>
      <c r="P294" s="17" t="inlineStr">
        <is>
          <t>Draft Kings</t>
        </is>
      </c>
      <c r="Q294" s="17" t="inlineStr">
        <is>
          <t>price outside allowed range</t>
        </is>
      </c>
    </row>
    <row r="295">
      <c r="A295" s="12" t="inlineStr">
        <is>
          <t>PASS</t>
        </is>
      </c>
      <c r="B295" s="12" t="inlineStr">
        <is>
          <t>UK @ TA&amp;M</t>
        </is>
      </c>
      <c r="C295" s="12" t="inlineStr">
        <is>
          <t>2026-09-19 19:30</t>
        </is>
      </c>
      <c r="D295" s="22" t="n">
        <v>3</v>
      </c>
      <c r="E295" s="12" t="inlineStr">
        <is>
          <t>ATS</t>
        </is>
      </c>
      <c r="F295" s="12" t="inlineStr">
        <is>
          <t>TA&amp;M -16.5</t>
        </is>
      </c>
      <c r="G295" s="23" t="n">
        <v>-16.5</v>
      </c>
      <c r="H295" s="13" t="n">
        <v>-118</v>
      </c>
      <c r="I295" s="15" t="n">
        <v>0.3683334909552574</v>
      </c>
      <c r="J295" s="15" t="n">
        <v>0.5173641257162701</v>
      </c>
      <c r="K295" s="15" t="n">
        <v>0.5412844036697247</v>
      </c>
      <c r="L295" s="14" t="n">
        <v>-0.094559421486858</v>
      </c>
      <c r="M295" s="14" t="n">
        <v>-0.3195194828114736</v>
      </c>
      <c r="N295" s="15" t="n">
        <v>0</v>
      </c>
      <c r="O295" s="24" t="n">
        <v>0.839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M-OH @ CIN</t>
        </is>
      </c>
      <c r="C296" s="17" t="inlineStr">
        <is>
          <t>2026-09-19 19:30</t>
        </is>
      </c>
      <c r="D296" s="25" t="n">
        <v>3</v>
      </c>
      <c r="E296" s="17" t="inlineStr">
        <is>
          <t>ATS</t>
        </is>
      </c>
      <c r="F296" s="17" t="inlineStr">
        <is>
          <t>CIN -14.5</t>
        </is>
      </c>
      <c r="G296" s="26" t="n">
        <v>-14.5</v>
      </c>
      <c r="H296" s="18" t="n">
        <v>-110</v>
      </c>
      <c r="I296" s="20" t="n">
        <v>0.3548188394921926</v>
      </c>
      <c r="J296" s="20" t="n">
        <v>0.5</v>
      </c>
      <c r="K296" s="20" t="n">
        <v>0.5238095238095238</v>
      </c>
      <c r="L296" s="19" t="n">
        <v>-0.09458024269901827</v>
      </c>
      <c r="M296" s="19" t="n">
        <v>-0.3226185791512686</v>
      </c>
      <c r="N296" s="20" t="n">
        <v>0</v>
      </c>
      <c r="O296" s="27" t="n">
        <v>0.839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USC @ RUTG</t>
        </is>
      </c>
      <c r="C297" s="12" t="inlineStr">
        <is>
          <t>2026-09-19 19:30</t>
        </is>
      </c>
      <c r="D297" s="22" t="n">
        <v>3</v>
      </c>
      <c r="E297" s="12" t="inlineStr">
        <is>
          <t>ML</t>
        </is>
      </c>
      <c r="F297" s="12" t="inlineStr">
        <is>
          <t>USC ML</t>
        </is>
      </c>
      <c r="G297" s="23" t="n"/>
      <c r="H297" s="13" t="n">
        <v>-2800</v>
      </c>
      <c r="I297" s="15" t="n">
        <v>0.6586998406448875</v>
      </c>
      <c r="J297" s="15" t="n">
        <v>0.9311163895486935</v>
      </c>
      <c r="K297" s="15" t="n">
        <v>0.9655172413793104</v>
      </c>
      <c r="L297" s="14" t="n">
        <v>-0.09459926374996132</v>
      </c>
      <c r="M297" s="14" t="n">
        <v>-0.3177751650463665</v>
      </c>
      <c r="N297" s="15" t="n">
        <v>0</v>
      </c>
      <c r="O297" s="24" t="n">
        <v>0.839</v>
      </c>
      <c r="P297" s="12" t="inlineStr">
        <is>
          <t>Draft 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BYU @ CSU</t>
        </is>
      </c>
      <c r="C298" s="17" t="inlineStr">
        <is>
          <t>2026-09-19 23:30</t>
        </is>
      </c>
      <c r="D298" s="25" t="n">
        <v>3</v>
      </c>
      <c r="E298" s="17" t="inlineStr">
        <is>
          <t>ML</t>
        </is>
      </c>
      <c r="F298" s="17" t="inlineStr">
        <is>
          <t>BYU ML</t>
        </is>
      </c>
      <c r="G298" s="26" t="n"/>
      <c r="H298" s="18" t="n">
        <v>-1000</v>
      </c>
      <c r="I298" s="20" t="n">
        <v>0.61318977860225</v>
      </c>
      <c r="J298" s="20" t="n">
        <v>0.8720930232558138</v>
      </c>
      <c r="K298" s="20" t="n">
        <v>0.9090909090909091</v>
      </c>
      <c r="L298" s="19" t="n">
        <v>-0.09463392595635392</v>
      </c>
      <c r="M298" s="19" t="n">
        <v>-0.325491243537525</v>
      </c>
      <c r="N298" s="20" t="n">
        <v>0</v>
      </c>
      <c r="O298" s="27" t="n">
        <v>0.839</v>
      </c>
      <c r="P298" s="17" t="inlineStr">
        <is>
          <t>Draft 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BALL @ LIB</t>
        </is>
      </c>
      <c r="C299" s="12" t="inlineStr">
        <is>
          <t>2026-09-19 20:00</t>
        </is>
      </c>
      <c r="D299" s="22" t="n">
        <v>3</v>
      </c>
      <c r="E299" s="12" t="inlineStr">
        <is>
          <t>ATS</t>
        </is>
      </c>
      <c r="F299" s="12" t="inlineStr">
        <is>
          <t>LIB -14.5</t>
        </is>
      </c>
      <c r="G299" s="23" t="n">
        <v>-14.5</v>
      </c>
      <c r="H299" s="13" t="n">
        <v>-105</v>
      </c>
      <c r="I299" s="15" t="n">
        <v>0.3435133294129906</v>
      </c>
      <c r="J299" s="15" t="n">
        <v>0.4891657638136511</v>
      </c>
      <c r="K299" s="15" t="n">
        <v>0.5121951219512195</v>
      </c>
      <c r="L299" s="14" t="n">
        <v>-0.09464064099423691</v>
      </c>
      <c r="M299" s="14" t="n">
        <v>-0.3293311187651136</v>
      </c>
      <c r="N299" s="15" t="n">
        <v>0</v>
      </c>
      <c r="O299" s="24" t="n">
        <v>0.839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KENT @ OSU</t>
        </is>
      </c>
      <c r="C300" s="17" t="inlineStr">
        <is>
          <t>2026-09-19 16:00</t>
        </is>
      </c>
      <c r="D300" s="25" t="n">
        <v>3</v>
      </c>
      <c r="E300" s="17" t="inlineStr">
        <is>
          <t>TOTAL</t>
        </is>
      </c>
      <c r="F300" s="17" t="inlineStr">
        <is>
          <t>Over 59.5</t>
        </is>
      </c>
      <c r="G300" s="26" t="n">
        <v>59.5</v>
      </c>
      <c r="H300" s="18" t="n">
        <v>-105</v>
      </c>
      <c r="I300" s="20" t="n">
        <v>0.3433649069662547</v>
      </c>
      <c r="J300" s="20" t="n">
        <v>0.4891657638136511</v>
      </c>
      <c r="K300" s="20" t="n">
        <v>0.5121951219512195</v>
      </c>
      <c r="L300" s="19" t="n">
        <v>-0.09464292488406345</v>
      </c>
      <c r="M300" s="19" t="n">
        <v>-0.3296208959230267</v>
      </c>
      <c r="N300" s="20" t="n">
        <v>0</v>
      </c>
      <c r="O300" s="27" t="n">
        <v>0.839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UNT @ TXST</t>
        </is>
      </c>
      <c r="C301" s="12" t="inlineStr">
        <is>
          <t>2026-09-19 16:00</t>
        </is>
      </c>
      <c r="D301" s="22" t="n">
        <v>3</v>
      </c>
      <c r="E301" s="12" t="inlineStr">
        <is>
          <t>TOTAL</t>
        </is>
      </c>
      <c r="F301" s="12" t="inlineStr">
        <is>
          <t>Over 63.5</t>
        </is>
      </c>
      <c r="G301" s="23" t="n">
        <v>63.5</v>
      </c>
      <c r="H301" s="13" t="n">
        <v>-105</v>
      </c>
      <c r="I301" s="15" t="n">
        <v>0.3419807297963899</v>
      </c>
      <c r="J301" s="15" t="n">
        <v>0.4891657638136511</v>
      </c>
      <c r="K301" s="15" t="n">
        <v>0.5121951219512195</v>
      </c>
      <c r="L301" s="14" t="n">
        <v>-0.09466353878471044</v>
      </c>
      <c r="M301" s="14" t="n">
        <v>-0.332323337064191</v>
      </c>
      <c r="N301" s="15" t="n">
        <v>0</v>
      </c>
      <c r="O301" s="24" t="n">
        <v>0.839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FIU @ FAU</t>
        </is>
      </c>
      <c r="C302" s="17" t="inlineStr">
        <is>
          <t>2026-09-19 22:00</t>
        </is>
      </c>
      <c r="D302" s="25" t="n">
        <v>3</v>
      </c>
      <c r="E302" s="17" t="inlineStr">
        <is>
          <t>TOTAL</t>
        </is>
      </c>
      <c r="F302" s="17" t="inlineStr">
        <is>
          <t>Over 62.5</t>
        </is>
      </c>
      <c r="G302" s="26" t="n">
        <v>62.5</v>
      </c>
      <c r="H302" s="18" t="n">
        <v>-110</v>
      </c>
      <c r="I302" s="20" t="n">
        <v>0.3473978489977779</v>
      </c>
      <c r="J302" s="20" t="n">
        <v>0.5</v>
      </c>
      <c r="K302" s="20" t="n">
        <v>0.5238095238095238</v>
      </c>
      <c r="L302" s="19" t="n">
        <v>-0.09469270537580907</v>
      </c>
      <c r="M302" s="19" t="n">
        <v>-0.3367859246406057</v>
      </c>
      <c r="N302" s="20" t="n">
        <v>0</v>
      </c>
      <c r="O302" s="27" t="n">
        <v>0.839</v>
      </c>
      <c r="P302" s="17" t="inlineStr">
        <is>
          <t>Draft 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CLT @ APP</t>
        </is>
      </c>
      <c r="C303" s="12" t="inlineStr">
        <is>
          <t>2026-09-19 22:00</t>
        </is>
      </c>
      <c r="D303" s="22" t="n">
        <v>3</v>
      </c>
      <c r="E303" s="12" t="inlineStr">
        <is>
          <t>ATS</t>
        </is>
      </c>
      <c r="F303" s="12" t="inlineStr">
        <is>
          <t>APP -17.5</t>
        </is>
      </c>
      <c r="G303" s="23" t="n">
        <v>-17.5</v>
      </c>
      <c r="H303" s="13" t="n">
        <v>-110</v>
      </c>
      <c r="I303" s="15" t="n">
        <v>0.3461203709004106</v>
      </c>
      <c r="J303" s="15" t="n">
        <v>0.5</v>
      </c>
      <c r="K303" s="15" t="n">
        <v>0.5238095238095238</v>
      </c>
      <c r="L303" s="14" t="n">
        <v>-0.09470877297328392</v>
      </c>
      <c r="M303" s="14" t="n">
        <v>-0.3392247464628525</v>
      </c>
      <c r="N303" s="15" t="n">
        <v>0</v>
      </c>
      <c r="O303" s="24" t="n">
        <v>0.839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NEV @ MTSU</t>
        </is>
      </c>
      <c r="C304" s="17" t="inlineStr">
        <is>
          <t>2026-09-19 23:00</t>
        </is>
      </c>
      <c r="D304" s="25" t="n">
        <v>3</v>
      </c>
      <c r="E304" s="17" t="inlineStr">
        <is>
          <t>ATS</t>
        </is>
      </c>
      <c r="F304" s="17" t="inlineStr">
        <is>
          <t>NEV -4</t>
        </is>
      </c>
      <c r="G304" s="26" t="n">
        <v>4</v>
      </c>
      <c r="H304" s="18" t="n">
        <v>-105</v>
      </c>
      <c r="I304" s="20" t="n">
        <v>0.3378416092268735</v>
      </c>
      <c r="J304" s="20" t="n">
        <v>0.4891657638136511</v>
      </c>
      <c r="K304" s="20" t="n">
        <v>0.5121951219512195</v>
      </c>
      <c r="L304" s="19" t="n">
        <v>-0.09471835902390353</v>
      </c>
      <c r="M304" s="19" t="n">
        <v>-0.3329496191725237</v>
      </c>
      <c r="N304" s="20" t="n">
        <v>0.0219</v>
      </c>
      <c r="O304" s="27" t="n">
        <v>0.839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FRES @ SJSU</t>
        </is>
      </c>
      <c r="C305" s="12" t="inlineStr">
        <is>
          <t>2026-09-20 03:00</t>
        </is>
      </c>
      <c r="D305" s="22" t="n">
        <v>3</v>
      </c>
      <c r="E305" s="12" t="inlineStr">
        <is>
          <t>ATS</t>
        </is>
      </c>
      <c r="F305" s="12" t="inlineStr">
        <is>
          <t>FRES -6.5</t>
        </is>
      </c>
      <c r="G305" s="23" t="n">
        <v>6.5</v>
      </c>
      <c r="H305" s="13" t="n">
        <v>-118</v>
      </c>
      <c r="I305" s="15" t="n">
        <v>0.3488020863998156</v>
      </c>
      <c r="J305" s="15" t="n">
        <v>0.5173641257162701</v>
      </c>
      <c r="K305" s="15" t="n">
        <v>0.5412844036697247</v>
      </c>
      <c r="L305" s="14" t="n">
        <v>-0.09480074466219705</v>
      </c>
      <c r="M305" s="14" t="n">
        <v>-0.3556029251257644</v>
      </c>
      <c r="N305" s="15" t="n">
        <v>0</v>
      </c>
      <c r="O305" s="24" t="n">
        <v>0.839</v>
      </c>
      <c r="P305" s="12" t="inlineStr">
        <is>
          <t>Draft 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WMU @ RICE</t>
        </is>
      </c>
      <c r="C306" s="17" t="inlineStr">
        <is>
          <t>2026-09-19 23:00</t>
        </is>
      </c>
      <c r="D306" s="25" t="n">
        <v>3</v>
      </c>
      <c r="E306" s="17" t="inlineStr">
        <is>
          <t>ATS</t>
        </is>
      </c>
      <c r="F306" s="17" t="inlineStr">
        <is>
          <t>WMU -9.5</t>
        </is>
      </c>
      <c r="G306" s="26" t="n">
        <v>9.5</v>
      </c>
      <c r="H306" s="18" t="n">
        <v>-112</v>
      </c>
      <c r="I306" s="20" t="n">
        <v>0.3252053470937603</v>
      </c>
      <c r="J306" s="20" t="n">
        <v>0.5043297540699688</v>
      </c>
      <c r="K306" s="20" t="n">
        <v>0.5283018867924528</v>
      </c>
      <c r="L306" s="19" t="n">
        <v>-0.09489256527497378</v>
      </c>
      <c r="M306" s="19" t="n">
        <v>-0.3844327358582396</v>
      </c>
      <c r="N306" s="20" t="n">
        <v>0</v>
      </c>
      <c r="O306" s="27" t="n">
        <v>0.839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FSU @ ALA</t>
        </is>
      </c>
      <c r="C307" s="12" t="inlineStr">
        <is>
          <t>2026-09-19 19:30</t>
        </is>
      </c>
      <c r="D307" s="22" t="n">
        <v>3</v>
      </c>
      <c r="E307" s="12" t="inlineStr">
        <is>
          <t>ATS</t>
        </is>
      </c>
      <c r="F307" s="12" t="inlineStr">
        <is>
          <t>ALA -20.5</t>
        </is>
      </c>
      <c r="G307" s="23" t="n">
        <v>-20.5</v>
      </c>
      <c r="H307" s="13" t="n">
        <v>-110</v>
      </c>
      <c r="I307" s="15" t="n">
        <v>0.3112246289976402</v>
      </c>
      <c r="J307" s="15" t="n">
        <v>0.5</v>
      </c>
      <c r="K307" s="15" t="n">
        <v>0.5238095238095238</v>
      </c>
      <c r="L307" s="14" t="n">
        <v>-0.09493291305090019</v>
      </c>
      <c r="M307" s="14" t="n">
        <v>-0.4058438900954141</v>
      </c>
      <c r="N307" s="15" t="n">
        <v>0</v>
      </c>
      <c r="O307" s="24" t="n">
        <v>0.839</v>
      </c>
      <c r="P307" s="12" t="inlineStr">
        <is>
          <t>Draft 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TULN @ KSU</t>
        </is>
      </c>
      <c r="C308" s="17" t="inlineStr">
        <is>
          <t>2026-09-19 16:00</t>
        </is>
      </c>
      <c r="D308" s="25" t="n">
        <v>3</v>
      </c>
      <c r="E308" s="17" t="inlineStr">
        <is>
          <t>ATS</t>
        </is>
      </c>
      <c r="F308" s="17" t="inlineStr">
        <is>
          <t>KSU -20.5</t>
        </is>
      </c>
      <c r="G308" s="26" t="n">
        <v>-20.5</v>
      </c>
      <c r="H308" s="18" t="n">
        <v>-105</v>
      </c>
      <c r="I308" s="20" t="n">
        <v>0.3044371573194054</v>
      </c>
      <c r="J308" s="20" t="n">
        <v>0.4891657638136511</v>
      </c>
      <c r="K308" s="20" t="n">
        <v>0.5121951219512195</v>
      </c>
      <c r="L308" s="19" t="n">
        <v>-0.0949330390889709</v>
      </c>
      <c r="M308" s="19" t="n">
        <v>-0.4056226928525895</v>
      </c>
      <c r="N308" s="20" t="n">
        <v>0</v>
      </c>
      <c r="O308" s="27" t="n">
        <v>0.839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LT @ BAY</t>
        </is>
      </c>
      <c r="C309" s="12" t="inlineStr">
        <is>
          <t>2026-09-19 20:00</t>
        </is>
      </c>
      <c r="D309" s="22" t="n">
        <v>3</v>
      </c>
      <c r="E309" s="12" t="inlineStr">
        <is>
          <t>ATS</t>
        </is>
      </c>
      <c r="F309" s="12" t="inlineStr">
        <is>
          <t>BAY -19.5</t>
        </is>
      </c>
      <c r="G309" s="23" t="n">
        <v>-19.5</v>
      </c>
      <c r="H309" s="13" t="n">
        <v>-102</v>
      </c>
      <c r="I309" s="15" t="n">
        <v>0.298607597438345</v>
      </c>
      <c r="J309" s="15" t="n">
        <v>0.4826358742837298</v>
      </c>
      <c r="K309" s="15" t="n">
        <v>0.504950495049505</v>
      </c>
      <c r="L309" s="14" t="n">
        <v>-0.09493800097383333</v>
      </c>
      <c r="M309" s="14" t="n">
        <v>-0.4086398560534736</v>
      </c>
      <c r="N309" s="15" t="n">
        <v>0</v>
      </c>
      <c r="O309" s="24" t="n">
        <v>0.839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GAST @ UCF</t>
        </is>
      </c>
      <c r="C310" s="17" t="inlineStr">
        <is>
          <t>2026-09-19 23:00</t>
        </is>
      </c>
      <c r="D310" s="25" t="n">
        <v>3</v>
      </c>
      <c r="E310" s="17" t="inlineStr">
        <is>
          <t>ATS</t>
        </is>
      </c>
      <c r="F310" s="17" t="inlineStr">
        <is>
          <t>UCF -18.5</t>
        </is>
      </c>
      <c r="G310" s="26" t="n">
        <v>-18.5</v>
      </c>
      <c r="H310" s="18" t="n">
        <v>-112</v>
      </c>
      <c r="I310" s="20" t="n">
        <v>0.3098104876623939</v>
      </c>
      <c r="J310" s="20" t="n">
        <v>0.5043297540699688</v>
      </c>
      <c r="K310" s="20" t="n">
        <v>0.5283018867924528</v>
      </c>
      <c r="L310" s="19" t="n">
        <v>-0.09494348467149377</v>
      </c>
      <c r="M310" s="19" t="n">
        <v>-0.4135730054961829</v>
      </c>
      <c r="N310" s="20" t="n">
        <v>0</v>
      </c>
      <c r="O310" s="27" t="n">
        <v>0.839</v>
      </c>
      <c r="P310" s="17" t="inlineStr">
        <is>
          <t>Draft 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ARST @ TCU</t>
        </is>
      </c>
      <c r="C311" s="12" t="inlineStr">
        <is>
          <t>2026-09-20 00:00</t>
        </is>
      </c>
      <c r="D311" s="22" t="n">
        <v>3</v>
      </c>
      <c r="E311" s="12" t="inlineStr">
        <is>
          <t>ATS</t>
        </is>
      </c>
      <c r="F311" s="12" t="inlineStr">
        <is>
          <t>TCU -20.5</t>
        </is>
      </c>
      <c r="G311" s="23" t="n">
        <v>-20.5</v>
      </c>
      <c r="H311" s="13" t="n">
        <v>-108</v>
      </c>
      <c r="I311" s="15" t="n">
        <v>0.2957106649598328</v>
      </c>
      <c r="J311" s="15" t="n">
        <v>0.4956702459300312</v>
      </c>
      <c r="K311" s="15" t="n">
        <v>0.5192307692307693</v>
      </c>
      <c r="L311" s="14" t="n">
        <v>-0.094961073339285</v>
      </c>
      <c r="M311" s="14" t="n">
        <v>-0.4304831637810628</v>
      </c>
      <c r="N311" s="15" t="n">
        <v>0</v>
      </c>
      <c r="O311" s="24" t="n">
        <v>0.839</v>
      </c>
      <c r="P311" s="12" t="inlineStr">
        <is>
          <t>Draft 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BGSU @ ISU</t>
        </is>
      </c>
      <c r="C312" s="17" t="inlineStr">
        <is>
          <t>2026-09-19 16:00</t>
        </is>
      </c>
      <c r="D312" s="25" t="n">
        <v>3</v>
      </c>
      <c r="E312" s="17" t="inlineStr">
        <is>
          <t>ATS</t>
        </is>
      </c>
      <c r="F312" s="17" t="inlineStr">
        <is>
          <t>ISU -23.5</t>
        </is>
      </c>
      <c r="G312" s="26" t="n">
        <v>-23.5</v>
      </c>
      <c r="H312" s="18" t="n">
        <v>-115</v>
      </c>
      <c r="I312" s="20" t="n">
        <v>0.3040991274728303</v>
      </c>
      <c r="J312" s="20" t="n">
        <v>0.5108342361863488</v>
      </c>
      <c r="K312" s="20" t="n">
        <v>0.5348837209302325</v>
      </c>
      <c r="L312" s="19" t="n">
        <v>-0.0949621148352349</v>
      </c>
      <c r="M312" s="19" t="n">
        <v>-0.4314668486377521</v>
      </c>
      <c r="N312" s="20" t="n">
        <v>0</v>
      </c>
      <c r="O312" s="27" t="n">
        <v>0.839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UNM @ OU</t>
        </is>
      </c>
      <c r="C313" s="12" t="inlineStr">
        <is>
          <t>2026-09-19 23:30</t>
        </is>
      </c>
      <c r="D313" s="22" t="n">
        <v>3</v>
      </c>
      <c r="E313" s="12" t="inlineStr">
        <is>
          <t>ATS</t>
        </is>
      </c>
      <c r="F313" s="12" t="inlineStr">
        <is>
          <t>OU -22.5</t>
        </is>
      </c>
      <c r="G313" s="23" t="n">
        <v>-22.5</v>
      </c>
      <c r="H313" s="13" t="n">
        <v>-112</v>
      </c>
      <c r="I313" s="15" t="n">
        <v>0.2895696819108835</v>
      </c>
      <c r="J313" s="15" t="n">
        <v>0.5043297540699688</v>
      </c>
      <c r="K313" s="15" t="n">
        <v>0.5283018867924528</v>
      </c>
      <c r="L313" s="14" t="n">
        <v>-0.09497571755183612</v>
      </c>
      <c r="M313" s="14" t="n">
        <v>-0.4518859592401134</v>
      </c>
      <c r="N313" s="15" t="n">
        <v>0</v>
      </c>
      <c r="O313" s="24" t="n">
        <v>0.839</v>
      </c>
      <c r="P313" s="12" t="inlineStr">
        <is>
          <t>Draft 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EMU @ WIS</t>
        </is>
      </c>
      <c r="C314" s="17" t="inlineStr">
        <is>
          <t>2026-09-19 16:30</t>
        </is>
      </c>
      <c r="D314" s="25" t="n">
        <v>3</v>
      </c>
      <c r="E314" s="17" t="inlineStr">
        <is>
          <t>ATS</t>
        </is>
      </c>
      <c r="F314" s="17" t="inlineStr">
        <is>
          <t>WIS -23.5</t>
        </is>
      </c>
      <c r="G314" s="26" t="n">
        <v>-23.5</v>
      </c>
      <c r="H314" s="18" t="n">
        <v>-120</v>
      </c>
      <c r="I314" s="20" t="n">
        <v>0.2988778965671</v>
      </c>
      <c r="J314" s="20" t="n">
        <v>0.5217391304347826</v>
      </c>
      <c r="K314" s="20" t="n">
        <v>0.5454545454545454</v>
      </c>
      <c r="L314" s="19" t="n">
        <v>-0.09497638200882962</v>
      </c>
      <c r="M314" s="19" t="n">
        <v>-0.4520571896269833</v>
      </c>
      <c r="N314" s="20" t="n">
        <v>0</v>
      </c>
      <c r="O314" s="27" t="n">
        <v>0.839</v>
      </c>
      <c r="P314" s="17" t="inlineStr">
        <is>
          <t>Draft 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TROY @ MIZ</t>
        </is>
      </c>
      <c r="C315" s="12" t="inlineStr">
        <is>
          <t>2026-09-19 23:00</t>
        </is>
      </c>
      <c r="D315" s="22" t="n">
        <v>3</v>
      </c>
      <c r="E315" s="12" t="inlineStr">
        <is>
          <t>ATS</t>
        </is>
      </c>
      <c r="F315" s="12" t="inlineStr">
        <is>
          <t>MIZ -26.5</t>
        </is>
      </c>
      <c r="G315" s="23" t="n">
        <v>-26.5</v>
      </c>
      <c r="H315" s="13" t="n">
        <v>-112</v>
      </c>
      <c r="I315" s="15" t="n">
        <v>0.2841406487403551</v>
      </c>
      <c r="J315" s="15" t="n">
        <v>0.5043297540699688</v>
      </c>
      <c r="K315" s="15" t="n">
        <v>0.5283018867924528</v>
      </c>
      <c r="L315" s="14" t="n">
        <v>-0.09498064111808167</v>
      </c>
      <c r="M315" s="14" t="n">
        <v>-0.4621623434557566</v>
      </c>
      <c r="N315" s="15" t="n">
        <v>0</v>
      </c>
      <c r="O315" s="24" t="n">
        <v>0.839</v>
      </c>
      <c r="P315" s="12" t="inlineStr">
        <is>
          <t>Draft 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AKR @ MINN</t>
        </is>
      </c>
      <c r="C316" s="17" t="inlineStr">
        <is>
          <t>2026-09-19 16:00</t>
        </is>
      </c>
      <c r="D316" s="25" t="n">
        <v>3</v>
      </c>
      <c r="E316" s="17" t="inlineStr">
        <is>
          <t>ATS</t>
        </is>
      </c>
      <c r="F316" s="17" t="inlineStr">
        <is>
          <t>MINN -24.5</t>
        </is>
      </c>
      <c r="G316" s="26" t="n">
        <v>-24.5</v>
      </c>
      <c r="H316" s="18" t="n">
        <v>-102</v>
      </c>
      <c r="I316" s="20" t="n">
        <v>0.2630944811315276</v>
      </c>
      <c r="J316" s="20" t="n">
        <v>0.4826358742837298</v>
      </c>
      <c r="K316" s="20" t="n">
        <v>0.504950495049505</v>
      </c>
      <c r="L316" s="19" t="n">
        <v>-0.09498682541574716</v>
      </c>
      <c r="M316" s="19" t="n">
        <v>-0.4789697530532493</v>
      </c>
      <c r="N316" s="20" t="n">
        <v>0</v>
      </c>
      <c r="O316" s="27" t="n">
        <v>0.839</v>
      </c>
      <c r="P316" s="17" t="inlineStr">
        <is>
          <t>Draft 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-28.5</t>
        </is>
      </c>
      <c r="G317" s="23" t="n">
        <v>-28.5</v>
      </c>
      <c r="H317" s="13" t="n">
        <v>-102</v>
      </c>
      <c r="I317" s="15" t="n">
        <v>0.2604962652349365</v>
      </c>
      <c r="J317" s="15" t="n">
        <v>0.4826358742837298</v>
      </c>
      <c r="K317" s="15" t="n">
        <v>0.504950495049505</v>
      </c>
      <c r="L317" s="14" t="n">
        <v>-0.09498823695902066</v>
      </c>
      <c r="M317" s="14" t="n">
        <v>-0.4841152394366943</v>
      </c>
      <c r="N317" s="15" t="n">
        <v>0</v>
      </c>
      <c r="O317" s="24" t="n">
        <v>0.839</v>
      </c>
      <c r="P317" s="12" t="inlineStr">
        <is>
          <t>Draft 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-110</v>
      </c>
      <c r="I318" s="20" t="n">
        <v>0.2674260559771634</v>
      </c>
      <c r="J318" s="20" t="n">
        <v>0.5</v>
      </c>
      <c r="K318" s="20" t="n">
        <v>0.5238095238095238</v>
      </c>
      <c r="L318" s="19" t="n">
        <v>-0.09498938639815166</v>
      </c>
      <c r="M318" s="19" t="n">
        <v>-0.4894593476799608</v>
      </c>
      <c r="N318" s="20" t="n">
        <v>0</v>
      </c>
      <c r="O318" s="27" t="n">
        <v>0.839</v>
      </c>
      <c r="P318" s="17" t="inlineStr">
        <is>
          <t>Draft 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BYU @ CSU</t>
        </is>
      </c>
      <c r="C319" s="12" t="inlineStr">
        <is>
          <t>2026-09-19 23:30</t>
        </is>
      </c>
      <c r="D319" s="22" t="n">
        <v>3</v>
      </c>
      <c r="E319" s="12" t="inlineStr">
        <is>
          <t>ATS</t>
        </is>
      </c>
      <c r="F319" s="12" t="inlineStr">
        <is>
          <t>BYU -17.5</t>
        </is>
      </c>
      <c r="G319" s="23" t="n">
        <v>17.5</v>
      </c>
      <c r="H319" s="13" t="n">
        <v>-115</v>
      </c>
      <c r="I319" s="15" t="n">
        <v>0.2722467339488817</v>
      </c>
      <c r="J319" s="15" t="n">
        <v>0.5108342361863488</v>
      </c>
      <c r="K319" s="15" t="n">
        <v>0.5348837209302325</v>
      </c>
      <c r="L319" s="14" t="n">
        <v>-0.09498980399126992</v>
      </c>
      <c r="M319" s="14" t="n">
        <v>-0.4910169756607865</v>
      </c>
      <c r="N319" s="15" t="n">
        <v>0</v>
      </c>
      <c r="O319" s="24" t="n">
        <v>0.839</v>
      </c>
      <c r="P319" s="12" t="inlineStr">
        <is>
          <t>Draft 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MIA @ WAKE</t>
        </is>
      </c>
      <c r="C320" s="17" t="inlineStr">
        <is>
          <t>2026-09-18 23:30</t>
        </is>
      </c>
      <c r="D320" s="25" t="n">
        <v>3</v>
      </c>
      <c r="E320" s="17" t="inlineStr">
        <is>
          <t>ATS</t>
        </is>
      </c>
      <c r="F320" s="17" t="inlineStr">
        <is>
          <t>MIA -21</t>
        </is>
      </c>
      <c r="G320" s="26" t="n">
        <v>21</v>
      </c>
      <c r="H320" s="18" t="n">
        <v>-110</v>
      </c>
      <c r="I320" s="20" t="n">
        <v>0.2607217956540986</v>
      </c>
      <c r="J320" s="20" t="n">
        <v>0.497865072587532</v>
      </c>
      <c r="K320" s="20" t="n">
        <v>0.5238095238095238</v>
      </c>
      <c r="L320" s="19" t="n">
        <v>-0.09499161086113772</v>
      </c>
      <c r="M320" s="19" t="n">
        <v>-0.4991443880961903</v>
      </c>
      <c r="N320" s="20" t="n">
        <v>0.0062</v>
      </c>
      <c r="O320" s="27" t="n">
        <v>0.839</v>
      </c>
      <c r="P320" s="17" t="inlineStr">
        <is>
          <t>Draft 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ATS</t>
        </is>
      </c>
      <c r="F321" s="12" t="inlineStr">
        <is>
          <t>TEX -30.5</t>
        </is>
      </c>
      <c r="G321" s="23" t="n">
        <v>-30.5</v>
      </c>
      <c r="H321" s="13" t="n">
        <v>-108</v>
      </c>
      <c r="I321" s="15" t="n">
        <v>0.255754956987556</v>
      </c>
      <c r="J321" s="15" t="n">
        <v>0.4956702459300312</v>
      </c>
      <c r="K321" s="15" t="n">
        <v>0.5192307692307693</v>
      </c>
      <c r="L321" s="14" t="n">
        <v>-0.09499286647434864</v>
      </c>
      <c r="M321" s="14" t="n">
        <v>-0.5074348976535958</v>
      </c>
      <c r="N321" s="15" t="n">
        <v>0</v>
      </c>
      <c r="O321" s="24" t="n">
        <v>0.839</v>
      </c>
      <c r="P321" s="12" t="inlineStr">
        <is>
          <t>Draft 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NIU @ ARIZ</t>
        </is>
      </c>
      <c r="C322" s="17" t="inlineStr">
        <is>
          <t>2026-09-20 02:30</t>
        </is>
      </c>
      <c r="D322" s="25" t="n">
        <v>3</v>
      </c>
      <c r="E322" s="17" t="inlineStr">
        <is>
          <t>ATS</t>
        </is>
      </c>
      <c r="F322" s="17" t="inlineStr">
        <is>
          <t>ARIZ -34.5</t>
        </is>
      </c>
      <c r="G322" s="26" t="n">
        <v>-34.5</v>
      </c>
      <c r="H322" s="18" t="n">
        <v>-108</v>
      </c>
      <c r="I322" s="20" t="n">
        <v>0.2557430659745411</v>
      </c>
      <c r="J322" s="20" t="n">
        <v>0.4956702459300312</v>
      </c>
      <c r="K322" s="20" t="n">
        <v>0.5192307692307693</v>
      </c>
      <c r="L322" s="19" t="n">
        <v>-0.09499287007607454</v>
      </c>
      <c r="M322" s="19" t="n">
        <v>-0.5074577988638469</v>
      </c>
      <c r="N322" s="20" t="n">
        <v>0</v>
      </c>
      <c r="O322" s="27" t="n">
        <v>0.839</v>
      </c>
      <c r="P322" s="17" t="inlineStr">
        <is>
          <t>Draft 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-35.5</t>
        </is>
      </c>
      <c r="G323" s="23" t="n">
        <v>-35.5</v>
      </c>
      <c r="H323" s="13" t="n">
        <v>-112</v>
      </c>
      <c r="I323" s="15" t="n">
        <v>0.2595720635000941</v>
      </c>
      <c r="J323" s="15" t="n">
        <v>0.5043297540699688</v>
      </c>
      <c r="K323" s="15" t="n">
        <v>0.5283018867924528</v>
      </c>
      <c r="L323" s="14" t="n">
        <v>-0.09499305771477373</v>
      </c>
      <c r="M323" s="14" t="n">
        <v>-0.5086671655176791</v>
      </c>
      <c r="N323" s="15" t="n">
        <v>0</v>
      </c>
      <c r="O323" s="24" t="n">
        <v>0.839</v>
      </c>
      <c r="P323" s="12" t="inlineStr">
        <is>
          <t>Draft 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USC @ RUTG</t>
        </is>
      </c>
      <c r="C324" s="17" t="inlineStr">
        <is>
          <t>2026-09-19 19:30</t>
        </is>
      </c>
      <c r="D324" s="25" t="n">
        <v>3</v>
      </c>
      <c r="E324" s="17" t="inlineStr">
        <is>
          <t>ATS</t>
        </is>
      </c>
      <c r="F324" s="17" t="inlineStr">
        <is>
          <t>USC -23.5</t>
        </is>
      </c>
      <c r="G324" s="26" t="n">
        <v>23.5</v>
      </c>
      <c r="H324" s="18" t="n">
        <v>-118</v>
      </c>
      <c r="I324" s="20" t="n">
        <v>0.2660742840388781</v>
      </c>
      <c r="J324" s="20" t="n">
        <v>0.5173641257162701</v>
      </c>
      <c r="K324" s="20" t="n">
        <v>0.5412844036697247</v>
      </c>
      <c r="L324" s="19" t="n">
        <v>-0.09499311577670126</v>
      </c>
      <c r="M324" s="19" t="n">
        <v>-0.5084390345722422</v>
      </c>
      <c r="N324" s="20" t="n">
        <v>0</v>
      </c>
      <c r="O324" s="27" t="n">
        <v>0.839</v>
      </c>
      <c r="P324" s="17" t="inlineStr">
        <is>
          <t>Draft 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UGA @ ARK</t>
        </is>
      </c>
      <c r="C325" s="12" t="inlineStr">
        <is>
          <t>2026-09-19 16:00</t>
        </is>
      </c>
      <c r="D325" s="22" t="n">
        <v>3</v>
      </c>
      <c r="E325" s="12" t="inlineStr">
        <is>
          <t>ATS</t>
        </is>
      </c>
      <c r="F325" s="12" t="inlineStr">
        <is>
          <t>UGA -25.5</t>
        </is>
      </c>
      <c r="G325" s="23" t="n">
        <v>25.5</v>
      </c>
      <c r="H325" s="13" t="n">
        <v>-108</v>
      </c>
      <c r="I325" s="15" t="n">
        <v>0.2539079578704854</v>
      </c>
      <c r="J325" s="15" t="n">
        <v>0.4956702459300312</v>
      </c>
      <c r="K325" s="15" t="n">
        <v>0.5192307692307693</v>
      </c>
      <c r="L325" s="14" t="n">
        <v>-0.09499340467724829</v>
      </c>
      <c r="M325" s="14" t="n">
        <v>-0.5109920811383244</v>
      </c>
      <c r="N325" s="15" t="n">
        <v>0</v>
      </c>
      <c r="O325" s="24" t="n">
        <v>0.839</v>
      </c>
      <c r="P325" s="12" t="inlineStr">
        <is>
          <t>Draft 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-112</v>
      </c>
      <c r="I326" s="20" t="n">
        <v>0.2562087888840132</v>
      </c>
      <c r="J326" s="20" t="n">
        <v>0.5043297540699688</v>
      </c>
      <c r="K326" s="20" t="n">
        <v>0.5283018867924528</v>
      </c>
      <c r="L326" s="19" t="n">
        <v>-0.09499396702662946</v>
      </c>
      <c r="M326" s="19" t="n">
        <v>-0.5150333638981179</v>
      </c>
      <c r="N326" s="20" t="n">
        <v>0</v>
      </c>
      <c r="O326" s="27" t="n">
        <v>0.926</v>
      </c>
      <c r="P326" s="17" t="inlineStr">
        <is>
          <t>Draft 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UTEP @ MICH</t>
        </is>
      </c>
      <c r="C327" s="12" t="inlineStr">
        <is>
          <t>2026-09-19 19:30</t>
        </is>
      </c>
      <c r="D327" s="22" t="n">
        <v>3</v>
      </c>
      <c r="E327" s="12" t="inlineStr">
        <is>
          <t>ATS</t>
        </is>
      </c>
      <c r="F327" s="12" t="inlineStr">
        <is>
          <t>MICH -35.5</t>
        </is>
      </c>
      <c r="G327" s="23" t="n">
        <v>-35.5</v>
      </c>
      <c r="H327" s="13" t="n">
        <v>-102</v>
      </c>
      <c r="I327" s="15" t="n">
        <v>0.2448983898731902</v>
      </c>
      <c r="J327" s="15" t="n">
        <v>0.4826358742837298</v>
      </c>
      <c r="K327" s="15" t="n">
        <v>0.504950495049505</v>
      </c>
      <c r="L327" s="14" t="n">
        <v>-0.09499404273215094</v>
      </c>
      <c r="M327" s="14" t="n">
        <v>-0.5150051494668193</v>
      </c>
      <c r="N327" s="15" t="n">
        <v>0</v>
      </c>
      <c r="O327" s="24" t="n">
        <v>0.839</v>
      </c>
      <c r="P327" s="12" t="inlineStr">
        <is>
          <t>Draft 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BUFF @ PSU</t>
        </is>
      </c>
      <c r="C328" s="17" t="inlineStr">
        <is>
          <t>2026-09-19 16:00</t>
        </is>
      </c>
      <c r="D328" s="25" t="n">
        <v>3</v>
      </c>
      <c r="E328" s="17" t="inlineStr">
        <is>
          <t>ATS</t>
        </is>
      </c>
      <c r="F328" s="17" t="inlineStr">
        <is>
          <t>PSU -39.5</t>
        </is>
      </c>
      <c r="G328" s="26" t="n">
        <v>-39.5</v>
      </c>
      <c r="H328" s="18" t="n">
        <v>-112</v>
      </c>
      <c r="I328" s="20" t="n">
        <v>0.2551173061165828</v>
      </c>
      <c r="J328" s="20" t="n">
        <v>0.5043297540699688</v>
      </c>
      <c r="K328" s="20" t="n">
        <v>0.5283018867924528</v>
      </c>
      <c r="L328" s="19" t="n">
        <v>-0.09499423572849579</v>
      </c>
      <c r="M328" s="19" t="n">
        <v>-0.517099384850754</v>
      </c>
      <c r="N328" s="20" t="n">
        <v>0</v>
      </c>
      <c r="O328" s="27" t="n">
        <v>0.839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-112</v>
      </c>
      <c r="I329" s="15" t="n">
        <v>0.2530693683407251</v>
      </c>
      <c r="J329" s="15" t="n">
        <v>0.5043297540699688</v>
      </c>
      <c r="K329" s="15" t="n">
        <v>0.5283018867924528</v>
      </c>
      <c r="L329" s="14" t="n">
        <v>-0.09499470801931117</v>
      </c>
      <c r="M329" s="14" t="n">
        <v>-0.5209758384979133</v>
      </c>
      <c r="N329" s="15" t="n">
        <v>0</v>
      </c>
      <c r="O329" s="24" t="n">
        <v>0.839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-52.5</t>
        </is>
      </c>
      <c r="G330" s="26" t="n">
        <v>-52.5</v>
      </c>
      <c r="H330" s="18" t="n">
        <v>-112</v>
      </c>
      <c r="I330" s="20" t="n">
        <v>0.2522581115303211</v>
      </c>
      <c r="J330" s="20" t="n">
        <v>0.5043297540699688</v>
      </c>
      <c r="K330" s="20" t="n">
        <v>0.5283018867924528</v>
      </c>
      <c r="L330" s="19" t="n">
        <v>-0.09499488422656746</v>
      </c>
      <c r="M330" s="19" t="n">
        <v>-0.522511431746178</v>
      </c>
      <c r="N330" s="20" t="n">
        <v>0</v>
      </c>
      <c r="O330" s="27" t="n">
        <v>0.839</v>
      </c>
      <c r="P330" s="17" t="inlineStr">
        <is>
          <t>Draft 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NEV @ MTSU</t>
        </is>
      </c>
      <c r="C17" s="17" t="inlineStr">
        <is>
          <t>ATS</t>
        </is>
      </c>
      <c r="D17" s="17" t="inlineStr">
        <is>
          <t>MTSU +3.5</t>
        </is>
      </c>
      <c r="E17" s="18" t="n">
        <v>-112</v>
      </c>
      <c r="F17" s="21" t="n">
        <v>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0.0946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MRSH @ MOST</t>
        </is>
      </c>
      <c r="C18" s="12" t="inlineStr">
        <is>
          <t>ML</t>
        </is>
      </c>
      <c r="D18" s="12" t="inlineStr">
        <is>
          <t>MOST ML</t>
        </is>
      </c>
      <c r="E18" s="13" t="n">
        <v>136</v>
      </c>
      <c r="F18" s="16" t="n">
        <v>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0.0948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MSST @ SC</t>
        </is>
      </c>
      <c r="C19" s="17" t="inlineStr">
        <is>
          <t>ML</t>
        </is>
      </c>
      <c r="D19" s="17" t="inlineStr">
        <is>
          <t>MSST ML</t>
        </is>
      </c>
      <c r="E19" s="18" t="n">
        <v>240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0.08450000000000001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STAN @ DUKE</t>
        </is>
      </c>
      <c r="C20" s="12" t="inlineStr">
        <is>
          <t>ML</t>
        </is>
      </c>
      <c r="D20" s="12" t="inlineStr">
        <is>
          <t>STAN ML</t>
        </is>
      </c>
      <c r="E20" s="13" t="n">
        <v>320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WKU @ IU</t>
        </is>
      </c>
      <c r="C21" s="17" t="inlineStr">
        <is>
          <t>TOTAL</t>
        </is>
      </c>
      <c r="D21" s="17" t="inlineStr">
        <is>
          <t>Under 59.5</t>
        </is>
      </c>
      <c r="E21" s="18" t="n">
        <v>-108</v>
      </c>
      <c r="F21" s="21" t="n">
        <v>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BALL @ LIB</t>
        </is>
      </c>
      <c r="C22" s="12" t="inlineStr">
        <is>
          <t>ML</t>
        </is>
      </c>
      <c r="D22" s="12" t="inlineStr">
        <is>
          <t>BALL ML</t>
        </is>
      </c>
      <c r="E22" s="13" t="n">
        <v>575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FSU @ ALA</t>
        </is>
      </c>
      <c r="C23" s="17" t="inlineStr">
        <is>
          <t>ML</t>
        </is>
      </c>
      <c r="D23" s="17" t="inlineStr">
        <is>
          <t>FSU ML</t>
        </is>
      </c>
      <c r="E23" s="18" t="n">
        <v>440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UK @ TA&amp;M</t>
        </is>
      </c>
      <c r="C24" s="12" t="inlineStr">
        <is>
          <t>ML</t>
        </is>
      </c>
      <c r="D24" s="12" t="inlineStr">
        <is>
          <t>UK ML</t>
        </is>
      </c>
      <c r="E24" s="13" t="n">
        <v>525</v>
      </c>
      <c r="F24" s="16" t="n">
        <v>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2026-09-19</t>
        </is>
      </c>
      <c r="B25" s="17" t="inlineStr">
        <is>
          <t>M-OH @ CIN</t>
        </is>
      </c>
      <c r="C25" s="17" t="inlineStr">
        <is>
          <t>ML</t>
        </is>
      </c>
      <c r="D25" s="17" t="inlineStr">
        <is>
          <t>M-OH ML</t>
        </is>
      </c>
      <c r="E25" s="18" t="n">
        <v>525</v>
      </c>
      <c r="F25" s="21" t="n">
        <v>1.5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SMU @ LOU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-112</v>
      </c>
      <c r="F26" s="16" t="n">
        <v>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WYO @ CMU</t>
        </is>
      </c>
      <c r="C27" s="17" t="inlineStr">
        <is>
          <t>TOTAL</t>
        </is>
      </c>
      <c r="D27" s="17" t="inlineStr">
        <is>
          <t>Over 39.5</t>
        </is>
      </c>
      <c r="E27" s="18" t="n">
        <v>-110</v>
      </c>
      <c r="F27" s="21" t="n">
        <v>7.5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ML</t>
        </is>
      </c>
      <c r="D28" s="12" t="inlineStr">
        <is>
          <t>KU ML</t>
        </is>
      </c>
      <c r="E28" s="13" t="n">
        <v>170</v>
      </c>
      <c r="F28" s="16" t="n">
        <v>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0.08890000000000001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ASU @ KU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-108</v>
      </c>
      <c r="F29" s="21" t="n">
        <v>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0.0888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ML</t>
        </is>
      </c>
      <c r="D30" s="12" t="inlineStr">
        <is>
          <t>UNC ML</t>
        </is>
      </c>
      <c r="E30" s="13" t="n">
        <v>320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0.095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UNC @ CLEM</t>
        </is>
      </c>
      <c r="C31" s="17" t="inlineStr">
        <is>
          <t>TOTAL</t>
        </is>
      </c>
      <c r="D31" s="17" t="inlineStr">
        <is>
          <t>Over 44.5</t>
        </is>
      </c>
      <c r="E31" s="18" t="n">
        <v>-108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0.09229999999999999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KENT @ OSU</t>
        </is>
      </c>
      <c r="C32" s="12" t="inlineStr">
        <is>
          <t>TOTAL</t>
        </is>
      </c>
      <c r="D32" s="12" t="inlineStr">
        <is>
          <t>Under 56.5</t>
        </is>
      </c>
      <c r="E32" s="13" t="n">
        <v>-105</v>
      </c>
      <c r="F32" s="16" t="n">
        <v>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0.09329999999999999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UNT @ TXST</t>
        </is>
      </c>
      <c r="C33" s="17" t="inlineStr">
        <is>
          <t>TOTAL</t>
        </is>
      </c>
      <c r="D33" s="17" t="inlineStr">
        <is>
          <t>Under 62.5</t>
        </is>
      </c>
      <c r="E33" s="18" t="n">
        <v>-108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2026-09-19</t>
        </is>
      </c>
      <c r="B34" s="12" t="inlineStr">
        <is>
          <t>CCU @ DEL</t>
        </is>
      </c>
      <c r="C34" s="12" t="inlineStr">
        <is>
          <t>TOTAL</t>
        </is>
      </c>
      <c r="D34" s="12" t="inlineStr">
        <is>
          <t>Under 58.5</t>
        </is>
      </c>
      <c r="E34" s="13" t="n">
        <v>-105</v>
      </c>
      <c r="F34" s="16" t="n">
        <v>7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2026-09-19</t>
        </is>
      </c>
      <c r="B35" s="17" t="inlineStr">
        <is>
          <t>HOU @ TTU</t>
        </is>
      </c>
      <c r="C35" s="17" t="inlineStr">
        <is>
          <t>ATS</t>
        </is>
      </c>
      <c r="D35" s="17" t="inlineStr">
        <is>
          <t>HOU +13.5</t>
        </is>
      </c>
      <c r="E35" s="18" t="n">
        <v>-115</v>
      </c>
      <c r="F35" s="21" t="n">
        <v>7.5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0.09379999999999999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2026-09-17</t>
        </is>
      </c>
      <c r="B36" s="12" t="inlineStr">
        <is>
          <t>SYR @ PITT</t>
        </is>
      </c>
      <c r="C36" s="12" t="inlineStr">
        <is>
          <t>ML</t>
        </is>
      </c>
      <c r="D36" s="12" t="inlineStr">
        <is>
          <t>SYR ML</t>
        </is>
      </c>
      <c r="E36" s="13" t="n">
        <v>295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0.0936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ATS</t>
        </is>
      </c>
      <c r="D37" s="17" t="inlineStr">
        <is>
          <t>NMSU +11.5</t>
        </is>
      </c>
      <c r="E37" s="18" t="n">
        <v>-108</v>
      </c>
      <c r="F37" s="21" t="n">
        <v>25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0.0994</v>
      </c>
      <c r="M37" s="19" t="n">
        <v>0.1282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NMSU @ HAW</t>
        </is>
      </c>
      <c r="C38" s="12" t="inlineStr">
        <is>
          <t>ML</t>
        </is>
      </c>
      <c r="D38" s="12" t="inlineStr">
        <is>
          <t>NMSU ML</t>
        </is>
      </c>
      <c r="E38" s="13" t="n">
        <v>300</v>
      </c>
      <c r="F38" s="16" t="n">
        <v>2.5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0.0949</v>
      </c>
      <c r="M38" s="14" t="n">
        <v>0.0357</v>
      </c>
      <c r="N38" s="12" t="inlineStr">
        <is>
          <t>NMSU 19 - HAW 29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UL @ USC</t>
        </is>
      </c>
      <c r="C39" s="17" t="inlineStr">
        <is>
          <t>TOTAL</t>
        </is>
      </c>
      <c r="D39" s="17" t="inlineStr">
        <is>
          <t>Under 59.5</t>
        </is>
      </c>
      <c r="E39" s="18" t="n">
        <v>-112</v>
      </c>
      <c r="F39" s="21" t="n">
        <v>18.5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0.1106</v>
      </c>
      <c r="M39" s="19" t="n">
        <v>0.0255</v>
      </c>
      <c r="N39" s="17" t="inlineStr">
        <is>
          <t>UL 30 - USC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SAC @ FRES</t>
        </is>
      </c>
      <c r="C40" s="12" t="inlineStr">
        <is>
          <t>ML</t>
        </is>
      </c>
      <c r="D40" s="12" t="inlineStr">
        <is>
          <t>SAC ML</t>
        </is>
      </c>
      <c r="E40" s="13" t="n">
        <v>600</v>
      </c>
      <c r="F40" s="16" t="n">
        <v>1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</v>
      </c>
      <c r="N40" s="12" t="inlineStr">
        <is>
          <t>SAC 3 - FRES 49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ATS</t>
        </is>
      </c>
      <c r="D41" s="17" t="inlineStr">
        <is>
          <t>ARK +9.5</t>
        </is>
      </c>
      <c r="E41" s="18" t="n">
        <v>-105</v>
      </c>
      <c r="F41" s="21" t="n">
        <v>23.5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0.09180000000000001</v>
      </c>
      <c r="M41" s="19" t="n">
        <v>-0.0634</v>
      </c>
      <c r="N41" s="17" t="inlineStr">
        <is>
          <t>ARK 10 - UTAH 43</t>
        </is>
      </c>
      <c r="O41" s="17" t="inlineStr">
        <is>
          <t>Draft Kings</t>
        </is>
      </c>
    </row>
    <row r="42">
      <c r="A42" s="12" t="inlineStr">
        <is>
          <t>2026-09-13</t>
        </is>
      </c>
      <c r="B42" s="12" t="inlineStr">
        <is>
          <t>ARK @ UTAH</t>
        </is>
      </c>
      <c r="C42" s="12" t="inlineStr">
        <is>
          <t>ML</t>
        </is>
      </c>
      <c r="D42" s="12" t="inlineStr">
        <is>
          <t>ARK ML</t>
        </is>
      </c>
      <c r="E42" s="13" t="n">
        <v>380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0.0948</v>
      </c>
      <c r="M42" s="14" t="n">
        <v>0</v>
      </c>
      <c r="N42" s="12" t="inlineStr">
        <is>
          <t>ARK 10 - UTAH 43</t>
        </is>
      </c>
      <c r="O42" s="12" t="inlineStr">
        <is>
          <t>DraftKings</t>
        </is>
      </c>
    </row>
    <row r="43">
      <c r="A43" s="17" t="inlineStr">
        <is>
          <t>2026-09-13</t>
        </is>
      </c>
      <c r="B43" s="17" t="inlineStr">
        <is>
          <t>NDSU @ AFA</t>
        </is>
      </c>
      <c r="C43" s="17" t="inlineStr">
        <is>
          <t>ML</t>
        </is>
      </c>
      <c r="D43" s="17" t="inlineStr">
        <is>
          <t>AFA ML</t>
        </is>
      </c>
      <c r="E43" s="18" t="n">
        <v>180</v>
      </c>
      <c r="F43" s="21" t="n">
        <v>4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0.095</v>
      </c>
      <c r="M43" s="19" t="n">
        <v>0.1307</v>
      </c>
      <c r="N43" s="17" t="inlineStr">
        <is>
          <t>NDSU 38 - AFA 32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CLT @ MISS</t>
        </is>
      </c>
      <c r="C44" s="12" t="inlineStr">
        <is>
          <t>TOTAL</t>
        </is>
      </c>
      <c r="D44" s="12" t="inlineStr">
        <is>
          <t>Under 61.5</t>
        </is>
      </c>
      <c r="E44" s="13" t="n">
        <v>-108</v>
      </c>
      <c r="F44" s="16" t="n">
        <v>18.5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0.1108</v>
      </c>
      <c r="M44" s="14" t="n">
        <v>0.06</v>
      </c>
      <c r="N44" s="12" t="inlineStr">
        <is>
          <t>CLT 9 - MISS 41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OSU @ TEX</t>
        </is>
      </c>
      <c r="C45" s="17" t="inlineStr">
        <is>
          <t>TOTAL</t>
        </is>
      </c>
      <c r="D45" s="17" t="inlineStr">
        <is>
          <t>Over 47.5</t>
        </is>
      </c>
      <c r="E45" s="18" t="n">
        <v>-110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0.1189</v>
      </c>
      <c r="M45" s="19" t="n">
        <v>0.1011</v>
      </c>
      <c r="N45" s="17" t="inlineStr">
        <is>
          <t>OSU 23 - TEX 24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TTU @ ORST</t>
        </is>
      </c>
      <c r="C46" s="12" t="inlineStr">
        <is>
          <t>TOTAL</t>
        </is>
      </c>
      <c r="D46" s="12" t="inlineStr">
        <is>
          <t>Over 49.5</t>
        </is>
      </c>
      <c r="E46" s="13" t="n">
        <v>-108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0.1092</v>
      </c>
      <c r="M46" s="14" t="n">
        <v>0.09</v>
      </c>
      <c r="N46" s="12" t="inlineStr">
        <is>
          <t>TTU 35 - ORST 24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ATS</t>
        </is>
      </c>
      <c r="D47" s="17" t="inlineStr">
        <is>
          <t>ISU +12.5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0.1201</v>
      </c>
      <c r="M47" s="19" t="n">
        <v>-0.0491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ISU @ IOWA</t>
        </is>
      </c>
      <c r="C48" s="12" t="inlineStr">
        <is>
          <t>ML</t>
        </is>
      </c>
      <c r="D48" s="12" t="inlineStr">
        <is>
          <t>ISU ML</t>
        </is>
      </c>
      <c r="E48" s="13" t="n">
        <v>550</v>
      </c>
      <c r="F48" s="16" t="n">
        <v>19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0.128</v>
      </c>
      <c r="M48" s="14" t="n">
        <v>0.0216</v>
      </c>
      <c r="N48" s="12" t="inlineStr">
        <is>
          <t>ISU 13 - IOWA 16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GASO @ CLEM</t>
        </is>
      </c>
      <c r="C49" s="17" t="inlineStr">
        <is>
          <t>TOTAL</t>
        </is>
      </c>
      <c r="D49" s="17" t="inlineStr">
        <is>
          <t>Under 57.5</t>
        </is>
      </c>
      <c r="E49" s="18" t="n">
        <v>-108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0.0882</v>
      </c>
      <c r="M49" s="19" t="n">
        <v>0.0757</v>
      </c>
      <c r="N49" s="17" t="inlineStr">
        <is>
          <t>GASO 7 - CLEM 22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NAVY @ FAU</t>
        </is>
      </c>
      <c r="C50" s="12" t="inlineStr">
        <is>
          <t>ML</t>
        </is>
      </c>
      <c r="D50" s="12" t="inlineStr">
        <is>
          <t>FAU ML</t>
        </is>
      </c>
      <c r="E50" s="13" t="n">
        <v>195</v>
      </c>
      <c r="F50" s="16" t="n">
        <v>18.5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0.1327</v>
      </c>
      <c r="M50" s="14" t="n">
        <v>0.0398</v>
      </c>
      <c r="N50" s="12" t="inlineStr">
        <is>
          <t>NAVY 30 - FAU 38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ML</t>
        </is>
      </c>
      <c r="D51" s="17" t="inlineStr">
        <is>
          <t>SDSU ML</t>
        </is>
      </c>
      <c r="E51" s="18" t="n">
        <v>380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</v>
      </c>
      <c r="N51" s="17" t="inlineStr">
        <is>
          <t>SDSU 10 - UCLA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SDSU @ UCLA</t>
        </is>
      </c>
      <c r="C52" s="12" t="inlineStr">
        <is>
          <t>TOTAL</t>
        </is>
      </c>
      <c r="D52" s="12" t="inlineStr">
        <is>
          <t>Over 48.5</t>
        </is>
      </c>
      <c r="E52" s="13" t="n">
        <v>-110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0.1218</v>
      </c>
      <c r="M52" s="14" t="n">
        <v>0.1754</v>
      </c>
      <c r="N52" s="12" t="inlineStr">
        <is>
          <t>SDSU 10 - UCLA 28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USA @ TULN</t>
        </is>
      </c>
      <c r="C53" s="17" t="inlineStr">
        <is>
          <t>ML</t>
        </is>
      </c>
      <c r="D53" s="17" t="inlineStr">
        <is>
          <t>USA ML</t>
        </is>
      </c>
      <c r="E53" s="18" t="n">
        <v>330</v>
      </c>
      <c r="F53" s="21" t="n">
        <v>2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0.09470000000000001</v>
      </c>
      <c r="M53" s="19" t="n">
        <v>0.0174</v>
      </c>
      <c r="N53" s="17" t="inlineStr">
        <is>
          <t>USA 24 - TULN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ML</t>
        </is>
      </c>
      <c r="D54" s="12" t="inlineStr">
        <is>
          <t>MTSU ML</t>
        </is>
      </c>
      <c r="E54" s="13" t="n">
        <v>490</v>
      </c>
      <c r="F54" s="16" t="n">
        <v>1.5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0.095</v>
      </c>
      <c r="M54" s="14" t="n">
        <v>0.0305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MTSU @ MRSH</t>
        </is>
      </c>
      <c r="C55" s="17" t="inlineStr">
        <is>
          <t>TOTAL</t>
        </is>
      </c>
      <c r="D55" s="17" t="inlineStr">
        <is>
          <t>Under 57.5</t>
        </is>
      </c>
      <c r="E55" s="18" t="n">
        <v>-105</v>
      </c>
      <c r="F55" s="21" t="n">
        <v>14.5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0.07820000000000001</v>
      </c>
      <c r="M55" s="19" t="n">
        <v>0.0716</v>
      </c>
      <c r="N55" s="17" t="inlineStr">
        <is>
          <t>MTSU 26 - MRSH 28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MEM @ BOIS</t>
        </is>
      </c>
      <c r="C56" s="12" t="inlineStr">
        <is>
          <t>ML</t>
        </is>
      </c>
      <c r="D56" s="12" t="inlineStr">
        <is>
          <t>MEM ML</t>
        </is>
      </c>
      <c r="E56" s="13" t="n">
        <v>300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0.0944</v>
      </c>
      <c r="M56" s="14" t="n">
        <v>0</v>
      </c>
      <c r="N56" s="12" t="inlineStr">
        <is>
          <t>MEM 20 - BOIS 38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BUFF @ FIU</t>
        </is>
      </c>
      <c r="C57" s="17" t="inlineStr">
        <is>
          <t>ML</t>
        </is>
      </c>
      <c r="D57" s="17" t="inlineStr">
        <is>
          <t>BUFF ML</t>
        </is>
      </c>
      <c r="E57" s="18" t="n">
        <v>340</v>
      </c>
      <c r="F57" s="21" t="n">
        <v>2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0.0946</v>
      </c>
      <c r="M57" s="19" t="n">
        <v>0.0108</v>
      </c>
      <c r="N57" s="17" t="inlineStr">
        <is>
          <t>BUFF 20 - FIU 33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JVST @ OHIO</t>
        </is>
      </c>
      <c r="C58" s="12" t="inlineStr">
        <is>
          <t>TOTAL</t>
        </is>
      </c>
      <c r="D58" s="12" t="inlineStr">
        <is>
          <t>Over 48.5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0.1159</v>
      </c>
      <c r="M58" s="14" t="n">
        <v>0.06</v>
      </c>
      <c r="N58" s="12" t="inlineStr">
        <is>
          <t>JVST 27 - OHIO 29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ATS</t>
        </is>
      </c>
      <c r="D59" s="17" t="inlineStr">
        <is>
          <t>UNT +5.5</t>
        </is>
      </c>
      <c r="E59" s="18" t="n">
        <v>-105</v>
      </c>
      <c r="F59" s="21" t="n">
        <v>18.5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0.1238</v>
      </c>
      <c r="M59" s="19" t="n">
        <v>0.0625</v>
      </c>
      <c r="N59" s="17" t="inlineStr">
        <is>
          <t>UNLV 6 - UNT 44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UNLV @ UNT</t>
        </is>
      </c>
      <c r="C60" s="12" t="inlineStr">
        <is>
          <t>ML</t>
        </is>
      </c>
      <c r="D60" s="12" t="inlineStr">
        <is>
          <t>UNT ML</t>
        </is>
      </c>
      <c r="E60" s="13" t="n">
        <v>185</v>
      </c>
      <c r="F60" s="16" t="n">
        <v>24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0.1187</v>
      </c>
      <c r="M60" s="14" t="n">
        <v>0.07290000000000001</v>
      </c>
      <c r="N60" s="12" t="inlineStr">
        <is>
          <t>UNLV 6 - UNT 44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ATS</t>
        </is>
      </c>
      <c r="D61" s="17" t="inlineStr">
        <is>
          <t>UCF +8.5</t>
        </is>
      </c>
      <c r="E61" s="18" t="n">
        <v>-110</v>
      </c>
      <c r="F61" s="21" t="n">
        <v>15.5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0.0569</v>
      </c>
      <c r="M61" s="19" t="n">
        <v>0.0259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UCF @ PITT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0.1061</v>
      </c>
      <c r="M62" s="14" t="n">
        <v>0.12</v>
      </c>
      <c r="N62" s="12" t="inlineStr">
        <is>
          <t>UCF 7 - PITT 12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CAL @ SYR</t>
        </is>
      </c>
      <c r="C63" s="17" t="inlineStr">
        <is>
          <t>ATS</t>
        </is>
      </c>
      <c r="D63" s="17" t="inlineStr">
        <is>
          <t>SYR +1.5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0.0987</v>
      </c>
      <c r="M63" s="19" t="n">
        <v>0.125</v>
      </c>
      <c r="N63" s="17" t="inlineStr">
        <is>
          <t>CAL 21 - SYR 18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EMU @ MSU</t>
        </is>
      </c>
      <c r="C64" s="12" t="inlineStr">
        <is>
          <t>ML</t>
        </is>
      </c>
      <c r="D64" s="12" t="inlineStr">
        <is>
          <t>EMU ML</t>
        </is>
      </c>
      <c r="E64" s="13" t="n">
        <v>550</v>
      </c>
      <c r="F64" s="16" t="n">
        <v>16.5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0.1106</v>
      </c>
      <c r="M64" s="14" t="n">
        <v>-0.011</v>
      </c>
      <c r="N64" s="12" t="inlineStr">
        <is>
          <t>EMU 7 - MSU 35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ML</t>
        </is>
      </c>
      <c r="D65" s="17" t="inlineStr">
        <is>
          <t>MICH ML</t>
        </is>
      </c>
      <c r="E65" s="18" t="n">
        <v>170</v>
      </c>
      <c r="F65" s="21" t="n">
        <v>20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0.1101</v>
      </c>
      <c r="M65" s="19" t="n">
        <v>0</v>
      </c>
      <c r="N65" s="17" t="inlineStr">
        <is>
          <t>OU 10 - MICH 17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OU @ MICH</t>
        </is>
      </c>
      <c r="C66" s="12" t="inlineStr">
        <is>
          <t>TOTAL</t>
        </is>
      </c>
      <c r="D66" s="12" t="inlineStr">
        <is>
          <t>Over 46.5</t>
        </is>
      </c>
      <c r="E66" s="13" t="n">
        <v>-105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0.0851</v>
      </c>
      <c r="M66" s="14" t="n">
        <v>-0.083</v>
      </c>
      <c r="N66" s="12" t="inlineStr">
        <is>
          <t>OU 10 - MICH 17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ATS</t>
        </is>
      </c>
      <c r="D67" s="17" t="inlineStr">
        <is>
          <t>ASU +14.5</t>
        </is>
      </c>
      <c r="E67" s="18" t="n">
        <v>-110</v>
      </c>
      <c r="F67" s="21" t="n">
        <v>26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0.1221</v>
      </c>
      <c r="M67" s="19" t="n">
        <v>0.0045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ML</t>
        </is>
      </c>
      <c r="D68" s="12" t="inlineStr">
        <is>
          <t>ASU ML</t>
        </is>
      </c>
      <c r="E68" s="13" t="n">
        <v>410</v>
      </c>
      <c r="F68" s="16" t="n">
        <v>16.5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0.1061</v>
      </c>
      <c r="M68" s="14" t="n">
        <v>-0.0266</v>
      </c>
      <c r="N68" s="12" t="inlineStr">
        <is>
          <t>ASU 20 - TA&amp;M 48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ASU @ TA&amp;M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0.09660000000000001</v>
      </c>
      <c r="M69" s="19" t="n">
        <v>0</v>
      </c>
      <c r="N69" s="17" t="inlineStr">
        <is>
          <t>ASU 20 - TA&amp;M 48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WSU @ KSU</t>
        </is>
      </c>
      <c r="C70" s="12" t="inlineStr">
        <is>
          <t>ML</t>
        </is>
      </c>
      <c r="D70" s="12" t="inlineStr">
        <is>
          <t>WSU ML</t>
        </is>
      </c>
      <c r="E70" s="13" t="n">
        <v>575</v>
      </c>
      <c r="F70" s="16" t="n">
        <v>1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BEST BET</t>
        </is>
      </c>
      <c r="L70" s="14" t="n">
        <v>0.095</v>
      </c>
      <c r="M70" s="14" t="n">
        <v>-0.0148</v>
      </c>
      <c r="N70" s="12" t="inlineStr">
        <is>
          <t>WSU 7 - KSU 34</t>
        </is>
      </c>
      <c r="O70" s="12" t="inlineStr">
        <is>
          <t>DraftKings</t>
        </is>
      </c>
    </row>
    <row r="71">
      <c r="A71" s="17" t="inlineStr">
        <is>
          <t>2026-09-12</t>
        </is>
      </c>
      <c r="B71" s="17" t="inlineStr">
        <is>
          <t>ORE @ OKST</t>
        </is>
      </c>
      <c r="C71" s="17" t="inlineStr">
        <is>
          <t>TOTAL</t>
        </is>
      </c>
      <c r="D71" s="17" t="inlineStr">
        <is>
          <t>Under 60.5</t>
        </is>
      </c>
      <c r="E71" s="18" t="n">
        <v>-112</v>
      </c>
      <c r="F71" s="21" t="n">
        <v>26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0.1106</v>
      </c>
      <c r="M71" s="19" t="n">
        <v>0.1409</v>
      </c>
      <c r="N71" s="17" t="inlineStr">
        <is>
          <t>ORE 31 - OKST 39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ODU @ VT</t>
        </is>
      </c>
      <c r="C72" s="12" t="inlineStr">
        <is>
          <t>ML</t>
        </is>
      </c>
      <c r="D72" s="12" t="inlineStr">
        <is>
          <t>ODU ML</t>
        </is>
      </c>
      <c r="E72" s="13" t="n">
        <v>455</v>
      </c>
      <c r="F72" s="16" t="n">
        <v>15.5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0.1006</v>
      </c>
      <c r="M72" s="14" t="n">
        <v>-0.0625</v>
      </c>
      <c r="N72" s="12" t="inlineStr">
        <is>
          <t>ODU 21 - VT 44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ATS</t>
        </is>
      </c>
      <c r="D73" s="17" t="inlineStr">
        <is>
          <t>PUR +3.5</t>
        </is>
      </c>
      <c r="E73" s="18" t="n">
        <v>-115</v>
      </c>
      <c r="F73" s="21" t="n">
        <v>26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0.0922</v>
      </c>
      <c r="M73" s="19" t="n">
        <v>0.0014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ML</t>
        </is>
      </c>
      <c r="D74" s="12" t="inlineStr">
        <is>
          <t>PUR ML</t>
        </is>
      </c>
      <c r="E74" s="13" t="n">
        <v>164</v>
      </c>
      <c r="F74" s="16" t="n">
        <v>4.5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GOOD</t>
        </is>
      </c>
      <c r="L74" s="14" t="n">
        <v>0.0949</v>
      </c>
      <c r="M74" s="14" t="n">
        <v>0.056</v>
      </c>
      <c r="N74" s="12" t="inlineStr">
        <is>
          <t>WAKE 38 - PUR 36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WAKE @ PUR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0.1129</v>
      </c>
      <c r="M75" s="19" t="n">
        <v>0.0254</v>
      </c>
      <c r="N75" s="17" t="inlineStr">
        <is>
          <t>WAKE 38 - PUR 36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PSU @ TEM</t>
        </is>
      </c>
      <c r="C76" s="12" t="inlineStr">
        <is>
          <t>TOTAL</t>
        </is>
      </c>
      <c r="D76" s="12" t="inlineStr">
        <is>
          <t>Over 51.5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0.09859999999999999</v>
      </c>
      <c r="M76" s="14" t="n">
        <v>-0.0072</v>
      </c>
      <c r="N76" s="12" t="inlineStr">
        <is>
          <t>PSU 27 - TEM 9</t>
        </is>
      </c>
      <c r="O76" s="12" t="inlineStr">
        <is>
          <t>DraftKings</t>
        </is>
      </c>
    </row>
    <row r="77">
      <c r="A77" s="17" t="inlineStr">
        <is>
          <t>2026-09-12</t>
        </is>
      </c>
      <c r="B77" s="17" t="inlineStr">
        <is>
          <t>APP @ ECU</t>
        </is>
      </c>
      <c r="C77" s="17" t="inlineStr">
        <is>
          <t>ATS</t>
        </is>
      </c>
      <c r="D77" s="17" t="inlineStr">
        <is>
          <t>APP +10</t>
        </is>
      </c>
      <c r="E77" s="18" t="n">
        <v>-110</v>
      </c>
      <c r="F77" s="21" t="n">
        <v>22.5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0.0818</v>
      </c>
      <c r="M77" s="19" t="n">
        <v>0.0829</v>
      </c>
      <c r="N77" s="17" t="inlineStr">
        <is>
          <t>APP 27 - ECU 24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ATS</t>
        </is>
      </c>
      <c r="D78" s="12" t="inlineStr">
        <is>
          <t>KU +6.5</t>
        </is>
      </c>
      <c r="E78" s="13" t="n">
        <v>-105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0.1173</v>
      </c>
      <c r="M78" s="14" t="n">
        <v>0.06610000000000001</v>
      </c>
      <c r="N78" s="12" t="inlineStr">
        <is>
          <t>MIZ 38 - KU 21</t>
        </is>
      </c>
      <c r="O78" s="12" t="inlineStr">
        <is>
          <t>Draft Kings</t>
        </is>
      </c>
    </row>
    <row r="79">
      <c r="A79" s="17" t="inlineStr">
        <is>
          <t>2026-09-12</t>
        </is>
      </c>
      <c r="B79" s="17" t="inlineStr">
        <is>
          <t>MIZ @ KU</t>
        </is>
      </c>
      <c r="C79" s="17" t="inlineStr">
        <is>
          <t>ML</t>
        </is>
      </c>
      <c r="D79" s="17" t="inlineStr">
        <is>
          <t>KU ML</t>
        </is>
      </c>
      <c r="E79" s="18" t="n">
        <v>205</v>
      </c>
      <c r="F79" s="21" t="n">
        <v>22.5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0.1213</v>
      </c>
      <c r="M79" s="19" t="n">
        <v>0.0567</v>
      </c>
      <c r="N79" s="17" t="inlineStr">
        <is>
          <t>MIZ 38 - KU 21</t>
        </is>
      </c>
      <c r="O79" s="17" t="inlineStr">
        <is>
          <t>DraftKings</t>
        </is>
      </c>
    </row>
    <row r="80">
      <c r="A80" s="12" t="inlineStr">
        <is>
          <t>2026-09-07</t>
        </is>
      </c>
      <c r="B80" s="12" t="inlineStr">
        <is>
          <t>SMU @ FSU</t>
        </is>
      </c>
      <c r="C80" s="12" t="inlineStr">
        <is>
          <t>ML</t>
        </is>
      </c>
      <c r="D80" s="12" t="inlineStr">
        <is>
          <t>FSU ML</t>
        </is>
      </c>
      <c r="E80" s="13" t="n">
        <v>130</v>
      </c>
      <c r="F80" s="16" t="n">
        <v>21.5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0.0935</v>
      </c>
      <c r="M80" s="14" t="n">
        <v>0.0116</v>
      </c>
      <c r="N80" s="12" t="inlineStr">
        <is>
          <t>SMU 27 - FSU 24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ATS</t>
        </is>
      </c>
      <c r="D81" s="17" t="inlineStr">
        <is>
          <t>HAW +3</t>
        </is>
      </c>
      <c r="E81" s="18" t="n">
        <v>-108</v>
      </c>
      <c r="F81" s="21" t="n">
        <v>23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0.08989999999999999</v>
      </c>
      <c r="M81" s="19" t="n">
        <v>0</v>
      </c>
      <c r="N81" s="17" t="inlineStr">
        <is>
          <t>UNLV 21 - HAW 6</t>
        </is>
      </c>
      <c r="O81" s="17" t="inlineStr">
        <is>
          <t>Draft Kings</t>
        </is>
      </c>
    </row>
    <row r="82">
      <c r="A82" s="12" t="inlineStr">
        <is>
          <t>2026-09-06</t>
        </is>
      </c>
      <c r="B82" s="12" t="inlineStr">
        <is>
          <t>UNLV @ HAW</t>
        </is>
      </c>
      <c r="C82" s="12" t="inlineStr">
        <is>
          <t>ML</t>
        </is>
      </c>
      <c r="D82" s="12" t="inlineStr">
        <is>
          <t>HAW ML</t>
        </is>
      </c>
      <c r="E82" s="13" t="n">
        <v>136</v>
      </c>
      <c r="F82" s="16" t="n">
        <v>24.5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0.1085</v>
      </c>
      <c r="M82" s="14" t="n">
        <v>0.0111</v>
      </c>
      <c r="N82" s="12" t="inlineStr">
        <is>
          <t>UNLV 21 - HAW 6</t>
        </is>
      </c>
      <c r="O82" s="12" t="inlineStr">
        <is>
          <t>DraftKings</t>
        </is>
      </c>
    </row>
    <row r="83">
      <c r="A83" s="17" t="inlineStr">
        <is>
          <t>2026-09-06</t>
        </is>
      </c>
      <c r="B83" s="17" t="inlineStr">
        <is>
          <t>CMU @ UNM</t>
        </is>
      </c>
      <c r="C83" s="17" t="inlineStr">
        <is>
          <t>ATS</t>
        </is>
      </c>
      <c r="D83" s="17" t="inlineStr">
        <is>
          <t>CMU +10.5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0.0988</v>
      </c>
      <c r="M83" s="19" t="n">
        <v>-0.0045</v>
      </c>
      <c r="N83" s="17" t="inlineStr">
        <is>
          <t>CMU 7 - UNM 38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ATS</t>
        </is>
      </c>
      <c r="D84" s="12" t="inlineStr">
        <is>
          <t>CLEM +10.5</t>
        </is>
      </c>
      <c r="E84" s="13" t="n">
        <v>-110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0.109</v>
      </c>
      <c r="M84" s="14" t="n">
        <v>0.0236</v>
      </c>
      <c r="N84" s="12" t="inlineStr">
        <is>
          <t>CLEM 10 - LSU 51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ML</t>
        </is>
      </c>
      <c r="D85" s="17" t="inlineStr">
        <is>
          <t>CLEM ML</t>
        </is>
      </c>
      <c r="E85" s="18" t="n">
        <v>275</v>
      </c>
      <c r="F85" s="21" t="n">
        <v>15.5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0.0896</v>
      </c>
      <c r="M85" s="19" t="n">
        <v>-0.0069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CLEM @ LSU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0.0901</v>
      </c>
      <c r="M86" s="14" t="n">
        <v>-0.0345</v>
      </c>
      <c r="N86" s="12" t="inlineStr">
        <is>
          <t>CLEM 10 - LSU 51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WMU @ MICH</t>
        </is>
      </c>
      <c r="C87" s="17" t="inlineStr">
        <is>
          <t>TOTAL</t>
        </is>
      </c>
      <c r="D87" s="17" t="inlineStr">
        <is>
          <t>Over 47.5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0.1073</v>
      </c>
      <c r="M87" s="19" t="n">
        <v>0.0443</v>
      </c>
      <c r="N87" s="17" t="inlineStr">
        <is>
          <t>WMU 12 - MICH 13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ARST @ MEM</t>
        </is>
      </c>
      <c r="C88" s="12" t="inlineStr">
        <is>
          <t>ATS</t>
        </is>
      </c>
      <c r="D88" s="12" t="inlineStr">
        <is>
          <t>ARST +11.5</t>
        </is>
      </c>
      <c r="E88" s="13" t="n">
        <v>-112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0.1011</v>
      </c>
      <c r="M88" s="14" t="n">
        <v>0.0159</v>
      </c>
      <c r="N88" s="12" t="inlineStr">
        <is>
          <t>ARST 24 - MEM 42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ATS</t>
        </is>
      </c>
      <c r="D89" s="17" t="inlineStr">
        <is>
          <t>FIU +14.5</t>
        </is>
      </c>
      <c r="E89" s="18" t="n">
        <v>-115</v>
      </c>
      <c r="F89" s="21" t="n">
        <v>26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0.1214</v>
      </c>
      <c r="M89" s="19" t="n">
        <v>0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ML</t>
        </is>
      </c>
      <c r="D90" s="12" t="inlineStr">
        <is>
          <t>FIU ML</t>
        </is>
      </c>
      <c r="E90" s="13" t="n">
        <v>425</v>
      </c>
      <c r="F90" s="16" t="n">
        <v>18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0.1165</v>
      </c>
      <c r="M90" s="14" t="n">
        <v>-0.015</v>
      </c>
      <c r="N90" s="12" t="inlineStr">
        <is>
          <t>FIU 9 - USF 19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FIU @ USF</t>
        </is>
      </c>
      <c r="C91" s="17" t="inlineStr">
        <is>
          <t>TOTAL</t>
        </is>
      </c>
      <c r="D91" s="17" t="inlineStr">
        <is>
          <t>Over 53.5</t>
        </is>
      </c>
      <c r="E91" s="18" t="n">
        <v>-115</v>
      </c>
      <c r="F91" s="21" t="n">
        <v>25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0.09329999999999999</v>
      </c>
      <c r="M91" s="19" t="n">
        <v>-0.0227</v>
      </c>
      <c r="N91" s="17" t="inlineStr">
        <is>
          <t>FIU 9 - USF 19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SHSU @ TROY</t>
        </is>
      </c>
      <c r="C92" s="12" t="inlineStr">
        <is>
          <t>ML</t>
        </is>
      </c>
      <c r="D92" s="12" t="inlineStr">
        <is>
          <t>SHSU ML</t>
        </is>
      </c>
      <c r="E92" s="13" t="n">
        <v>600</v>
      </c>
      <c r="F92" s="16" t="n">
        <v>19.5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0.1337</v>
      </c>
      <c r="M92" s="14" t="n">
        <v>0.0053</v>
      </c>
      <c r="N92" s="12" t="inlineStr">
        <is>
          <t>SHSU 21 - TROY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WYO @ CSU</t>
        </is>
      </c>
      <c r="C93" s="17" t="inlineStr">
        <is>
          <t>TOTAL</t>
        </is>
      </c>
      <c r="D93" s="17" t="inlineStr">
        <is>
          <t>Over 47.5</t>
        </is>
      </c>
      <c r="E93" s="18" t="n">
        <v>-112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-0.0345</v>
      </c>
      <c r="N93" s="17" t="inlineStr">
        <is>
          <t>WYO 13 - CSU 35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OKST @ TLSA</t>
        </is>
      </c>
      <c r="C94" s="12" t="inlineStr">
        <is>
          <t>TOTAL</t>
        </is>
      </c>
      <c r="D94" s="12" t="inlineStr">
        <is>
          <t>Under 60.5</t>
        </is>
      </c>
      <c r="E94" s="13" t="n">
        <v>-102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0.1091</v>
      </c>
      <c r="M94" s="14" t="n">
        <v>0.1089</v>
      </c>
      <c r="N94" s="12" t="inlineStr">
        <is>
          <t>OKST 10 - TLSA 24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ATS</t>
        </is>
      </c>
      <c r="D95" s="17" t="inlineStr">
        <is>
          <t>BAY +7</t>
        </is>
      </c>
      <c r="E95" s="18" t="n">
        <v>-105</v>
      </c>
      <c r="F95" s="21" t="n">
        <v>26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0.099</v>
      </c>
      <c r="M95" s="19" t="n">
        <v>0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ML</t>
        </is>
      </c>
      <c r="D96" s="12" t="inlineStr">
        <is>
          <t>BAY ML</t>
        </is>
      </c>
      <c r="E96" s="13" t="n">
        <v>240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0.0969</v>
      </c>
      <c r="M96" s="14" t="n">
        <v>0.0184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BAY @ AUB</t>
        </is>
      </c>
      <c r="C97" s="17" t="inlineStr">
        <is>
          <t>TOTAL</t>
        </is>
      </c>
      <c r="D97" s="17" t="inlineStr">
        <is>
          <t>Under 59.5</t>
        </is>
      </c>
      <c r="E97" s="18" t="n">
        <v>-115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0.098</v>
      </c>
      <c r="M97" s="19" t="n">
        <v>0.0373</v>
      </c>
      <c r="N97" s="17" t="inlineStr">
        <is>
          <t>BAY 16 - AUB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BC @ CIN</t>
        </is>
      </c>
      <c r="C98" s="12" t="inlineStr">
        <is>
          <t>TOTAL</t>
        </is>
      </c>
      <c r="D98" s="12" t="inlineStr">
        <is>
          <t>Over 49.5</t>
        </is>
      </c>
      <c r="E98" s="13" t="n">
        <v>-115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0.1042</v>
      </c>
      <c r="M98" s="14" t="n">
        <v>0.0301</v>
      </c>
      <c r="N98" s="12" t="inlineStr">
        <is>
          <t>BC 15 - CIN 34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TULN @ DUKE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0.1029</v>
      </c>
      <c r="M99" s="19" t="n">
        <v>-0.0143</v>
      </c>
      <c r="N99" s="17" t="inlineStr">
        <is>
          <t>TULN 3 - DUKE 17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BOIS @ ORE</t>
        </is>
      </c>
      <c r="C100" s="12" t="inlineStr">
        <is>
          <t>TOTAL</t>
        </is>
      </c>
      <c r="D100" s="12" t="inlineStr">
        <is>
          <t>Over 51.5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0.0091</v>
      </c>
      <c r="N100" s="12" t="inlineStr">
        <is>
          <t>BOIS 27 - ORE 34</t>
        </is>
      </c>
      <c r="O100" s="12" t="inlineStr">
        <is>
          <t>Draft Kings</t>
        </is>
      </c>
    </row>
    <row r="101">
      <c r="A101" s="17" t="inlineStr">
        <is>
          <t>2026-09-05</t>
        </is>
      </c>
      <c r="B101" s="17" t="inlineStr">
        <is>
          <t>MRSH @ PSU</t>
        </is>
      </c>
      <c r="C101" s="17" t="inlineStr">
        <is>
          <t>TOTAL</t>
        </is>
      </c>
      <c r="D101" s="17" t="inlineStr">
        <is>
          <t>Over 52.5</t>
        </is>
      </c>
      <c r="E101" s="18" t="n">
        <v>-102</v>
      </c>
      <c r="F101" s="21" t="n">
        <v>24.5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0.0925</v>
      </c>
      <c r="M101" s="19" t="n">
        <v>0</v>
      </c>
      <c r="N101" s="17" t="inlineStr">
        <is>
          <t>MRSH 0 - PSU 45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M-OH @ PITT</t>
        </is>
      </c>
      <c r="C102" s="12" t="inlineStr">
        <is>
          <t>ML</t>
        </is>
      </c>
      <c r="D102" s="12" t="inlineStr">
        <is>
          <t>M-OH ML</t>
        </is>
      </c>
      <c r="E102" s="13" t="n">
        <v>550</v>
      </c>
      <c r="F102" s="16" t="n">
        <v>19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GOOD</t>
        </is>
      </c>
      <c r="L102" s="14" t="n">
        <v>0.1283</v>
      </c>
      <c r="M102" s="14" t="n">
        <v>0</v>
      </c>
      <c r="N102" s="12" t="inlineStr">
        <is>
          <t>M-OH 14 - PITT 59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BALL @ OSU</t>
        </is>
      </c>
      <c r="C103" s="17" t="inlineStr">
        <is>
          <t>TOTAL</t>
        </is>
      </c>
      <c r="D103" s="17" t="inlineStr">
        <is>
          <t>Under 56.5</t>
        </is>
      </c>
      <c r="E103" s="18" t="n">
        <v>-105</v>
      </c>
      <c r="F103" s="21" t="n">
        <v>22.5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0.0886</v>
      </c>
      <c r="M103" s="19" t="n">
        <v>0.0161</v>
      </c>
      <c r="N103" s="17" t="inlineStr">
        <is>
          <t>BALL 3 - OSU 56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ORST @ HOU</t>
        </is>
      </c>
      <c r="C104" s="12" t="inlineStr">
        <is>
          <t>TOTAL</t>
        </is>
      </c>
      <c r="D104" s="12" t="inlineStr">
        <is>
          <t>Over 49.5</t>
        </is>
      </c>
      <c r="E104" s="13" t="n">
        <v>-110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0.0973</v>
      </c>
      <c r="M104" s="14" t="n">
        <v>0.0475</v>
      </c>
      <c r="N104" s="12" t="inlineStr">
        <is>
          <t>ORST 20 - HOU 33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UNT @ IU</t>
        </is>
      </c>
      <c r="C105" s="17" t="inlineStr">
        <is>
          <t>TOTAL</t>
        </is>
      </c>
      <c r="D105" s="17" t="inlineStr">
        <is>
          <t>Over 55.5</t>
        </is>
      </c>
      <c r="E105" s="18" t="n">
        <v>-108</v>
      </c>
      <c r="F105" s="21" t="n">
        <v>23.5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0.0898</v>
      </c>
      <c r="M105" s="19" t="n">
        <v>0.03</v>
      </c>
      <c r="N105" s="17" t="inlineStr">
        <is>
          <t>UNT 16 - IU 52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OHIO @ NEB</t>
        </is>
      </c>
      <c r="C106" s="12" t="inlineStr">
        <is>
          <t>TOTAL</t>
        </is>
      </c>
      <c r="D106" s="12" t="inlineStr">
        <is>
          <t>Over 47.5</t>
        </is>
      </c>
      <c r="E106" s="13" t="n">
        <v>-108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0.1092</v>
      </c>
      <c r="M106" s="14" t="n">
        <v>-0.0254</v>
      </c>
      <c r="N106" s="12" t="inlineStr">
        <is>
          <t>OHIO 21 - NEB 49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LIB @ JMU</t>
        </is>
      </c>
      <c r="C107" s="17" t="inlineStr">
        <is>
          <t>TOTAL</t>
        </is>
      </c>
      <c r="D107" s="17" t="inlineStr">
        <is>
          <t>Over 50.5</t>
        </is>
      </c>
      <c r="E107" s="18" t="n">
        <v>-112</v>
      </c>
      <c r="F107" s="21" t="n">
        <v>25</v>
      </c>
      <c r="G107" s="17" t="inlineStr">
        <is>
          <t>Loss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0.0982</v>
      </c>
      <c r="M107" s="19" t="n">
        <v>0</v>
      </c>
      <c r="N107" s="17" t="inlineStr">
        <is>
          <t>LIB 13 - JMU 20</t>
        </is>
      </c>
      <c r="O107" s="17" t="inlineStr">
        <is>
          <t>DraftKings</t>
        </is>
      </c>
    </row>
    <row r="108">
      <c r="A108" s="12" t="inlineStr">
        <is>
          <t>2026-09-05</t>
        </is>
      </c>
      <c r="B108" s="12" t="inlineStr">
        <is>
          <t>MIA @ STAN</t>
        </is>
      </c>
      <c r="C108" s="12" t="inlineStr">
        <is>
          <t>TOTAL</t>
        </is>
      </c>
      <c r="D108" s="12" t="inlineStr">
        <is>
          <t>Over 48.5</t>
        </is>
      </c>
      <c r="E108" s="13" t="n">
        <v>100</v>
      </c>
      <c r="F108" s="16" t="n">
        <v>25</v>
      </c>
      <c r="G108" s="12" t="inlineStr">
        <is>
          <t>Win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0.1103</v>
      </c>
      <c r="M108" s="14" t="n">
        <v>-0.0362</v>
      </c>
      <c r="N108" s="12" t="inlineStr">
        <is>
          <t>MIA 45 - STAN 6</t>
        </is>
      </c>
      <c r="O108" s="12" t="inlineStr">
        <is>
          <t>Draft Kings</t>
        </is>
      </c>
    </row>
    <row r="109">
      <c r="A109" s="17" t="inlineStr">
        <is>
          <t>2026-09-05</t>
        </is>
      </c>
      <c r="B109" s="17" t="inlineStr">
        <is>
          <t>TOL @ MSU</t>
        </is>
      </c>
      <c r="C109" s="17" t="inlineStr">
        <is>
          <t>ATS</t>
        </is>
      </c>
      <c r="D109" s="17" t="inlineStr">
        <is>
          <t>TOL +10</t>
        </is>
      </c>
      <c r="E109" s="18" t="n">
        <v>-105</v>
      </c>
      <c r="F109" s="21" t="n">
        <v>25</v>
      </c>
      <c r="G109" s="17" t="inlineStr">
        <is>
          <t>Push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0.111</v>
      </c>
      <c r="M109" s="19" t="n">
        <v>0.0241</v>
      </c>
      <c r="N109" s="17" t="inlineStr">
        <is>
          <t>TOL 20 - MSU 30</t>
        </is>
      </c>
      <c r="O109" s="17" t="inlineStr">
        <is>
          <t>Draft Kings</t>
        </is>
      </c>
    </row>
    <row r="110">
      <c r="A110" s="12" t="inlineStr">
        <is>
          <t>2026-09-04</t>
        </is>
      </c>
      <c r="B110" s="12" t="inlineStr">
        <is>
          <t>COLO @ GT</t>
        </is>
      </c>
      <c r="C110" s="12" t="inlineStr">
        <is>
          <t>TOTAL</t>
        </is>
      </c>
      <c r="D110" s="12" t="inlineStr">
        <is>
          <t>Over 50.5</t>
        </is>
      </c>
      <c r="E110" s="13" t="n">
        <v>-115</v>
      </c>
      <c r="F110" s="16" t="n">
        <v>21</v>
      </c>
      <c r="G110" s="12" t="inlineStr">
        <is>
          <t>Loss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0.0784</v>
      </c>
      <c r="M110" s="14" t="n">
        <v>0.0189</v>
      </c>
      <c r="N110" s="12" t="inlineStr">
        <is>
          <t>COLO 14 - GT 13</t>
        </is>
      </c>
      <c r="O110" s="12" t="inlineStr">
        <is>
          <t>DraftKings</t>
        </is>
      </c>
    </row>
    <row r="111">
      <c r="A111" s="17" t="inlineStr">
        <is>
          <t>2026-09-03</t>
        </is>
      </c>
      <c r="B111" s="17" t="inlineStr">
        <is>
          <t>AKR @ WAKE</t>
        </is>
      </c>
      <c r="C111" s="17" t="inlineStr">
        <is>
          <t>TOTAL</t>
        </is>
      </c>
      <c r="D111" s="17" t="inlineStr">
        <is>
          <t>Over 48.5</t>
        </is>
      </c>
      <c r="E111" s="18" t="n">
        <v>-112</v>
      </c>
      <c r="F111" s="21" t="n">
        <v>24.5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0.0917</v>
      </c>
      <c r="M111" s="19" t="n">
        <v>0.0509</v>
      </c>
      <c r="N111" s="17" t="inlineStr">
        <is>
          <t>AKR 16 - WAKE 38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HAW @ STAN</t>
        </is>
      </c>
      <c r="C112" s="12" t="inlineStr">
        <is>
          <t>TOTAL</t>
        </is>
      </c>
      <c r="D112" s="12" t="inlineStr">
        <is>
          <t>Over 49.5</t>
        </is>
      </c>
      <c r="E112" s="13" t="n">
        <v>-105</v>
      </c>
      <c r="F112" s="16" t="n">
        <v>21.5</v>
      </c>
      <c r="G112" s="12" t="inlineStr">
        <is>
          <t>Win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0.0834</v>
      </c>
      <c r="M112" s="14" t="n">
        <v>-0.0139</v>
      </c>
      <c r="N112" s="12" t="inlineStr">
        <is>
          <t>HAW 27 - STAN 37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ATS</t>
        </is>
      </c>
      <c r="D113" s="17" t="inlineStr">
        <is>
          <t>SAC +8.5</t>
        </is>
      </c>
      <c r="E113" s="18" t="n">
        <v>-108</v>
      </c>
      <c r="F113" s="21" t="n">
        <v>25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0.1065</v>
      </c>
      <c r="M113" s="19" t="n">
        <v>0.0046</v>
      </c>
      <c r="N113" s="17" t="inlineStr">
        <is>
          <t>SAC 17 - EMU 28</t>
        </is>
      </c>
      <c r="O113" s="17" t="inlineStr">
        <is>
          <t>DraftKings</t>
        </is>
      </c>
    </row>
    <row r="114">
      <c r="A114" s="12" t="inlineStr">
        <is>
          <t>2026-08-29</t>
        </is>
      </c>
      <c r="B114" s="12" t="inlineStr">
        <is>
          <t>SAC @ EMU</t>
        </is>
      </c>
      <c r="C114" s="12" t="inlineStr">
        <is>
          <t>ML</t>
        </is>
      </c>
      <c r="D114" s="12" t="inlineStr">
        <is>
          <t>SAC ML</t>
        </is>
      </c>
      <c r="E114" s="13" t="n">
        <v>280</v>
      </c>
      <c r="F114" s="16" t="n">
        <v>18</v>
      </c>
      <c r="G114" s="12" t="inlineStr">
        <is>
          <t>Loss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0.1055</v>
      </c>
      <c r="M114" s="14" t="n">
        <v>0</v>
      </c>
      <c r="N114" s="12" t="inlineStr">
        <is>
          <t>SAC 17 - EMU 28</t>
        </is>
      </c>
      <c r="O114" s="12" t="inlineStr">
        <is>
          <t>Draft Kings</t>
        </is>
      </c>
    </row>
    <row r="115">
      <c r="A115" s="17" t="inlineStr">
        <is>
          <t>2026-08-29</t>
        </is>
      </c>
      <c r="B115" s="17" t="inlineStr">
        <is>
          <t>UNC @ TCU</t>
        </is>
      </c>
      <c r="C115" s="17" t="inlineStr">
        <is>
          <t>ATS</t>
        </is>
      </c>
      <c r="D115" s="17" t="inlineStr">
        <is>
          <t>UNC +7.5</t>
        </is>
      </c>
      <c r="E115" s="18" t="n">
        <v>-108</v>
      </c>
      <c r="F115" s="21" t="n">
        <v>21</v>
      </c>
      <c r="G115" s="17" t="inlineStr">
        <is>
          <t>Win</t>
        </is>
      </c>
      <c r="H115" s="21">
        <f>IF(OR($G115="",$G115="Pending"),"",ROUND(IF($G115="Win",IF($E115&gt;0,$F115*$E115/100,$F115*100/-$E115),IF($G115="Loss",-$F115,0)),2))</f>
        <v/>
      </c>
      <c r="I115" s="21">
        <f>Settings!$B$5+SUM($H$6:$H115)</f>
        <v/>
      </c>
      <c r="J115" s="19">
        <f>IFERROR(SUM($H$6:$H115)/SUMIF($G$6:$G115,"&lt;&gt;Pending",$F$6:$F115),"")</f>
        <v/>
      </c>
      <c r="K115" s="17" t="inlineStr">
        <is>
          <t>LEAN</t>
        </is>
      </c>
      <c r="L115" s="19" t="n">
        <v>0.0801</v>
      </c>
      <c r="M115" s="19" t="n">
        <v>-0.009299999999999999</v>
      </c>
      <c r="N115" s="17" t="inlineStr">
        <is>
          <t>UNC 15 - TCU 10</t>
        </is>
      </c>
      <c r="O11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51.5</v>
      </c>
      <c r="K190" s="18" t="n">
        <v>340</v>
      </c>
      <c r="L190" s="18" t="n">
        <v>-440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21</v>
      </c>
      <c r="J191" s="29" t="n">
        <v>55.5</v>
      </c>
      <c r="K191" s="13" t="n">
        <v>-1800</v>
      </c>
      <c r="L191" s="13" t="n">
        <v>1000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-5.5</v>
      </c>
      <c r="J194" s="30" t="n">
        <v>57.5</v>
      </c>
      <c r="K194" s="18" t="n">
        <v>180</v>
      </c>
      <c r="L194" s="18" t="n">
        <v>-218</v>
      </c>
      <c r="M194" s="17" t="inlineStr">
        <is>
          <t>Draft 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25.5</v>
      </c>
      <c r="J195" s="29" t="n">
        <v>54.5</v>
      </c>
      <c r="K195" s="13" t="n">
        <v>-4500</v>
      </c>
      <c r="L195" s="13" t="n">
        <v>1700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 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44.5</v>
      </c>
      <c r="K197" s="13" t="n">
        <v>1500</v>
      </c>
      <c r="L197" s="13" t="n">
        <v>-3600</v>
      </c>
      <c r="M197" s="12" t="inlineStr">
        <is>
          <t>Draft 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51.5</v>
      </c>
      <c r="K198" s="18" t="n">
        <v>-205</v>
      </c>
      <c r="L198" s="18" t="n">
        <v>170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-3.5</v>
      </c>
      <c r="J200" s="30" t="n">
        <v>44.5</v>
      </c>
      <c r="K200" s="18" t="n">
        <v>140</v>
      </c>
      <c r="L200" s="18" t="n">
        <v>-166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-24.5</v>
      </c>
      <c r="J201" s="29" t="n">
        <v>49.5</v>
      </c>
      <c r="K201" s="13" t="n">
        <v>1400</v>
      </c>
      <c r="L201" s="13" t="n">
        <v>-3200</v>
      </c>
      <c r="M201" s="12" t="inlineStr">
        <is>
          <t>Draft 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59.5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-39.5</v>
      </c>
      <c r="J203" s="29" t="n">
        <v>48.5</v>
      </c>
      <c r="K203" s="13" t="n"/>
      <c r="L203" s="13" t="n"/>
      <c r="M203" s="12" t="inlineStr">
        <is>
          <t>Draft 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130</v>
      </c>
      <c r="L204" s="18" t="n">
        <v>-155</v>
      </c>
      <c r="M204" s="17" t="inlineStr">
        <is>
          <t>Draft 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-23.5</v>
      </c>
      <c r="J205" s="29" t="n">
        <v>45.5</v>
      </c>
      <c r="K205" s="13" t="n">
        <v>1300</v>
      </c>
      <c r="L205" s="13" t="n">
        <v>-2800</v>
      </c>
      <c r="M205" s="12" t="inlineStr">
        <is>
          <t>Draft 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51.5</v>
      </c>
      <c r="K206" s="18" t="n">
        <v>145</v>
      </c>
      <c r="L206" s="18" t="n">
        <v>-175</v>
      </c>
      <c r="M206" s="17" t="inlineStr">
        <is>
          <t>Draft 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 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51.5</v>
      </c>
      <c r="K210" s="18" t="n">
        <v>180</v>
      </c>
      <c r="L210" s="18" t="n">
        <v>-218</v>
      </c>
      <c r="M210" s="17" t="inlineStr">
        <is>
          <t>Draft 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-20.5</v>
      </c>
      <c r="J211" s="29" t="n">
        <v>49.5</v>
      </c>
      <c r="K211" s="13" t="n">
        <v>950</v>
      </c>
      <c r="L211" s="13" t="n">
        <v>-1650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49.5</v>
      </c>
      <c r="K212" s="18" t="n">
        <v>575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50.5</v>
      </c>
      <c r="K213" s="13" t="n">
        <v>490</v>
      </c>
      <c r="L213" s="13" t="n">
        <v>-675</v>
      </c>
      <c r="M213" s="12" t="inlineStr">
        <is>
          <t>Draft 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2000</v>
      </c>
      <c r="L214" s="18" t="n">
        <v>-6500</v>
      </c>
      <c r="M214" s="17" t="inlineStr">
        <is>
          <t>Draft 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-105</v>
      </c>
      <c r="L215" s="13" t="n">
        <v>-115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48.5</v>
      </c>
      <c r="K217" s="13" t="n"/>
      <c r="L217" s="13" t="n"/>
      <c r="M217" s="12" t="inlineStr">
        <is>
          <t>Draft 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23.5</v>
      </c>
      <c r="J218" s="30" t="n">
        <v>59.5</v>
      </c>
      <c r="K218" s="18" t="n">
        <v>-2800</v>
      </c>
      <c r="L218" s="18" t="n">
        <v>1300</v>
      </c>
      <c r="M218" s="17" t="inlineStr">
        <is>
          <t>Draft 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51.5</v>
      </c>
      <c r="K221" s="13" t="n">
        <v>295</v>
      </c>
      <c r="L221" s="13" t="n">
        <v>-375</v>
      </c>
      <c r="M221" s="12" t="inlineStr">
        <is>
          <t>Draft 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49.5</v>
      </c>
      <c r="K224" s="18" t="n">
        <v>470</v>
      </c>
      <c r="L224" s="18" t="n">
        <v>-650</v>
      </c>
      <c r="M224" s="17" t="inlineStr">
        <is>
          <t>Draft 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-19.5</v>
      </c>
      <c r="J225" s="29" t="n">
        <v>53.5</v>
      </c>
      <c r="K225" s="13" t="n">
        <v>750</v>
      </c>
      <c r="L225" s="13" t="n">
        <v>-1200</v>
      </c>
      <c r="M225" s="12" t="inlineStr">
        <is>
          <t>Draft 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-4</v>
      </c>
      <c r="J226" s="30" t="n">
        <v>59.5</v>
      </c>
      <c r="K226" s="18" t="n">
        <v>145</v>
      </c>
      <c r="L226" s="18" t="n">
        <v>-175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124</v>
      </c>
      <c r="L228" s="18" t="n">
        <v>-148</v>
      </c>
      <c r="M228" s="17" t="inlineStr">
        <is>
          <t>Draft 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</v>
      </c>
      <c r="J229" s="29" t="n">
        <v>62.5</v>
      </c>
      <c r="K229" s="13" t="n">
        <v>205</v>
      </c>
      <c r="L229" s="13" t="n">
        <v>-250</v>
      </c>
      <c r="M229" s="12" t="inlineStr">
        <is>
          <t>Draft 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-17.5</v>
      </c>
      <c r="J230" s="30" t="n">
        <v>51.5</v>
      </c>
      <c r="K230" s="18" t="n">
        <v>675</v>
      </c>
      <c r="L230" s="18" t="n">
        <v>-1050</v>
      </c>
      <c r="M230" s="17" t="inlineStr">
        <is>
          <t>Draft 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-166</v>
      </c>
      <c r="L231" s="13" t="n">
        <v>140</v>
      </c>
      <c r="M231" s="12" t="inlineStr">
        <is>
          <t>Draft 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-142</v>
      </c>
      <c r="L232" s="18" t="n">
        <v>120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-26.5</v>
      </c>
      <c r="J233" s="29" t="n">
        <v>50.5</v>
      </c>
      <c r="K233" s="13" t="n">
        <v>2000</v>
      </c>
      <c r="L233" s="13" t="n">
        <v>-6500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-18.5</v>
      </c>
      <c r="J234" s="30" t="n">
        <v>51.5</v>
      </c>
      <c r="K234" s="18" t="n">
        <v>750</v>
      </c>
      <c r="L234" s="18" t="n">
        <v>-1200</v>
      </c>
      <c r="M234" s="17" t="inlineStr">
        <is>
          <t>Draft 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</v>
      </c>
      <c r="J236" s="30" t="n">
        <v>54.5</v>
      </c>
      <c r="K236" s="18" t="n">
        <v>-155</v>
      </c>
      <c r="L236" s="18" t="n">
        <v>130</v>
      </c>
      <c r="M236" s="17" t="inlineStr">
        <is>
          <t>Draft 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-375</v>
      </c>
      <c r="L238" s="18" t="n">
        <v>295</v>
      </c>
      <c r="M238" s="17" t="inlineStr">
        <is>
          <t>Draft 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4</v>
      </c>
      <c r="J240" s="30" t="n">
        <v>50.5</v>
      </c>
      <c r="K240" s="18" t="n">
        <v>-180</v>
      </c>
      <c r="L240" s="18" t="n">
        <v>150</v>
      </c>
      <c r="M240" s="17" t="inlineStr">
        <is>
          <t>Draft 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-4.5</v>
      </c>
      <c r="J241" s="29" t="n">
        <v>51.5</v>
      </c>
      <c r="K241" s="13" t="n">
        <v>160</v>
      </c>
      <c r="L241" s="13" t="n">
        <v>-192</v>
      </c>
      <c r="M241" s="12" t="inlineStr">
        <is>
          <t>Draft 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</v>
      </c>
      <c r="J242" s="30" t="n">
        <v>52.5</v>
      </c>
      <c r="K242" s="18" t="n">
        <v>140</v>
      </c>
      <c r="L242" s="18" t="n">
        <v>-166</v>
      </c>
      <c r="M242" s="17" t="inlineStr">
        <is>
          <t>Draft 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59.5</v>
      </c>
      <c r="K246" s="18" t="n">
        <v>-155</v>
      </c>
      <c r="L246" s="18" t="n">
        <v>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46.5</v>
      </c>
      <c r="K247" s="13" t="n">
        <v>1100</v>
      </c>
      <c r="L247" s="13" t="n">
        <v>-2100</v>
      </c>
      <c r="M247" s="12" t="inlineStr">
        <is>
          <t>Draft 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 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48.5</v>
      </c>
      <c r="K249" s="13" t="n">
        <v>150</v>
      </c>
      <c r="L249" s="13" t="n">
        <v>-180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53.5</v>
      </c>
      <c r="K250" s="18" t="n">
        <v>310</v>
      </c>
      <c r="L250" s="18" t="n">
        <v>-395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-142</v>
      </c>
      <c r="L251" s="13" t="n">
        <v>120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2000</v>
      </c>
      <c r="L252" s="18" t="n">
        <v>-6500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59.5</v>
      </c>
      <c r="K253" s="13" t="n">
        <v>5000</v>
      </c>
      <c r="L253" s="13" t="n">
        <v>-100000</v>
      </c>
      <c r="M253" s="12" t="inlineStr">
        <is>
          <t>Draft 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-30.5</v>
      </c>
      <c r="J254" s="30" t="n">
        <v>58.5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55.5</v>
      </c>
      <c r="K255" s="13" t="n">
        <v>800</v>
      </c>
      <c r="L255" s="13" t="n">
        <v>-1350</v>
      </c>
      <c r="M255" s="12" t="inlineStr">
        <is>
          <t>Draft 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 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110</v>
      </c>
      <c r="L259" s="13" t="n">
        <v>-130</v>
      </c>
      <c r="M259" s="12" t="inlineStr">
        <is>
          <t>Draft 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/>
      <c r="L260" s="18" t="n"/>
      <c r="M260" s="17" t="inlineStr">
        <is>
          <t>Draft 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52.5</v>
      </c>
      <c r="K261" s="13" t="n">
        <v>-9000</v>
      </c>
      <c r="L261" s="13" t="n">
        <v>2500</v>
      </c>
      <c r="M261" s="12" t="inlineStr">
        <is>
          <t>Draft 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500</v>
      </c>
      <c r="L262" s="18" t="n">
        <v>-700</v>
      </c>
      <c r="M262" s="17" t="inlineStr">
        <is>
          <t>Draft 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 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756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184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2026-09-14T21:08:35Z</dcterms:created>
  <dcterms:modified xsi:type="dcterms:W3CDTF">2026-09-14T21:08:36Z</dcterms:modified>
</cp:coreProperties>
</file>
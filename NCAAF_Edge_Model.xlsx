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126" headerRowCount="1">
  <autoFilter ref="A4:Q12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2026-08-25T18:02:02+00:00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Ledger'!$G$6:$G$10,"&lt;&gt;Pending",'Bet Ledger'!$H$6:$H$10)</f>
        <v/>
      </c>
    </row>
    <row r="6">
      <c r="A6" s="3" t="inlineStr">
        <is>
          <t>Total Staked</t>
        </is>
      </c>
      <c r="B6" s="5">
        <f>SUMIF('Bet Ledger'!$G$6:$G$10,"&lt;&gt;Pending",'Bet Ledger'!$F$6:$F$10)</f>
        <v/>
      </c>
    </row>
    <row r="7">
      <c r="A7" s="3" t="inlineStr">
        <is>
          <t>Profit / Loss</t>
        </is>
      </c>
      <c r="B7" s="5">
        <f>SUMIF('Bet Ledger'!$G$6:$G$10,"&lt;&gt;Pending",'Bet Ledger'!$H$6:$H$10)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Ledger'!$G$6:$G$10,"&lt;&gt;Pending",'Bet Ledger'!$G$6:$G$10,"&lt;&gt;")</f>
        <v/>
      </c>
    </row>
    <row r="10">
      <c r="A10" s="3" t="inlineStr">
        <is>
          <t>Wins</t>
        </is>
      </c>
      <c r="B10" s="7">
        <f>COUNTIF('Bet Ledger'!$G$6:$G$10,"Win")</f>
        <v/>
      </c>
    </row>
    <row r="11">
      <c r="A11" s="3" t="inlineStr">
        <is>
          <t>Losses</t>
        </is>
      </c>
      <c r="B11" s="7">
        <f>COUNTIF('Bet Ledger'!$G$6:$G$10,"Loss")</f>
        <v/>
      </c>
    </row>
    <row r="12">
      <c r="A12" s="3" t="inlineStr">
        <is>
          <t>Pushes</t>
        </is>
      </c>
      <c r="B12" s="7">
        <f>COUNTIF('Bet Ledger'!$G$6:$G$10,"Push")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Ledger'!$G$6:$G$10,"Pending")</f>
        <v/>
      </c>
    </row>
    <row r="15">
      <c r="A15" s="3" t="inlineStr">
        <is>
          <t>Live Plays On The Board</t>
        </is>
      </c>
      <c r="B15" s="7" t="n">
        <v>5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300</v>
      </c>
      <c r="F21" s="14" t="n">
        <v>0.1125135396003096</v>
      </c>
      <c r="G21" s="15" t="n">
        <v>0.3625135396003096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48.5</t>
        </is>
      </c>
      <c r="E22" s="18" t="n">
        <v>-110</v>
      </c>
      <c r="F22" s="19" t="n">
        <v>0.09405980478503773</v>
      </c>
      <c r="G22" s="20" t="n">
        <v>0.6178693285945616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AKR @ WAKE</t>
        </is>
      </c>
      <c r="C23" s="12" t="inlineStr">
        <is>
          <t>TOTAL</t>
        </is>
      </c>
      <c r="D23" s="12" t="inlineStr">
        <is>
          <t>Over 48.5</t>
        </is>
      </c>
      <c r="E23" s="13" t="n">
        <v>-112</v>
      </c>
      <c r="F23" s="14" t="n">
        <v>0.0917323188370931</v>
      </c>
      <c r="G23" s="15" t="n">
        <v>0.6200342056295459</v>
      </c>
      <c r="H23" s="16" t="n"/>
      <c r="I23" s="12" t="inlineStr">
        <is>
          <t>2026-09-03 23:00</t>
        </is>
      </c>
    </row>
    <row r="24">
      <c r="A24" s="17" t="inlineStr">
        <is>
          <t>LEAN</t>
        </is>
      </c>
      <c r="B24" s="17" t="inlineStr">
        <is>
          <t>UNC @ TCU</t>
        </is>
      </c>
      <c r="C24" s="17" t="inlineStr">
        <is>
          <t>ATS</t>
        </is>
      </c>
      <c r="D24" s="17" t="inlineStr">
        <is>
          <t>UNC +7.5</t>
        </is>
      </c>
      <c r="E24" s="18" t="n">
        <v>-105</v>
      </c>
      <c r="F24" s="19" t="n">
        <v>0.08386062118588167</v>
      </c>
      <c r="G24" s="20" t="n">
        <v>0.5960557431371012</v>
      </c>
      <c r="H24" s="21" t="n"/>
      <c r="I24" s="17" t="inlineStr">
        <is>
          <t>2026-08-29 16:00</t>
        </is>
      </c>
    </row>
    <row r="25">
      <c r="A25" s="12" t="inlineStr">
        <is>
          <t>LEAN</t>
        </is>
      </c>
      <c r="B25" s="12" t="inlineStr">
        <is>
          <t>COLO @ GT</t>
        </is>
      </c>
      <c r="C25" s="12" t="inlineStr">
        <is>
          <t>TOTAL</t>
        </is>
      </c>
      <c r="D25" s="12" t="inlineStr">
        <is>
          <t>Over 50.5</t>
        </is>
      </c>
      <c r="E25" s="13" t="n">
        <v>-115</v>
      </c>
      <c r="F25" s="14" t="n">
        <v>0.07840427762989666</v>
      </c>
      <c r="G25" s="15" t="n">
        <v>0.6132879985601292</v>
      </c>
      <c r="H25" s="16" t="n"/>
      <c r="I25" s="12" t="inlineStr">
        <is>
          <t>2026-09-04 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300</v>
      </c>
      <c r="I5" s="15" t="n">
        <v>0.3625135396003096</v>
      </c>
      <c r="J5" s="15" t="n">
        <v>0.24</v>
      </c>
      <c r="K5" s="15" t="n">
        <v>0.25</v>
      </c>
      <c r="L5" s="14" t="n">
        <v>0.1125135396003096</v>
      </c>
      <c r="M5" s="14" t="n">
        <v>0.4500541584012385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48.5</t>
        </is>
      </c>
      <c r="G6" s="26" t="n">
        <v>48.5</v>
      </c>
      <c r="H6" s="18" t="n">
        <v>-110</v>
      </c>
      <c r="I6" s="20" t="n">
        <v>0.6178693285945616</v>
      </c>
      <c r="J6" s="20" t="n">
        <v>0.5</v>
      </c>
      <c r="K6" s="20" t="n">
        <v>0.5238095238095238</v>
      </c>
      <c r="L6" s="19" t="n">
        <v>0.09405980478503773</v>
      </c>
      <c r="M6" s="19" t="n">
        <v>0.1795687182259812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AKR @ WAKE</t>
        </is>
      </c>
      <c r="C7" s="12" t="inlineStr">
        <is>
          <t>2026-09-03 23:00</t>
        </is>
      </c>
      <c r="D7" s="22" t="n">
        <v>1</v>
      </c>
      <c r="E7" s="12" t="inlineStr">
        <is>
          <t>TOTAL</t>
        </is>
      </c>
      <c r="F7" s="12" t="inlineStr">
        <is>
          <t>Over 48.5</t>
        </is>
      </c>
      <c r="G7" s="23" t="n">
        <v>48.5</v>
      </c>
      <c r="H7" s="13" t="n">
        <v>-112</v>
      </c>
      <c r="I7" s="15" t="n">
        <v>0.6200342056295459</v>
      </c>
      <c r="J7" s="15" t="n">
        <v>0.5043297540699688</v>
      </c>
      <c r="K7" s="15" t="n">
        <v>0.5283018867924528</v>
      </c>
      <c r="L7" s="14" t="n">
        <v>0.0917323188370931</v>
      </c>
      <c r="M7" s="14" t="n">
        <v>0.1736361749416404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UNC @ TCU</t>
        </is>
      </c>
      <c r="C8" s="17" t="inlineStr">
        <is>
          <t>2026-08-29 16:00</t>
        </is>
      </c>
      <c r="D8" s="25" t="n">
        <v>1</v>
      </c>
      <c r="E8" s="17" t="inlineStr">
        <is>
          <t>ATS</t>
        </is>
      </c>
      <c r="F8" s="17" t="inlineStr">
        <is>
          <t>UNC +7.5</t>
        </is>
      </c>
      <c r="G8" s="26" t="n">
        <v>-7.5</v>
      </c>
      <c r="H8" s="18" t="n">
        <v>-105</v>
      </c>
      <c r="I8" s="20" t="n">
        <v>0.5960557431371012</v>
      </c>
      <c r="J8" s="20" t="n">
        <v>0.4891657638136511</v>
      </c>
      <c r="K8" s="20" t="n">
        <v>0.5121951219512195</v>
      </c>
      <c r="L8" s="19" t="n">
        <v>0.08386062118588167</v>
      </c>
      <c r="M8" s="19" t="n">
        <v>0.1637278794581499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COLO @ GT</t>
        </is>
      </c>
      <c r="C9" s="12" t="inlineStr">
        <is>
          <t>2026-09-04 00:00</t>
        </is>
      </c>
      <c r="D9" s="22" t="n">
        <v>1</v>
      </c>
      <c r="E9" s="12" t="inlineStr">
        <is>
          <t>TOTAL</t>
        </is>
      </c>
      <c r="F9" s="12" t="inlineStr">
        <is>
          <t>Over 50.5</t>
        </is>
      </c>
      <c r="G9" s="23" t="n">
        <v>50.5</v>
      </c>
      <c r="H9" s="13" t="n">
        <v>-115</v>
      </c>
      <c r="I9" s="15" t="n">
        <v>0.6132879985601292</v>
      </c>
      <c r="J9" s="15" t="n">
        <v>0.5108342361863488</v>
      </c>
      <c r="K9" s="15" t="n">
        <v>0.5348837209302325</v>
      </c>
      <c r="L9" s="14" t="n">
        <v>0.07840427762989666</v>
      </c>
      <c r="M9" s="14" t="n">
        <v>0.1465819103515458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PASS</t>
        </is>
      </c>
      <c r="B10" s="17" t="inlineStr">
        <is>
          <t>INST @ PUR</t>
        </is>
      </c>
      <c r="C10" s="17" t="inlineStr">
        <is>
          <t>2026-09-04 23:00</t>
        </is>
      </c>
      <c r="D10" s="25" t="n">
        <v>1</v>
      </c>
      <c r="E10" s="17" t="inlineStr">
        <is>
          <t>ATS</t>
        </is>
      </c>
      <c r="F10" s="17" t="inlineStr">
        <is>
          <t>INST +35.5</t>
        </is>
      </c>
      <c r="G10" s="26" t="n">
        <v>-35.5</v>
      </c>
      <c r="H10" s="18" t="n">
        <v>-108</v>
      </c>
      <c r="I10" s="20" t="n">
        <v>0.7471065701681774</v>
      </c>
      <c r="J10" s="20" t="n">
        <v>0.4978050921861282</v>
      </c>
      <c r="K10" s="20" t="n">
        <v>0.5192307692307693</v>
      </c>
      <c r="L10" s="19" t="n">
        <v>0.2278758009374081</v>
      </c>
      <c r="M10" s="19" t="n">
        <v>0.4388719129164899</v>
      </c>
      <c r="N10" s="20" t="n">
        <v>0</v>
      </c>
      <c r="O10" s="27" t="n">
        <v>0.45</v>
      </c>
      <c r="P10" s="17" t="inlineStr">
        <is>
          <t>DraftKings</t>
        </is>
      </c>
      <c r="Q10" s="17" t="inlineStr">
        <is>
          <t>INST isn't a full FBS participant this season — model doesn't rate them reliably</t>
        </is>
      </c>
    </row>
    <row r="11">
      <c r="A11" s="12" t="inlineStr">
        <is>
          <t>PASS</t>
        </is>
      </c>
      <c r="B11" s="12" t="inlineStr">
        <is>
          <t>BCU @ UCF</t>
        </is>
      </c>
      <c r="C11" s="12" t="inlineStr">
        <is>
          <t>2026-09-03 23:00</t>
        </is>
      </c>
      <c r="D11" s="22" t="n">
        <v>1</v>
      </c>
      <c r="E11" s="12" t="inlineStr">
        <is>
          <t>ATS</t>
        </is>
      </c>
      <c r="F11" s="12" t="inlineStr">
        <is>
          <t>BCU +42.5</t>
        </is>
      </c>
      <c r="G11" s="23" t="n">
        <v>-42.5</v>
      </c>
      <c r="H11" s="13" t="n">
        <v>-110</v>
      </c>
      <c r="I11" s="15" t="n">
        <v>0.7495833131506973</v>
      </c>
      <c r="J11" s="15" t="n">
        <v>0.5</v>
      </c>
      <c r="K11" s="15" t="n">
        <v>0.5238095238095238</v>
      </c>
      <c r="L11" s="14" t="n">
        <v>0.2257737893411734</v>
      </c>
      <c r="M11" s="14" t="n">
        <v>0.4310226887422403</v>
      </c>
      <c r="N11" s="15" t="n">
        <v>0</v>
      </c>
      <c r="O11" s="24" t="n">
        <v>0.45</v>
      </c>
      <c r="P11" s="12" t="inlineStr">
        <is>
          <t>DraftKings</t>
        </is>
      </c>
      <c r="Q11" s="12" t="inlineStr">
        <is>
          <t>BCU isn't a full FBS participant this season — model doesn't rate them reliably</t>
        </is>
      </c>
    </row>
    <row r="12">
      <c r="A12" s="17" t="inlineStr">
        <is>
          <t>PASS</t>
        </is>
      </c>
      <c r="B12" s="17" t="inlineStr">
        <is>
          <t>UAPB @ MIZ</t>
        </is>
      </c>
      <c r="C12" s="17" t="inlineStr">
        <is>
          <t>2026-09-04 00:00</t>
        </is>
      </c>
      <c r="D12" s="25" t="n">
        <v>1</v>
      </c>
      <c r="E12" s="17" t="inlineStr">
        <is>
          <t>ATS</t>
        </is>
      </c>
      <c r="F12" s="17" t="inlineStr">
        <is>
          <t>UAPB +54.5</t>
        </is>
      </c>
      <c r="G12" s="26" t="n">
        <v>-54.5</v>
      </c>
      <c r="H12" s="18" t="n">
        <v>-112</v>
      </c>
      <c r="I12" s="20" t="n">
        <v>0.7521468293620484</v>
      </c>
      <c r="J12" s="20" t="n">
        <v>0.5043297540699688</v>
      </c>
      <c r="K12" s="20" t="n">
        <v>0.5283018867924528</v>
      </c>
      <c r="L12" s="19" t="n">
        <v>0.2238449425695955</v>
      </c>
      <c r="M12" s="19" t="n">
        <v>0.4237064984353057</v>
      </c>
      <c r="N12" s="20" t="n">
        <v>0</v>
      </c>
      <c r="O12" s="27" t="n">
        <v>0.45</v>
      </c>
      <c r="P12" s="17" t="inlineStr">
        <is>
          <t>DraftKings</t>
        </is>
      </c>
      <c r="Q12" s="17" t="inlineStr">
        <is>
          <t>UAPB isn't a full FBS participant this season — model doesn't rate them reliably</t>
        </is>
      </c>
    </row>
    <row r="13">
      <c r="A13" s="12" t="inlineStr">
        <is>
          <t>PASS</t>
        </is>
      </c>
      <c r="B13" s="12" t="inlineStr">
        <is>
          <t>EIU @ MINN</t>
        </is>
      </c>
      <c r="C13" s="12" t="inlineStr">
        <is>
          <t>2026-09-04 00:00</t>
        </is>
      </c>
      <c r="D13" s="22" t="n">
        <v>1</v>
      </c>
      <c r="E13" s="12" t="inlineStr">
        <is>
          <t>ATS</t>
        </is>
      </c>
      <c r="F13" s="12" t="inlineStr">
        <is>
          <t>EIU +43.5</t>
        </is>
      </c>
      <c r="G13" s="23" t="n">
        <v>-43.5</v>
      </c>
      <c r="H13" s="13" t="n">
        <v>-112</v>
      </c>
      <c r="I13" s="15" t="n">
        <v>0.7518231737767994</v>
      </c>
      <c r="J13" s="15" t="n">
        <v>0.5043297540699688</v>
      </c>
      <c r="K13" s="15" t="n">
        <v>0.5283018867924528</v>
      </c>
      <c r="L13" s="14" t="n">
        <v>0.2235212869843466</v>
      </c>
      <c r="M13" s="14" t="n">
        <v>0.4230938646489417</v>
      </c>
      <c r="N13" s="15" t="n">
        <v>0</v>
      </c>
      <c r="O13" s="24" t="n">
        <v>0.45</v>
      </c>
      <c r="P13" s="12" t="inlineStr">
        <is>
          <t>DraftKings</t>
        </is>
      </c>
      <c r="Q13" s="12" t="inlineStr">
        <is>
          <t>EIU isn't a full FBS participant this season — model doesn't rate them reliably</t>
        </is>
      </c>
    </row>
    <row r="14">
      <c r="A14" s="17" t="inlineStr">
        <is>
          <t>PASS</t>
        </is>
      </c>
      <c r="B14" s="17" t="inlineStr">
        <is>
          <t>IDHO @ UTAH</t>
        </is>
      </c>
      <c r="C14" s="17" t="inlineStr">
        <is>
          <t>2026-09-04 01:00</t>
        </is>
      </c>
      <c r="D14" s="25" t="n">
        <v>1</v>
      </c>
      <c r="E14" s="17" t="inlineStr">
        <is>
          <t>ATS</t>
        </is>
      </c>
      <c r="F14" s="17" t="inlineStr">
        <is>
          <t>IDHO +33.5</t>
        </is>
      </c>
      <c r="G14" s="26" t="n">
        <v>-33.5</v>
      </c>
      <c r="H14" s="18" t="n">
        <v>-110</v>
      </c>
      <c r="I14" s="20" t="n">
        <v>0.7436440297876288</v>
      </c>
      <c r="J14" s="20" t="n">
        <v>0.5</v>
      </c>
      <c r="K14" s="20" t="n">
        <v>0.5238095238095238</v>
      </c>
      <c r="L14" s="19" t="n">
        <v>0.2198345059781049</v>
      </c>
      <c r="M14" s="19" t="n">
        <v>0.4196840568672914</v>
      </c>
      <c r="N14" s="20" t="n">
        <v>0</v>
      </c>
      <c r="O14" s="27" t="n">
        <v>0.45</v>
      </c>
      <c r="P14" s="17" t="inlineStr">
        <is>
          <t>DraftKings</t>
        </is>
      </c>
      <c r="Q14" s="17" t="inlineStr">
        <is>
          <t>IDHO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MRMK @ DEL</t>
        </is>
      </c>
      <c r="C15" s="12" t="inlineStr">
        <is>
          <t>2026-09-03 23:00</t>
        </is>
      </c>
      <c r="D15" s="22" t="n">
        <v>1</v>
      </c>
      <c r="E15" s="12" t="inlineStr">
        <is>
          <t>ATS</t>
        </is>
      </c>
      <c r="F15" s="12" t="inlineStr">
        <is>
          <t>MRMK +28.5</t>
        </is>
      </c>
      <c r="G15" s="23" t="n">
        <v>-28.5</v>
      </c>
      <c r="H15" s="13" t="n">
        <v>-108</v>
      </c>
      <c r="I15" s="15" t="n">
        <v>0.7386849373798826</v>
      </c>
      <c r="J15" s="15" t="n">
        <v>0.4956702459300312</v>
      </c>
      <c r="K15" s="15" t="n">
        <v>0.5192307692307693</v>
      </c>
      <c r="L15" s="14" t="n">
        <v>0.2194541681491133</v>
      </c>
      <c r="M15" s="14" t="n">
        <v>0.4226524719908851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MRMK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MASS @ RUTG</t>
        </is>
      </c>
      <c r="C16" s="17" t="inlineStr">
        <is>
          <t>2026-09-03 22:00</t>
        </is>
      </c>
      <c r="D16" s="25" t="n">
        <v>1</v>
      </c>
      <c r="E16" s="17" t="inlineStr">
        <is>
          <t>ATS</t>
        </is>
      </c>
      <c r="F16" s="17" t="inlineStr">
        <is>
          <t>MASS +29.5</t>
        </is>
      </c>
      <c r="G16" s="26" t="n">
        <v>-29.5</v>
      </c>
      <c r="H16" s="18" t="n">
        <v>-105</v>
      </c>
      <c r="I16" s="20" t="n">
        <v>0.7307755149318647</v>
      </c>
      <c r="J16" s="20" t="n">
        <v>0.4891657638136511</v>
      </c>
      <c r="K16" s="20" t="n">
        <v>0.5121951219512195</v>
      </c>
      <c r="L16" s="19" t="n">
        <v>0.2185803929806451</v>
      </c>
      <c r="M16" s="19" t="n">
        <v>0.4267521958193548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raw model/market disagreement exceeds the safety limit</t>
        </is>
      </c>
    </row>
    <row r="17">
      <c r="A17" s="12" t="inlineStr">
        <is>
          <t>PASS</t>
        </is>
      </c>
      <c r="B17" s="12" t="inlineStr">
        <is>
          <t>SJSU @ USC</t>
        </is>
      </c>
      <c r="C17" s="12" t="inlineStr">
        <is>
          <t>2026-08-29 19:00</t>
        </is>
      </c>
      <c r="D17" s="22" t="n">
        <v>1</v>
      </c>
      <c r="E17" s="12" t="inlineStr">
        <is>
          <t>ATS</t>
        </is>
      </c>
      <c r="F17" s="12" t="inlineStr">
        <is>
          <t>SJSU +38.5</t>
        </is>
      </c>
      <c r="G17" s="23" t="n">
        <v>-38.5</v>
      </c>
      <c r="H17" s="13" t="n">
        <v>-115</v>
      </c>
      <c r="I17" s="15" t="n">
        <v>0.7530960341419698</v>
      </c>
      <c r="J17" s="15" t="n">
        <v>0.5108342361863488</v>
      </c>
      <c r="K17" s="15" t="n">
        <v>0.5348837209302325</v>
      </c>
      <c r="L17" s="14" t="n">
        <v>0.2182123132117373</v>
      </c>
      <c r="M17" s="14" t="n">
        <v>0.4079621507871608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NCAT @ GAST</t>
        </is>
      </c>
      <c r="C18" s="17" t="inlineStr">
        <is>
          <t>2026-09-04 23:00</t>
        </is>
      </c>
      <c r="D18" s="25" t="n">
        <v>1</v>
      </c>
      <c r="E18" s="17" t="inlineStr">
        <is>
          <t>ATS</t>
        </is>
      </c>
      <c r="F18" s="17" t="inlineStr">
        <is>
          <t>NCAT +28.5</t>
        </is>
      </c>
      <c r="G18" s="26" t="n">
        <v>-28.5</v>
      </c>
      <c r="H18" s="18" t="n">
        <v>-112</v>
      </c>
      <c r="I18" s="20" t="n">
        <v>0.7452866315143292</v>
      </c>
      <c r="J18" s="20" t="n">
        <v>0.5043297540699688</v>
      </c>
      <c r="K18" s="20" t="n">
        <v>0.5283018867924528</v>
      </c>
      <c r="L18" s="19" t="n">
        <v>0.2169847447218763</v>
      </c>
      <c r="M18" s="19" t="n">
        <v>0.4107211239378373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NCAT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NMSU @ FSU</t>
        </is>
      </c>
      <c r="C19" s="12" t="inlineStr">
        <is>
          <t>2026-08-29 23:00</t>
        </is>
      </c>
      <c r="D19" s="22" t="n">
        <v>1</v>
      </c>
      <c r="E19" s="12" t="inlineStr">
        <is>
          <t>ATS</t>
        </is>
      </c>
      <c r="F19" s="12" t="inlineStr">
        <is>
          <t>NMSU +31.5</t>
        </is>
      </c>
      <c r="G19" s="23" t="n">
        <v>-31.5</v>
      </c>
      <c r="H19" s="13" t="n">
        <v>-115</v>
      </c>
      <c r="I19" s="15" t="n">
        <v>0.7484052544756881</v>
      </c>
      <c r="J19" s="15" t="n">
        <v>0.5108342361863488</v>
      </c>
      <c r="K19" s="15" t="n">
        <v>0.5348837209302325</v>
      </c>
      <c r="L19" s="14" t="n">
        <v>0.2135215335454556</v>
      </c>
      <c r="M19" s="14" t="n">
        <v>0.3991924322806341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raw model/market disagreement exceeds the safety limit</t>
        </is>
      </c>
    </row>
    <row r="20">
      <c r="A20" s="17" t="inlineStr">
        <is>
          <t>PASS</t>
        </is>
      </c>
      <c r="B20" s="17" t="inlineStr">
        <is>
          <t>NCAT @ GAST</t>
        </is>
      </c>
      <c r="C20" s="17" t="inlineStr">
        <is>
          <t>2026-09-04 23:00</t>
        </is>
      </c>
      <c r="D20" s="25" t="n">
        <v>1</v>
      </c>
      <c r="E20" s="17" t="inlineStr">
        <is>
          <t>ML</t>
        </is>
      </c>
      <c r="F20" s="17" t="inlineStr">
        <is>
          <t>NCAT ML</t>
        </is>
      </c>
      <c r="G20" s="26" t="n"/>
      <c r="H20" s="18" t="n">
        <v>1700</v>
      </c>
      <c r="I20" s="20" t="n">
        <v>0.2669368643359646</v>
      </c>
      <c r="J20" s="20" t="n">
        <v>0.05373831775700934</v>
      </c>
      <c r="K20" s="20" t="n">
        <v>0.05555555555555555</v>
      </c>
      <c r="L20" s="19" t="n">
        <v>0.2113813087804091</v>
      </c>
      <c r="M20" s="19" t="n">
        <v>3.804863558047364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NCAT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ALB @ BUFF</t>
        </is>
      </c>
      <c r="C21" s="12" t="inlineStr">
        <is>
          <t>2026-09-03 23:00</t>
        </is>
      </c>
      <c r="D21" s="22" t="n">
        <v>1</v>
      </c>
      <c r="E21" s="12" t="inlineStr">
        <is>
          <t>ATS</t>
        </is>
      </c>
      <c r="F21" s="12" t="inlineStr">
        <is>
          <t>ALB +24.5</t>
        </is>
      </c>
      <c r="G21" s="23" t="n">
        <v>-24.5</v>
      </c>
      <c r="H21" s="13" t="n">
        <v>-108</v>
      </c>
      <c r="I21" s="15" t="n">
        <v>0.7299252683189232</v>
      </c>
      <c r="J21" s="15" t="n">
        <v>0.4956702459300312</v>
      </c>
      <c r="K21" s="15" t="n">
        <v>0.5192307692307693</v>
      </c>
      <c r="L21" s="14" t="n">
        <v>0.210694499088154</v>
      </c>
      <c r="M21" s="14" t="n">
        <v>0.4057819982438522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ALB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UAB @ ILL</t>
        </is>
      </c>
      <c r="C22" s="17" t="inlineStr">
        <is>
          <t>2026-09-04 01:00</t>
        </is>
      </c>
      <c r="D22" s="25" t="n">
        <v>1</v>
      </c>
      <c r="E22" s="17" t="inlineStr">
        <is>
          <t>ATS</t>
        </is>
      </c>
      <c r="F22" s="17" t="inlineStr">
        <is>
          <t>UAB +28.5</t>
        </is>
      </c>
      <c r="G22" s="26" t="n">
        <v>-28.5</v>
      </c>
      <c r="H22" s="18" t="n">
        <v>-112</v>
      </c>
      <c r="I22" s="20" t="n">
        <v>0.7372924157245517</v>
      </c>
      <c r="J22" s="20" t="n">
        <v>0.5043297540699688</v>
      </c>
      <c r="K22" s="20" t="n">
        <v>0.5283018867924528</v>
      </c>
      <c r="L22" s="19" t="n">
        <v>0.2089905289320989</v>
      </c>
      <c r="M22" s="19" t="n">
        <v>0.3955892154786157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AKR @ WAKE</t>
        </is>
      </c>
      <c r="C23" s="12" t="inlineStr">
        <is>
          <t>2026-09-03 23:00</t>
        </is>
      </c>
      <c r="D23" s="22" t="n">
        <v>1</v>
      </c>
      <c r="E23" s="12" t="inlineStr">
        <is>
          <t>ATS</t>
        </is>
      </c>
      <c r="F23" s="12" t="inlineStr">
        <is>
          <t>AKR +23.5</t>
        </is>
      </c>
      <c r="G23" s="23" t="n">
        <v>-23.5</v>
      </c>
      <c r="H23" s="13" t="n">
        <v>-105</v>
      </c>
      <c r="I23" s="15" t="n">
        <v>0.716961734763335</v>
      </c>
      <c r="J23" s="15" t="n">
        <v>0.4891657638136511</v>
      </c>
      <c r="K23" s="15" t="n">
        <v>0.5121951219512195</v>
      </c>
      <c r="L23" s="14" t="n">
        <v>0.2047666128121155</v>
      </c>
      <c r="M23" s="14" t="n">
        <v>0.3997824345379398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MRMK @ DEL</t>
        </is>
      </c>
      <c r="C24" s="17" t="inlineStr">
        <is>
          <t>2026-09-03 23:00</t>
        </is>
      </c>
      <c r="D24" s="25" t="n">
        <v>1</v>
      </c>
      <c r="E24" s="17" t="inlineStr">
        <is>
          <t>ML</t>
        </is>
      </c>
      <c r="F24" s="17" t="inlineStr">
        <is>
          <t>MRMK ML</t>
        </is>
      </c>
      <c r="G24" s="26" t="n"/>
      <c r="H24" s="18" t="n">
        <v>3000</v>
      </c>
      <c r="I24" s="20" t="n">
        <v>0.2342202661742625</v>
      </c>
      <c r="J24" s="20" t="n">
        <v>0.03155263980006248</v>
      </c>
      <c r="K24" s="20" t="n">
        <v>0.03225806451612903</v>
      </c>
      <c r="L24" s="19" t="n">
        <v>0.2019622016581335</v>
      </c>
      <c r="M24" s="19" t="n">
        <v>6.260828251402137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MRMK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ALB @ BUFF</t>
        </is>
      </c>
      <c r="C25" s="12" t="inlineStr">
        <is>
          <t>2026-09-03 23:00</t>
        </is>
      </c>
      <c r="D25" s="22" t="n">
        <v>1</v>
      </c>
      <c r="E25" s="12" t="inlineStr">
        <is>
          <t>ML</t>
        </is>
      </c>
      <c r="F25" s="12" t="inlineStr">
        <is>
          <t>ALB ML</t>
        </is>
      </c>
      <c r="G25" s="23" t="n"/>
      <c r="H25" s="13" t="n">
        <v>2200</v>
      </c>
      <c r="I25" s="15" t="n">
        <v>0.2400960739565308</v>
      </c>
      <c r="J25" s="15" t="n">
        <v>0.04216553878188443</v>
      </c>
      <c r="K25" s="15" t="n">
        <v>0.04347826086956522</v>
      </c>
      <c r="L25" s="14" t="n">
        <v>0.1966178130869655</v>
      </c>
      <c r="M25" s="14" t="n">
        <v>4.522209701000207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ALB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WES @ KENN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WES +22.5</t>
        </is>
      </c>
      <c r="G26" s="26" t="n">
        <v>-22.5</v>
      </c>
      <c r="H26" s="18" t="n">
        <v>-115</v>
      </c>
      <c r="I26" s="20" t="n">
        <v>0.7273466517420963</v>
      </c>
      <c r="J26" s="20" t="n">
        <v>0.5108342361863488</v>
      </c>
      <c r="K26" s="20" t="n">
        <v>0.5348837209302325</v>
      </c>
      <c r="L26" s="19" t="n">
        <v>0.1924629308118638</v>
      </c>
      <c r="M26" s="19" t="n">
        <v>0.3598220010830496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WES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WES @ KENN</t>
        </is>
      </c>
      <c r="C27" s="12" t="inlineStr">
        <is>
          <t>2026-09-03 23:00</t>
        </is>
      </c>
      <c r="D27" s="22" t="n">
        <v>1</v>
      </c>
      <c r="E27" s="12" t="inlineStr">
        <is>
          <t>ML</t>
        </is>
      </c>
      <c r="F27" s="12" t="inlineStr">
        <is>
          <t>WES ML</t>
        </is>
      </c>
      <c r="G27" s="23" t="n"/>
      <c r="H27" s="13" t="n">
        <v>1500</v>
      </c>
      <c r="I27" s="15" t="n">
        <v>0.2370117476831352</v>
      </c>
      <c r="J27" s="15" t="n">
        <v>0.06035889070146819</v>
      </c>
      <c r="K27" s="15" t="n">
        <v>0.0625</v>
      </c>
      <c r="L27" s="14" t="n">
        <v>0.1745117476831352</v>
      </c>
      <c r="M27" s="14" t="n">
        <v>2.792187962930162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WES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NMSU @ FSU</t>
        </is>
      </c>
      <c r="C28" s="17" t="inlineStr">
        <is>
          <t>2026-08-29 23:00</t>
        </is>
      </c>
      <c r="D28" s="25" t="n">
        <v>1</v>
      </c>
      <c r="E28" s="17" t="inlineStr">
        <is>
          <t>ML</t>
        </is>
      </c>
      <c r="F28" s="17" t="inlineStr">
        <is>
          <t>NMSU ML</t>
        </is>
      </c>
      <c r="G28" s="26" t="n"/>
      <c r="H28" s="18" t="n">
        <v>2200</v>
      </c>
      <c r="I28" s="20" t="n">
        <v>0.2169991880608585</v>
      </c>
      <c r="J28" s="20" t="n">
        <v>0.04216553878188443</v>
      </c>
      <c r="K28" s="20" t="n">
        <v>0.04347826086956522</v>
      </c>
      <c r="L28" s="19" t="n">
        <v>0.1735209271912933</v>
      </c>
      <c r="M28" s="19" t="n">
        <v>3.990981325399745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AKR @ WAKE</t>
        </is>
      </c>
      <c r="C29" s="12" t="inlineStr">
        <is>
          <t>2026-09-03 23:00</t>
        </is>
      </c>
      <c r="D29" s="22" t="n">
        <v>1</v>
      </c>
      <c r="E29" s="12" t="inlineStr">
        <is>
          <t>ML</t>
        </is>
      </c>
      <c r="F29" s="12" t="inlineStr">
        <is>
          <t>AKR ML</t>
        </is>
      </c>
      <c r="G29" s="23" t="n"/>
      <c r="H29" s="13" t="n">
        <v>1400</v>
      </c>
      <c r="I29" s="15" t="n">
        <v>0.2287754942280706</v>
      </c>
      <c r="J29" s="15" t="n">
        <v>0.06432748538011696</v>
      </c>
      <c r="K29" s="15" t="n">
        <v>0.06666666666666667</v>
      </c>
      <c r="L29" s="14" t="n">
        <v>0.162108827561404</v>
      </c>
      <c r="M29" s="14" t="n">
        <v>2.43163241342106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price outside allowed range</t>
        </is>
      </c>
    </row>
    <row r="30">
      <c r="A30" s="17" t="inlineStr">
        <is>
          <t>PASS</t>
        </is>
      </c>
      <c r="B30" s="17" t="inlineStr">
        <is>
          <t>IDHO @ UTAH</t>
        </is>
      </c>
      <c r="C30" s="17" t="inlineStr">
        <is>
          <t>2026-09-04 01:00</t>
        </is>
      </c>
      <c r="D30" s="25" t="n">
        <v>1</v>
      </c>
      <c r="E30" s="17" t="inlineStr">
        <is>
          <t>ML</t>
        </is>
      </c>
      <c r="F30" s="17" t="inlineStr">
        <is>
          <t>IDHO ML</t>
        </is>
      </c>
      <c r="G30" s="26" t="n"/>
      <c r="H30" s="18" t="n">
        <v>3000</v>
      </c>
      <c r="I30" s="20" t="n">
        <v>0.1915726544041398</v>
      </c>
      <c r="J30" s="20" t="n">
        <v>0.03155263980006248</v>
      </c>
      <c r="K30" s="20" t="n">
        <v>0.03225806451612903</v>
      </c>
      <c r="L30" s="19" t="n">
        <v>0.1593145898880108</v>
      </c>
      <c r="M30" s="19" t="n">
        <v>4.938752286528335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IDHO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UAB @ ILL</t>
        </is>
      </c>
      <c r="C31" s="12" t="inlineStr">
        <is>
          <t>2026-09-04 01:00</t>
        </is>
      </c>
      <c r="D31" s="22" t="n">
        <v>1</v>
      </c>
      <c r="E31" s="12" t="inlineStr">
        <is>
          <t>ML</t>
        </is>
      </c>
      <c r="F31" s="12" t="inlineStr">
        <is>
          <t>UAB ML</t>
        </is>
      </c>
      <c r="G31" s="23" t="n"/>
      <c r="H31" s="13" t="n">
        <v>2200</v>
      </c>
      <c r="I31" s="15" t="n">
        <v>0.2017439875221416</v>
      </c>
      <c r="J31" s="15" t="n">
        <v>0.04216553878188443</v>
      </c>
      <c r="K31" s="15" t="n">
        <v>0.04347826086956522</v>
      </c>
      <c r="L31" s="14" t="n">
        <v>0.1582657266525764</v>
      </c>
      <c r="M31" s="14" t="n">
        <v>3.640111713009257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MASS @ RUTG</t>
        </is>
      </c>
      <c r="C32" s="17" t="inlineStr">
        <is>
          <t>2026-09-03 22:00</t>
        </is>
      </c>
      <c r="D32" s="25" t="n">
        <v>1</v>
      </c>
      <c r="E32" s="17" t="inlineStr">
        <is>
          <t>ML</t>
        </is>
      </c>
      <c r="F32" s="17" t="inlineStr">
        <is>
          <t>MASS ML</t>
        </is>
      </c>
      <c r="G32" s="26" t="n"/>
      <c r="H32" s="18" t="n">
        <v>2000</v>
      </c>
      <c r="I32" s="20" t="n">
        <v>0.1963076315941712</v>
      </c>
      <c r="J32" s="20" t="n">
        <v>0.0461215932914046</v>
      </c>
      <c r="K32" s="20" t="n">
        <v>0.04761904761904762</v>
      </c>
      <c r="L32" s="19" t="n">
        <v>0.1486885839751236</v>
      </c>
      <c r="M32" s="19" t="n">
        <v>3.122460263477595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JVST @ NDSU</t>
        </is>
      </c>
      <c r="C33" s="12" t="inlineStr">
        <is>
          <t>2026-08-29 21:30</t>
        </is>
      </c>
      <c r="D33" s="22" t="n">
        <v>1</v>
      </c>
      <c r="E33" s="12" t="inlineStr">
        <is>
          <t>TOTAL</t>
        </is>
      </c>
      <c r="F33" s="12" t="inlineStr">
        <is>
          <t>Over 46.5</t>
        </is>
      </c>
      <c r="G33" s="23" t="n">
        <v>46.5</v>
      </c>
      <c r="H33" s="13" t="n">
        <v>-112</v>
      </c>
      <c r="I33" s="15" t="n">
        <v>0.6574997451163023</v>
      </c>
      <c r="J33" s="15" t="n">
        <v>0.5043297540699688</v>
      </c>
      <c r="K33" s="15" t="n">
        <v>0.5283018867924528</v>
      </c>
      <c r="L33" s="14" t="n">
        <v>0.1291978583238494</v>
      </c>
      <c r="M33" s="14" t="n">
        <v>0.2445530889701435</v>
      </c>
      <c r="N33" s="15" t="n">
        <v>0</v>
      </c>
      <c r="O33" s="24" t="n">
        <v>0.45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SAC @ EMU</t>
        </is>
      </c>
      <c r="C34" s="17" t="inlineStr">
        <is>
          <t>2026-08-29 22:30</t>
        </is>
      </c>
      <c r="D34" s="25" t="n">
        <v>1</v>
      </c>
      <c r="E34" s="17" t="inlineStr">
        <is>
          <t>ATS</t>
        </is>
      </c>
      <c r="F34" s="17" t="inlineStr">
        <is>
          <t>SAC +10</t>
        </is>
      </c>
      <c r="G34" s="26" t="n">
        <v>-10</v>
      </c>
      <c r="H34" s="18" t="n">
        <v>-112</v>
      </c>
      <c r="I34" s="20" t="n">
        <v>0.6517734863770817</v>
      </c>
      <c r="J34" s="20" t="n">
        <v>0.5043297540699688</v>
      </c>
      <c r="K34" s="20" t="n">
        <v>0.5283018867924528</v>
      </c>
      <c r="L34" s="19" t="n">
        <v>0.1234715995846288</v>
      </c>
      <c r="M34" s="19" t="n">
        <v>0.2265177781236275</v>
      </c>
      <c r="N34" s="20" t="n">
        <v>0.0308</v>
      </c>
      <c r="O34" s="27" t="n">
        <v>0.45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ALB @ BUFF</t>
        </is>
      </c>
      <c r="C35" s="12" t="inlineStr">
        <is>
          <t>2026-09-03 23:00</t>
        </is>
      </c>
      <c r="D35" s="22" t="n">
        <v>1</v>
      </c>
      <c r="E35" s="12" t="inlineStr">
        <is>
          <t>TOTAL</t>
        </is>
      </c>
      <c r="F35" s="12" t="inlineStr">
        <is>
          <t>Over 48.5</t>
        </is>
      </c>
      <c r="G35" s="23" t="n">
        <v>48.5</v>
      </c>
      <c r="H35" s="13" t="n">
        <v>-108</v>
      </c>
      <c r="I35" s="15" t="n">
        <v>0.6237538960930264</v>
      </c>
      <c r="J35" s="15" t="n">
        <v>0.4956702459300312</v>
      </c>
      <c r="K35" s="15" t="n">
        <v>0.5192307692307693</v>
      </c>
      <c r="L35" s="14" t="n">
        <v>0.1045231268622572</v>
      </c>
      <c r="M35" s="14" t="n">
        <v>0.2013037998828658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ALB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NCAT @ GAST</t>
        </is>
      </c>
      <c r="C36" s="17" t="inlineStr">
        <is>
          <t>2026-09-04 23:00</t>
        </is>
      </c>
      <c r="D36" s="25" t="n">
        <v>1</v>
      </c>
      <c r="E36" s="17" t="inlineStr">
        <is>
          <t>TOTAL</t>
        </is>
      </c>
      <c r="F36" s="17" t="inlineStr">
        <is>
          <t>Under 63.5</t>
        </is>
      </c>
      <c r="G36" s="26" t="n">
        <v>63.5</v>
      </c>
      <c r="H36" s="18" t="n">
        <v>-110</v>
      </c>
      <c r="I36" s="20" t="n">
        <v>0.6095621194091961</v>
      </c>
      <c r="J36" s="20" t="n">
        <v>0.5</v>
      </c>
      <c r="K36" s="20" t="n">
        <v>0.5238095238095238</v>
      </c>
      <c r="L36" s="19" t="n">
        <v>0.0857525955996723</v>
      </c>
      <c r="M36" s="19" t="n">
        <v>0.1637095006902836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NCAT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UAPB @ MIZ</t>
        </is>
      </c>
      <c r="C37" s="12" t="inlineStr">
        <is>
          <t>2026-09-04 00:00</t>
        </is>
      </c>
      <c r="D37" s="22" t="n">
        <v>1</v>
      </c>
      <c r="E37" s="12" t="inlineStr">
        <is>
          <t>TOTAL</t>
        </is>
      </c>
      <c r="F37" s="12" t="inlineStr">
        <is>
          <t>Under 60.5</t>
        </is>
      </c>
      <c r="G37" s="23" t="n">
        <v>60.5</v>
      </c>
      <c r="H37" s="13" t="n">
        <v>-108</v>
      </c>
      <c r="I37" s="15" t="n">
        <v>0.6022946041225494</v>
      </c>
      <c r="J37" s="15" t="n">
        <v>0.4956702459300312</v>
      </c>
      <c r="K37" s="15" t="n">
        <v>0.5192307692307693</v>
      </c>
      <c r="L37" s="14" t="n">
        <v>0.08306383489178015</v>
      </c>
      <c r="M37" s="14" t="n">
        <v>0.15997479312491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UAPB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SAC @ EMU</t>
        </is>
      </c>
      <c r="C38" s="17" t="inlineStr">
        <is>
          <t>2026-08-29 22:30</t>
        </is>
      </c>
      <c r="D38" s="25" t="n">
        <v>1</v>
      </c>
      <c r="E38" s="17" t="inlineStr">
        <is>
          <t>TOTAL</t>
        </is>
      </c>
      <c r="F38" s="17" t="inlineStr">
        <is>
          <t>Over 52.5</t>
        </is>
      </c>
      <c r="G38" s="26" t="n">
        <v>52.5</v>
      </c>
      <c r="H38" s="18" t="n">
        <v>-105</v>
      </c>
      <c r="I38" s="20" t="n">
        <v>0.592107265818543</v>
      </c>
      <c r="J38" s="20" t="n">
        <v>0.4891657638136511</v>
      </c>
      <c r="K38" s="20" t="n">
        <v>0.5121951219512195</v>
      </c>
      <c r="L38" s="19" t="n">
        <v>0.07991214386732348</v>
      </c>
      <c r="M38" s="19" t="n">
        <v>0.1560189475504887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correlated with a stronger play on the same game</t>
        </is>
      </c>
    </row>
    <row r="39">
      <c r="A39" s="12" t="inlineStr">
        <is>
          <t>PASS</t>
        </is>
      </c>
      <c r="B39" s="12" t="inlineStr">
        <is>
          <t>UNC @ TCU</t>
        </is>
      </c>
      <c r="C39" s="12" t="inlineStr">
        <is>
          <t>2026-08-29 16:00</t>
        </is>
      </c>
      <c r="D39" s="22" t="n">
        <v>1</v>
      </c>
      <c r="E39" s="12" t="inlineStr">
        <is>
          <t>ML</t>
        </is>
      </c>
      <c r="F39" s="12" t="inlineStr">
        <is>
          <t>UNC ML</t>
        </is>
      </c>
      <c r="G39" s="23" t="n"/>
      <c r="H39" s="13" t="n">
        <v>245</v>
      </c>
      <c r="I39" s="15" t="n">
        <v>0.3639656274205685</v>
      </c>
      <c r="J39" s="15" t="n">
        <v>0.2779207411219763</v>
      </c>
      <c r="K39" s="15" t="n">
        <v>0.2898550724637681</v>
      </c>
      <c r="L39" s="14" t="n">
        <v>0.07411055495680036</v>
      </c>
      <c r="M39" s="14" t="n">
        <v>0.2556814146009613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PASS</t>
        </is>
      </c>
      <c r="B40" s="17" t="inlineStr">
        <is>
          <t>WES @ KENN</t>
        </is>
      </c>
      <c r="C40" s="17" t="inlineStr">
        <is>
          <t>2026-09-03 23:00</t>
        </is>
      </c>
      <c r="D40" s="25" t="n">
        <v>1</v>
      </c>
      <c r="E40" s="17" t="inlineStr">
        <is>
          <t>TOTAL</t>
        </is>
      </c>
      <c r="F40" s="17" t="inlineStr">
        <is>
          <t>Over 51.5</t>
        </is>
      </c>
      <c r="G40" s="26" t="n">
        <v>51.5</v>
      </c>
      <c r="H40" s="18" t="n">
        <v>-112</v>
      </c>
      <c r="I40" s="20" t="n">
        <v>0.6014367685441151</v>
      </c>
      <c r="J40" s="20" t="n">
        <v>0.5043297540699688</v>
      </c>
      <c r="K40" s="20" t="n">
        <v>0.5283018867924528</v>
      </c>
      <c r="L40" s="19" t="n">
        <v>0.07313488175166227</v>
      </c>
      <c r="M40" s="19" t="n">
        <v>0.1384338833156464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WES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BCU @ UCF</t>
        </is>
      </c>
      <c r="C41" s="12" t="inlineStr">
        <is>
          <t>2026-09-03 23:00</t>
        </is>
      </c>
      <c r="D41" s="22" t="n">
        <v>1</v>
      </c>
      <c r="E41" s="12" t="inlineStr">
        <is>
          <t>TOTAL</t>
        </is>
      </c>
      <c r="F41" s="12" t="inlineStr">
        <is>
          <t>Under 59.5</t>
        </is>
      </c>
      <c r="G41" s="23" t="n">
        <v>59.5</v>
      </c>
      <c r="H41" s="13" t="n">
        <v>-108</v>
      </c>
      <c r="I41" s="15" t="n">
        <v>0.5828840668418837</v>
      </c>
      <c r="J41" s="15" t="n">
        <v>0.4956702459300312</v>
      </c>
      <c r="K41" s="15" t="n">
        <v>0.5192307692307693</v>
      </c>
      <c r="L41" s="14" t="n">
        <v>0.06365329761111438</v>
      </c>
      <c r="M41" s="14" t="n">
        <v>0.1225915361399241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BCU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MASS @ RUTG</t>
        </is>
      </c>
      <c r="C42" s="17" t="inlineStr">
        <is>
          <t>2026-09-03 22:00</t>
        </is>
      </c>
      <c r="D42" s="25" t="n">
        <v>1</v>
      </c>
      <c r="E42" s="17" t="inlineStr">
        <is>
          <t>TOTAL</t>
        </is>
      </c>
      <c r="F42" s="17" t="inlineStr">
        <is>
          <t>Over 53.5</t>
        </is>
      </c>
      <c r="G42" s="26" t="n">
        <v>53.5</v>
      </c>
      <c r="H42" s="18" t="n">
        <v>-105</v>
      </c>
      <c r="I42" s="20" t="n">
        <v>0.5686259368307972</v>
      </c>
      <c r="J42" s="20" t="n">
        <v>0.4891657638136511</v>
      </c>
      <c r="K42" s="20" t="n">
        <v>0.5121951219512195</v>
      </c>
      <c r="L42" s="19" t="n">
        <v>0.05643081487957768</v>
      </c>
      <c r="M42" s="19" t="n">
        <v>0.1101744480982231</v>
      </c>
      <c r="N42" s="20" t="n">
        <v>0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EIU @ MINN</t>
        </is>
      </c>
      <c r="C43" s="12" t="inlineStr">
        <is>
          <t>2026-09-04 00:00</t>
        </is>
      </c>
      <c r="D43" s="22" t="n">
        <v>1</v>
      </c>
      <c r="E43" s="12" t="inlineStr">
        <is>
          <t>TOTAL</t>
        </is>
      </c>
      <c r="F43" s="12" t="inlineStr">
        <is>
          <t>Over 51.5</t>
        </is>
      </c>
      <c r="G43" s="23" t="n">
        <v>51.5</v>
      </c>
      <c r="H43" s="13" t="n">
        <v>-110</v>
      </c>
      <c r="I43" s="15" t="n">
        <v>0.5627832126788681</v>
      </c>
      <c r="J43" s="15" t="n">
        <v>0.5</v>
      </c>
      <c r="K43" s="15" t="n">
        <v>0.5238095238095238</v>
      </c>
      <c r="L43" s="14" t="n">
        <v>0.03897368886934427</v>
      </c>
      <c r="M43" s="14" t="n">
        <v>0.07440431511420276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EIU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SJSU @ USC</t>
        </is>
      </c>
      <c r="C44" s="17" t="inlineStr">
        <is>
          <t>2026-08-29 19:00</t>
        </is>
      </c>
      <c r="D44" s="25" t="n">
        <v>1</v>
      </c>
      <c r="E44" s="17" t="inlineStr">
        <is>
          <t>TOTAL</t>
        </is>
      </c>
      <c r="F44" s="17" t="inlineStr">
        <is>
          <t>Under 60.5</t>
        </is>
      </c>
      <c r="G44" s="26" t="n">
        <v>60.5</v>
      </c>
      <c r="H44" s="18" t="n">
        <v>-110</v>
      </c>
      <c r="I44" s="20" t="n">
        <v>0.5627832067567862</v>
      </c>
      <c r="J44" s="20" t="n">
        <v>0.5</v>
      </c>
      <c r="K44" s="20" t="n">
        <v>0.5238095238095238</v>
      </c>
      <c r="L44" s="19" t="n">
        <v>0.03897368294726233</v>
      </c>
      <c r="M44" s="19" t="n">
        <v>0.07440430380841001</v>
      </c>
      <c r="N44" s="20" t="n">
        <v>0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HAW @ STAN</t>
        </is>
      </c>
      <c r="C45" s="12" t="inlineStr">
        <is>
          <t>2026-08-29 23:00</t>
        </is>
      </c>
      <c r="D45" s="22" t="n">
        <v>1</v>
      </c>
      <c r="E45" s="12" t="inlineStr">
        <is>
          <t>ML</t>
        </is>
      </c>
      <c r="F45" s="12" t="inlineStr">
        <is>
          <t>HAW ML</t>
        </is>
      </c>
      <c r="G45" s="23" t="n"/>
      <c r="H45" s="13" t="n">
        <v>154</v>
      </c>
      <c r="I45" s="15" t="n">
        <v>0.4319998430736718</v>
      </c>
      <c r="J45" s="15" t="n">
        <v>0.3775334481388264</v>
      </c>
      <c r="K45" s="15" t="n">
        <v>0.3937007874015748</v>
      </c>
      <c r="L45" s="14" t="n">
        <v>0.03829905567209696</v>
      </c>
      <c r="M45" s="14" t="n">
        <v>0.09727960140712633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HAW @ STAN</t>
        </is>
      </c>
      <c r="C46" s="17" t="inlineStr">
        <is>
          <t>2026-08-29 23:00</t>
        </is>
      </c>
      <c r="D46" s="25" t="n">
        <v>1</v>
      </c>
      <c r="E46" s="17" t="inlineStr">
        <is>
          <t>ATS</t>
        </is>
      </c>
      <c r="F46" s="17" t="inlineStr">
        <is>
          <t>HAW +4</t>
        </is>
      </c>
      <c r="G46" s="26" t="n">
        <v>-4</v>
      </c>
      <c r="H46" s="18" t="n">
        <v>-115</v>
      </c>
      <c r="I46" s="20" t="n">
        <v>0.5699183222070581</v>
      </c>
      <c r="J46" s="20" t="n">
        <v>0.5108342361863488</v>
      </c>
      <c r="K46" s="20" t="n">
        <v>0.5348837209302325</v>
      </c>
      <c r="L46" s="19" t="n">
        <v>0.03503460127682556</v>
      </c>
      <c r="M46" s="19" t="n">
        <v>0.06353625082439679</v>
      </c>
      <c r="N46" s="20" t="n">
        <v>0.03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PASS</t>
        </is>
      </c>
      <c r="B47" s="12" t="inlineStr">
        <is>
          <t>SJSU @ EMU</t>
        </is>
      </c>
      <c r="C47" s="12" t="inlineStr">
        <is>
          <t>2026-09-04 22:30</t>
        </is>
      </c>
      <c r="D47" s="22" t="n">
        <v>1</v>
      </c>
      <c r="E47" s="12" t="inlineStr">
        <is>
          <t>TOTAL</t>
        </is>
      </c>
      <c r="F47" s="12" t="inlineStr">
        <is>
          <t>Over 53.5</t>
        </is>
      </c>
      <c r="G47" s="23" t="n">
        <v>53.5</v>
      </c>
      <c r="H47" s="13" t="n">
        <v>-112</v>
      </c>
      <c r="I47" s="15" t="n">
        <v>0.559233949493164</v>
      </c>
      <c r="J47" s="15" t="n">
        <v>0.5043297540699688</v>
      </c>
      <c r="K47" s="15" t="n">
        <v>0.5283018867924528</v>
      </c>
      <c r="L47" s="14" t="n">
        <v>0.03093206270071114</v>
      </c>
      <c r="M47" s="14" t="n">
        <v>0.05854997582634602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NMSU @ FSU</t>
        </is>
      </c>
      <c r="C48" s="17" t="inlineStr">
        <is>
          <t>2026-08-29 23:00</t>
        </is>
      </c>
      <c r="D48" s="25" t="n">
        <v>1</v>
      </c>
      <c r="E48" s="17" t="inlineStr">
        <is>
          <t>TOTAL</t>
        </is>
      </c>
      <c r="F48" s="17" t="inlineStr">
        <is>
          <t>Over 52.5</t>
        </is>
      </c>
      <c r="G48" s="26" t="n">
        <v>52.5</v>
      </c>
      <c r="H48" s="18" t="n">
        <v>-108</v>
      </c>
      <c r="I48" s="20" t="n">
        <v>0.5472084462676521</v>
      </c>
      <c r="J48" s="20" t="n">
        <v>0.4956702459300312</v>
      </c>
      <c r="K48" s="20" t="n">
        <v>0.5192307692307693</v>
      </c>
      <c r="L48" s="19" t="n">
        <v>0.02797767703688281</v>
      </c>
      <c r="M48" s="19" t="n">
        <v>0.05388293355251517</v>
      </c>
      <c r="N48" s="20" t="n">
        <v>0</v>
      </c>
      <c r="O48" s="27" t="n">
        <v>0.45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NCSU @ UVA</t>
        </is>
      </c>
      <c r="C49" s="12" t="inlineStr">
        <is>
          <t>2026-08-29 19:30</t>
        </is>
      </c>
      <c r="D49" s="22" t="n">
        <v>1</v>
      </c>
      <c r="E49" s="12" t="inlineStr">
        <is>
          <t>ATS</t>
        </is>
      </c>
      <c r="F49" s="12" t="inlineStr">
        <is>
          <t>NCSU +5.5</t>
        </is>
      </c>
      <c r="G49" s="23" t="n">
        <v>-5.5</v>
      </c>
      <c r="H49" s="13" t="n">
        <v>-105</v>
      </c>
      <c r="I49" s="15" t="n">
        <v>0.5380374278212803</v>
      </c>
      <c r="J49" s="15" t="n">
        <v>0.4891657638136511</v>
      </c>
      <c r="K49" s="15" t="n">
        <v>0.5121951219512195</v>
      </c>
      <c r="L49" s="14" t="n">
        <v>0.02584230587006076</v>
      </c>
      <c r="M49" s="14" t="n">
        <v>0.05045402574630908</v>
      </c>
      <c r="N49" s="15" t="n">
        <v>0</v>
      </c>
      <c r="O49" s="24" t="n">
        <v>0.45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COLO @ GT</t>
        </is>
      </c>
      <c r="C50" s="17" t="inlineStr">
        <is>
          <t>2026-09-04 00:00</t>
        </is>
      </c>
      <c r="D50" s="25" t="n">
        <v>1</v>
      </c>
      <c r="E50" s="17" t="inlineStr">
        <is>
          <t>ATS</t>
        </is>
      </c>
      <c r="F50" s="17" t="inlineStr">
        <is>
          <t>COLO +6.5</t>
        </is>
      </c>
      <c r="G50" s="26" t="n">
        <v>-6.5</v>
      </c>
      <c r="H50" s="18" t="n">
        <v>-105</v>
      </c>
      <c r="I50" s="20" t="n">
        <v>0.5359459352051367</v>
      </c>
      <c r="J50" s="20" t="n">
        <v>0.4891657638136511</v>
      </c>
      <c r="K50" s="20" t="n">
        <v>0.5121951219512195</v>
      </c>
      <c r="L50" s="19" t="n">
        <v>0.02375081325391715</v>
      </c>
      <c r="M50" s="19" t="n">
        <v>0.0463706354005049</v>
      </c>
      <c r="N50" s="20" t="n">
        <v>0</v>
      </c>
      <c r="O50" s="27" t="n">
        <v>0.45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MRMK @ DEL</t>
        </is>
      </c>
      <c r="C51" s="12" t="inlineStr">
        <is>
          <t>2026-09-03 23:00</t>
        </is>
      </c>
      <c r="D51" s="22" t="n">
        <v>1</v>
      </c>
      <c r="E51" s="12" t="inlineStr">
        <is>
          <t>TOTAL</t>
        </is>
      </c>
      <c r="F51" s="12" t="inlineStr">
        <is>
          <t>Over 55.5</t>
        </is>
      </c>
      <c r="G51" s="23" t="n">
        <v>55.5</v>
      </c>
      <c r="H51" s="13" t="n">
        <v>-110</v>
      </c>
      <c r="I51" s="15" t="n">
        <v>0.5416001704595914</v>
      </c>
      <c r="J51" s="15" t="n">
        <v>0.5</v>
      </c>
      <c r="K51" s="15" t="n">
        <v>0.5238095238095238</v>
      </c>
      <c r="L51" s="14" t="n">
        <v>0.01779064665006758</v>
      </c>
      <c r="M51" s="14" t="n">
        <v>0.03396396178649275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MRMK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NCSU @ UVA</t>
        </is>
      </c>
      <c r="C52" s="17" t="inlineStr">
        <is>
          <t>2026-08-29 19:30</t>
        </is>
      </c>
      <c r="D52" s="25" t="n">
        <v>1</v>
      </c>
      <c r="E52" s="17" t="inlineStr">
        <is>
          <t>ML</t>
        </is>
      </c>
      <c r="F52" s="17" t="inlineStr">
        <is>
          <t>NCSU ML</t>
        </is>
      </c>
      <c r="G52" s="26" t="n"/>
      <c r="H52" s="18" t="n">
        <v>180</v>
      </c>
      <c r="I52" s="20" t="n">
        <v>0.3745807138274095</v>
      </c>
      <c r="J52" s="20" t="n">
        <v>0.3425247738043947</v>
      </c>
      <c r="K52" s="20" t="n">
        <v>0.3571428571428572</v>
      </c>
      <c r="L52" s="19" t="n">
        <v>0.01743785668455239</v>
      </c>
      <c r="M52" s="19" t="n">
        <v>0.04882599871674664</v>
      </c>
      <c r="N52" s="20" t="n">
        <v>0</v>
      </c>
      <c r="O52" s="27" t="n">
        <v>0.45</v>
      </c>
      <c r="P52" s="17" t="inlineStr">
        <is>
          <t>DraftKings</t>
        </is>
      </c>
      <c r="Q52" s="17" t="n"/>
    </row>
    <row r="53">
      <c r="A53" s="12" t="inlineStr">
        <is>
          <t>PASS</t>
        </is>
      </c>
      <c r="B53" s="12" t="inlineStr">
        <is>
          <t>SJSU @ EMU</t>
        </is>
      </c>
      <c r="C53" s="12" t="inlineStr">
        <is>
          <t>2026-09-04 22:30</t>
        </is>
      </c>
      <c r="D53" s="22" t="n">
        <v>1</v>
      </c>
      <c r="E53" s="12" t="inlineStr">
        <is>
          <t>ML</t>
        </is>
      </c>
      <c r="F53" s="12" t="inlineStr">
        <is>
          <t>SJSU ML</t>
        </is>
      </c>
      <c r="G53" s="23" t="n"/>
      <c r="H53" s="13" t="n">
        <v>180</v>
      </c>
      <c r="I53" s="15" t="n">
        <v>0.3741599606283899</v>
      </c>
      <c r="J53" s="15" t="n">
        <v>0.3425247738043947</v>
      </c>
      <c r="K53" s="15" t="n">
        <v>0.3571428571428572</v>
      </c>
      <c r="L53" s="14" t="n">
        <v>0.0170171034855327</v>
      </c>
      <c r="M53" s="14" t="n">
        <v>0.04764788975949152</v>
      </c>
      <c r="N53" s="15" t="n">
        <v>0</v>
      </c>
      <c r="O53" s="24" t="n">
        <v>0.45</v>
      </c>
      <c r="P53" s="12" t="inlineStr">
        <is>
          <t>DraftKings</t>
        </is>
      </c>
      <c r="Q53" s="12" t="n"/>
    </row>
    <row r="54">
      <c r="A54" s="17" t="inlineStr">
        <is>
          <t>PASS</t>
        </is>
      </c>
      <c r="B54" s="17" t="inlineStr">
        <is>
          <t>COLO @ GT</t>
        </is>
      </c>
      <c r="C54" s="17" t="inlineStr">
        <is>
          <t>2026-09-04 00:00</t>
        </is>
      </c>
      <c r="D54" s="25" t="n">
        <v>1</v>
      </c>
      <c r="E54" s="17" t="inlineStr">
        <is>
          <t>ML</t>
        </is>
      </c>
      <c r="F54" s="17" t="inlineStr">
        <is>
          <t>COLO ML</t>
        </is>
      </c>
      <c r="G54" s="26" t="n"/>
      <c r="H54" s="18" t="n">
        <v>205</v>
      </c>
      <c r="I54" s="20" t="n">
        <v>0.3446539939839948</v>
      </c>
      <c r="J54" s="20" t="n">
        <v>0.3146067415730336</v>
      </c>
      <c r="K54" s="20" t="n">
        <v>0.3278688524590164</v>
      </c>
      <c r="L54" s="19" t="n">
        <v>0.0167851415249784</v>
      </c>
      <c r="M54" s="19" t="n">
        <v>0.05119468165118402</v>
      </c>
      <c r="N54" s="20" t="n">
        <v>0</v>
      </c>
      <c r="O54" s="27" t="n">
        <v>0.45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MEM @ UNLV</t>
        </is>
      </c>
      <c r="C55" s="12" t="inlineStr">
        <is>
          <t>2026-08-30 02:00</t>
        </is>
      </c>
      <c r="D55" s="22" t="n">
        <v>1</v>
      </c>
      <c r="E55" s="12" t="inlineStr">
        <is>
          <t>ATS</t>
        </is>
      </c>
      <c r="F55" s="12" t="inlineStr">
        <is>
          <t>MEM +4.5</t>
        </is>
      </c>
      <c r="G55" s="23" t="n">
        <v>-4.5</v>
      </c>
      <c r="H55" s="13" t="n">
        <v>-110</v>
      </c>
      <c r="I55" s="15" t="n">
        <v>0.5397080135747594</v>
      </c>
      <c r="J55" s="15" t="n">
        <v>0.5</v>
      </c>
      <c r="K55" s="15" t="n">
        <v>0.5238095238095238</v>
      </c>
      <c r="L55" s="14" t="n">
        <v>0.01589848976523556</v>
      </c>
      <c r="M55" s="14" t="n">
        <v>0.03035166227908614</v>
      </c>
      <c r="N55" s="15" t="n">
        <v>0</v>
      </c>
      <c r="O55" s="24" t="n">
        <v>0.45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JVST @ NDSU</t>
        </is>
      </c>
      <c r="C56" s="17" t="inlineStr">
        <is>
          <t>2026-08-29 21:30</t>
        </is>
      </c>
      <c r="D56" s="25" t="n">
        <v>1</v>
      </c>
      <c r="E56" s="17" t="inlineStr">
        <is>
          <t>ATS</t>
        </is>
      </c>
      <c r="F56" s="17" t="inlineStr">
        <is>
          <t>JVST +7</t>
        </is>
      </c>
      <c r="G56" s="26" t="n">
        <v>-7</v>
      </c>
      <c r="H56" s="18" t="n">
        <v>-115</v>
      </c>
      <c r="I56" s="20" t="n">
        <v>0.5499855318495314</v>
      </c>
      <c r="J56" s="20" t="n">
        <v>0.5108342361863488</v>
      </c>
      <c r="K56" s="20" t="n">
        <v>0.5348837209302325</v>
      </c>
      <c r="L56" s="19" t="n">
        <v>0.01510181091929885</v>
      </c>
      <c r="M56" s="19" t="n">
        <v>0.02680803788623665</v>
      </c>
      <c r="N56" s="20" t="n">
        <v>0.0505</v>
      </c>
      <c r="O56" s="27" t="n">
        <v>0.45</v>
      </c>
      <c r="P56" s="17" t="inlineStr">
        <is>
          <t>DraftKings</t>
        </is>
      </c>
      <c r="Q56" s="17" t="n"/>
    </row>
    <row r="57">
      <c r="A57" s="12" t="inlineStr">
        <is>
          <t>PASS</t>
        </is>
      </c>
      <c r="B57" s="12" t="inlineStr">
        <is>
          <t>SJSU @ EMU</t>
        </is>
      </c>
      <c r="C57" s="12" t="inlineStr">
        <is>
          <t>2026-09-04 22:30</t>
        </is>
      </c>
      <c r="D57" s="22" t="n">
        <v>1</v>
      </c>
      <c r="E57" s="12" t="inlineStr">
        <is>
          <t>ATS</t>
        </is>
      </c>
      <c r="F57" s="12" t="inlineStr">
        <is>
          <t>SJSU +4.5</t>
        </is>
      </c>
      <c r="G57" s="23" t="n">
        <v>-4.5</v>
      </c>
      <c r="H57" s="13" t="n">
        <v>-105</v>
      </c>
      <c r="I57" s="15" t="n">
        <v>0.5253691652874209</v>
      </c>
      <c r="J57" s="15" t="n">
        <v>0.4891657638136511</v>
      </c>
      <c r="K57" s="15" t="n">
        <v>0.5121951219512195</v>
      </c>
      <c r="L57" s="14" t="n">
        <v>0.01317404333620142</v>
      </c>
      <c r="M57" s="14" t="n">
        <v>0.02572075127544082</v>
      </c>
      <c r="N57" s="15" t="n">
        <v>0</v>
      </c>
      <c r="O57" s="24" t="n">
        <v>0.45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MEM @ UNLV</t>
        </is>
      </c>
      <c r="C58" s="17" t="inlineStr">
        <is>
          <t>2026-08-30 02:00</t>
        </is>
      </c>
      <c r="D58" s="25" t="n">
        <v>1</v>
      </c>
      <c r="E58" s="17" t="inlineStr">
        <is>
          <t>ML</t>
        </is>
      </c>
      <c r="F58" s="17" t="inlineStr">
        <is>
          <t>MEM ML</t>
        </is>
      </c>
      <c r="G58" s="26" t="n"/>
      <c r="H58" s="18" t="n">
        <v>160</v>
      </c>
      <c r="I58" s="20" t="n">
        <v>0.396303332895533</v>
      </c>
      <c r="J58" s="20" t="n">
        <v>0.3690596562184025</v>
      </c>
      <c r="K58" s="20" t="n">
        <v>0.3846153846153846</v>
      </c>
      <c r="L58" s="19" t="n">
        <v>0.01168794828014835</v>
      </c>
      <c r="M58" s="19" t="n">
        <v>0.03038866552838582</v>
      </c>
      <c r="N58" s="20" t="n">
        <v>0</v>
      </c>
      <c r="O58" s="27" t="n">
        <v>0.45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UNC @ TCU</t>
        </is>
      </c>
      <c r="C59" s="12" t="inlineStr">
        <is>
          <t>2026-08-29 16:00</t>
        </is>
      </c>
      <c r="D59" s="22" t="n">
        <v>1</v>
      </c>
      <c r="E59" s="12" t="inlineStr">
        <is>
          <t>TOTAL</t>
        </is>
      </c>
      <c r="F59" s="12" t="inlineStr">
        <is>
          <t>Over 47.5</t>
        </is>
      </c>
      <c r="G59" s="23" t="n">
        <v>47.5</v>
      </c>
      <c r="H59" s="13" t="n">
        <v>-112</v>
      </c>
      <c r="I59" s="15" t="n">
        <v>0.5398532027364953</v>
      </c>
      <c r="J59" s="15" t="n">
        <v>0.5043297540699688</v>
      </c>
      <c r="K59" s="15" t="n">
        <v>0.5283018867924528</v>
      </c>
      <c r="L59" s="14" t="n">
        <v>0.01155131594404246</v>
      </c>
      <c r="M59" s="14" t="n">
        <v>0.02186499089408034</v>
      </c>
      <c r="N59" s="15" t="n">
        <v>0</v>
      </c>
      <c r="O59" s="24" t="n">
        <v>0.45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JVST @ NDSU</t>
        </is>
      </c>
      <c r="C60" s="17" t="inlineStr">
        <is>
          <t>2026-08-29 21:30</t>
        </is>
      </c>
      <c r="D60" s="25" t="n">
        <v>1</v>
      </c>
      <c r="E60" s="17" t="inlineStr">
        <is>
          <t>ML</t>
        </is>
      </c>
      <c r="F60" s="17" t="inlineStr">
        <is>
          <t>JVST ML</t>
        </is>
      </c>
      <c r="G60" s="26" t="n"/>
      <c r="H60" s="18" t="n">
        <v>215</v>
      </c>
      <c r="I60" s="20" t="n">
        <v>0.3283150740711329</v>
      </c>
      <c r="J60" s="20" t="n">
        <v>0.3042300479266514</v>
      </c>
      <c r="K60" s="20" t="n">
        <v>0.3174603174603174</v>
      </c>
      <c r="L60" s="19" t="n">
        <v>0.01085475661081547</v>
      </c>
      <c r="M60" s="19" t="n">
        <v>0.03419248332406866</v>
      </c>
      <c r="N60" s="20" t="n">
        <v>0</v>
      </c>
      <c r="O60" s="27" t="n">
        <v>0.45</v>
      </c>
      <c r="P60" s="17" t="inlineStr">
        <is>
          <t>DraftKings</t>
        </is>
      </c>
      <c r="Q60" s="17" t="n"/>
    </row>
    <row r="61">
      <c r="A61" s="12" t="inlineStr">
        <is>
          <t>PASS</t>
        </is>
      </c>
      <c r="B61" s="12" t="inlineStr">
        <is>
          <t>MEM @ UNLV</t>
        </is>
      </c>
      <c r="C61" s="12" t="inlineStr">
        <is>
          <t>2026-08-30 02:00</t>
        </is>
      </c>
      <c r="D61" s="22" t="n">
        <v>1</v>
      </c>
      <c r="E61" s="12" t="inlineStr">
        <is>
          <t>TOTAL</t>
        </is>
      </c>
      <c r="F61" s="12" t="inlineStr">
        <is>
          <t>Over 56.5</t>
        </is>
      </c>
      <c r="G61" s="23" t="n">
        <v>56.5</v>
      </c>
      <c r="H61" s="13" t="n">
        <v>-110</v>
      </c>
      <c r="I61" s="15" t="n">
        <v>0.5298211850615678</v>
      </c>
      <c r="J61" s="15" t="n">
        <v>0.5</v>
      </c>
      <c r="K61" s="15" t="n">
        <v>0.5238095238095238</v>
      </c>
      <c r="L61" s="14" t="n">
        <v>0.006011661252043998</v>
      </c>
      <c r="M61" s="14" t="n">
        <v>0.01147680784481137</v>
      </c>
      <c r="N61" s="15" t="n">
        <v>0</v>
      </c>
      <c r="O61" s="24" t="n">
        <v>0.45</v>
      </c>
      <c r="P61" s="12" t="inlineStr">
        <is>
          <t>DraftKings</t>
        </is>
      </c>
      <c r="Q61" s="12" t="n"/>
    </row>
    <row r="62">
      <c r="A62" s="17" t="inlineStr">
        <is>
          <t>PASS</t>
        </is>
      </c>
      <c r="B62" s="17" t="inlineStr">
        <is>
          <t>NCSU @ UVA</t>
        </is>
      </c>
      <c r="C62" s="17" t="inlineStr">
        <is>
          <t>2026-08-29 19:30</t>
        </is>
      </c>
      <c r="D62" s="25" t="n">
        <v>1</v>
      </c>
      <c r="E62" s="17" t="inlineStr">
        <is>
          <t>TOTAL</t>
        </is>
      </c>
      <c r="F62" s="17" t="inlineStr">
        <is>
          <t>Over 53.5</t>
        </is>
      </c>
      <c r="G62" s="26" t="n">
        <v>53.5</v>
      </c>
      <c r="H62" s="18" t="n">
        <v>-105</v>
      </c>
      <c r="I62" s="20" t="n">
        <v>0.5145050826711687</v>
      </c>
      <c r="J62" s="20" t="n">
        <v>0.4891657638136511</v>
      </c>
      <c r="K62" s="20" t="n">
        <v>0.5121951219512195</v>
      </c>
      <c r="L62" s="19" t="n">
        <v>0.002309960719949156</v>
      </c>
      <c r="M62" s="19" t="n">
        <v>0.004509923310376918</v>
      </c>
      <c r="N62" s="20" t="n">
        <v>0</v>
      </c>
      <c r="O62" s="27" t="n">
        <v>0.45</v>
      </c>
      <c r="P62" s="17" t="inlineStr">
        <is>
          <t>DraftKings</t>
        </is>
      </c>
      <c r="Q62" s="17" t="n"/>
    </row>
    <row r="63">
      <c r="A63" s="12" t="inlineStr">
        <is>
          <t>PASS</t>
        </is>
      </c>
      <c r="B63" s="12" t="inlineStr">
        <is>
          <t>IDHO @ UTAH</t>
        </is>
      </c>
      <c r="C63" s="12" t="inlineStr">
        <is>
          <t>2026-09-04 01:00</t>
        </is>
      </c>
      <c r="D63" s="22" t="n">
        <v>1</v>
      </c>
      <c r="E63" s="12" t="inlineStr">
        <is>
          <t>TOTAL</t>
        </is>
      </c>
      <c r="F63" s="12" t="inlineStr">
        <is>
          <t>Over 56.5</t>
        </is>
      </c>
      <c r="G63" s="23" t="n">
        <v>56.5</v>
      </c>
      <c r="H63" s="13" t="n">
        <v>-112</v>
      </c>
      <c r="I63" s="15" t="n">
        <v>0.5300114125243041</v>
      </c>
      <c r="J63" s="15" t="n">
        <v>0.5043297540699688</v>
      </c>
      <c r="K63" s="15" t="n">
        <v>0.5283018867924528</v>
      </c>
      <c r="L63" s="14" t="n">
        <v>0.001709525731851236</v>
      </c>
      <c r="M63" s="14" t="n">
        <v>0.003235887992432629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IDHO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UAB @ ILL</t>
        </is>
      </c>
      <c r="C64" s="17" t="inlineStr">
        <is>
          <t>2026-09-04 01:00</t>
        </is>
      </c>
      <c r="D64" s="25" t="n">
        <v>1</v>
      </c>
      <c r="E64" s="17" t="inlineStr">
        <is>
          <t>TOTAL</t>
        </is>
      </c>
      <c r="F64" s="17" t="inlineStr">
        <is>
          <t>Over 56.5</t>
        </is>
      </c>
      <c r="G64" s="26" t="n">
        <v>56.5</v>
      </c>
      <c r="H64" s="18" t="n">
        <v>-108</v>
      </c>
      <c r="I64" s="20" t="n">
        <v>0.5177573195518956</v>
      </c>
      <c r="J64" s="20" t="n">
        <v>0.4956702459300312</v>
      </c>
      <c r="K64" s="20" t="n">
        <v>0.5192307692307693</v>
      </c>
      <c r="L64" s="19" t="n">
        <v>-0.00147344967887364</v>
      </c>
      <c r="M64" s="19" t="n">
        <v>-0.00283775493708982</v>
      </c>
      <c r="N64" s="20" t="n">
        <v>0</v>
      </c>
      <c r="O64" s="27" t="n">
        <v>0.45</v>
      </c>
      <c r="P64" s="17" t="inlineStr">
        <is>
          <t>DraftKings</t>
        </is>
      </c>
      <c r="Q64" s="17" t="n"/>
    </row>
    <row r="65">
      <c r="A65" s="12" t="inlineStr">
        <is>
          <t>PASS</t>
        </is>
      </c>
      <c r="B65" s="12" t="inlineStr">
        <is>
          <t>INST @ PUR</t>
        </is>
      </c>
      <c r="C65" s="12" t="inlineStr">
        <is>
          <t>2026-09-04 23:00</t>
        </is>
      </c>
      <c r="D65" s="22" t="n">
        <v>1</v>
      </c>
      <c r="E65" s="12" t="inlineStr">
        <is>
          <t>TOTAL</t>
        </is>
      </c>
      <c r="F65" s="12" t="inlineStr">
        <is>
          <t>Under 56.5</t>
        </is>
      </c>
      <c r="G65" s="23" t="n">
        <v>56.5</v>
      </c>
      <c r="H65" s="13" t="n">
        <v>-110</v>
      </c>
      <c r="I65" s="15" t="n">
        <v>0.5079800413890019</v>
      </c>
      <c r="J65" s="15" t="n">
        <v>0.5</v>
      </c>
      <c r="K65" s="15" t="n">
        <v>0.5238095238095238</v>
      </c>
      <c r="L65" s="14" t="n">
        <v>-0.01582948242052196</v>
      </c>
      <c r="M65" s="14" t="n">
        <v>-0.03021992098463272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INST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TOTAL</t>
        </is>
      </c>
      <c r="F66" s="17" t="inlineStr">
        <is>
          <t>Over 56.5</t>
        </is>
      </c>
      <c r="G66" s="26" t="n">
        <v>56.5</v>
      </c>
      <c r="H66" s="18" t="n">
        <v>-110</v>
      </c>
      <c r="I66" s="20" t="n">
        <v>0.4920199586109981</v>
      </c>
      <c r="J66" s="20" t="n">
        <v>0.5</v>
      </c>
      <c r="K66" s="20" t="n">
        <v>0.5238095238095238</v>
      </c>
      <c r="L66" s="19" t="n">
        <v>-0.03178956519852572</v>
      </c>
      <c r="M66" s="19" t="n">
        <v>-0.06068916992445811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UAB @ ILL</t>
        </is>
      </c>
      <c r="C67" s="12" t="inlineStr">
        <is>
          <t>2026-09-04 01:00</t>
        </is>
      </c>
      <c r="D67" s="22" t="n">
        <v>1</v>
      </c>
      <c r="E67" s="12" t="inlineStr">
        <is>
          <t>TOTAL</t>
        </is>
      </c>
      <c r="F67" s="12" t="inlineStr">
        <is>
          <t>Under 56.5</t>
        </is>
      </c>
      <c r="G67" s="23" t="n">
        <v>56.5</v>
      </c>
      <c r="H67" s="13" t="n">
        <v>-112</v>
      </c>
      <c r="I67" s="15" t="n">
        <v>0.4822426804481044</v>
      </c>
      <c r="J67" s="15" t="n">
        <v>0.5043297540699688</v>
      </c>
      <c r="K67" s="15" t="n">
        <v>0.5283018867924528</v>
      </c>
      <c r="L67" s="14" t="n">
        <v>-0.04605920634434846</v>
      </c>
      <c r="M67" s="14" t="n">
        <v>-0.08718349772323103</v>
      </c>
      <c r="N67" s="15" t="n">
        <v>0</v>
      </c>
      <c r="O67" s="24" t="n">
        <v>0.45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IDHO @ UTAH</t>
        </is>
      </c>
      <c r="C68" s="17" t="inlineStr">
        <is>
          <t>2026-09-04 01:00</t>
        </is>
      </c>
      <c r="D68" s="25" t="n">
        <v>1</v>
      </c>
      <c r="E68" s="17" t="inlineStr">
        <is>
          <t>TOTAL</t>
        </is>
      </c>
      <c r="F68" s="17" t="inlineStr">
        <is>
          <t>Under 56.5</t>
        </is>
      </c>
      <c r="G68" s="26" t="n">
        <v>56.5</v>
      </c>
      <c r="H68" s="18" t="n">
        <v>-108</v>
      </c>
      <c r="I68" s="20" t="n">
        <v>0.4699885874756959</v>
      </c>
      <c r="J68" s="20" t="n">
        <v>0.4956702459300312</v>
      </c>
      <c r="K68" s="20" t="n">
        <v>0.5192307692307693</v>
      </c>
      <c r="L68" s="19" t="n">
        <v>-0.04924218175507333</v>
      </c>
      <c r="M68" s="19" t="n">
        <v>-0.09483679449125221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IDHO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NCSU @ UVA</t>
        </is>
      </c>
      <c r="C69" s="12" t="inlineStr">
        <is>
          <t>2026-08-29 19:30</t>
        </is>
      </c>
      <c r="D69" s="22" t="n">
        <v>1</v>
      </c>
      <c r="E69" s="12" t="inlineStr">
        <is>
          <t>TOTAL</t>
        </is>
      </c>
      <c r="F69" s="12" t="inlineStr">
        <is>
          <t>Under 53.5</t>
        </is>
      </c>
      <c r="G69" s="23" t="n">
        <v>53.5</v>
      </c>
      <c r="H69" s="13" t="n">
        <v>-115</v>
      </c>
      <c r="I69" s="15" t="n">
        <v>0.4854949173288313</v>
      </c>
      <c r="J69" s="15" t="n">
        <v>0.5108342361863488</v>
      </c>
      <c r="K69" s="15" t="n">
        <v>0.5348837209302325</v>
      </c>
      <c r="L69" s="14" t="n">
        <v>-0.04938880360140119</v>
      </c>
      <c r="M69" s="14" t="n">
        <v>-0.09233558934175018</v>
      </c>
      <c r="N69" s="15" t="n">
        <v>0</v>
      </c>
      <c r="O69" s="24" t="n">
        <v>0.45</v>
      </c>
      <c r="P69" s="12" t="inlineStr">
        <is>
          <t>DraftKings</t>
        </is>
      </c>
      <c r="Q69" s="12" t="n"/>
    </row>
    <row r="70">
      <c r="A70" s="17" t="inlineStr">
        <is>
          <t>PASS</t>
        </is>
      </c>
      <c r="B70" s="17" t="inlineStr">
        <is>
          <t>MEM @ UNLV</t>
        </is>
      </c>
      <c r="C70" s="17" t="inlineStr">
        <is>
          <t>2026-08-30 02:00</t>
        </is>
      </c>
      <c r="D70" s="25" t="n">
        <v>1</v>
      </c>
      <c r="E70" s="17" t="inlineStr">
        <is>
          <t>TOTAL</t>
        </is>
      </c>
      <c r="F70" s="17" t="inlineStr">
        <is>
          <t>Under 56.5</t>
        </is>
      </c>
      <c r="G70" s="26" t="n">
        <v>56.5</v>
      </c>
      <c r="H70" s="18" t="n">
        <v>-110</v>
      </c>
      <c r="I70" s="20" t="n">
        <v>0.4701788149384322</v>
      </c>
      <c r="J70" s="20" t="n">
        <v>0.5</v>
      </c>
      <c r="K70" s="20" t="n">
        <v>0.5238095238095238</v>
      </c>
      <c r="L70" s="19" t="n">
        <v>-0.05363070887109167</v>
      </c>
      <c r="M70" s="19" t="n">
        <v>-0.1023858987539022</v>
      </c>
      <c r="N70" s="20" t="n">
        <v>0</v>
      </c>
      <c r="O70" s="27" t="n">
        <v>0.45</v>
      </c>
      <c r="P70" s="17" t="inlineStr">
        <is>
          <t>DraftKings</t>
        </is>
      </c>
      <c r="Q70" s="17" t="n"/>
    </row>
    <row r="71">
      <c r="A71" s="12" t="inlineStr">
        <is>
          <t>PASS</t>
        </is>
      </c>
      <c r="B71" s="12" t="inlineStr">
        <is>
          <t>MEM @ UNLV</t>
        </is>
      </c>
      <c r="C71" s="12" t="inlineStr">
        <is>
          <t>2026-08-30 02:00</t>
        </is>
      </c>
      <c r="D71" s="22" t="n">
        <v>1</v>
      </c>
      <c r="E71" s="12" t="inlineStr">
        <is>
          <t>ML</t>
        </is>
      </c>
      <c r="F71" s="12" t="inlineStr">
        <is>
          <t>UNLV ML</t>
        </is>
      </c>
      <c r="G71" s="23" t="n"/>
      <c r="H71" s="13" t="n">
        <v>-192</v>
      </c>
      <c r="I71" s="15" t="n">
        <v>0.603696667104467</v>
      </c>
      <c r="J71" s="15" t="n">
        <v>0.6309403437815976</v>
      </c>
      <c r="K71" s="15" t="n">
        <v>0.6575342465753424</v>
      </c>
      <c r="L71" s="14" t="n">
        <v>-0.05383757947087542</v>
      </c>
      <c r="M71" s="14" t="n">
        <v>-0.08187798544528968</v>
      </c>
      <c r="N71" s="15" t="n">
        <v>0</v>
      </c>
      <c r="O71" s="24" t="n">
        <v>0.45</v>
      </c>
      <c r="P71" s="12" t="inlineStr">
        <is>
          <t>DraftKings</t>
        </is>
      </c>
      <c r="Q71" s="12" t="n"/>
    </row>
    <row r="72">
      <c r="A72" s="17" t="inlineStr">
        <is>
          <t>PASS</t>
        </is>
      </c>
      <c r="B72" s="17" t="inlineStr">
        <is>
          <t>JVST @ NDSU</t>
        </is>
      </c>
      <c r="C72" s="17" t="inlineStr">
        <is>
          <t>2026-08-29 21:30</t>
        </is>
      </c>
      <c r="D72" s="25" t="n">
        <v>1</v>
      </c>
      <c r="E72" s="17" t="inlineStr">
        <is>
          <t>ML</t>
        </is>
      </c>
      <c r="F72" s="17" t="inlineStr">
        <is>
          <t>NDSU ML</t>
        </is>
      </c>
      <c r="G72" s="26" t="n"/>
      <c r="H72" s="18" t="n">
        <v>-265</v>
      </c>
      <c r="I72" s="20" t="n">
        <v>0.6716849259288671</v>
      </c>
      <c r="J72" s="20" t="n">
        <v>0.6957699520733487</v>
      </c>
      <c r="K72" s="20" t="n">
        <v>0.726027397260274</v>
      </c>
      <c r="L72" s="19" t="n">
        <v>-0.05434247133140691</v>
      </c>
      <c r="M72" s="19" t="n">
        <v>-0.07484906428665483</v>
      </c>
      <c r="N72" s="20" t="n">
        <v>0</v>
      </c>
      <c r="O72" s="27" t="n">
        <v>0.45</v>
      </c>
      <c r="P72" s="17" t="inlineStr">
        <is>
          <t>DraftKings</t>
        </is>
      </c>
      <c r="Q72" s="17" t="n"/>
    </row>
    <row r="73">
      <c r="A73" s="12" t="inlineStr">
        <is>
          <t>PASS</t>
        </is>
      </c>
      <c r="B73" s="12" t="inlineStr">
        <is>
          <t>COLO @ GT</t>
        </is>
      </c>
      <c r="C73" s="12" t="inlineStr">
        <is>
          <t>2026-09-04 00:00</t>
        </is>
      </c>
      <c r="D73" s="22" t="n">
        <v>1</v>
      </c>
      <c r="E73" s="12" t="inlineStr">
        <is>
          <t>ML</t>
        </is>
      </c>
      <c r="F73" s="12" t="inlineStr">
        <is>
          <t>GT ML</t>
        </is>
      </c>
      <c r="G73" s="23" t="n"/>
      <c r="H73" s="13" t="n">
        <v>-250</v>
      </c>
      <c r="I73" s="15" t="n">
        <v>0.6553460060160052</v>
      </c>
      <c r="J73" s="15" t="n">
        <v>0.6853932584269663</v>
      </c>
      <c r="K73" s="15" t="n">
        <v>0.7142857142857143</v>
      </c>
      <c r="L73" s="14" t="n">
        <v>-0.05893970826970907</v>
      </c>
      <c r="M73" s="14" t="n">
        <v>-0.08251559157759275</v>
      </c>
      <c r="N73" s="15" t="n">
        <v>0</v>
      </c>
      <c r="O73" s="24" t="n">
        <v>0.45</v>
      </c>
      <c r="P73" s="12" t="inlineStr">
        <is>
          <t>DraftKings</t>
        </is>
      </c>
      <c r="Q73" s="12" t="n"/>
    </row>
    <row r="74">
      <c r="A74" s="17" t="inlineStr">
        <is>
          <t>PASS</t>
        </is>
      </c>
      <c r="B74" s="17" t="inlineStr">
        <is>
          <t>UNC @ TCU</t>
        </is>
      </c>
      <c r="C74" s="17" t="inlineStr">
        <is>
          <t>2026-08-29 16:00</t>
        </is>
      </c>
      <c r="D74" s="25" t="n">
        <v>1</v>
      </c>
      <c r="E74" s="17" t="inlineStr">
        <is>
          <t>TOTAL</t>
        </is>
      </c>
      <c r="F74" s="17" t="inlineStr">
        <is>
          <t>Under 47.5</t>
        </is>
      </c>
      <c r="G74" s="26" t="n">
        <v>47.5</v>
      </c>
      <c r="H74" s="18" t="n">
        <v>-108</v>
      </c>
      <c r="I74" s="20" t="n">
        <v>0.4601467972635047</v>
      </c>
      <c r="J74" s="20" t="n">
        <v>0.4956702459300312</v>
      </c>
      <c r="K74" s="20" t="n">
        <v>0.5192307692307693</v>
      </c>
      <c r="L74" s="19" t="n">
        <v>-0.05908397196726456</v>
      </c>
      <c r="M74" s="19" t="n">
        <v>-0.1137913534184353</v>
      </c>
      <c r="N74" s="20" t="n">
        <v>0</v>
      </c>
      <c r="O74" s="27" t="n">
        <v>0.45</v>
      </c>
      <c r="P74" s="17" t="inlineStr">
        <is>
          <t>DraftKings</t>
        </is>
      </c>
      <c r="Q74" s="17" t="n"/>
    </row>
    <row r="75">
      <c r="A75" s="12" t="inlineStr">
        <is>
          <t>PASS</t>
        </is>
      </c>
      <c r="B75" s="12" t="inlineStr">
        <is>
          <t>SJSU @ EMU</t>
        </is>
      </c>
      <c r="C75" s="12" t="inlineStr">
        <is>
          <t>2026-09-04 22:30</t>
        </is>
      </c>
      <c r="D75" s="22" t="n">
        <v>1</v>
      </c>
      <c r="E75" s="12" t="inlineStr">
        <is>
          <t>ML</t>
        </is>
      </c>
      <c r="F75" s="12" t="inlineStr">
        <is>
          <t>EMU ML</t>
        </is>
      </c>
      <c r="G75" s="23" t="n"/>
      <c r="H75" s="13" t="n">
        <v>-218</v>
      </c>
      <c r="I75" s="15" t="n">
        <v>0.6258400393716101</v>
      </c>
      <c r="J75" s="15" t="n">
        <v>0.6574752261956054</v>
      </c>
      <c r="K75" s="15" t="n">
        <v>0.6855345911949685</v>
      </c>
      <c r="L75" s="14" t="n">
        <v>-0.05969455182335837</v>
      </c>
      <c r="M75" s="14" t="n">
        <v>-0.08707737376067881</v>
      </c>
      <c r="N75" s="15" t="n">
        <v>0</v>
      </c>
      <c r="O75" s="24" t="n">
        <v>0.45</v>
      </c>
      <c r="P75" s="12" t="inlineStr">
        <is>
          <t>DraftKings</t>
        </is>
      </c>
      <c r="Q75" s="12" t="n"/>
    </row>
    <row r="76">
      <c r="A76" s="17" t="inlineStr">
        <is>
          <t>PASS</t>
        </is>
      </c>
      <c r="B76" s="17" t="inlineStr">
        <is>
          <t>NCSU @ UVA</t>
        </is>
      </c>
      <c r="C76" s="17" t="inlineStr">
        <is>
          <t>2026-08-29 19:30</t>
        </is>
      </c>
      <c r="D76" s="25" t="n">
        <v>1</v>
      </c>
      <c r="E76" s="17" t="inlineStr">
        <is>
          <t>ML</t>
        </is>
      </c>
      <c r="F76" s="17" t="inlineStr">
        <is>
          <t>UVA ML</t>
        </is>
      </c>
      <c r="G76" s="26" t="n"/>
      <c r="H76" s="18" t="n">
        <v>-218</v>
      </c>
      <c r="I76" s="20" t="n">
        <v>0.6254192861725905</v>
      </c>
      <c r="J76" s="20" t="n">
        <v>0.6574752261956054</v>
      </c>
      <c r="K76" s="20" t="n">
        <v>0.6855345911949685</v>
      </c>
      <c r="L76" s="19" t="n">
        <v>-0.06011530502237805</v>
      </c>
      <c r="M76" s="19" t="n">
        <v>-0.08769113301429471</v>
      </c>
      <c r="N76" s="20" t="n">
        <v>0</v>
      </c>
      <c r="O76" s="27" t="n">
        <v>0.45</v>
      </c>
      <c r="P76" s="17" t="inlineStr">
        <is>
          <t>DraftKings</t>
        </is>
      </c>
      <c r="Q76" s="17" t="n"/>
    </row>
    <row r="77">
      <c r="A77" s="12" t="inlineStr">
        <is>
          <t>PASS</t>
        </is>
      </c>
      <c r="B77" s="12" t="inlineStr">
        <is>
          <t>SJSU @ EMU</t>
        </is>
      </c>
      <c r="C77" s="12" t="inlineStr">
        <is>
          <t>2026-09-04 22:30</t>
        </is>
      </c>
      <c r="D77" s="22" t="n">
        <v>1</v>
      </c>
      <c r="E77" s="12" t="inlineStr">
        <is>
          <t>ATS</t>
        </is>
      </c>
      <c r="F77" s="12" t="inlineStr">
        <is>
          <t>EMU -4.5</t>
        </is>
      </c>
      <c r="G77" s="23" t="n">
        <v>-4.5</v>
      </c>
      <c r="H77" s="13" t="n">
        <v>-115</v>
      </c>
      <c r="I77" s="15" t="n">
        <v>0.4746308347125791</v>
      </c>
      <c r="J77" s="15" t="n">
        <v>0.5108342361863488</v>
      </c>
      <c r="K77" s="15" t="n">
        <v>0.5348837209302325</v>
      </c>
      <c r="L77" s="14" t="n">
        <v>-0.06025288621765346</v>
      </c>
      <c r="M77" s="14" t="n">
        <v>-0.112646700319961</v>
      </c>
      <c r="N77" s="15" t="n">
        <v>0</v>
      </c>
      <c r="O77" s="24" t="n">
        <v>0.45</v>
      </c>
      <c r="P77" s="12" t="inlineStr">
        <is>
          <t>DraftKings</t>
        </is>
      </c>
      <c r="Q77" s="12" t="n"/>
    </row>
    <row r="78">
      <c r="A78" s="17" t="inlineStr">
        <is>
          <t>PASS</t>
        </is>
      </c>
      <c r="B78" s="17" t="inlineStr">
        <is>
          <t>JVST @ NDSU</t>
        </is>
      </c>
      <c r="C78" s="17" t="inlineStr">
        <is>
          <t>2026-08-29 21:30</t>
        </is>
      </c>
      <c r="D78" s="25" t="n">
        <v>1</v>
      </c>
      <c r="E78" s="17" t="inlineStr">
        <is>
          <t>ATS</t>
        </is>
      </c>
      <c r="F78" s="17" t="inlineStr">
        <is>
          <t>NDSU -7</t>
        </is>
      </c>
      <c r="G78" s="26" t="n">
        <v>-7</v>
      </c>
      <c r="H78" s="18" t="n">
        <v>-105</v>
      </c>
      <c r="I78" s="20" t="n">
        <v>0.4500144681504686</v>
      </c>
      <c r="J78" s="20" t="n">
        <v>0.4891657638136511</v>
      </c>
      <c r="K78" s="20" t="n">
        <v>0.5121951219512195</v>
      </c>
      <c r="L78" s="19" t="n">
        <v>-0.06218065380075088</v>
      </c>
      <c r="M78" s="19" t="n">
        <v>-0.1152697169483107</v>
      </c>
      <c r="N78" s="20" t="n">
        <v>0.0505</v>
      </c>
      <c r="O78" s="27" t="n">
        <v>0.45</v>
      </c>
      <c r="P78" s="17" t="inlineStr">
        <is>
          <t>DraftKings</t>
        </is>
      </c>
      <c r="Q78" s="17" t="n"/>
    </row>
    <row r="79">
      <c r="A79" s="12" t="inlineStr">
        <is>
          <t>PASS</t>
        </is>
      </c>
      <c r="B79" s="12" t="inlineStr">
        <is>
          <t>MEM @ UNLV</t>
        </is>
      </c>
      <c r="C79" s="12" t="inlineStr">
        <is>
          <t>2026-08-30 02:00</t>
        </is>
      </c>
      <c r="D79" s="22" t="n">
        <v>1</v>
      </c>
      <c r="E79" s="12" t="inlineStr">
        <is>
          <t>ATS</t>
        </is>
      </c>
      <c r="F79" s="12" t="inlineStr">
        <is>
          <t>UNLV -4.5</t>
        </is>
      </c>
      <c r="G79" s="23" t="n">
        <v>-4.5</v>
      </c>
      <c r="H79" s="13" t="n">
        <v>-110</v>
      </c>
      <c r="I79" s="15" t="n">
        <v>0.4602919864252407</v>
      </c>
      <c r="J79" s="15" t="n">
        <v>0.5</v>
      </c>
      <c r="K79" s="15" t="n">
        <v>0.5238095238095238</v>
      </c>
      <c r="L79" s="14" t="n">
        <v>-0.06351753738428317</v>
      </c>
      <c r="M79" s="14" t="n">
        <v>-0.1212607531881769</v>
      </c>
      <c r="N79" s="15" t="n">
        <v>0</v>
      </c>
      <c r="O79" s="24" t="n">
        <v>0.45</v>
      </c>
      <c r="P79" s="12" t="inlineStr">
        <is>
          <t>DraftKings</t>
        </is>
      </c>
      <c r="Q79" s="12" t="n"/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TOTAL</t>
        </is>
      </c>
      <c r="F80" s="17" t="inlineStr">
        <is>
          <t>Under 55.5</t>
        </is>
      </c>
      <c r="G80" s="26" t="n">
        <v>55.5</v>
      </c>
      <c r="H80" s="18" t="n">
        <v>-110</v>
      </c>
      <c r="I80" s="20" t="n">
        <v>0.4583998295404086</v>
      </c>
      <c r="J80" s="20" t="n">
        <v>0.5</v>
      </c>
      <c r="K80" s="20" t="n">
        <v>0.5238095238095238</v>
      </c>
      <c r="L80" s="19" t="n">
        <v>-0.06540969426911525</v>
      </c>
      <c r="M80" s="19" t="n">
        <v>-0.1248730526955836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COLO @ GT</t>
        </is>
      </c>
      <c r="C81" s="12" t="inlineStr">
        <is>
          <t>2026-09-04 00:00</t>
        </is>
      </c>
      <c r="D81" s="22" t="n">
        <v>1</v>
      </c>
      <c r="E81" s="12" t="inlineStr">
        <is>
          <t>ATS</t>
        </is>
      </c>
      <c r="F81" s="12" t="inlineStr">
        <is>
          <t>GT -6.5</t>
        </is>
      </c>
      <c r="G81" s="23" t="n">
        <v>-6.5</v>
      </c>
      <c r="H81" s="13" t="n">
        <v>-115</v>
      </c>
      <c r="I81" s="15" t="n">
        <v>0.4640540647948633</v>
      </c>
      <c r="J81" s="15" t="n">
        <v>0.5108342361863488</v>
      </c>
      <c r="K81" s="15" t="n">
        <v>0.5348837209302325</v>
      </c>
      <c r="L81" s="14" t="n">
        <v>-0.07082965613536918</v>
      </c>
      <c r="M81" s="14" t="n">
        <v>-0.132420661470473</v>
      </c>
      <c r="N81" s="15" t="n">
        <v>0</v>
      </c>
      <c r="O81" s="24" t="n">
        <v>0.45</v>
      </c>
      <c r="P81" s="12" t="inlineStr">
        <is>
          <t>DraftKings</t>
        </is>
      </c>
      <c r="Q81" s="12" t="n"/>
    </row>
    <row r="82">
      <c r="A82" s="17" t="inlineStr">
        <is>
          <t>PASS</t>
        </is>
      </c>
      <c r="B82" s="17" t="inlineStr">
        <is>
          <t>NCSU @ UVA</t>
        </is>
      </c>
      <c r="C82" s="17" t="inlineStr">
        <is>
          <t>2026-08-29 19:30</t>
        </is>
      </c>
      <c r="D82" s="25" t="n">
        <v>1</v>
      </c>
      <c r="E82" s="17" t="inlineStr">
        <is>
          <t>ATS</t>
        </is>
      </c>
      <c r="F82" s="17" t="inlineStr">
        <is>
          <t>UVA -5.5</t>
        </is>
      </c>
      <c r="G82" s="26" t="n">
        <v>-5.5</v>
      </c>
      <c r="H82" s="18" t="n">
        <v>-115</v>
      </c>
      <c r="I82" s="20" t="n">
        <v>0.4619625721787197</v>
      </c>
      <c r="J82" s="20" t="n">
        <v>0.5108342361863488</v>
      </c>
      <c r="K82" s="20" t="n">
        <v>0.5348837209302325</v>
      </c>
      <c r="L82" s="19" t="n">
        <v>-0.07292114875151279</v>
      </c>
      <c r="M82" s="19" t="n">
        <v>-0.1363308433180458</v>
      </c>
      <c r="N82" s="20" t="n">
        <v>0</v>
      </c>
      <c r="O82" s="27" t="n">
        <v>0.45</v>
      </c>
      <c r="P82" s="17" t="inlineStr">
        <is>
          <t>DraftKings</t>
        </is>
      </c>
      <c r="Q82" s="17" t="n"/>
    </row>
    <row r="83">
      <c r="A83" s="12" t="inlineStr">
        <is>
          <t>PASS</t>
        </is>
      </c>
      <c r="B83" s="12" t="inlineStr">
        <is>
          <t>NMSU @ FSU</t>
        </is>
      </c>
      <c r="C83" s="12" t="inlineStr">
        <is>
          <t>2026-08-29 23:00</t>
        </is>
      </c>
      <c r="D83" s="22" t="n">
        <v>1</v>
      </c>
      <c r="E83" s="12" t="inlineStr">
        <is>
          <t>TOTAL</t>
        </is>
      </c>
      <c r="F83" s="12" t="inlineStr">
        <is>
          <t>Under 52.5</t>
        </is>
      </c>
      <c r="G83" s="23" t="n">
        <v>52.5</v>
      </c>
      <c r="H83" s="13" t="n">
        <v>-112</v>
      </c>
      <c r="I83" s="15" t="n">
        <v>0.4527915537323479</v>
      </c>
      <c r="J83" s="15" t="n">
        <v>0.5043297540699688</v>
      </c>
      <c r="K83" s="15" t="n">
        <v>0.5283018867924528</v>
      </c>
      <c r="L83" s="14" t="n">
        <v>-0.07551033306010491</v>
      </c>
      <c r="M83" s="14" t="n">
        <v>-0.1429302732923415</v>
      </c>
      <c r="N83" s="15" t="n">
        <v>0</v>
      </c>
      <c r="O83" s="24" t="n">
        <v>0.45</v>
      </c>
      <c r="P83" s="12" t="inlineStr">
        <is>
          <t>DraftKings</t>
        </is>
      </c>
      <c r="Q83" s="12" t="n"/>
    </row>
    <row r="84">
      <c r="A84" s="17" t="inlineStr">
        <is>
          <t>PASS</t>
        </is>
      </c>
      <c r="B84" s="17" t="inlineStr">
        <is>
          <t>SJSU @ EMU</t>
        </is>
      </c>
      <c r="C84" s="17" t="inlineStr">
        <is>
          <t>2026-09-04 22:30</t>
        </is>
      </c>
      <c r="D84" s="25" t="n">
        <v>1</v>
      </c>
      <c r="E84" s="17" t="inlineStr">
        <is>
          <t>TOTAL</t>
        </is>
      </c>
      <c r="F84" s="17" t="inlineStr">
        <is>
          <t>Under 53.5</t>
        </is>
      </c>
      <c r="G84" s="26" t="n">
        <v>53.5</v>
      </c>
      <c r="H84" s="18" t="n">
        <v>-108</v>
      </c>
      <c r="I84" s="20" t="n">
        <v>0.440766050506836</v>
      </c>
      <c r="J84" s="20" t="n">
        <v>0.4956702459300312</v>
      </c>
      <c r="K84" s="20" t="n">
        <v>0.5192307692307693</v>
      </c>
      <c r="L84" s="19" t="n">
        <v>-0.07846471872393324</v>
      </c>
      <c r="M84" s="19" t="n">
        <v>-0.1511172360609083</v>
      </c>
      <c r="N84" s="20" t="n">
        <v>0</v>
      </c>
      <c r="O84" s="27" t="n">
        <v>0.45</v>
      </c>
      <c r="P84" s="17" t="inlineStr">
        <is>
          <t>DraftKings</t>
        </is>
      </c>
      <c r="Q84" s="17" t="n"/>
    </row>
    <row r="85">
      <c r="A85" s="12" t="inlineStr">
        <is>
          <t>PASS</t>
        </is>
      </c>
      <c r="B85" s="12" t="inlineStr">
        <is>
          <t>HAW @ STAN</t>
        </is>
      </c>
      <c r="C85" s="12" t="inlineStr">
        <is>
          <t>2026-08-29 23:00</t>
        </is>
      </c>
      <c r="D85" s="22" t="n">
        <v>1</v>
      </c>
      <c r="E85" s="12" t="inlineStr">
        <is>
          <t>ML</t>
        </is>
      </c>
      <c r="F85" s="12" t="inlineStr">
        <is>
          <t>STAN ML</t>
        </is>
      </c>
      <c r="G85" s="23" t="n"/>
      <c r="H85" s="13" t="n">
        <v>-185</v>
      </c>
      <c r="I85" s="15" t="n">
        <v>0.5680001569263282</v>
      </c>
      <c r="J85" s="15" t="n">
        <v>0.6224665518611737</v>
      </c>
      <c r="K85" s="15" t="n">
        <v>0.6491228070175439</v>
      </c>
      <c r="L85" s="14" t="n">
        <v>-0.08112265009121566</v>
      </c>
      <c r="M85" s="14" t="n">
        <v>-0.1249727312216025</v>
      </c>
      <c r="N85" s="15" t="n">
        <v>0</v>
      </c>
      <c r="O85" s="24" t="n">
        <v>0.45</v>
      </c>
      <c r="P85" s="12" t="inlineStr">
        <is>
          <t>DraftKings</t>
        </is>
      </c>
      <c r="Q85" s="12" t="n"/>
    </row>
    <row r="86">
      <c r="A86" s="17" t="inlineStr">
        <is>
          <t>PASS</t>
        </is>
      </c>
      <c r="B86" s="17" t="inlineStr">
        <is>
          <t>HAW @ STAN</t>
        </is>
      </c>
      <c r="C86" s="17" t="inlineStr">
        <is>
          <t>2026-08-29 23:00</t>
        </is>
      </c>
      <c r="D86" s="25" t="n">
        <v>1</v>
      </c>
      <c r="E86" s="17" t="inlineStr">
        <is>
          <t>ATS</t>
        </is>
      </c>
      <c r="F86" s="17" t="inlineStr">
        <is>
          <t>STAN -4</t>
        </is>
      </c>
      <c r="G86" s="26" t="n">
        <v>-4</v>
      </c>
      <c r="H86" s="18" t="n">
        <v>-105</v>
      </c>
      <c r="I86" s="20" t="n">
        <v>0.4300816777929419</v>
      </c>
      <c r="J86" s="20" t="n">
        <v>0.4891657638136511</v>
      </c>
      <c r="K86" s="20" t="n">
        <v>0.5121951219512195</v>
      </c>
      <c r="L86" s="19" t="n">
        <v>-0.08211344415827765</v>
      </c>
      <c r="M86" s="19" t="n">
        <v>-0.1555115377793785</v>
      </c>
      <c r="N86" s="20" t="n">
        <v>0.03</v>
      </c>
      <c r="O86" s="27" t="n">
        <v>0.45</v>
      </c>
      <c r="P86" s="17" t="inlineStr">
        <is>
          <t>DraftKings</t>
        </is>
      </c>
      <c r="Q86" s="17" t="n"/>
    </row>
    <row r="87">
      <c r="A87" s="12" t="inlineStr">
        <is>
          <t>PASS</t>
        </is>
      </c>
      <c r="B87" s="12" t="inlineStr">
        <is>
          <t>SJSU @ USC</t>
        </is>
      </c>
      <c r="C87" s="12" t="inlineStr">
        <is>
          <t>2026-08-29 19:00</t>
        </is>
      </c>
      <c r="D87" s="22" t="n">
        <v>1</v>
      </c>
      <c r="E87" s="12" t="inlineStr">
        <is>
          <t>TOTAL</t>
        </is>
      </c>
      <c r="F87" s="12" t="inlineStr">
        <is>
          <t>Over 60.5</t>
        </is>
      </c>
      <c r="G87" s="23" t="n">
        <v>60.5</v>
      </c>
      <c r="H87" s="13" t="n">
        <v>-110</v>
      </c>
      <c r="I87" s="15" t="n">
        <v>0.4372167932432138</v>
      </c>
      <c r="J87" s="15" t="n">
        <v>0.5</v>
      </c>
      <c r="K87" s="15" t="n">
        <v>0.5238095238095238</v>
      </c>
      <c r="L87" s="14" t="n">
        <v>-0.08659273056631001</v>
      </c>
      <c r="M87" s="14" t="n">
        <v>-0.1653133947175008</v>
      </c>
      <c r="N87" s="15" t="n">
        <v>0</v>
      </c>
      <c r="O87" s="24" t="n">
        <v>0.45</v>
      </c>
      <c r="P87" s="12" t="inlineStr">
        <is>
          <t>DraftKings</t>
        </is>
      </c>
      <c r="Q87" s="12" t="n"/>
    </row>
    <row r="88">
      <c r="A88" s="17" t="inlineStr">
        <is>
          <t>PASS</t>
        </is>
      </c>
      <c r="B88" s="17" t="inlineStr">
        <is>
          <t>EIU @ MINN</t>
        </is>
      </c>
      <c r="C88" s="17" t="inlineStr">
        <is>
          <t>2026-09-04 00:00</t>
        </is>
      </c>
      <c r="D88" s="25" t="n">
        <v>1</v>
      </c>
      <c r="E88" s="17" t="inlineStr">
        <is>
          <t>TOTAL</t>
        </is>
      </c>
      <c r="F88" s="17" t="inlineStr">
        <is>
          <t>Under 51.5</t>
        </is>
      </c>
      <c r="G88" s="26" t="n">
        <v>51.5</v>
      </c>
      <c r="H88" s="18" t="n">
        <v>-110</v>
      </c>
      <c r="I88" s="20" t="n">
        <v>0.4372167873211319</v>
      </c>
      <c r="J88" s="20" t="n">
        <v>0.5</v>
      </c>
      <c r="K88" s="20" t="n">
        <v>0.5238095238095238</v>
      </c>
      <c r="L88" s="19" t="n">
        <v>-0.08659273648839194</v>
      </c>
      <c r="M88" s="19" t="n">
        <v>-0.1653134060232936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EIU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MASS @ RUTG</t>
        </is>
      </c>
      <c r="C89" s="12" t="inlineStr">
        <is>
          <t>2026-09-03 22:00</t>
        </is>
      </c>
      <c r="D89" s="22" t="n">
        <v>1</v>
      </c>
      <c r="E89" s="12" t="inlineStr">
        <is>
          <t>TOTAL</t>
        </is>
      </c>
      <c r="F89" s="12" t="inlineStr">
        <is>
          <t>Under 53.5</t>
        </is>
      </c>
      <c r="G89" s="23" t="n">
        <v>53.5</v>
      </c>
      <c r="H89" s="13" t="n">
        <v>-115</v>
      </c>
      <c r="I89" s="15" t="n">
        <v>0.4313740631692028</v>
      </c>
      <c r="J89" s="15" t="n">
        <v>0.5108342361863488</v>
      </c>
      <c r="K89" s="15" t="n">
        <v>0.5348837209302325</v>
      </c>
      <c r="L89" s="14" t="n">
        <v>-0.1035096577610297</v>
      </c>
      <c r="M89" s="14" t="n">
        <v>-0.1935180558140992</v>
      </c>
      <c r="N89" s="15" t="n">
        <v>0</v>
      </c>
      <c r="O89" s="24" t="n">
        <v>0.45</v>
      </c>
      <c r="P89" s="12" t="inlineStr">
        <is>
          <t>DraftKings</t>
        </is>
      </c>
      <c r="Q89" s="12" t="n"/>
    </row>
    <row r="90">
      <c r="A90" s="17" t="inlineStr">
        <is>
          <t>PASS</t>
        </is>
      </c>
      <c r="B90" s="17" t="inlineStr">
        <is>
          <t>BCU @ UCF</t>
        </is>
      </c>
      <c r="C90" s="17" t="inlineStr">
        <is>
          <t>2026-09-03 23:00</t>
        </is>
      </c>
      <c r="D90" s="25" t="n">
        <v>1</v>
      </c>
      <c r="E90" s="17" t="inlineStr">
        <is>
          <t>TOTAL</t>
        </is>
      </c>
      <c r="F90" s="17" t="inlineStr">
        <is>
          <t>Over 59.5</t>
        </is>
      </c>
      <c r="G90" s="26" t="n">
        <v>59.5</v>
      </c>
      <c r="H90" s="18" t="n">
        <v>-112</v>
      </c>
      <c r="I90" s="20" t="n">
        <v>0.4171159331581163</v>
      </c>
      <c r="J90" s="20" t="n">
        <v>0.5043297540699688</v>
      </c>
      <c r="K90" s="20" t="n">
        <v>0.5283018867924528</v>
      </c>
      <c r="L90" s="19" t="n">
        <v>-0.1111859536343365</v>
      </c>
      <c r="M90" s="19" t="n">
        <v>-0.2104591265221369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BCU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UNC @ TCU</t>
        </is>
      </c>
      <c r="C91" s="12" t="inlineStr">
        <is>
          <t>2026-08-29 16:00</t>
        </is>
      </c>
      <c r="D91" s="22" t="n">
        <v>1</v>
      </c>
      <c r="E91" s="12" t="inlineStr">
        <is>
          <t>ML</t>
        </is>
      </c>
      <c r="F91" s="12" t="inlineStr">
        <is>
          <t>TCU ML</t>
        </is>
      </c>
      <c r="G91" s="23" t="n"/>
      <c r="H91" s="13" t="n">
        <v>-305</v>
      </c>
      <c r="I91" s="15" t="n">
        <v>0.6360343725794315</v>
      </c>
      <c r="J91" s="15" t="n">
        <v>0.7220792588780237</v>
      </c>
      <c r="K91" s="15" t="n">
        <v>0.7530864197530864</v>
      </c>
      <c r="L91" s="14" t="n">
        <v>-0.1170520471736549</v>
      </c>
      <c r="M91" s="14" t="n">
        <v>-0.1554297675584598</v>
      </c>
      <c r="N91" s="15" t="n">
        <v>0</v>
      </c>
      <c r="O91" s="24" t="n">
        <v>0.45</v>
      </c>
      <c r="P91" s="12" t="inlineStr">
        <is>
          <t>DraftKings</t>
        </is>
      </c>
      <c r="Q91" s="12" t="n"/>
    </row>
    <row r="92">
      <c r="A92" s="17" t="inlineStr">
        <is>
          <t>PASS</t>
        </is>
      </c>
      <c r="B92" s="17" t="inlineStr">
        <is>
          <t>WES @ KENN</t>
        </is>
      </c>
      <c r="C92" s="17" t="inlineStr">
        <is>
          <t>2026-09-03 23:00</t>
        </is>
      </c>
      <c r="D92" s="25" t="n">
        <v>1</v>
      </c>
      <c r="E92" s="17" t="inlineStr">
        <is>
          <t>TOTAL</t>
        </is>
      </c>
      <c r="F92" s="17" t="inlineStr">
        <is>
          <t>Under 51.5</t>
        </is>
      </c>
      <c r="G92" s="26" t="n">
        <v>51.5</v>
      </c>
      <c r="H92" s="18" t="n">
        <v>-108</v>
      </c>
      <c r="I92" s="20" t="n">
        <v>0.3985632314558849</v>
      </c>
      <c r="J92" s="20" t="n">
        <v>0.4956702459300312</v>
      </c>
      <c r="K92" s="20" t="n">
        <v>0.5192307692307693</v>
      </c>
      <c r="L92" s="19" t="n">
        <v>-0.1206675377748844</v>
      </c>
      <c r="M92" s="19" t="n">
        <v>-0.2323967394182957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WES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COLO @ GT</t>
        </is>
      </c>
      <c r="C93" s="12" t="inlineStr">
        <is>
          <t>2026-09-04 00:00</t>
        </is>
      </c>
      <c r="D93" s="22" t="n">
        <v>1</v>
      </c>
      <c r="E93" s="12" t="inlineStr">
        <is>
          <t>TOTAL</t>
        </is>
      </c>
      <c r="F93" s="12" t="inlineStr">
        <is>
          <t>Under 50.5</t>
        </is>
      </c>
      <c r="G93" s="23" t="n">
        <v>50.5</v>
      </c>
      <c r="H93" s="13" t="n">
        <v>-105</v>
      </c>
      <c r="I93" s="15" t="n">
        <v>0.3867120014398708</v>
      </c>
      <c r="J93" s="15" t="n">
        <v>0.4891657638136511</v>
      </c>
      <c r="K93" s="15" t="n">
        <v>0.5121951219512195</v>
      </c>
      <c r="L93" s="14" t="n">
        <v>-0.1254831205113487</v>
      </c>
      <c r="M93" s="14" t="n">
        <v>-0.2449908543316808</v>
      </c>
      <c r="N93" s="15" t="n">
        <v>0</v>
      </c>
      <c r="O93" s="24" t="n">
        <v>0.45</v>
      </c>
      <c r="P93" s="12" t="inlineStr">
        <is>
          <t>DraftKings</t>
        </is>
      </c>
      <c r="Q93" s="12" t="n"/>
    </row>
    <row r="94">
      <c r="A94" s="17" t="inlineStr">
        <is>
          <t>PASS</t>
        </is>
      </c>
      <c r="B94" s="17" t="inlineStr">
        <is>
          <t>SAC @ EMU</t>
        </is>
      </c>
      <c r="C94" s="17" t="inlineStr">
        <is>
          <t>2026-08-29 22:30</t>
        </is>
      </c>
      <c r="D94" s="25" t="n">
        <v>1</v>
      </c>
      <c r="E94" s="17" t="inlineStr">
        <is>
          <t>TOTAL</t>
        </is>
      </c>
      <c r="F94" s="17" t="inlineStr">
        <is>
          <t>Under 52.5</t>
        </is>
      </c>
      <c r="G94" s="26" t="n">
        <v>52.5</v>
      </c>
      <c r="H94" s="18" t="n">
        <v>-115</v>
      </c>
      <c r="I94" s="20" t="n">
        <v>0.407892734181457</v>
      </c>
      <c r="J94" s="20" t="n">
        <v>0.5108342361863488</v>
      </c>
      <c r="K94" s="20" t="n">
        <v>0.5348837209302325</v>
      </c>
      <c r="L94" s="19" t="n">
        <v>-0.1269909867487755</v>
      </c>
      <c r="M94" s="19" t="n">
        <v>-0.2374179317477109</v>
      </c>
      <c r="N94" s="20" t="n">
        <v>0</v>
      </c>
      <c r="O94" s="27" t="n">
        <v>0.45</v>
      </c>
      <c r="P94" s="17" t="inlineStr">
        <is>
          <t>DraftKings</t>
        </is>
      </c>
      <c r="Q94" s="17" t="n"/>
    </row>
    <row r="95">
      <c r="A95" s="12" t="inlineStr">
        <is>
          <t>PASS</t>
        </is>
      </c>
      <c r="B95" s="12" t="inlineStr">
        <is>
          <t>UAPB @ MIZ</t>
        </is>
      </c>
      <c r="C95" s="12" t="inlineStr">
        <is>
          <t>2026-09-04 00:00</t>
        </is>
      </c>
      <c r="D95" s="22" t="n">
        <v>1</v>
      </c>
      <c r="E95" s="12" t="inlineStr">
        <is>
          <t>TOTAL</t>
        </is>
      </c>
      <c r="F95" s="12" t="inlineStr">
        <is>
          <t>Over 60.5</t>
        </is>
      </c>
      <c r="G95" s="23" t="n">
        <v>60.5</v>
      </c>
      <c r="H95" s="13" t="n">
        <v>-112</v>
      </c>
      <c r="I95" s="15" t="n">
        <v>0.3977053958774506</v>
      </c>
      <c r="J95" s="15" t="n">
        <v>0.5043297540699688</v>
      </c>
      <c r="K95" s="15" t="n">
        <v>0.5283018867924528</v>
      </c>
      <c r="L95" s="14" t="n">
        <v>-0.1305964909150022</v>
      </c>
      <c r="M95" s="14" t="n">
        <v>-0.2472005006605399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UAPB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UNC @ TCU</t>
        </is>
      </c>
      <c r="C96" s="17" t="inlineStr">
        <is>
          <t>2026-08-29 16:00</t>
        </is>
      </c>
      <c r="D96" s="25" t="n">
        <v>1</v>
      </c>
      <c r="E96" s="17" t="inlineStr">
        <is>
          <t>ATS</t>
        </is>
      </c>
      <c r="F96" s="17" t="inlineStr">
        <is>
          <t>TCU -7.5</t>
        </is>
      </c>
      <c r="G96" s="26" t="n">
        <v>-7.5</v>
      </c>
      <c r="H96" s="18" t="n">
        <v>-115</v>
      </c>
      <c r="I96" s="20" t="n">
        <v>0.4039442568628988</v>
      </c>
      <c r="J96" s="20" t="n">
        <v>0.5108342361863488</v>
      </c>
      <c r="K96" s="20" t="n">
        <v>0.5348837209302325</v>
      </c>
      <c r="L96" s="19" t="n">
        <v>-0.1309394640673337</v>
      </c>
      <c r="M96" s="19" t="n">
        <v>-0.2447998676041457</v>
      </c>
      <c r="N96" s="20" t="n">
        <v>0</v>
      </c>
      <c r="O96" s="27" t="n">
        <v>0.45</v>
      </c>
      <c r="P96" s="17" t="inlineStr">
        <is>
          <t>DraftKings</t>
        </is>
      </c>
      <c r="Q96" s="17" t="n"/>
    </row>
    <row r="97">
      <c r="A97" s="12" t="inlineStr">
        <is>
          <t>PASS</t>
        </is>
      </c>
      <c r="B97" s="12" t="inlineStr">
        <is>
          <t>NCAT @ GAST</t>
        </is>
      </c>
      <c r="C97" s="12" t="inlineStr">
        <is>
          <t>2026-09-04 23:00</t>
        </is>
      </c>
      <c r="D97" s="22" t="n">
        <v>1</v>
      </c>
      <c r="E97" s="12" t="inlineStr">
        <is>
          <t>TOTAL</t>
        </is>
      </c>
      <c r="F97" s="12" t="inlineStr">
        <is>
          <t>Over 63.5</t>
        </is>
      </c>
      <c r="G97" s="23" t="n">
        <v>63.5</v>
      </c>
      <c r="H97" s="13" t="n">
        <v>-110</v>
      </c>
      <c r="I97" s="15" t="n">
        <v>0.3904378805908039</v>
      </c>
      <c r="J97" s="15" t="n">
        <v>0.5</v>
      </c>
      <c r="K97" s="15" t="n">
        <v>0.5238095238095238</v>
      </c>
      <c r="L97" s="14" t="n">
        <v>-0.13337164321872</v>
      </c>
      <c r="M97" s="14" t="n">
        <v>-0.2546185915993744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NCAT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AKR @ WAKE</t>
        </is>
      </c>
      <c r="C98" s="17" t="inlineStr">
        <is>
          <t>2026-09-03 23:00</t>
        </is>
      </c>
      <c r="D98" s="25" t="n">
        <v>1</v>
      </c>
      <c r="E98" s="17" t="inlineStr">
        <is>
          <t>TOTAL</t>
        </is>
      </c>
      <c r="F98" s="17" t="inlineStr">
        <is>
          <t>Under 48.5</t>
        </is>
      </c>
      <c r="G98" s="26" t="n">
        <v>48.5</v>
      </c>
      <c r="H98" s="18" t="n">
        <v>-108</v>
      </c>
      <c r="I98" s="20" t="n">
        <v>0.3799657943704541</v>
      </c>
      <c r="J98" s="20" t="n">
        <v>0.4956702459300312</v>
      </c>
      <c r="K98" s="20" t="n">
        <v>0.5192307692307693</v>
      </c>
      <c r="L98" s="19" t="n">
        <v>-0.1392649748603152</v>
      </c>
      <c r="M98" s="19" t="n">
        <v>-0.2682140256569032</v>
      </c>
      <c r="N98" s="20" t="n">
        <v>0</v>
      </c>
      <c r="O98" s="27" t="n">
        <v>0.45</v>
      </c>
      <c r="P98" s="17" t="inlineStr">
        <is>
          <t>DraftKings</t>
        </is>
      </c>
      <c r="Q98" s="17" t="n"/>
    </row>
    <row r="99">
      <c r="A99" s="12" t="inlineStr">
        <is>
          <t>PASS</t>
        </is>
      </c>
      <c r="B99" s="12" t="inlineStr">
        <is>
          <t>HAW @ STAN</t>
        </is>
      </c>
      <c r="C99" s="12" t="inlineStr">
        <is>
          <t>2026-08-29 23:00</t>
        </is>
      </c>
      <c r="D99" s="22" t="n">
        <v>1</v>
      </c>
      <c r="E99" s="12" t="inlineStr">
        <is>
          <t>TOTAL</t>
        </is>
      </c>
      <c r="F99" s="12" t="inlineStr">
        <is>
          <t>Under 48.5</t>
        </is>
      </c>
      <c r="G99" s="23" t="n">
        <v>48.5</v>
      </c>
      <c r="H99" s="13" t="n">
        <v>-110</v>
      </c>
      <c r="I99" s="15" t="n">
        <v>0.3821306714054384</v>
      </c>
      <c r="J99" s="15" t="n">
        <v>0.5</v>
      </c>
      <c r="K99" s="15" t="n">
        <v>0.5238095238095238</v>
      </c>
      <c r="L99" s="14" t="n">
        <v>-0.1416788524040854</v>
      </c>
      <c r="M99" s="14" t="n">
        <v>-0.270477809135072</v>
      </c>
      <c r="N99" s="15" t="n">
        <v>0</v>
      </c>
      <c r="O99" s="24" t="n">
        <v>0.45</v>
      </c>
      <c r="P99" s="12" t="inlineStr">
        <is>
          <t>DraftKings</t>
        </is>
      </c>
      <c r="Q99" s="12" t="n"/>
    </row>
    <row r="100">
      <c r="A100" s="17" t="inlineStr">
        <is>
          <t>PASS</t>
        </is>
      </c>
      <c r="B100" s="17" t="inlineStr">
        <is>
          <t>ALB @ BUFF</t>
        </is>
      </c>
      <c r="C100" s="17" t="inlineStr">
        <is>
          <t>2026-09-03 23:00</t>
        </is>
      </c>
      <c r="D100" s="25" t="n">
        <v>1</v>
      </c>
      <c r="E100" s="17" t="inlineStr">
        <is>
          <t>TOTAL</t>
        </is>
      </c>
      <c r="F100" s="17" t="inlineStr">
        <is>
          <t>Under 48.5</t>
        </is>
      </c>
      <c r="G100" s="26" t="n">
        <v>48.5</v>
      </c>
      <c r="H100" s="18" t="n">
        <v>-112</v>
      </c>
      <c r="I100" s="20" t="n">
        <v>0.3762461039069736</v>
      </c>
      <c r="J100" s="20" t="n">
        <v>0.5043297540699688</v>
      </c>
      <c r="K100" s="20" t="n">
        <v>0.5283018867924528</v>
      </c>
      <c r="L100" s="19" t="n">
        <v>-0.1520557828854793</v>
      </c>
      <c r="M100" s="19" t="n">
        <v>-0.2878198747475144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ALB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SAC @ EMU</t>
        </is>
      </c>
      <c r="C101" s="12" t="inlineStr">
        <is>
          <t>2026-08-29 22:30</t>
        </is>
      </c>
      <c r="D101" s="22" t="n">
        <v>1</v>
      </c>
      <c r="E101" s="12" t="inlineStr">
        <is>
          <t>ML</t>
        </is>
      </c>
      <c r="F101" s="12" t="inlineStr">
        <is>
          <t>EMU ML</t>
        </is>
      </c>
      <c r="G101" s="23" t="n"/>
      <c r="H101" s="13" t="n">
        <v>-380</v>
      </c>
      <c r="I101" s="15" t="n">
        <v>0.6374864603996904</v>
      </c>
      <c r="J101" s="15" t="n">
        <v>0.7600000000000001</v>
      </c>
      <c r="K101" s="15" t="n">
        <v>0.7916666666666666</v>
      </c>
      <c r="L101" s="14" t="n">
        <v>-0.1541802062669763</v>
      </c>
      <c r="M101" s="14" t="n">
        <v>-0.1947539447582859</v>
      </c>
      <c r="N101" s="15" t="n">
        <v>0</v>
      </c>
      <c r="O101" s="24" t="n">
        <v>0.45</v>
      </c>
      <c r="P101" s="12" t="inlineStr">
        <is>
          <t>DraftKings</t>
        </is>
      </c>
      <c r="Q101" s="12" t="n"/>
    </row>
    <row r="102">
      <c r="A102" s="17" t="inlineStr">
        <is>
          <t>PASS</t>
        </is>
      </c>
      <c r="B102" s="17" t="inlineStr">
        <is>
          <t>SAC @ EMU</t>
        </is>
      </c>
      <c r="C102" s="17" t="inlineStr">
        <is>
          <t>2026-08-29 22:30</t>
        </is>
      </c>
      <c r="D102" s="25" t="n">
        <v>1</v>
      </c>
      <c r="E102" s="17" t="inlineStr">
        <is>
          <t>ATS</t>
        </is>
      </c>
      <c r="F102" s="17" t="inlineStr">
        <is>
          <t>EMU -10</t>
        </is>
      </c>
      <c r="G102" s="26" t="n">
        <v>-10</v>
      </c>
      <c r="H102" s="18" t="n">
        <v>-108</v>
      </c>
      <c r="I102" s="20" t="n">
        <v>0.3482265136229183</v>
      </c>
      <c r="J102" s="20" t="n">
        <v>0.4956702459300312</v>
      </c>
      <c r="K102" s="20" t="n">
        <v>0.5192307692307693</v>
      </c>
      <c r="L102" s="19" t="n">
        <v>-0.171004255607851</v>
      </c>
      <c r="M102" s="19" t="n">
        <v>-0.3192007316465091</v>
      </c>
      <c r="N102" s="20" t="n">
        <v>0.0308</v>
      </c>
      <c r="O102" s="27" t="n">
        <v>0.45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JVST @ NDSU</t>
        </is>
      </c>
      <c r="C103" s="12" t="inlineStr">
        <is>
          <t>2026-08-29 21:30</t>
        </is>
      </c>
      <c r="D103" s="22" t="n">
        <v>1</v>
      </c>
      <c r="E103" s="12" t="inlineStr">
        <is>
          <t>TOTAL</t>
        </is>
      </c>
      <c r="F103" s="12" t="inlineStr">
        <is>
          <t>Under 46.5</t>
        </is>
      </c>
      <c r="G103" s="23" t="n">
        <v>46.5</v>
      </c>
      <c r="H103" s="13" t="n">
        <v>-108</v>
      </c>
      <c r="I103" s="15" t="n">
        <v>0.3425002548836977</v>
      </c>
      <c r="J103" s="15" t="n">
        <v>0.4956702459300312</v>
      </c>
      <c r="K103" s="15" t="n">
        <v>0.5192307692307693</v>
      </c>
      <c r="L103" s="14" t="n">
        <v>-0.1767305143470715</v>
      </c>
      <c r="M103" s="14" t="n">
        <v>-0.3403698794832488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raw model/market disagreement exceeds the safety limit</t>
        </is>
      </c>
    </row>
    <row r="104">
      <c r="A104" s="17" t="inlineStr">
        <is>
          <t>PASS</t>
        </is>
      </c>
      <c r="B104" s="17" t="inlineStr">
        <is>
          <t>MASS @ RUTG</t>
        </is>
      </c>
      <c r="C104" s="17" t="inlineStr">
        <is>
          <t>2026-09-03 22:00</t>
        </is>
      </c>
      <c r="D104" s="25" t="n">
        <v>1</v>
      </c>
      <c r="E104" s="17" t="inlineStr">
        <is>
          <t>ML</t>
        </is>
      </c>
      <c r="F104" s="17" t="inlineStr">
        <is>
          <t>RUTG ML</t>
        </is>
      </c>
      <c r="G104" s="26" t="n"/>
      <c r="H104" s="18" t="n">
        <v>-6500</v>
      </c>
      <c r="I104" s="20" t="n">
        <v>0.8036923684058288</v>
      </c>
      <c r="J104" s="20" t="n">
        <v>0.9538784067085954</v>
      </c>
      <c r="K104" s="20" t="n">
        <v>0.9848484848484849</v>
      </c>
      <c r="L104" s="19" t="n">
        <v>-0.1811561164426561</v>
      </c>
      <c r="M104" s="19" t="n">
        <v>-0.183943133618697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price outside allowed range</t>
        </is>
      </c>
    </row>
    <row r="105">
      <c r="A105" s="12" t="inlineStr">
        <is>
          <t>PASS</t>
        </is>
      </c>
      <c r="B105" s="12" t="inlineStr">
        <is>
          <t>IDHO @ UTAH</t>
        </is>
      </c>
      <c r="C105" s="12" t="inlineStr">
        <is>
          <t>2026-09-04 01:00</t>
        </is>
      </c>
      <c r="D105" s="22" t="n">
        <v>1</v>
      </c>
      <c r="E105" s="12" t="inlineStr">
        <is>
          <t>ML</t>
        </is>
      </c>
      <c r="F105" s="12" t="inlineStr">
        <is>
          <t>UTAH ML</t>
        </is>
      </c>
      <c r="G105" s="23" t="n"/>
      <c r="H105" s="13" t="n">
        <v>-10000</v>
      </c>
      <c r="I105" s="15" t="n">
        <v>0.8084273455958602</v>
      </c>
      <c r="J105" s="15" t="n">
        <v>0.9684473601999376</v>
      </c>
      <c r="K105" s="15" t="n">
        <v>0.9900990099009901</v>
      </c>
      <c r="L105" s="14" t="n">
        <v>-0.1816716643051299</v>
      </c>
      <c r="M105" s="14" t="n">
        <v>-0.1834883809481812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IDHO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ILL ML</t>
        </is>
      </c>
      <c r="G106" s="26" t="n"/>
      <c r="H106" s="18" t="n">
        <v>-8000</v>
      </c>
      <c r="I106" s="20" t="n">
        <v>0.7982560124778584</v>
      </c>
      <c r="J106" s="20" t="n">
        <v>0.9578344612181156</v>
      </c>
      <c r="K106" s="20" t="n">
        <v>0.9876543209876543</v>
      </c>
      <c r="L106" s="19" t="n">
        <v>-0.1893983085097959</v>
      </c>
      <c r="M106" s="19" t="n">
        <v>-0.1917657873661684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price outside allowed range</t>
        </is>
      </c>
    </row>
    <row r="107">
      <c r="A107" s="12" t="inlineStr">
        <is>
          <t>PASS</t>
        </is>
      </c>
      <c r="B107" s="12" t="inlineStr">
        <is>
          <t>AKR @ WAKE</t>
        </is>
      </c>
      <c r="C107" s="12" t="inlineStr">
        <is>
          <t>2026-09-03 23:00</t>
        </is>
      </c>
      <c r="D107" s="22" t="n">
        <v>1</v>
      </c>
      <c r="E107" s="12" t="inlineStr">
        <is>
          <t>ML</t>
        </is>
      </c>
      <c r="F107" s="12" t="inlineStr">
        <is>
          <t>WAKE ML</t>
        </is>
      </c>
      <c r="G107" s="23" t="n"/>
      <c r="H107" s="13" t="n">
        <v>-3200</v>
      </c>
      <c r="I107" s="15" t="n">
        <v>0.7712245057719294</v>
      </c>
      <c r="J107" s="15" t="n">
        <v>0.9356725146198831</v>
      </c>
      <c r="K107" s="15" t="n">
        <v>0.9696969696969697</v>
      </c>
      <c r="L107" s="14" t="n">
        <v>-0.1984724639250404</v>
      </c>
      <c r="M107" s="14" t="n">
        <v>-0.2046747284226978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NMSU @ FSU</t>
        </is>
      </c>
      <c r="C108" s="17" t="inlineStr">
        <is>
          <t>2026-08-29 23:00</t>
        </is>
      </c>
      <c r="D108" s="25" t="n">
        <v>1</v>
      </c>
      <c r="E108" s="17" t="inlineStr">
        <is>
          <t>ML</t>
        </is>
      </c>
      <c r="F108" s="17" t="inlineStr">
        <is>
          <t>FSU ML</t>
        </is>
      </c>
      <c r="G108" s="26" t="n"/>
      <c r="H108" s="18" t="n">
        <v>-8000</v>
      </c>
      <c r="I108" s="20" t="n">
        <v>0.7830008119391415</v>
      </c>
      <c r="J108" s="20" t="n">
        <v>0.9578344612181156</v>
      </c>
      <c r="K108" s="20" t="n">
        <v>0.9876543209876543</v>
      </c>
      <c r="L108" s="19" t="n">
        <v>-0.2046535090485128</v>
      </c>
      <c r="M108" s="19" t="n">
        <v>-0.2072116779116193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WES @ KENN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KENN ML</t>
        </is>
      </c>
      <c r="G109" s="23" t="n"/>
      <c r="H109" s="13" t="n">
        <v>-3600</v>
      </c>
      <c r="I109" s="15" t="n">
        <v>0.7629882523168648</v>
      </c>
      <c r="J109" s="15" t="n">
        <v>0.9396411092985318</v>
      </c>
      <c r="K109" s="15" t="n">
        <v>0.972972972972973</v>
      </c>
      <c r="L109" s="14" t="n">
        <v>-0.2099847206561082</v>
      </c>
      <c r="M109" s="14" t="n">
        <v>-0.2158176295632223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WES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MRMK @ DEL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DEL ML</t>
        </is>
      </c>
      <c r="G110" s="26" t="n"/>
      <c r="H110" s="18" t="n">
        <v>-10000</v>
      </c>
      <c r="I110" s="20" t="n">
        <v>0.7657797338257375</v>
      </c>
      <c r="J110" s="20" t="n">
        <v>0.9684473601999376</v>
      </c>
      <c r="K110" s="20" t="n">
        <v>0.9900990099009901</v>
      </c>
      <c r="L110" s="19" t="n">
        <v>-0.2243192760752526</v>
      </c>
      <c r="M110" s="19" t="n">
        <v>-0.2265624688360051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MRMK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ALB @ BUFF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BUFF ML</t>
        </is>
      </c>
      <c r="G111" s="23" t="n"/>
      <c r="H111" s="13" t="n">
        <v>-8000</v>
      </c>
      <c r="I111" s="15" t="n">
        <v>0.7599039260434692</v>
      </c>
      <c r="J111" s="15" t="n">
        <v>0.9578344612181156</v>
      </c>
      <c r="K111" s="15" t="n">
        <v>0.9876543209876543</v>
      </c>
      <c r="L111" s="14" t="n">
        <v>-0.227750394944185</v>
      </c>
      <c r="M111" s="14" t="n">
        <v>-0.2305972748809874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ALB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WES @ KENN</t>
        </is>
      </c>
      <c r="C112" s="17" t="inlineStr">
        <is>
          <t>2026-09-03 23:00</t>
        </is>
      </c>
      <c r="D112" s="25" t="n">
        <v>1</v>
      </c>
      <c r="E112" s="17" t="inlineStr">
        <is>
          <t>ATS</t>
        </is>
      </c>
      <c r="F112" s="17" t="inlineStr">
        <is>
          <t>KENN -22.5</t>
        </is>
      </c>
      <c r="G112" s="26" t="n">
        <v>-22.5</v>
      </c>
      <c r="H112" s="18" t="n">
        <v>-105</v>
      </c>
      <c r="I112" s="20" t="n">
        <v>0.2726533482579036</v>
      </c>
      <c r="J112" s="20" t="n">
        <v>0.4891657638136511</v>
      </c>
      <c r="K112" s="20" t="n">
        <v>0.5121951219512195</v>
      </c>
      <c r="L112" s="19" t="n">
        <v>-0.2395417736933159</v>
      </c>
      <c r="M112" s="19" t="n">
        <v>-0.4676767962583787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WES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NCAT @ GAST</t>
        </is>
      </c>
      <c r="C113" s="12" t="inlineStr">
        <is>
          <t>2026-09-04 23:00</t>
        </is>
      </c>
      <c r="D113" s="22" t="n">
        <v>1</v>
      </c>
      <c r="E113" s="12" t="inlineStr">
        <is>
          <t>ML</t>
        </is>
      </c>
      <c r="F113" s="12" t="inlineStr">
        <is>
          <t>GAST ML</t>
        </is>
      </c>
      <c r="G113" s="23" t="n"/>
      <c r="H113" s="13" t="n">
        <v>-4500</v>
      </c>
      <c r="I113" s="15" t="n">
        <v>0.7330631356640354</v>
      </c>
      <c r="J113" s="15" t="n">
        <v>0.9462616822429908</v>
      </c>
      <c r="K113" s="15" t="n">
        <v>0.9782608695652174</v>
      </c>
      <c r="L113" s="14" t="n">
        <v>-0.245197733901182</v>
      </c>
      <c r="M113" s="14" t="n">
        <v>-0.2506465724323195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NCAT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AKR @ WAKE</t>
        </is>
      </c>
      <c r="C114" s="17" t="inlineStr">
        <is>
          <t>2026-09-03 23:00</t>
        </is>
      </c>
      <c r="D114" s="25" t="n">
        <v>1</v>
      </c>
      <c r="E114" s="17" t="inlineStr">
        <is>
          <t>ATS</t>
        </is>
      </c>
      <c r="F114" s="17" t="inlineStr">
        <is>
          <t>WAKE -23.5</t>
        </is>
      </c>
      <c r="G114" s="26" t="n">
        <v>-23.5</v>
      </c>
      <c r="H114" s="18" t="n">
        <v>-115</v>
      </c>
      <c r="I114" s="20" t="n">
        <v>0.283038265236665</v>
      </c>
      <c r="J114" s="20" t="n">
        <v>0.5108342361863488</v>
      </c>
      <c r="K114" s="20" t="n">
        <v>0.5348837209302325</v>
      </c>
      <c r="L114" s="19" t="n">
        <v>-0.2518454556935675</v>
      </c>
      <c r="M114" s="19" t="n">
        <v>-0.4708415041227568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raw model/market disagreement exceeds the safety limit</t>
        </is>
      </c>
    </row>
    <row r="115">
      <c r="A115" s="12" t="inlineStr">
        <is>
          <t>PASS</t>
        </is>
      </c>
      <c r="B115" s="12" t="inlineStr">
        <is>
          <t>UAB @ ILL</t>
        </is>
      </c>
      <c r="C115" s="12" t="inlineStr">
        <is>
          <t>2026-09-04 01:00</t>
        </is>
      </c>
      <c r="D115" s="22" t="n">
        <v>1</v>
      </c>
      <c r="E115" s="12" t="inlineStr">
        <is>
          <t>ATS</t>
        </is>
      </c>
      <c r="F115" s="12" t="inlineStr">
        <is>
          <t>ILL -28.5</t>
        </is>
      </c>
      <c r="G115" s="23" t="n">
        <v>-28.5</v>
      </c>
      <c r="H115" s="13" t="n">
        <v>-108</v>
      </c>
      <c r="I115" s="15" t="n">
        <v>0.2627075842754483</v>
      </c>
      <c r="J115" s="15" t="n">
        <v>0.4956702459300312</v>
      </c>
      <c r="K115" s="15" t="n">
        <v>0.5192307692307693</v>
      </c>
      <c r="L115" s="14" t="n">
        <v>-0.2565231849553209</v>
      </c>
      <c r="M115" s="14" t="n">
        <v>-0.494044652506544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ALB @ BUFF</t>
        </is>
      </c>
      <c r="C116" s="17" t="inlineStr">
        <is>
          <t>2026-09-03 23:00</t>
        </is>
      </c>
      <c r="D116" s="25" t="n">
        <v>1</v>
      </c>
      <c r="E116" s="17" t="inlineStr">
        <is>
          <t>ATS</t>
        </is>
      </c>
      <c r="F116" s="17" t="inlineStr">
        <is>
          <t>BUFF -24.5</t>
        </is>
      </c>
      <c r="G116" s="26" t="n">
        <v>-24.5</v>
      </c>
      <c r="H116" s="18" t="n">
        <v>-112</v>
      </c>
      <c r="I116" s="20" t="n">
        <v>0.2700747316810768</v>
      </c>
      <c r="J116" s="20" t="n">
        <v>0.5043297540699688</v>
      </c>
      <c r="K116" s="20" t="n">
        <v>0.5283018867924528</v>
      </c>
      <c r="L116" s="19" t="n">
        <v>-0.2582271551113761</v>
      </c>
      <c r="M116" s="19" t="n">
        <v>-0.4887871150322476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ALB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NMSU @ FSU</t>
        </is>
      </c>
      <c r="C117" s="12" t="inlineStr">
        <is>
          <t>2026-08-29 23:00</t>
        </is>
      </c>
      <c r="D117" s="22" t="n">
        <v>1</v>
      </c>
      <c r="E117" s="12" t="inlineStr">
        <is>
          <t>ATS</t>
        </is>
      </c>
      <c r="F117" s="12" t="inlineStr">
        <is>
          <t>FSU -31.5</t>
        </is>
      </c>
      <c r="G117" s="23" t="n">
        <v>-31.5</v>
      </c>
      <c r="H117" s="13" t="n">
        <v>-105</v>
      </c>
      <c r="I117" s="15" t="n">
        <v>0.2515947455243119</v>
      </c>
      <c r="J117" s="15" t="n">
        <v>0.4891657638136511</v>
      </c>
      <c r="K117" s="15" t="n">
        <v>0.5121951219512195</v>
      </c>
      <c r="L117" s="14" t="n">
        <v>-0.2606003764269076</v>
      </c>
      <c r="M117" s="14" t="n">
        <v>-0.5087912111192006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NCAT @ GAST</t>
        </is>
      </c>
      <c r="C118" s="17" t="inlineStr">
        <is>
          <t>2026-09-04 23:00</t>
        </is>
      </c>
      <c r="D118" s="25" t="n">
        <v>1</v>
      </c>
      <c r="E118" s="17" t="inlineStr">
        <is>
          <t>ATS</t>
        </is>
      </c>
      <c r="F118" s="17" t="inlineStr">
        <is>
          <t>GAST -28.5</t>
        </is>
      </c>
      <c r="G118" s="26" t="n">
        <v>-28.5</v>
      </c>
      <c r="H118" s="18" t="n">
        <v>-108</v>
      </c>
      <c r="I118" s="20" t="n">
        <v>0.2547133684856709</v>
      </c>
      <c r="J118" s="20" t="n">
        <v>0.4956702459300312</v>
      </c>
      <c r="K118" s="20" t="n">
        <v>0.5192307692307693</v>
      </c>
      <c r="L118" s="19" t="n">
        <v>-0.2645174007450984</v>
      </c>
      <c r="M118" s="19" t="n">
        <v>-0.5094409199535228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NCAT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SJSU @ USC</t>
        </is>
      </c>
      <c r="C119" s="12" t="inlineStr">
        <is>
          <t>2026-08-29 19:00</t>
        </is>
      </c>
      <c r="D119" s="22" t="n">
        <v>1</v>
      </c>
      <c r="E119" s="12" t="inlineStr">
        <is>
          <t>ATS</t>
        </is>
      </c>
      <c r="F119" s="12" t="inlineStr">
        <is>
          <t>USC -38.5</t>
        </is>
      </c>
      <c r="G119" s="23" t="n">
        <v>-38.5</v>
      </c>
      <c r="H119" s="13" t="n">
        <v>-105</v>
      </c>
      <c r="I119" s="15" t="n">
        <v>0.2469039658580302</v>
      </c>
      <c r="J119" s="15" t="n">
        <v>0.4891657638136511</v>
      </c>
      <c r="K119" s="15" t="n">
        <v>0.5121951219512195</v>
      </c>
      <c r="L119" s="14" t="n">
        <v>-0.2652911560931893</v>
      </c>
      <c r="M119" s="14" t="n">
        <v>-0.5179493999914648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raw model/market disagreement exceeds the safety limit</t>
        </is>
      </c>
    </row>
    <row r="120">
      <c r="A120" s="17" t="inlineStr">
        <is>
          <t>PASS</t>
        </is>
      </c>
      <c r="B120" s="17" t="inlineStr">
        <is>
          <t>MASS @ RUTG</t>
        </is>
      </c>
      <c r="C120" s="17" t="inlineStr">
        <is>
          <t>2026-09-03 22:00</t>
        </is>
      </c>
      <c r="D120" s="25" t="n">
        <v>1</v>
      </c>
      <c r="E120" s="17" t="inlineStr">
        <is>
          <t>ATS</t>
        </is>
      </c>
      <c r="F120" s="17" t="inlineStr">
        <is>
          <t>RUTG -29.5</t>
        </is>
      </c>
      <c r="G120" s="26" t="n">
        <v>-29.5</v>
      </c>
      <c r="H120" s="18" t="n">
        <v>-115</v>
      </c>
      <c r="I120" s="20" t="n">
        <v>0.2692244850681354</v>
      </c>
      <c r="J120" s="20" t="n">
        <v>0.5108342361863488</v>
      </c>
      <c r="K120" s="20" t="n">
        <v>0.5348837209302325</v>
      </c>
      <c r="L120" s="19" t="n">
        <v>-0.2656592358620971</v>
      </c>
      <c r="M120" s="19" t="n">
        <v>-0.4966672670465295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MRMK @ DEL</t>
        </is>
      </c>
      <c r="C121" s="12" t="inlineStr">
        <is>
          <t>2026-09-03 23:00</t>
        </is>
      </c>
      <c r="D121" s="22" t="n">
        <v>1</v>
      </c>
      <c r="E121" s="12" t="inlineStr">
        <is>
          <t>ATS</t>
        </is>
      </c>
      <c r="F121" s="12" t="inlineStr">
        <is>
          <t>DEL -28.5</t>
        </is>
      </c>
      <c r="G121" s="23" t="n">
        <v>-28.5</v>
      </c>
      <c r="H121" s="13" t="n">
        <v>-112</v>
      </c>
      <c r="I121" s="15" t="n">
        <v>0.2613150626201174</v>
      </c>
      <c r="J121" s="15" t="n">
        <v>0.5043297540699688</v>
      </c>
      <c r="K121" s="15" t="n">
        <v>0.5283018867924528</v>
      </c>
      <c r="L121" s="14" t="n">
        <v>-0.2669868241723354</v>
      </c>
      <c r="M121" s="14" t="n">
        <v>-0.5053679171833493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MRMK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IDHO @ UTAH</t>
        </is>
      </c>
      <c r="C122" s="17" t="inlineStr">
        <is>
          <t>2026-09-04 01:00</t>
        </is>
      </c>
      <c r="D122" s="25" t="n">
        <v>1</v>
      </c>
      <c r="E122" s="17" t="inlineStr">
        <is>
          <t>ATS</t>
        </is>
      </c>
      <c r="F122" s="17" t="inlineStr">
        <is>
          <t>UTAH -33.5</t>
        </is>
      </c>
      <c r="G122" s="26" t="n">
        <v>-33.5</v>
      </c>
      <c r="H122" s="18" t="n">
        <v>-110</v>
      </c>
      <c r="I122" s="20" t="n">
        <v>0.2563559702123712</v>
      </c>
      <c r="J122" s="20" t="n">
        <v>0.5</v>
      </c>
      <c r="K122" s="20" t="n">
        <v>0.5238095238095238</v>
      </c>
      <c r="L122" s="19" t="n">
        <v>-0.2674535535971527</v>
      </c>
      <c r="M122" s="19" t="n">
        <v>-0.5105931477763822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IDHO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INST @ PUR</t>
        </is>
      </c>
      <c r="C123" s="12" t="inlineStr">
        <is>
          <t>2026-09-04 23:00</t>
        </is>
      </c>
      <c r="D123" s="22" t="n">
        <v>1</v>
      </c>
      <c r="E123" s="12" t="inlineStr">
        <is>
          <t>ATS</t>
        </is>
      </c>
      <c r="F123" s="12" t="inlineStr">
        <is>
          <t>PUR -35.5</t>
        </is>
      </c>
      <c r="G123" s="23" t="n">
        <v>-35.5</v>
      </c>
      <c r="H123" s="13" t="n">
        <v>-110</v>
      </c>
      <c r="I123" s="15" t="n">
        <v>0.2528934298318226</v>
      </c>
      <c r="J123" s="15" t="n">
        <v>0.5021949078138718</v>
      </c>
      <c r="K123" s="15" t="n">
        <v>0.5238095238095238</v>
      </c>
      <c r="L123" s="14" t="n">
        <v>-0.2709160939777012</v>
      </c>
      <c r="M123" s="14" t="n">
        <v>-0.5172034521392477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INST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EIU @ MINN</t>
        </is>
      </c>
      <c r="C124" s="17" t="inlineStr">
        <is>
          <t>2026-09-04 00:00</t>
        </is>
      </c>
      <c r="D124" s="25" t="n">
        <v>1</v>
      </c>
      <c r="E124" s="17" t="inlineStr">
        <is>
          <t>ATS</t>
        </is>
      </c>
      <c r="F124" s="17" t="inlineStr">
        <is>
          <t>MINN -43.5</t>
        </is>
      </c>
      <c r="G124" s="26" t="n">
        <v>-43.5</v>
      </c>
      <c r="H124" s="18" t="n">
        <v>-108</v>
      </c>
      <c r="I124" s="20" t="n">
        <v>0.2481768262232006</v>
      </c>
      <c r="J124" s="20" t="n">
        <v>0.4956702459300312</v>
      </c>
      <c r="K124" s="20" t="n">
        <v>0.5192307692307693</v>
      </c>
      <c r="L124" s="19" t="n">
        <v>-0.2710539430075687</v>
      </c>
      <c r="M124" s="19" t="n">
        <v>-0.5220298161627247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EIU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UAPB @ MIZ</t>
        </is>
      </c>
      <c r="C125" s="12" t="inlineStr">
        <is>
          <t>2026-09-04 00:00</t>
        </is>
      </c>
      <c r="D125" s="22" t="n">
        <v>1</v>
      </c>
      <c r="E125" s="12" t="inlineStr">
        <is>
          <t>ATS</t>
        </is>
      </c>
      <c r="F125" s="12" t="inlineStr">
        <is>
          <t>MIZ -54.5</t>
        </is>
      </c>
      <c r="G125" s="23" t="n">
        <v>-54.5</v>
      </c>
      <c r="H125" s="13" t="n">
        <v>-108</v>
      </c>
      <c r="I125" s="15" t="n">
        <v>0.2478531706379516</v>
      </c>
      <c r="J125" s="15" t="n">
        <v>0.4956702459300312</v>
      </c>
      <c r="K125" s="15" t="n">
        <v>0.5192307692307693</v>
      </c>
      <c r="L125" s="14" t="n">
        <v>-0.2713775985928176</v>
      </c>
      <c r="M125" s="14" t="n">
        <v>-0.5226531528454265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UAPB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BCU @ UCF</t>
        </is>
      </c>
      <c r="C126" s="17" t="inlineStr">
        <is>
          <t>2026-09-03 23:00</t>
        </is>
      </c>
      <c r="D126" s="25" t="n">
        <v>1</v>
      </c>
      <c r="E126" s="17" t="inlineStr">
        <is>
          <t>ATS</t>
        </is>
      </c>
      <c r="F126" s="17" t="inlineStr">
        <is>
          <t>UCF -42.5</t>
        </is>
      </c>
      <c r="G126" s="26" t="n">
        <v>-42.5</v>
      </c>
      <c r="H126" s="18" t="n">
        <v>-110</v>
      </c>
      <c r="I126" s="20" t="n">
        <v>0.2504166868493028</v>
      </c>
      <c r="J126" s="20" t="n">
        <v>0.5</v>
      </c>
      <c r="K126" s="20" t="n">
        <v>0.5238095238095238</v>
      </c>
      <c r="L126" s="19" t="n">
        <v>-0.273392836960221</v>
      </c>
      <c r="M126" s="19" t="n">
        <v>-0.5219317796513311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BCU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2026-09-04</t>
        </is>
      </c>
      <c r="B6" s="12" t="inlineStr">
        <is>
          <t>COLO @ GT</t>
        </is>
      </c>
      <c r="C6" s="12" t="inlineStr">
        <is>
          <t>TOTAL</t>
        </is>
      </c>
      <c r="D6" s="12" t="inlineStr">
        <is>
          <t>Over 50.5</t>
        </is>
      </c>
      <c r="E6" s="13" t="n">
        <v>-115</v>
      </c>
      <c r="F6" s="16" t="n">
        <v>21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0.0784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2026-09-03</t>
        </is>
      </c>
      <c r="B7" s="17" t="inlineStr">
        <is>
          <t>AKR @ WAKE</t>
        </is>
      </c>
      <c r="C7" s="17" t="inlineStr">
        <is>
          <t>TOTAL</t>
        </is>
      </c>
      <c r="D7" s="17" t="inlineStr">
        <is>
          <t>Over 48.5</t>
        </is>
      </c>
      <c r="E7" s="18" t="n">
        <v>-112</v>
      </c>
      <c r="F7" s="21" t="n">
        <v>24.5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0.0917</v>
      </c>
      <c r="M7" s="19" t="n"/>
      <c r="N7" s="17" t="n"/>
      <c r="O7" s="17" t="inlineStr">
        <is>
          <t>DraftKings</t>
        </is>
      </c>
    </row>
    <row r="8">
      <c r="A8" s="12" t="inlineStr">
        <is>
          <t>2026-08-29</t>
        </is>
      </c>
      <c r="B8" s="12" t="inlineStr">
        <is>
          <t>HAW @ STAN</t>
        </is>
      </c>
      <c r="C8" s="12" t="inlineStr">
        <is>
          <t>TOTAL</t>
        </is>
      </c>
      <c r="D8" s="12" t="inlineStr">
        <is>
          <t>Over 49.5</t>
        </is>
      </c>
      <c r="E8" s="13" t="n">
        <v>-105</v>
      </c>
      <c r="F8" s="16" t="n">
        <v>21.5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0.0834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2026-08-29</t>
        </is>
      </c>
      <c r="B9" s="17" t="inlineStr">
        <is>
          <t>SAC @ EMU</t>
        </is>
      </c>
      <c r="C9" s="17" t="inlineStr">
        <is>
          <t>ML</t>
        </is>
      </c>
      <c r="D9" s="17" t="inlineStr">
        <is>
          <t>SAC ML</t>
        </is>
      </c>
      <c r="E9" s="18" t="n">
        <v>280</v>
      </c>
      <c r="F9" s="21" t="n">
        <v>18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0.1055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2026-08-29</t>
        </is>
      </c>
      <c r="B10" s="12" t="inlineStr">
        <is>
          <t>UNC @ TCU</t>
        </is>
      </c>
      <c r="C10" s="12" t="inlineStr">
        <is>
          <t>ATS</t>
        </is>
      </c>
      <c r="D10" s="12" t="inlineStr">
        <is>
          <t>UNC +7.5</t>
        </is>
      </c>
      <c r="E10" s="13" t="n">
        <v>-108</v>
      </c>
      <c r="F10" s="16" t="n">
        <v>21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0.0801</v>
      </c>
      <c r="M10" s="14" t="n"/>
      <c r="N10" s="12" t="n"/>
      <c r="O10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245</v>
      </c>
      <c r="L5" s="13" t="n">
        <v>-305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-10</v>
      </c>
      <c r="J9" s="29" t="n">
        <v>52.5</v>
      </c>
      <c r="K9" s="13" t="n">
        <v>300</v>
      </c>
      <c r="L9" s="13" t="n">
        <v>-380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52.5</v>
      </c>
      <c r="K11" s="13" t="n">
        <v>2200</v>
      </c>
      <c r="L11" s="13" t="n">
        <v>-8000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160</v>
      </c>
      <c r="L12" s="18" t="n">
        <v>-192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-3200</v>
      </c>
      <c r="L30" s="18" t="n">
        <v>1400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1500</v>
      </c>
      <c r="L31" s="13" t="n">
        <v>-3600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61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61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2026-08-25T18:02:02Z</dcterms:created>
  <dcterms:modified xsi:type="dcterms:W3CDTF">2026-08-25T18:02:03Z</dcterms:modified>
</cp:coreProperties>
</file>
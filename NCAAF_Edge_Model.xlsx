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402" headerRowCount="1">
  <autoFilter ref="A4:Q40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2026-09-15T21:08:15+00:00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Ledger'!$G$6:$G$115,"&lt;&gt;Pending",'Bet Ledger'!$H$6:$H$115)</f>
        <v/>
      </c>
    </row>
    <row r="6">
      <c r="A6" s="3" t="inlineStr">
        <is>
          <t>Total Staked</t>
        </is>
      </c>
      <c r="B6" s="5">
        <f>SUMIF('Bet Ledger'!$G$6:$G$115,"&lt;&gt;Pending",'Bet Ledger'!$F$6:$F$115)</f>
        <v/>
      </c>
    </row>
    <row r="7">
      <c r="A7" s="3" t="inlineStr">
        <is>
          <t>Profit / Loss</t>
        </is>
      </c>
      <c r="B7" s="5">
        <f>SUMIF('Bet Ledger'!$G$6:$G$115,"&lt;&gt;Pending",'Bet Ledger'!$H$6:$H$115)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Ledger'!$G$6:$G$115,"&lt;&gt;Pending",'Bet Ledger'!$G$6:$G$115,"&lt;&gt;")</f>
        <v/>
      </c>
    </row>
    <row r="10">
      <c r="A10" s="3" t="inlineStr">
        <is>
          <t>Wins</t>
        </is>
      </c>
      <c r="B10" s="7">
        <f>COUNTIF('Bet Ledger'!$G$6:$G$115,"Win")</f>
        <v/>
      </c>
    </row>
    <row r="11">
      <c r="A11" s="3" t="inlineStr">
        <is>
          <t>Losses</t>
        </is>
      </c>
      <c r="B11" s="7">
        <f>COUNTIF('Bet Ledger'!$G$6:$G$115,"Loss")</f>
        <v/>
      </c>
    </row>
    <row r="12">
      <c r="A12" s="3" t="inlineStr">
        <is>
          <t>Pushes</t>
        </is>
      </c>
      <c r="B12" s="7">
        <f>COUNTIF('Bet Ledger'!$G$6:$G$115,"Push")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Ledger'!$G$6:$G$115,"Pending")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M-OH @ CIN</t>
        </is>
      </c>
      <c r="C21" s="12" t="inlineStr">
        <is>
          <t>ML</t>
        </is>
      </c>
      <c r="D21" s="12" t="inlineStr">
        <is>
          <t>M-OH ML</t>
        </is>
      </c>
      <c r="E21" s="13" t="n">
        <v>500</v>
      </c>
      <c r="F21" s="14" t="n">
        <v>0.09499897346299252</v>
      </c>
      <c r="G21" s="15" t="n">
        <v>0.2521772303393101</v>
      </c>
      <c r="H21" s="16" t="n"/>
      <c r="I21" s="12" t="inlineStr">
        <is>
          <t>2026-09-19 19:30</t>
        </is>
      </c>
    </row>
    <row r="22">
      <c r="A22" s="17" t="inlineStr">
        <is>
          <t>BEST BET</t>
        </is>
      </c>
      <c r="B22" s="17" t="inlineStr">
        <is>
          <t>BALL @ LIB</t>
        </is>
      </c>
      <c r="C22" s="17" t="inlineStr">
        <is>
          <t>ML</t>
        </is>
      </c>
      <c r="D22" s="17" t="inlineStr">
        <is>
          <t>BALL ML</t>
        </is>
      </c>
      <c r="E22" s="18" t="n">
        <v>440</v>
      </c>
      <c r="F22" s="19" t="n">
        <v>0.09499600159634641</v>
      </c>
      <c r="G22" s="20" t="n">
        <v>0.268544339712774</v>
      </c>
      <c r="H22" s="21" t="n"/>
      <c r="I22" s="17" t="inlineStr">
        <is>
          <t>2026-09-19 20:00</t>
        </is>
      </c>
    </row>
    <row r="23">
      <c r="A23" s="12" t="inlineStr">
        <is>
          <t>BEST BET</t>
        </is>
      </c>
      <c r="B23" s="12" t="inlineStr">
        <is>
          <t>WVU @ UVA</t>
        </is>
      </c>
      <c r="C23" s="12" t="inlineStr">
        <is>
          <t>ML</t>
        </is>
      </c>
      <c r="D23" s="12" t="inlineStr">
        <is>
          <t>WVU ML</t>
        </is>
      </c>
      <c r="E23" s="13" t="n">
        <v>310</v>
      </c>
      <c r="F23" s="14" t="n">
        <v>0.0949932782570538</v>
      </c>
      <c r="G23" s="15" t="n">
        <v>0.3480675974717846</v>
      </c>
      <c r="H23" s="16" t="n"/>
      <c r="I23" s="12" t="inlineStr">
        <is>
          <t>2026-09-19 23:30</t>
        </is>
      </c>
    </row>
    <row r="24">
      <c r="A24" s="17" t="inlineStr">
        <is>
          <t>BEST BET</t>
        </is>
      </c>
      <c r="B24" s="17" t="inlineStr">
        <is>
          <t>UK @ TA&amp;M</t>
        </is>
      </c>
      <c r="C24" s="17" t="inlineStr">
        <is>
          <t>ML</t>
        </is>
      </c>
      <c r="D24" s="17" t="inlineStr">
        <is>
          <t>UK ML</t>
        </is>
      </c>
      <c r="E24" s="18" t="n">
        <v>550</v>
      </c>
      <c r="F24" s="19" t="n">
        <v>0.09499256667088452</v>
      </c>
      <c r="G24" s="20" t="n">
        <v>0.2186655350529577</v>
      </c>
      <c r="H24" s="21" t="n"/>
      <c r="I24" s="17" t="inlineStr">
        <is>
          <t>2026-09-19 19:30</t>
        </is>
      </c>
    </row>
    <row r="25">
      <c r="A25" s="12" t="inlineStr">
        <is>
          <t>BEST BET</t>
        </is>
      </c>
      <c r="B25" s="12" t="inlineStr">
        <is>
          <t>PUR @ UCLA</t>
        </is>
      </c>
      <c r="C25" s="12" t="inlineStr">
        <is>
          <t>ML</t>
        </is>
      </c>
      <c r="D25" s="12" t="inlineStr">
        <is>
          <t>PUR ML</t>
        </is>
      </c>
      <c r="E25" s="13" t="n">
        <v>470</v>
      </c>
      <c r="F25" s="14" t="n">
        <v>0.09495429438449535</v>
      </c>
      <c r="G25" s="15" t="n">
        <v>0.2349806541961064</v>
      </c>
      <c r="H25" s="16" t="n"/>
      <c r="I25" s="12" t="inlineStr">
        <is>
          <t>2026-09-20 03:00</t>
        </is>
      </c>
    </row>
    <row r="26">
      <c r="A26" s="17" t="inlineStr">
        <is>
          <t>BEST BET</t>
        </is>
      </c>
      <c r="B26" s="17" t="inlineStr">
        <is>
          <t>MRSH @ MOST</t>
        </is>
      </c>
      <c r="C26" s="17" t="inlineStr">
        <is>
          <t>ML</t>
        </is>
      </c>
      <c r="D26" s="17" t="inlineStr">
        <is>
          <t>MOST ML</t>
        </is>
      </c>
      <c r="E26" s="18" t="n">
        <v>140</v>
      </c>
      <c r="F26" s="19" t="n">
        <v>0.09484041945791273</v>
      </c>
      <c r="G26" s="20" t="n">
        <v>0.5350291495235194</v>
      </c>
      <c r="H26" s="21" t="n"/>
      <c r="I26" s="17" t="inlineStr">
        <is>
          <t>2026-09-19 22:30</t>
        </is>
      </c>
    </row>
    <row r="27">
      <c r="A27" s="12" t="inlineStr">
        <is>
          <t>BEST BET</t>
        </is>
      </c>
      <c r="B27" s="12" t="inlineStr">
        <is>
          <t>CONN @ USM</t>
        </is>
      </c>
      <c r="C27" s="12" t="inlineStr">
        <is>
          <t>ML</t>
        </is>
      </c>
      <c r="D27" s="12" t="inlineStr">
        <is>
          <t>USM ML</t>
        </is>
      </c>
      <c r="E27" s="13" t="n">
        <v>130</v>
      </c>
      <c r="F27" s="14" t="n">
        <v>0.09462974281146971</v>
      </c>
      <c r="G27" s="15" t="n">
        <v>0.5405812204194759</v>
      </c>
      <c r="H27" s="16" t="n"/>
      <c r="I27" s="12" t="inlineStr">
        <is>
          <t>2026-09-19 23:00</t>
        </is>
      </c>
    </row>
    <row r="28">
      <c r="A28" s="17" t="inlineStr">
        <is>
          <t>BEST BET</t>
        </is>
      </c>
      <c r="B28" s="17" t="inlineStr">
        <is>
          <t>WYO @ CMU</t>
        </is>
      </c>
      <c r="C28" s="17" t="inlineStr">
        <is>
          <t>TOTAL</t>
        </is>
      </c>
      <c r="D28" s="17" t="inlineStr">
        <is>
          <t>Over 39.5</t>
        </is>
      </c>
      <c r="E28" s="18" t="n">
        <v>-110</v>
      </c>
      <c r="F28" s="19" t="n">
        <v>0.0945038485118886</v>
      </c>
      <c r="G28" s="20" t="n">
        <v>0.6412004786693809</v>
      </c>
      <c r="H28" s="21" t="n"/>
      <c r="I28" s="17" t="inlineStr">
        <is>
          <t>2026-09-19 17:00</t>
        </is>
      </c>
    </row>
    <row r="29">
      <c r="A29" s="12" t="inlineStr">
        <is>
          <t>BEST BET</t>
        </is>
      </c>
      <c r="B29" s="12" t="inlineStr">
        <is>
          <t>VT @ MD</t>
        </is>
      </c>
      <c r="C29" s="12" t="inlineStr">
        <is>
          <t>ML</t>
        </is>
      </c>
      <c r="D29" s="12" t="inlineStr">
        <is>
          <t>MD ML</t>
        </is>
      </c>
      <c r="E29" s="13" t="n">
        <v>120</v>
      </c>
      <c r="F29" s="14" t="n">
        <v>0.09449401153722597</v>
      </c>
      <c r="G29" s="15" t="n">
        <v>0.5593700551773294</v>
      </c>
      <c r="H29" s="16" t="n"/>
      <c r="I29" s="12" t="inlineStr">
        <is>
          <t>2026-09-19 23:30</t>
        </is>
      </c>
    </row>
    <row r="30">
      <c r="A30" s="17" t="inlineStr">
        <is>
          <t>GOOD</t>
        </is>
      </c>
      <c r="B30" s="17" t="inlineStr">
        <is>
          <t>SYR @ PITT</t>
        </is>
      </c>
      <c r="C30" s="17" t="inlineStr">
        <is>
          <t>ML</t>
        </is>
      </c>
      <c r="D30" s="17" t="inlineStr">
        <is>
          <t>SYR ML</t>
        </is>
      </c>
      <c r="E30" s="18" t="n">
        <v>330</v>
      </c>
      <c r="F30" s="19" t="n">
        <v>0.09425696738082846</v>
      </c>
      <c r="G30" s="20" t="n">
        <v>0.2818944818069768</v>
      </c>
      <c r="H30" s="21" t="n"/>
      <c r="I30" s="17" t="inlineStr">
        <is>
          <t>2026-09-17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M-OH @ CIN</t>
        </is>
      </c>
      <c r="C5" s="12" t="inlineStr">
        <is>
          <t>2026-09-19 19:30</t>
        </is>
      </c>
      <c r="D5" s="22" t="n">
        <v>3</v>
      </c>
      <c r="E5" s="12" t="inlineStr">
        <is>
          <t>ML</t>
        </is>
      </c>
      <c r="F5" s="12" t="inlineStr">
        <is>
          <t>M-OH ML</t>
        </is>
      </c>
      <c r="G5" s="23" t="n"/>
      <c r="H5" s="13" t="n">
        <v>500</v>
      </c>
      <c r="I5" s="15" t="n">
        <v>0.2521772303393101</v>
      </c>
      <c r="J5" s="15" t="n">
        <v>0.16</v>
      </c>
      <c r="K5" s="15" t="n">
        <v>0.1666666666666667</v>
      </c>
      <c r="L5" s="14" t="n">
        <v>0.09499897346299252</v>
      </c>
      <c r="M5" s="14" t="n">
        <v>0.5130633820358603</v>
      </c>
      <c r="N5" s="15" t="n">
        <v>0</v>
      </c>
      <c r="O5" s="24" t="n">
        <v>0.839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BALL @ LIB</t>
        </is>
      </c>
      <c r="C6" s="17" t="inlineStr">
        <is>
          <t>2026-09-19 20:00</t>
        </is>
      </c>
      <c r="D6" s="25" t="n">
        <v>3</v>
      </c>
      <c r="E6" s="17" t="inlineStr">
        <is>
          <t>ML</t>
        </is>
      </c>
      <c r="F6" s="17" t="inlineStr">
        <is>
          <t>BALL ML</t>
        </is>
      </c>
      <c r="G6" s="26" t="n"/>
      <c r="H6" s="18" t="n">
        <v>440</v>
      </c>
      <c r="I6" s="20" t="n">
        <v>0.268544339712774</v>
      </c>
      <c r="J6" s="20" t="n">
        <v>0.1776649746192893</v>
      </c>
      <c r="K6" s="20" t="n">
        <v>0.1851851851851852</v>
      </c>
      <c r="L6" s="19" t="n">
        <v>0.09499600159634641</v>
      </c>
      <c r="M6" s="19" t="n">
        <v>0.4501394344489797</v>
      </c>
      <c r="N6" s="20" t="n">
        <v>0</v>
      </c>
      <c r="O6" s="27" t="n">
        <v>0.839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WVU @ UVA</t>
        </is>
      </c>
      <c r="C7" s="12" t="inlineStr">
        <is>
          <t>2026-09-19 23:30</t>
        </is>
      </c>
      <c r="D7" s="22" t="n">
        <v>3</v>
      </c>
      <c r="E7" s="12" t="inlineStr">
        <is>
          <t>ML</t>
        </is>
      </c>
      <c r="F7" s="12" t="inlineStr">
        <is>
          <t>WVU ML</t>
        </is>
      </c>
      <c r="G7" s="23" t="n"/>
      <c r="H7" s="13" t="n">
        <v>310</v>
      </c>
      <c r="I7" s="15" t="n">
        <v>0.3480675974717846</v>
      </c>
      <c r="J7" s="15" t="n">
        <v>0.2340978954835659</v>
      </c>
      <c r="K7" s="15" t="n">
        <v>0.2439024390243902</v>
      </c>
      <c r="L7" s="14" t="n">
        <v>0.0949932782570538</v>
      </c>
      <c r="M7" s="14" t="n">
        <v>0.4270771496343169</v>
      </c>
      <c r="N7" s="15" t="n">
        <v>0</v>
      </c>
      <c r="O7" s="24" t="n">
        <v>0.839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UK @ TA&amp;M</t>
        </is>
      </c>
      <c r="C8" s="17" t="inlineStr">
        <is>
          <t>2026-09-19 19:30</t>
        </is>
      </c>
      <c r="D8" s="25" t="n">
        <v>3</v>
      </c>
      <c r="E8" s="17" t="inlineStr">
        <is>
          <t>ML</t>
        </is>
      </c>
      <c r="F8" s="17" t="inlineStr">
        <is>
          <t>UK ML</t>
        </is>
      </c>
      <c r="G8" s="26" t="n"/>
      <c r="H8" s="18" t="n">
        <v>550</v>
      </c>
      <c r="I8" s="20" t="n">
        <v>0.2186655350529577</v>
      </c>
      <c r="J8" s="20" t="n">
        <v>0.1475409836065574</v>
      </c>
      <c r="K8" s="20" t="n">
        <v>0.1538461538461539</v>
      </c>
      <c r="L8" s="19" t="n">
        <v>0.09499256667088452</v>
      </c>
      <c r="M8" s="19" t="n">
        <v>0.4213259778442251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PUR @ UCLA</t>
        </is>
      </c>
      <c r="C9" s="12" t="inlineStr">
        <is>
          <t>2026-09-20 03:00</t>
        </is>
      </c>
      <c r="D9" s="22" t="n">
        <v>3</v>
      </c>
      <c r="E9" s="12" t="inlineStr">
        <is>
          <t>ML</t>
        </is>
      </c>
      <c r="F9" s="12" t="inlineStr">
        <is>
          <t>PUR ML</t>
        </is>
      </c>
      <c r="G9" s="23" t="n"/>
      <c r="H9" s="13" t="n">
        <v>470</v>
      </c>
      <c r="I9" s="15" t="n">
        <v>0.2349806541961064</v>
      </c>
      <c r="J9" s="15" t="n">
        <v>0.1683501683501683</v>
      </c>
      <c r="K9" s="15" t="n">
        <v>0.1754385964912281</v>
      </c>
      <c r="L9" s="14" t="n">
        <v>0.09495429438449535</v>
      </c>
      <c r="M9" s="14" t="n">
        <v>0.3393897289178063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MRSH @ MOST</t>
        </is>
      </c>
      <c r="C10" s="17" t="inlineStr">
        <is>
          <t>2026-09-19 22:30</t>
        </is>
      </c>
      <c r="D10" s="25" t="n">
        <v>3</v>
      </c>
      <c r="E10" s="17" t="inlineStr">
        <is>
          <t>ML</t>
        </is>
      </c>
      <c r="F10" s="17" t="inlineStr">
        <is>
          <t>MOST ML</t>
        </is>
      </c>
      <c r="G10" s="26" t="n"/>
      <c r="H10" s="18" t="n">
        <v>140</v>
      </c>
      <c r="I10" s="20" t="n">
        <v>0.5350291495235194</v>
      </c>
      <c r="J10" s="20" t="n">
        <v>0.4003612281757977</v>
      </c>
      <c r="K10" s="20" t="n">
        <v>0.4166666666666667</v>
      </c>
      <c r="L10" s="19" t="n">
        <v>0.09484041945791273</v>
      </c>
      <c r="M10" s="19" t="n">
        <v>0.2840699588564466</v>
      </c>
      <c r="N10" s="20" t="n">
        <v>0</v>
      </c>
      <c r="O10" s="27" t="n">
        <v>0.839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CONN @ USM</t>
        </is>
      </c>
      <c r="C11" s="12" t="inlineStr">
        <is>
          <t>2026-09-19 23:00</t>
        </is>
      </c>
      <c r="D11" s="22" t="n">
        <v>3</v>
      </c>
      <c r="E11" s="12" t="inlineStr">
        <is>
          <t>ML</t>
        </is>
      </c>
      <c r="F11" s="12" t="inlineStr">
        <is>
          <t>USM ML</t>
        </is>
      </c>
      <c r="G11" s="23" t="n"/>
      <c r="H11" s="13" t="n">
        <v>130</v>
      </c>
      <c r="I11" s="15" t="n">
        <v>0.5405812204194759</v>
      </c>
      <c r="J11" s="15" t="n">
        <v>0.4170073589533933</v>
      </c>
      <c r="K11" s="15" t="n">
        <v>0.4347826086956522</v>
      </c>
      <c r="L11" s="14" t="n">
        <v>0.09462974281146971</v>
      </c>
      <c r="M11" s="14" t="n">
        <v>0.2433368069647943</v>
      </c>
      <c r="N11" s="15" t="n">
        <v>0</v>
      </c>
      <c r="O11" s="24" t="n">
        <v>0.839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WYO @ CMU</t>
        </is>
      </c>
      <c r="C12" s="17" t="inlineStr">
        <is>
          <t>2026-09-19 17:00</t>
        </is>
      </c>
      <c r="D12" s="25" t="n">
        <v>3</v>
      </c>
      <c r="E12" s="17" t="inlineStr">
        <is>
          <t>TOTAL</t>
        </is>
      </c>
      <c r="F12" s="17" t="inlineStr">
        <is>
          <t>Over 39.5</t>
        </is>
      </c>
      <c r="G12" s="26" t="n">
        <v>39.5</v>
      </c>
      <c r="H12" s="18" t="n">
        <v>-110</v>
      </c>
      <c r="I12" s="20" t="n">
        <v>0.6412004786693809</v>
      </c>
      <c r="J12" s="20" t="n">
        <v>0.5</v>
      </c>
      <c r="K12" s="20" t="n">
        <v>0.5238095238095238</v>
      </c>
      <c r="L12" s="19" t="n">
        <v>0.0945038485118886</v>
      </c>
      <c r="M12" s="19" t="n">
        <v>0.2241100047324545</v>
      </c>
      <c r="N12" s="20" t="n">
        <v>0</v>
      </c>
      <c r="O12" s="27" t="n">
        <v>0.839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VT @ MD</t>
        </is>
      </c>
      <c r="C13" s="12" t="inlineStr">
        <is>
          <t>2026-09-19 23:30</t>
        </is>
      </c>
      <c r="D13" s="22" t="n">
        <v>3</v>
      </c>
      <c r="E13" s="12" t="inlineStr">
        <is>
          <t>ML</t>
        </is>
      </c>
      <c r="F13" s="12" t="inlineStr">
        <is>
          <t>MD ML</t>
        </is>
      </c>
      <c r="G13" s="23" t="n"/>
      <c r="H13" s="13" t="n">
        <v>120</v>
      </c>
      <c r="I13" s="15" t="n">
        <v>0.5593700551773294</v>
      </c>
      <c r="J13" s="15" t="n">
        <v>0.4365079365079365</v>
      </c>
      <c r="K13" s="15" t="n">
        <v>0.4545454545454545</v>
      </c>
      <c r="L13" s="14" t="n">
        <v>0.09449401153722597</v>
      </c>
      <c r="M13" s="14" t="n">
        <v>0.2306141213901247</v>
      </c>
      <c r="N13" s="15" t="n">
        <v>0</v>
      </c>
      <c r="O13" s="24" t="n">
        <v>0.839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SYR @ PITT</t>
        </is>
      </c>
      <c r="C14" s="17" t="inlineStr">
        <is>
          <t>2026-09-17 23:30</t>
        </is>
      </c>
      <c r="D14" s="25" t="n">
        <v>3</v>
      </c>
      <c r="E14" s="17" t="inlineStr">
        <is>
          <t>ML</t>
        </is>
      </c>
      <c r="F14" s="17" t="inlineStr">
        <is>
          <t>SYR ML</t>
        </is>
      </c>
      <c r="G14" s="26" t="n"/>
      <c r="H14" s="18" t="n">
        <v>330</v>
      </c>
      <c r="I14" s="20" t="n">
        <v>0.2818944818069768</v>
      </c>
      <c r="J14" s="20" t="n">
        <v>0.2231668437832094</v>
      </c>
      <c r="K14" s="20" t="n">
        <v>0.2325581395348837</v>
      </c>
      <c r="L14" s="19" t="n">
        <v>0.09425696738082846</v>
      </c>
      <c r="M14" s="19" t="n">
        <v>0.2121462717700004</v>
      </c>
      <c r="N14" s="20" t="n">
        <v>0</v>
      </c>
      <c r="O14" s="27" t="n">
        <v>0.839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800</v>
      </c>
      <c r="I15" s="15" t="n">
        <v>0.3490079554408632</v>
      </c>
      <c r="J15" s="15" t="n">
        <v>0.1066176470588235</v>
      </c>
      <c r="K15" s="15" t="n">
        <v>0.1111111111111111</v>
      </c>
      <c r="L15" s="14" t="n">
        <v>0.095</v>
      </c>
      <c r="M15" s="14" t="n">
        <v>2.141071598967768</v>
      </c>
      <c r="N15" s="15" t="n">
        <v>0</v>
      </c>
      <c r="O15" s="24" t="n">
        <v>0.839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1400</v>
      </c>
      <c r="I16" s="20" t="n">
        <v>0.3251906036766951</v>
      </c>
      <c r="J16" s="20" t="n">
        <v>0.06432748538011696</v>
      </c>
      <c r="K16" s="20" t="n">
        <v>0.06666666666666667</v>
      </c>
      <c r="L16" s="19" t="n">
        <v>0.095</v>
      </c>
      <c r="M16" s="19" t="n">
        <v>3.877859055150426</v>
      </c>
      <c r="N16" s="20" t="n">
        <v>0</v>
      </c>
      <c r="O16" s="27" t="n">
        <v>0.839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AKR @ MINN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AKR ML</t>
        </is>
      </c>
      <c r="G17" s="23" t="n"/>
      <c r="H17" s="13" t="n">
        <v>1200</v>
      </c>
      <c r="I17" s="15" t="n">
        <v>0.2391486694716535</v>
      </c>
      <c r="J17" s="15" t="n">
        <v>0.0741839762611276</v>
      </c>
      <c r="K17" s="15" t="n">
        <v>0.07692307692307693</v>
      </c>
      <c r="L17" s="14" t="n">
        <v>0.095</v>
      </c>
      <c r="M17" s="14" t="n">
        <v>2.108932703131495</v>
      </c>
      <c r="N17" s="15" t="n">
        <v>0</v>
      </c>
      <c r="O17" s="24" t="n">
        <v>0.839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USU @ UTAH</t>
        </is>
      </c>
      <c r="C18" s="17" t="inlineStr">
        <is>
          <t>2026-09-19 19:30</t>
        </is>
      </c>
      <c r="D18" s="25" t="n">
        <v>3</v>
      </c>
      <c r="E18" s="17" t="inlineStr">
        <is>
          <t>ML</t>
        </is>
      </c>
      <c r="F18" s="17" t="inlineStr">
        <is>
          <t>USU ML</t>
        </is>
      </c>
      <c r="G18" s="26" t="n"/>
      <c r="H18" s="18" t="n">
        <v>2000</v>
      </c>
      <c r="I18" s="20" t="n">
        <v>0.1837630030986662</v>
      </c>
      <c r="J18" s="20" t="n">
        <v>0.0461215932914046</v>
      </c>
      <c r="K18" s="20" t="n">
        <v>0.04761904761904762</v>
      </c>
      <c r="L18" s="19" t="n">
        <v>0.095</v>
      </c>
      <c r="M18" s="19" t="n">
        <v>2.859023065071991</v>
      </c>
      <c r="N18" s="20" t="n">
        <v>0</v>
      </c>
      <c r="O18" s="27" t="n">
        <v>0.839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USC @ RUTG</t>
        </is>
      </c>
      <c r="C19" s="12" t="inlineStr">
        <is>
          <t>2026-09-19 19:30</t>
        </is>
      </c>
      <c r="D19" s="22" t="n">
        <v>3</v>
      </c>
      <c r="E19" s="12" t="inlineStr">
        <is>
          <t>ML</t>
        </is>
      </c>
      <c r="F19" s="12" t="inlineStr">
        <is>
          <t>RUTG ML</t>
        </is>
      </c>
      <c r="G19" s="23" t="n"/>
      <c r="H19" s="13" t="n">
        <v>1000</v>
      </c>
      <c r="I19" s="15" t="n">
        <v>0.3506371559727772</v>
      </c>
      <c r="J19" s="15" t="n">
        <v>0.08755760368663595</v>
      </c>
      <c r="K19" s="15" t="n">
        <v>0.09090909090909091</v>
      </c>
      <c r="L19" s="14" t="n">
        <v>0.095</v>
      </c>
      <c r="M19" s="14" t="n">
        <v>2.857008715700549</v>
      </c>
      <c r="N19" s="15" t="n">
        <v>0</v>
      </c>
      <c r="O19" s="24" t="n">
        <v>0.839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TROY @ MIZ</t>
        </is>
      </c>
      <c r="C20" s="17" t="inlineStr">
        <is>
          <t>2026-09-19 23:00</t>
        </is>
      </c>
      <c r="D20" s="25" t="n">
        <v>3</v>
      </c>
      <c r="E20" s="17" t="inlineStr">
        <is>
          <t>ML</t>
        </is>
      </c>
      <c r="F20" s="17" t="inlineStr">
        <is>
          <t>TROY ML</t>
        </is>
      </c>
      <c r="G20" s="26" t="n"/>
      <c r="H20" s="18" t="n">
        <v>2000</v>
      </c>
      <c r="I20" s="20" t="n">
        <v>0.1682052507748195</v>
      </c>
      <c r="J20" s="20" t="n">
        <v>0.0461215932914046</v>
      </c>
      <c r="K20" s="20" t="n">
        <v>0.04761904761904762</v>
      </c>
      <c r="L20" s="19" t="n">
        <v>0.095</v>
      </c>
      <c r="M20" s="19" t="n">
        <v>2.53231026627121</v>
      </c>
      <c r="N20" s="20" t="n">
        <v>0</v>
      </c>
      <c r="O20" s="27" t="n">
        <v>0.839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UTM @ MEM</t>
        </is>
      </c>
      <c r="C21" s="12" t="inlineStr">
        <is>
          <t>2026-09-19 23:00</t>
        </is>
      </c>
      <c r="D21" s="22" t="n">
        <v>3</v>
      </c>
      <c r="E21" s="12" t="inlineStr">
        <is>
          <t>ML</t>
        </is>
      </c>
      <c r="F21" s="12" t="inlineStr">
        <is>
          <t>UTM ML</t>
        </is>
      </c>
      <c r="G21" s="23" t="n"/>
      <c r="H21" s="13" t="n">
        <v>4000</v>
      </c>
      <c r="I21" s="15" t="n">
        <v>0.1699058499220472</v>
      </c>
      <c r="J21" s="15" t="n">
        <v>0.02385600685681634</v>
      </c>
      <c r="K21" s="15" t="n">
        <v>0.02439024390243903</v>
      </c>
      <c r="L21" s="14" t="n">
        <v>0.095</v>
      </c>
      <c r="M21" s="14" t="n">
        <v>5.966139846803934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UTM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UND @ NEB</t>
        </is>
      </c>
      <c r="C22" s="17" t="inlineStr">
        <is>
          <t>2026-09-19 23:15</t>
        </is>
      </c>
      <c r="D22" s="25" t="n">
        <v>3</v>
      </c>
      <c r="E22" s="17" t="inlineStr">
        <is>
          <t>ML</t>
        </is>
      </c>
      <c r="F22" s="17" t="inlineStr">
        <is>
          <t>UND ML</t>
        </is>
      </c>
      <c r="G22" s="26" t="n"/>
      <c r="H22" s="18" t="n">
        <v>1400</v>
      </c>
      <c r="I22" s="20" t="n">
        <v>0.2000862017472792</v>
      </c>
      <c r="J22" s="20" t="n">
        <v>0.06432748538011696</v>
      </c>
      <c r="K22" s="20" t="n">
        <v>0.06666666666666667</v>
      </c>
      <c r="L22" s="19" t="n">
        <v>0.095</v>
      </c>
      <c r="M22" s="19" t="n">
        <v>2.001293026209188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UND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BYU @ CSU</t>
        </is>
      </c>
      <c r="C23" s="12" t="inlineStr">
        <is>
          <t>2026-09-19 23:30</t>
        </is>
      </c>
      <c r="D23" s="22" t="n">
        <v>3</v>
      </c>
      <c r="E23" s="12" t="inlineStr">
        <is>
          <t>ML</t>
        </is>
      </c>
      <c r="F23" s="12" t="inlineStr">
        <is>
          <t>CSU ML</t>
        </is>
      </c>
      <c r="G23" s="23" t="n"/>
      <c r="H23" s="13" t="n">
        <v>650</v>
      </c>
      <c r="I23" s="15" t="n">
        <v>0.38681022139775</v>
      </c>
      <c r="J23" s="15" t="n">
        <v>0.1279069767441861</v>
      </c>
      <c r="K23" s="15" t="n">
        <v>0.1333333333333333</v>
      </c>
      <c r="L23" s="14" t="n">
        <v>0.095</v>
      </c>
      <c r="M23" s="14" t="n">
        <v>1.901076660483125</v>
      </c>
      <c r="N23" s="15" t="n">
        <v>0</v>
      </c>
      <c r="O23" s="24" t="n">
        <v>0.839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MSU @ ND</t>
        </is>
      </c>
      <c r="C24" s="17" t="inlineStr">
        <is>
          <t>2026-09-19 23:30</t>
        </is>
      </c>
      <c r="D24" s="25" t="n">
        <v>3</v>
      </c>
      <c r="E24" s="17" t="inlineStr">
        <is>
          <t>ML</t>
        </is>
      </c>
      <c r="F24" s="17" t="inlineStr">
        <is>
          <t>MSU ML</t>
        </is>
      </c>
      <c r="G24" s="26" t="n"/>
      <c r="H24" s="18" t="n">
        <v>1700</v>
      </c>
      <c r="I24" s="20" t="n">
        <v>0.1823982039800229</v>
      </c>
      <c r="J24" s="20" t="n">
        <v>0.05373831775700934</v>
      </c>
      <c r="K24" s="20" t="n">
        <v>0.05555555555555555</v>
      </c>
      <c r="L24" s="19" t="n">
        <v>0.095</v>
      </c>
      <c r="M24" s="19" t="n">
        <v>2.283167671640413</v>
      </c>
      <c r="N24" s="20" t="n">
        <v>0</v>
      </c>
      <c r="O24" s="27" t="n">
        <v>0.839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KENN @ TENN</t>
        </is>
      </c>
      <c r="C25" s="12" t="inlineStr">
        <is>
          <t>2026-09-19 23:45</t>
        </is>
      </c>
      <c r="D25" s="22" t="n">
        <v>3</v>
      </c>
      <c r="E25" s="12" t="inlineStr">
        <is>
          <t>ML</t>
        </is>
      </c>
      <c r="F25" s="12" t="inlineStr">
        <is>
          <t>KENN ML</t>
        </is>
      </c>
      <c r="G25" s="23" t="n"/>
      <c r="H25" s="13" t="n">
        <v>5000</v>
      </c>
      <c r="I25" s="15" t="n">
        <v>0.1500632741626556</v>
      </c>
      <c r="J25" s="15" t="n">
        <v>0.01924962981481125</v>
      </c>
      <c r="K25" s="15" t="n">
        <v>0.0196078431372549</v>
      </c>
      <c r="L25" s="14" t="n">
        <v>0.095</v>
      </c>
      <c r="M25" s="14" t="n">
        <v>6.653226982295437</v>
      </c>
      <c r="N25" s="15" t="n">
        <v>0</v>
      </c>
      <c r="O25" s="24" t="n">
        <v>0.839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UTSA @ TEX</t>
        </is>
      </c>
      <c r="C26" s="17" t="inlineStr">
        <is>
          <t>2026-09-20 00:00</t>
        </is>
      </c>
      <c r="D26" s="25" t="n">
        <v>3</v>
      </c>
      <c r="E26" s="17" t="inlineStr">
        <is>
          <t>ML</t>
        </is>
      </c>
      <c r="F26" s="17" t="inlineStr">
        <is>
          <t>UTSA ML</t>
        </is>
      </c>
      <c r="G26" s="26" t="n"/>
      <c r="H26" s="18" t="n">
        <v>2200</v>
      </c>
      <c r="I26" s="20" t="n">
        <v>0.2225793163052416</v>
      </c>
      <c r="J26" s="20" t="n">
        <v>0.04216553878188443</v>
      </c>
      <c r="K26" s="20" t="n">
        <v>0.04347826086956522</v>
      </c>
      <c r="L26" s="19" t="n">
        <v>0.095</v>
      </c>
      <c r="M26" s="19" t="n">
        <v>4.119324275020558</v>
      </c>
      <c r="N26" s="20" t="n">
        <v>0</v>
      </c>
      <c r="O26" s="27" t="n">
        <v>0.839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NIU @ ARIZ</t>
        </is>
      </c>
      <c r="C27" s="12" t="inlineStr">
        <is>
          <t>2026-09-20 02:30</t>
        </is>
      </c>
      <c r="D27" s="22" t="n">
        <v>3</v>
      </c>
      <c r="E27" s="12" t="inlineStr">
        <is>
          <t>ML</t>
        </is>
      </c>
      <c r="F27" s="12" t="inlineStr">
        <is>
          <t>NIU ML</t>
        </is>
      </c>
      <c r="G27" s="23" t="n"/>
      <c r="H27" s="13" t="n">
        <v>5000</v>
      </c>
      <c r="I27" s="15" t="n">
        <v>0.1580287135067027</v>
      </c>
      <c r="J27" s="15" t="n">
        <v>0.01924962981481125</v>
      </c>
      <c r="K27" s="15" t="n">
        <v>0.0196078431372549</v>
      </c>
      <c r="L27" s="14" t="n">
        <v>0.095</v>
      </c>
      <c r="M27" s="14" t="n">
        <v>7.059464388841835</v>
      </c>
      <c r="N27" s="15" t="n">
        <v>0</v>
      </c>
      <c r="O27" s="24" t="n">
        <v>0.839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NDSU @ SAC</t>
        </is>
      </c>
      <c r="C28" s="17" t="inlineStr">
        <is>
          <t>2026-09-20 02:30</t>
        </is>
      </c>
      <c r="D28" s="25" t="n">
        <v>3</v>
      </c>
      <c r="E28" s="17" t="inlineStr">
        <is>
          <t>ML</t>
        </is>
      </c>
      <c r="F28" s="17" t="inlineStr">
        <is>
          <t>SAC ML</t>
        </is>
      </c>
      <c r="G28" s="26" t="n"/>
      <c r="H28" s="18" t="n">
        <v>2200</v>
      </c>
      <c r="I28" s="20" t="n">
        <v>0.3156576773054368</v>
      </c>
      <c r="J28" s="20" t="n">
        <v>0.04216553878188443</v>
      </c>
      <c r="K28" s="20" t="n">
        <v>0.04347826086956522</v>
      </c>
      <c r="L28" s="19" t="n">
        <v>0.095</v>
      </c>
      <c r="M28" s="19" t="n">
        <v>6.260126578025047</v>
      </c>
      <c r="N28" s="20" t="n">
        <v>0</v>
      </c>
      <c r="O28" s="27" t="n">
        <v>0.926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EMU @ WIS</t>
        </is>
      </c>
      <c r="C29" s="12" t="inlineStr">
        <is>
          <t>2026-09-19 16:30</t>
        </is>
      </c>
      <c r="D29" s="22" t="n">
        <v>3</v>
      </c>
      <c r="E29" s="12" t="inlineStr">
        <is>
          <t>ML</t>
        </is>
      </c>
      <c r="F29" s="12" t="inlineStr">
        <is>
          <t>EMU ML</t>
        </is>
      </c>
      <c r="G29" s="23" t="n"/>
      <c r="H29" s="13" t="n">
        <v>1200</v>
      </c>
      <c r="I29" s="15" t="n">
        <v>0.2043531353241003</v>
      </c>
      <c r="J29" s="15" t="n">
        <v>0.0741839762611276</v>
      </c>
      <c r="K29" s="15" t="n">
        <v>0.07692307692307693</v>
      </c>
      <c r="L29" s="14" t="n">
        <v>0.09499999999999997</v>
      </c>
      <c r="M29" s="14" t="n">
        <v>1.656590759213303</v>
      </c>
      <c r="N29" s="15" t="n">
        <v>0</v>
      </c>
      <c r="O29" s="24" t="n">
        <v>0.839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UNM @ OU</t>
        </is>
      </c>
      <c r="C30" s="17" t="inlineStr">
        <is>
          <t>2026-09-19 23:30</t>
        </is>
      </c>
      <c r="D30" s="25" t="n">
        <v>3</v>
      </c>
      <c r="E30" s="17" t="inlineStr">
        <is>
          <t>ML</t>
        </is>
      </c>
      <c r="F30" s="17" t="inlineStr">
        <is>
          <t>UNM ML</t>
        </is>
      </c>
      <c r="G30" s="26" t="n"/>
      <c r="H30" s="18" t="n">
        <v>1100</v>
      </c>
      <c r="I30" s="20" t="n">
        <v>0.2199933622931382</v>
      </c>
      <c r="J30" s="20" t="n">
        <v>0.08029197080291971</v>
      </c>
      <c r="K30" s="20" t="n">
        <v>0.08333333333333333</v>
      </c>
      <c r="L30" s="19" t="n">
        <v>0.09499999999999997</v>
      </c>
      <c r="M30" s="19" t="n">
        <v>1.639920347517658</v>
      </c>
      <c r="N30" s="20" t="n">
        <v>0</v>
      </c>
      <c r="O30" s="27" t="n">
        <v>0.839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BGSU @ ISU</t>
        </is>
      </c>
      <c r="C31" s="12" t="inlineStr">
        <is>
          <t>2026-09-19 16:00</t>
        </is>
      </c>
      <c r="D31" s="22" t="n">
        <v>3</v>
      </c>
      <c r="E31" s="12" t="inlineStr">
        <is>
          <t>ML</t>
        </is>
      </c>
      <c r="F31" s="12" t="inlineStr">
        <is>
          <t>BGSU ML</t>
        </is>
      </c>
      <c r="G31" s="23" t="n"/>
      <c r="H31" s="13" t="n">
        <v>1200</v>
      </c>
      <c r="I31" s="15" t="n">
        <v>0.1814887794222231</v>
      </c>
      <c r="J31" s="15" t="n">
        <v>0.0741839762611276</v>
      </c>
      <c r="K31" s="15" t="n">
        <v>0.07692307692307693</v>
      </c>
      <c r="L31" s="14" t="n">
        <v>0.09499999999998869</v>
      </c>
      <c r="M31" s="14" t="n">
        <v>1.3593541324889</v>
      </c>
      <c r="N31" s="15" t="n">
        <v>0</v>
      </c>
      <c r="O31" s="24" t="n">
        <v>0.839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TULN @ KSU</t>
        </is>
      </c>
      <c r="C32" s="17" t="inlineStr">
        <is>
          <t>2026-09-19 16:00</t>
        </is>
      </c>
      <c r="D32" s="25" t="n">
        <v>3</v>
      </c>
      <c r="E32" s="17" t="inlineStr">
        <is>
          <t>ML</t>
        </is>
      </c>
      <c r="F32" s="17" t="inlineStr">
        <is>
          <t>TULN ML</t>
        </is>
      </c>
      <c r="G32" s="26" t="n"/>
      <c r="H32" s="18" t="n">
        <v>1000</v>
      </c>
      <c r="I32" s="20" t="n">
        <v>0.2057847526979535</v>
      </c>
      <c r="J32" s="20" t="n">
        <v>0.08755760368663595</v>
      </c>
      <c r="K32" s="20" t="n">
        <v>0.09090909090909091</v>
      </c>
      <c r="L32" s="19" t="n">
        <v>0.09499999999991428</v>
      </c>
      <c r="M32" s="19" t="n">
        <v>1.263632279677489</v>
      </c>
      <c r="N32" s="20" t="n">
        <v>0</v>
      </c>
      <c r="O32" s="27" t="n">
        <v>0.839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ARST @ TCU</t>
        </is>
      </c>
      <c r="C33" s="12" t="inlineStr">
        <is>
          <t>2026-09-20 00:00</t>
        </is>
      </c>
      <c r="D33" s="22" t="n">
        <v>3</v>
      </c>
      <c r="E33" s="12" t="inlineStr">
        <is>
          <t>ML</t>
        </is>
      </c>
      <c r="F33" s="12" t="inlineStr">
        <is>
          <t>ARST ML</t>
        </is>
      </c>
      <c r="G33" s="23" t="n"/>
      <c r="H33" s="13" t="n">
        <v>800</v>
      </c>
      <c r="I33" s="15" t="n">
        <v>0.2383301549565342</v>
      </c>
      <c r="J33" s="15" t="n">
        <v>0.1066176470588235</v>
      </c>
      <c r="K33" s="15" t="n">
        <v>0.1111111111111111</v>
      </c>
      <c r="L33" s="14" t="n">
        <v>0.09499999999903685</v>
      </c>
      <c r="M33" s="14" t="n">
        <v>1.144971394608808</v>
      </c>
      <c r="N33" s="15" t="n">
        <v>0</v>
      </c>
      <c r="O33" s="24" t="n">
        <v>0.839</v>
      </c>
      <c r="P33" s="12" t="inlineStr">
        <is>
          <t>DraftKings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LT @ BAY</t>
        </is>
      </c>
      <c r="C34" s="17" t="inlineStr">
        <is>
          <t>2026-09-19 20:00</t>
        </is>
      </c>
      <c r="D34" s="25" t="n">
        <v>3</v>
      </c>
      <c r="E34" s="17" t="inlineStr">
        <is>
          <t>ML</t>
        </is>
      </c>
      <c r="F34" s="17" t="inlineStr">
        <is>
          <t>LT ML</t>
        </is>
      </c>
      <c r="G34" s="26" t="n"/>
      <c r="H34" s="18" t="n">
        <v>800</v>
      </c>
      <c r="I34" s="20" t="n">
        <v>0.2320729380512567</v>
      </c>
      <c r="J34" s="20" t="n">
        <v>0.1066176470588235</v>
      </c>
      <c r="K34" s="20" t="n">
        <v>0.1111111111111111</v>
      </c>
      <c r="L34" s="19" t="n">
        <v>0.09499999999668654</v>
      </c>
      <c r="M34" s="19" t="n">
        <v>1.088656442461311</v>
      </c>
      <c r="N34" s="20" t="n">
        <v>0</v>
      </c>
      <c r="O34" s="27" t="n">
        <v>0.839</v>
      </c>
      <c r="P34" s="17" t="inlineStr">
        <is>
          <t>DraftKings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GAST @ UCF</t>
        </is>
      </c>
      <c r="C35" s="12" t="inlineStr">
        <is>
          <t>2026-09-19 23:00</t>
        </is>
      </c>
      <c r="D35" s="22" t="n">
        <v>3</v>
      </c>
      <c r="E35" s="12" t="inlineStr">
        <is>
          <t>ML</t>
        </is>
      </c>
      <c r="F35" s="12" t="inlineStr">
        <is>
          <t>GAST ML</t>
        </is>
      </c>
      <c r="G35" s="23" t="n"/>
      <c r="H35" s="13" t="n">
        <v>750</v>
      </c>
      <c r="I35" s="15" t="n">
        <v>0.2459347859855046</v>
      </c>
      <c r="J35" s="15" t="n">
        <v>0.1130434782608696</v>
      </c>
      <c r="K35" s="15" t="n">
        <v>0.1176470588235294</v>
      </c>
      <c r="L35" s="14" t="n">
        <v>0.09499999999660841</v>
      </c>
      <c r="M35" s="14" t="n">
        <v>1.090445680876789</v>
      </c>
      <c r="N35" s="15" t="n">
        <v>0</v>
      </c>
      <c r="O35" s="24" t="n">
        <v>0.839</v>
      </c>
      <c r="P35" s="12" t="inlineStr">
        <is>
          <t>DraftKings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FSU @ ALA</t>
        </is>
      </c>
      <c r="C36" s="17" t="inlineStr">
        <is>
          <t>2026-09-19 19:30</t>
        </is>
      </c>
      <c r="D36" s="25" t="n">
        <v>3</v>
      </c>
      <c r="E36" s="17" t="inlineStr">
        <is>
          <t>ML</t>
        </is>
      </c>
      <c r="F36" s="17" t="inlineStr">
        <is>
          <t>FSU ML</t>
        </is>
      </c>
      <c r="G36" s="26" t="n"/>
      <c r="H36" s="18" t="n">
        <v>800</v>
      </c>
      <c r="I36" s="20" t="n">
        <v>0.2129710049020146</v>
      </c>
      <c r="J36" s="20" t="n">
        <v>0.1066176470588235</v>
      </c>
      <c r="K36" s="20" t="n">
        <v>0.1111111111111111</v>
      </c>
      <c r="L36" s="19" t="n">
        <v>0.09499999985599548</v>
      </c>
      <c r="M36" s="19" t="n">
        <v>0.9167390441181313</v>
      </c>
      <c r="N36" s="20" t="n">
        <v>0</v>
      </c>
      <c r="O36" s="27" t="n">
        <v>0.839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WMU @ RICE</t>
        </is>
      </c>
      <c r="C37" s="12" t="inlineStr">
        <is>
          <t>2026-09-19 23:00</t>
        </is>
      </c>
      <c r="D37" s="22" t="n">
        <v>3</v>
      </c>
      <c r="E37" s="12" t="inlineStr">
        <is>
          <t>ML</t>
        </is>
      </c>
      <c r="F37" s="12" t="inlineStr">
        <is>
          <t>RICE ML</t>
        </is>
      </c>
      <c r="G37" s="23" t="n"/>
      <c r="H37" s="13" t="n">
        <v>295</v>
      </c>
      <c r="I37" s="15" t="n">
        <v>0.4229831592490321</v>
      </c>
      <c r="J37" s="15" t="n">
        <v>0.2428115015974441</v>
      </c>
      <c r="K37" s="15" t="n">
        <v>0.2531645569620253</v>
      </c>
      <c r="L37" s="14" t="n">
        <v>0.09499996878174782</v>
      </c>
      <c r="M37" s="14" t="n">
        <v>0.6707834790336769</v>
      </c>
      <c r="N37" s="15" t="n">
        <v>0</v>
      </c>
      <c r="O37" s="24" t="n">
        <v>0.839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CLT @ APP</t>
        </is>
      </c>
      <c r="C38" s="17" t="inlineStr">
        <is>
          <t>2026-09-19 22:00</t>
        </is>
      </c>
      <c r="D38" s="25" t="n">
        <v>3</v>
      </c>
      <c r="E38" s="17" t="inlineStr">
        <is>
          <t>ML</t>
        </is>
      </c>
      <c r="F38" s="17" t="inlineStr">
        <is>
          <t>CLT ML</t>
        </is>
      </c>
      <c r="G38" s="26" t="n"/>
      <c r="H38" s="18" t="n">
        <v>650</v>
      </c>
      <c r="I38" s="20" t="n">
        <v>0.2073560652592352</v>
      </c>
      <c r="J38" s="20" t="n">
        <v>0.1279069767441861</v>
      </c>
      <c r="K38" s="20" t="n">
        <v>0.1333333333333333</v>
      </c>
      <c r="L38" s="19" t="n">
        <v>0.09499960228138327</v>
      </c>
      <c r="M38" s="19" t="n">
        <v>0.5551704894442642</v>
      </c>
      <c r="N38" s="20" t="n">
        <v>0</v>
      </c>
      <c r="O38" s="27" t="n">
        <v>0.839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FRES @ SJSU</t>
        </is>
      </c>
      <c r="C39" s="12" t="inlineStr">
        <is>
          <t>2026-09-20 03:00</t>
        </is>
      </c>
      <c r="D39" s="22" t="n">
        <v>3</v>
      </c>
      <c r="E39" s="12" t="inlineStr">
        <is>
          <t>ML</t>
        </is>
      </c>
      <c r="F39" s="12" t="inlineStr">
        <is>
          <t>SJSU ML</t>
        </is>
      </c>
      <c r="G39" s="23" t="n"/>
      <c r="H39" s="13" t="n">
        <v>205</v>
      </c>
      <c r="I39" s="15" t="n">
        <v>0.4829846249959699</v>
      </c>
      <c r="J39" s="15" t="n">
        <v>0.3146067415730336</v>
      </c>
      <c r="K39" s="15" t="n">
        <v>0.3278688524590164</v>
      </c>
      <c r="L39" s="14" t="n">
        <v>0.09499757125571361</v>
      </c>
      <c r="M39" s="14" t="n">
        <v>0.4731031062377082</v>
      </c>
      <c r="N39" s="15" t="n">
        <v>0</v>
      </c>
      <c r="O39" s="24" t="n">
        <v>0.839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BUFF @ PSU</t>
        </is>
      </c>
      <c r="C40" s="17" t="inlineStr">
        <is>
          <t>2026-09-19 16:00</t>
        </is>
      </c>
      <c r="D40" s="25" t="n">
        <v>3</v>
      </c>
      <c r="E40" s="17" t="inlineStr">
        <is>
          <t>ATS</t>
        </is>
      </c>
      <c r="F40" s="17" t="inlineStr">
        <is>
          <t>BUFF +40.5</t>
        </is>
      </c>
      <c r="G40" s="26" t="n">
        <v>-40.5</v>
      </c>
      <c r="H40" s="18" t="n">
        <v>-102</v>
      </c>
      <c r="I40" s="20" t="n">
        <v>0.7389422975575102</v>
      </c>
      <c r="J40" s="20" t="n">
        <v>0.4826358742837298</v>
      </c>
      <c r="K40" s="20" t="n">
        <v>0.504950495049505</v>
      </c>
      <c r="L40" s="19" t="n">
        <v>0.09499734976014346</v>
      </c>
      <c r="M40" s="19" t="n">
        <v>0.4633955304570301</v>
      </c>
      <c r="N40" s="20" t="n">
        <v>0</v>
      </c>
      <c r="O40" s="27" t="n">
        <v>0.839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UGA @ ARK</t>
        </is>
      </c>
      <c r="C41" s="12" t="inlineStr">
        <is>
          <t>2026-09-19 16:00</t>
        </is>
      </c>
      <c r="D41" s="22" t="n">
        <v>3</v>
      </c>
      <c r="E41" s="12" t="inlineStr">
        <is>
          <t>ATS</t>
        </is>
      </c>
      <c r="F41" s="12" t="inlineStr">
        <is>
          <t>ARK +24.5</t>
        </is>
      </c>
      <c r="G41" s="23" t="n">
        <v>24.5</v>
      </c>
      <c r="H41" s="13" t="n">
        <v>100</v>
      </c>
      <c r="I41" s="15" t="n">
        <v>0.7319734689732543</v>
      </c>
      <c r="J41" s="15" t="n">
        <v>0.4782608695652174</v>
      </c>
      <c r="K41" s="15" t="n">
        <v>0.5</v>
      </c>
      <c r="L41" s="14" t="n">
        <v>0.09499731802056277</v>
      </c>
      <c r="M41" s="14" t="n">
        <v>0.4639469379465087</v>
      </c>
      <c r="N41" s="15" t="n">
        <v>0</v>
      </c>
      <c r="O41" s="24" t="n">
        <v>0.839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DUQ @ WSU</t>
        </is>
      </c>
      <c r="C42" s="17" t="inlineStr">
        <is>
          <t>2026-09-19 19:30</t>
        </is>
      </c>
      <c r="D42" s="25" t="n">
        <v>3</v>
      </c>
      <c r="E42" s="17" t="inlineStr">
        <is>
          <t>ATS</t>
        </is>
      </c>
      <c r="F42" s="17" t="inlineStr">
        <is>
          <t>DUQ +37.5</t>
        </is>
      </c>
      <c r="G42" s="26" t="n">
        <v>-37.5</v>
      </c>
      <c r="H42" s="18" t="n">
        <v>-105</v>
      </c>
      <c r="I42" s="20" t="n">
        <v>0.7429472396550834</v>
      </c>
      <c r="J42" s="20" t="n">
        <v>0.4891657638136511</v>
      </c>
      <c r="K42" s="20" t="n">
        <v>0.5121951219512195</v>
      </c>
      <c r="L42" s="19" t="n">
        <v>0.09499657000771002</v>
      </c>
      <c r="M42" s="19" t="n">
        <v>0.4505160393265912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DUQ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KENT @ OSU</t>
        </is>
      </c>
      <c r="C43" s="12" t="inlineStr">
        <is>
          <t>2026-09-19 16:00</t>
        </is>
      </c>
      <c r="D43" s="22" t="n">
        <v>3</v>
      </c>
      <c r="E43" s="12" t="inlineStr">
        <is>
          <t>ATS</t>
        </is>
      </c>
      <c r="F43" s="12" t="inlineStr">
        <is>
          <t>KENT +52.5</t>
        </is>
      </c>
      <c r="G43" s="23" t="n">
        <v>-52.5</v>
      </c>
      <c r="H43" s="13" t="n">
        <v>-108</v>
      </c>
      <c r="I43" s="15" t="n">
        <v>0.7477418884696789</v>
      </c>
      <c r="J43" s="15" t="n">
        <v>0.4956702459300312</v>
      </c>
      <c r="K43" s="15" t="n">
        <v>0.5192307692307693</v>
      </c>
      <c r="L43" s="14" t="n">
        <v>0.09499574326169095</v>
      </c>
      <c r="M43" s="14" t="n">
        <v>0.440095488904567</v>
      </c>
      <c r="N43" s="15" t="n">
        <v>0</v>
      </c>
      <c r="O43" s="24" t="n">
        <v>0.839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EWU @ WASH</t>
        </is>
      </c>
      <c r="C44" s="17" t="inlineStr">
        <is>
          <t>2026-09-19 23:15</t>
        </is>
      </c>
      <c r="D44" s="25" t="n">
        <v>3</v>
      </c>
      <c r="E44" s="17" t="inlineStr">
        <is>
          <t>ATS</t>
        </is>
      </c>
      <c r="F44" s="17" t="inlineStr">
        <is>
          <t>EWU +42.5</t>
        </is>
      </c>
      <c r="G44" s="26" t="n">
        <v>-42.5</v>
      </c>
      <c r="H44" s="18" t="n">
        <v>-108</v>
      </c>
      <c r="I44" s="20" t="n">
        <v>0.7471311915500163</v>
      </c>
      <c r="J44" s="20" t="n">
        <v>0.4956702459300312</v>
      </c>
      <c r="K44" s="20" t="n">
        <v>0.5192307692307693</v>
      </c>
      <c r="L44" s="19" t="n">
        <v>0.0949956314078732</v>
      </c>
      <c r="M44" s="19" t="n">
        <v>0.4389193318741056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EWU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SIU @ ILL</t>
        </is>
      </c>
      <c r="C45" s="12" t="inlineStr">
        <is>
          <t>2026-09-19 18:00</t>
        </is>
      </c>
      <c r="D45" s="22" t="n">
        <v>3</v>
      </c>
      <c r="E45" s="12" t="inlineStr">
        <is>
          <t>ATS</t>
        </is>
      </c>
      <c r="F45" s="12" t="inlineStr">
        <is>
          <t>SIU +41.5</t>
        </is>
      </c>
      <c r="G45" s="23" t="n">
        <v>-41.5</v>
      </c>
      <c r="H45" s="13" t="n">
        <v>-108</v>
      </c>
      <c r="I45" s="15" t="n">
        <v>0.7469572432070388</v>
      </c>
      <c r="J45" s="15" t="n">
        <v>0.4956702459300312</v>
      </c>
      <c r="K45" s="15" t="n">
        <v>0.5192307692307693</v>
      </c>
      <c r="L45" s="14" t="n">
        <v>0.09499559901342604</v>
      </c>
      <c r="M45" s="14" t="n">
        <v>0.4385843202505935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SIU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WKU @ IU</t>
        </is>
      </c>
      <c r="C46" s="17" t="inlineStr">
        <is>
          <t>2026-09-19 20:00</t>
        </is>
      </c>
      <c r="D46" s="25" t="n">
        <v>3</v>
      </c>
      <c r="E46" s="17" t="inlineStr">
        <is>
          <t>ATS</t>
        </is>
      </c>
      <c r="F46" s="17" t="inlineStr">
        <is>
          <t>WKU +44.5</t>
        </is>
      </c>
      <c r="G46" s="26" t="n">
        <v>-44.5</v>
      </c>
      <c r="H46" s="18" t="n">
        <v>-108</v>
      </c>
      <c r="I46" s="20" t="n">
        <v>0.746930631659275</v>
      </c>
      <c r="J46" s="20" t="n">
        <v>0.4956702459300312</v>
      </c>
      <c r="K46" s="20" t="n">
        <v>0.5192307692307693</v>
      </c>
      <c r="L46" s="19" t="n">
        <v>0.09499559403640924</v>
      </c>
      <c r="M46" s="19" t="n">
        <v>0.438533068380826</v>
      </c>
      <c r="N46" s="20" t="n">
        <v>0</v>
      </c>
      <c r="O46" s="27" t="n">
        <v>0.839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MER @ GT</t>
        </is>
      </c>
      <c r="C47" s="12" t="inlineStr">
        <is>
          <t>2026-09-19 16:00</t>
        </is>
      </c>
      <c r="D47" s="22" t="n">
        <v>3</v>
      </c>
      <c r="E47" s="12" t="inlineStr">
        <is>
          <t>ATS</t>
        </is>
      </c>
      <c r="F47" s="12" t="inlineStr">
        <is>
          <t>MER +38.5</t>
        </is>
      </c>
      <c r="G47" s="23" t="n">
        <v>-38.5</v>
      </c>
      <c r="H47" s="13" t="n">
        <v>-108</v>
      </c>
      <c r="I47" s="15" t="n">
        <v>0.746588521231617</v>
      </c>
      <c r="J47" s="15" t="n">
        <v>0.4956702459300312</v>
      </c>
      <c r="K47" s="15" t="n">
        <v>0.5192307692307693</v>
      </c>
      <c r="L47" s="14" t="n">
        <v>0.09499552954978971</v>
      </c>
      <c r="M47" s="14" t="n">
        <v>0.4378741890386699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MER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NDSU @ SAC</t>
        </is>
      </c>
      <c r="C48" s="17" t="inlineStr">
        <is>
          <t>2026-09-20 02:30</t>
        </is>
      </c>
      <c r="D48" s="25" t="n">
        <v>3</v>
      </c>
      <c r="E48" s="17" t="inlineStr">
        <is>
          <t>ATS</t>
        </is>
      </c>
      <c r="F48" s="17" t="inlineStr">
        <is>
          <t>SAC +27.5</t>
        </is>
      </c>
      <c r="G48" s="26" t="n">
        <v>27.5</v>
      </c>
      <c r="H48" s="18" t="n">
        <v>-108</v>
      </c>
      <c r="I48" s="20" t="n">
        <v>0.7437912111159868</v>
      </c>
      <c r="J48" s="20" t="n">
        <v>0.4956702459300312</v>
      </c>
      <c r="K48" s="20" t="n">
        <v>0.5192307692307693</v>
      </c>
      <c r="L48" s="19" t="n">
        <v>0.0949949655893387</v>
      </c>
      <c r="M48" s="19" t="n">
        <v>0.4324867769641227</v>
      </c>
      <c r="N48" s="20" t="n">
        <v>0</v>
      </c>
      <c r="O48" s="27" t="n">
        <v>0.926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ME @ BC</t>
        </is>
      </c>
      <c r="C49" s="12" t="inlineStr">
        <is>
          <t>2026-09-19 18:00</t>
        </is>
      </c>
      <c r="D49" s="22" t="n">
        <v>3</v>
      </c>
      <c r="E49" s="12" t="inlineStr">
        <is>
          <t>ATS</t>
        </is>
      </c>
      <c r="F49" s="12" t="inlineStr">
        <is>
          <t>ME +38.5</t>
        </is>
      </c>
      <c r="G49" s="23" t="n">
        <v>-38.5</v>
      </c>
      <c r="H49" s="13" t="n">
        <v>-110</v>
      </c>
      <c r="I49" s="15" t="n">
        <v>0.7487415407741447</v>
      </c>
      <c r="J49" s="15" t="n">
        <v>0.5</v>
      </c>
      <c r="K49" s="15" t="n">
        <v>0.5238095238095238</v>
      </c>
      <c r="L49" s="14" t="n">
        <v>0.09499462680320266</v>
      </c>
      <c r="M49" s="14" t="n">
        <v>0.4294156687506399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ME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KENN @ TENN</t>
        </is>
      </c>
      <c r="C50" s="17" t="inlineStr">
        <is>
          <t>2026-09-19 23:45</t>
        </is>
      </c>
      <c r="D50" s="25" t="n">
        <v>3</v>
      </c>
      <c r="E50" s="17" t="inlineStr">
        <is>
          <t>ATS</t>
        </is>
      </c>
      <c r="F50" s="17" t="inlineStr">
        <is>
          <t>KENN +35.5</t>
        </is>
      </c>
      <c r="G50" s="26" t="n">
        <v>-35.5</v>
      </c>
      <c r="H50" s="18" t="n">
        <v>-108</v>
      </c>
      <c r="I50" s="20" t="n">
        <v>0.7404279364999059</v>
      </c>
      <c r="J50" s="20" t="n">
        <v>0.4956702459300312</v>
      </c>
      <c r="K50" s="20" t="n">
        <v>0.5192307692307693</v>
      </c>
      <c r="L50" s="19" t="n">
        <v>0.09499419255355891</v>
      </c>
      <c r="M50" s="19" t="n">
        <v>0.426009359185004</v>
      </c>
      <c r="N50" s="20" t="n">
        <v>0</v>
      </c>
      <c r="O50" s="27" t="n">
        <v>0.839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DSU @ USF</t>
        </is>
      </c>
      <c r="C51" s="12" t="inlineStr">
        <is>
          <t>2026-09-19 23:00</t>
        </is>
      </c>
      <c r="D51" s="22" t="n">
        <v>3</v>
      </c>
      <c r="E51" s="12" t="inlineStr">
        <is>
          <t>ATS</t>
        </is>
      </c>
      <c r="F51" s="12" t="inlineStr">
        <is>
          <t>DSU +36.5</t>
        </is>
      </c>
      <c r="G51" s="23" t="n">
        <v>-36.5</v>
      </c>
      <c r="H51" s="13" t="n">
        <v>-110</v>
      </c>
      <c r="I51" s="15" t="n">
        <v>0.7461077481171516</v>
      </c>
      <c r="J51" s="15" t="n">
        <v>0.5</v>
      </c>
      <c r="K51" s="15" t="n">
        <v>0.5238095238095238</v>
      </c>
      <c r="L51" s="14" t="n">
        <v>0.09499399665835853</v>
      </c>
      <c r="M51" s="14" t="n">
        <v>0.4243875191327442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DSU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MIA @ WAKE</t>
        </is>
      </c>
      <c r="C52" s="17" t="inlineStr">
        <is>
          <t>2026-09-18 23:30</t>
        </is>
      </c>
      <c r="D52" s="25" t="n">
        <v>3</v>
      </c>
      <c r="E52" s="17" t="inlineStr">
        <is>
          <t>ATS</t>
        </is>
      </c>
      <c r="F52" s="17" t="inlineStr">
        <is>
          <t>WAKE +20.5</t>
        </is>
      </c>
      <c r="G52" s="26" t="n">
        <v>20.5</v>
      </c>
      <c r="H52" s="18" t="n">
        <v>-105</v>
      </c>
      <c r="I52" s="20" t="n">
        <v>0.729764022242086</v>
      </c>
      <c r="J52" s="20" t="n">
        <v>0.4891657638136511</v>
      </c>
      <c r="K52" s="20" t="n">
        <v>0.5121951219512195</v>
      </c>
      <c r="L52" s="19" t="n">
        <v>0.09499395082886701</v>
      </c>
      <c r="M52" s="19" t="n">
        <v>0.4247773767583585</v>
      </c>
      <c r="N52" s="20" t="n">
        <v>0</v>
      </c>
      <c r="O52" s="27" t="n">
        <v>0.839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MUR @ OKST</t>
        </is>
      </c>
      <c r="C53" s="12" t="inlineStr">
        <is>
          <t>2026-09-19 23:00</t>
        </is>
      </c>
      <c r="D53" s="22" t="n">
        <v>3</v>
      </c>
      <c r="E53" s="12" t="inlineStr">
        <is>
          <t>ATS</t>
        </is>
      </c>
      <c r="F53" s="12" t="inlineStr">
        <is>
          <t>MUR +56.5</t>
        </is>
      </c>
      <c r="G53" s="23" t="n">
        <v>-56.5</v>
      </c>
      <c r="H53" s="13" t="n">
        <v>-112</v>
      </c>
      <c r="I53" s="15" t="n">
        <v>0.7521580740494718</v>
      </c>
      <c r="J53" s="15" t="n">
        <v>0.5043297540699688</v>
      </c>
      <c r="K53" s="15" t="n">
        <v>0.5283018867924528</v>
      </c>
      <c r="L53" s="14" t="n">
        <v>0.09499389287749951</v>
      </c>
      <c r="M53" s="14" t="n">
        <v>0.4237277830222144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MUR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PRST @ ORE</t>
        </is>
      </c>
      <c r="C54" s="17" t="inlineStr">
        <is>
          <t>2026-09-19 02:30</t>
        </is>
      </c>
      <c r="D54" s="25" t="n">
        <v>3</v>
      </c>
      <c r="E54" s="17" t="inlineStr">
        <is>
          <t>ATS</t>
        </is>
      </c>
      <c r="F54" s="17" t="inlineStr">
        <is>
          <t>PRST +57.5</t>
        </is>
      </c>
      <c r="G54" s="26" t="n">
        <v>-57.5</v>
      </c>
      <c r="H54" s="18" t="n">
        <v>-112</v>
      </c>
      <c r="I54" s="20" t="n">
        <v>0.7521576289389031</v>
      </c>
      <c r="J54" s="20" t="n">
        <v>0.5043297540699688</v>
      </c>
      <c r="K54" s="20" t="n">
        <v>0.5283018867924528</v>
      </c>
      <c r="L54" s="19" t="n">
        <v>0.0949938927640281</v>
      </c>
      <c r="M54" s="19" t="n">
        <v>0.4237269404914952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PRST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UNI @ IOWA</t>
        </is>
      </c>
      <c r="C55" s="12" t="inlineStr">
        <is>
          <t>2026-09-19 20:00</t>
        </is>
      </c>
      <c r="D55" s="22" t="n">
        <v>3</v>
      </c>
      <c r="E55" s="12" t="inlineStr">
        <is>
          <t>ATS</t>
        </is>
      </c>
      <c r="F55" s="12" t="inlineStr">
        <is>
          <t>UNI +40.5</t>
        </is>
      </c>
      <c r="G55" s="23" t="n">
        <v>-40.5</v>
      </c>
      <c r="H55" s="13" t="n">
        <v>-112</v>
      </c>
      <c r="I55" s="15" t="n">
        <v>0.7508233959994652</v>
      </c>
      <c r="J55" s="15" t="n">
        <v>0.5043297540699688</v>
      </c>
      <c r="K55" s="15" t="n">
        <v>0.5283018867924528</v>
      </c>
      <c r="L55" s="14" t="n">
        <v>0.09499354297696104</v>
      </c>
      <c r="M55" s="14" t="n">
        <v>0.4212014281418448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UNI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MUR @ OKST</t>
        </is>
      </c>
      <c r="C56" s="17" t="inlineStr">
        <is>
          <t>2026-09-19 23:00</t>
        </is>
      </c>
      <c r="D56" s="25" t="n">
        <v>3</v>
      </c>
      <c r="E56" s="17" t="inlineStr">
        <is>
          <t>TOTAL</t>
        </is>
      </c>
      <c r="F56" s="17" t="inlineStr">
        <is>
          <t>Under 70.5</t>
        </is>
      </c>
      <c r="G56" s="26" t="n">
        <v>70.5</v>
      </c>
      <c r="H56" s="18" t="n">
        <v>-105</v>
      </c>
      <c r="I56" s="20" t="n">
        <v>0.7281689575063817</v>
      </c>
      <c r="J56" s="20" t="n">
        <v>0.4891657638136511</v>
      </c>
      <c r="K56" s="20" t="n">
        <v>0.5121951219512195</v>
      </c>
      <c r="L56" s="19" t="n">
        <v>0.09499352099390738</v>
      </c>
      <c r="M56" s="19" t="n">
        <v>0.4216632027505547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MUR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BYU @ CSU</t>
        </is>
      </c>
      <c r="C57" s="12" t="inlineStr">
        <is>
          <t>2026-09-19 23:30</t>
        </is>
      </c>
      <c r="D57" s="22" t="n">
        <v>3</v>
      </c>
      <c r="E57" s="12" t="inlineStr">
        <is>
          <t>ATS</t>
        </is>
      </c>
      <c r="F57" s="12" t="inlineStr">
        <is>
          <t>CSU +17.5</t>
        </is>
      </c>
      <c r="G57" s="23" t="n">
        <v>17.5</v>
      </c>
      <c r="H57" s="13" t="n">
        <v>-105</v>
      </c>
      <c r="I57" s="15" t="n">
        <v>0.7277532660511183</v>
      </c>
      <c r="J57" s="15" t="n">
        <v>0.4891657638136511</v>
      </c>
      <c r="K57" s="15" t="n">
        <v>0.5121951219512195</v>
      </c>
      <c r="L57" s="14" t="n">
        <v>0.09499340404251394</v>
      </c>
      <c r="M57" s="14" t="n">
        <v>0.4208516146712311</v>
      </c>
      <c r="N57" s="15" t="n">
        <v>0</v>
      </c>
      <c r="O57" s="24" t="n">
        <v>0.839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UTM @ MEM</t>
        </is>
      </c>
      <c r="C58" s="17" t="inlineStr">
        <is>
          <t>2026-09-19 23:00</t>
        </is>
      </c>
      <c r="D58" s="25" t="n">
        <v>3</v>
      </c>
      <c r="E58" s="17" t="inlineStr">
        <is>
          <t>ATS</t>
        </is>
      </c>
      <c r="F58" s="17" t="inlineStr">
        <is>
          <t>UTM +34.5</t>
        </is>
      </c>
      <c r="G58" s="26" t="n">
        <v>-34.5</v>
      </c>
      <c r="H58" s="18" t="n">
        <v>-110</v>
      </c>
      <c r="I58" s="20" t="n">
        <v>0.7431661268391145</v>
      </c>
      <c r="J58" s="20" t="n">
        <v>0.5</v>
      </c>
      <c r="K58" s="20" t="n">
        <v>0.5238095238095238</v>
      </c>
      <c r="L58" s="19" t="n">
        <v>0.09499320511701766</v>
      </c>
      <c r="M58" s="19" t="n">
        <v>0.4187716966928552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UTM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NIU @ ARIZ</t>
        </is>
      </c>
      <c r="C59" s="12" t="inlineStr">
        <is>
          <t>2026-09-20 02:30</t>
        </is>
      </c>
      <c r="D59" s="22" t="n">
        <v>3</v>
      </c>
      <c r="E59" s="12" t="inlineStr">
        <is>
          <t>ATS</t>
        </is>
      </c>
      <c r="F59" s="12" t="inlineStr">
        <is>
          <t>NIU +34.5</t>
        </is>
      </c>
      <c r="G59" s="23" t="n">
        <v>-34.5</v>
      </c>
      <c r="H59" s="13" t="n">
        <v>-112</v>
      </c>
      <c r="I59" s="15" t="n">
        <v>0.744256934025459</v>
      </c>
      <c r="J59" s="15" t="n">
        <v>0.5043297540699688</v>
      </c>
      <c r="K59" s="15" t="n">
        <v>0.5283018867924528</v>
      </c>
      <c r="L59" s="14" t="n">
        <v>0.09499150679335959</v>
      </c>
      <c r="M59" s="14" t="n">
        <v>0.4087720536910473</v>
      </c>
      <c r="N59" s="15" t="n">
        <v>0</v>
      </c>
      <c r="O59" s="24" t="n">
        <v>0.839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UTSA @ TEX</t>
        </is>
      </c>
      <c r="C60" s="17" t="inlineStr">
        <is>
          <t>2026-09-20 00:00</t>
        </is>
      </c>
      <c r="D60" s="25" t="n">
        <v>3</v>
      </c>
      <c r="E60" s="17" t="inlineStr">
        <is>
          <t>ATS</t>
        </is>
      </c>
      <c r="F60" s="17" t="inlineStr">
        <is>
          <t>UTSA +30.5</t>
        </is>
      </c>
      <c r="G60" s="26" t="n">
        <v>-30.5</v>
      </c>
      <c r="H60" s="18" t="n">
        <v>-112</v>
      </c>
      <c r="I60" s="20" t="n">
        <v>0.744245043012444</v>
      </c>
      <c r="J60" s="20" t="n">
        <v>0.5043297540699688</v>
      </c>
      <c r="K60" s="20" t="n">
        <v>0.5283018867924528</v>
      </c>
      <c r="L60" s="19" t="n">
        <v>0.09499150257667892</v>
      </c>
      <c r="M60" s="19" t="n">
        <v>0.408749545702126</v>
      </c>
      <c r="N60" s="20" t="n">
        <v>0</v>
      </c>
      <c r="O60" s="27" t="n">
        <v>0.839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STO @ MASS</t>
        </is>
      </c>
      <c r="C61" s="12" t="inlineStr">
        <is>
          <t>2026-09-19 19:30</t>
        </is>
      </c>
      <c r="D61" s="22" t="n">
        <v>3</v>
      </c>
      <c r="E61" s="12" t="inlineStr">
        <is>
          <t>ATS</t>
        </is>
      </c>
      <c r="F61" s="12" t="inlineStr">
        <is>
          <t>STO +33.5</t>
        </is>
      </c>
      <c r="G61" s="23" t="n">
        <v>-33.5</v>
      </c>
      <c r="H61" s="13" t="n">
        <v>-112</v>
      </c>
      <c r="I61" s="15" t="n">
        <v>0.7440117619745745</v>
      </c>
      <c r="J61" s="15" t="n">
        <v>0.5043297540699688</v>
      </c>
      <c r="K61" s="15" t="n">
        <v>0.5283018867924528</v>
      </c>
      <c r="L61" s="14" t="n">
        <v>0.09499141942803287</v>
      </c>
      <c r="M61" s="14" t="n">
        <v>0.4083079780233017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STO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UTEP @ MICH</t>
        </is>
      </c>
      <c r="C62" s="17" t="inlineStr">
        <is>
          <t>2026-09-19 19:30</t>
        </is>
      </c>
      <c r="D62" s="25" t="n">
        <v>3</v>
      </c>
      <c r="E62" s="17" t="inlineStr">
        <is>
          <t>ATS</t>
        </is>
      </c>
      <c r="F62" s="17" t="inlineStr">
        <is>
          <t>UTEP +35.5</t>
        </is>
      </c>
      <c r="G62" s="26" t="n">
        <v>-35.5</v>
      </c>
      <c r="H62" s="18" t="n">
        <v>-115</v>
      </c>
      <c r="I62" s="20" t="n">
        <v>0.7518366653618491</v>
      </c>
      <c r="J62" s="20" t="n">
        <v>0.5108342361863488</v>
      </c>
      <c r="K62" s="20" t="n">
        <v>0.5348837209302325</v>
      </c>
      <c r="L62" s="19" t="n">
        <v>0.09499076983580203</v>
      </c>
      <c r="M62" s="19" t="n">
        <v>0.4056076787199787</v>
      </c>
      <c r="N62" s="20" t="n">
        <v>0</v>
      </c>
      <c r="O62" s="27" t="n">
        <v>0.839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USC @ RUTG</t>
        </is>
      </c>
      <c r="C63" s="12" t="inlineStr">
        <is>
          <t>2026-09-19 19:30</t>
        </is>
      </c>
      <c r="D63" s="22" t="n">
        <v>3</v>
      </c>
      <c r="E63" s="12" t="inlineStr">
        <is>
          <t>ATS</t>
        </is>
      </c>
      <c r="F63" s="12" t="inlineStr">
        <is>
          <t>RUTG +24.5</t>
        </is>
      </c>
      <c r="G63" s="23" t="n">
        <v>24.5</v>
      </c>
      <c r="H63" s="13" t="n">
        <v>-115</v>
      </c>
      <c r="I63" s="15" t="n">
        <v>0.7494972668065987</v>
      </c>
      <c r="J63" s="15" t="n">
        <v>0.5108342361863488</v>
      </c>
      <c r="K63" s="15" t="n">
        <v>0.5348837209302325</v>
      </c>
      <c r="L63" s="14" t="n">
        <v>0.09498983567729831</v>
      </c>
      <c r="M63" s="14" t="n">
        <v>0.4012340205514671</v>
      </c>
      <c r="N63" s="15" t="n">
        <v>0</v>
      </c>
      <c r="O63" s="24" t="n">
        <v>0.839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MSU @ ND</t>
        </is>
      </c>
      <c r="C64" s="17" t="inlineStr">
        <is>
          <t>2026-09-19 23:30</t>
        </is>
      </c>
      <c r="D64" s="25" t="n">
        <v>3</v>
      </c>
      <c r="E64" s="17" t="inlineStr">
        <is>
          <t>ATS</t>
        </is>
      </c>
      <c r="F64" s="17" t="inlineStr">
        <is>
          <t>MSU +29.5</t>
        </is>
      </c>
      <c r="G64" s="26" t="n">
        <v>-29.5</v>
      </c>
      <c r="H64" s="18" t="n">
        <v>-110</v>
      </c>
      <c r="I64" s="20" t="n">
        <v>0.7325739440228366</v>
      </c>
      <c r="J64" s="20" t="n">
        <v>0.5</v>
      </c>
      <c r="K64" s="20" t="n">
        <v>0.5238095238095238</v>
      </c>
      <c r="L64" s="19" t="n">
        <v>0.09498938639815166</v>
      </c>
      <c r="M64" s="19" t="n">
        <v>0.3985502567708699</v>
      </c>
      <c r="N64" s="20" t="n">
        <v>0</v>
      </c>
      <c r="O64" s="27" t="n">
        <v>0.839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AKR @ MINN</t>
        </is>
      </c>
      <c r="C65" s="12" t="inlineStr">
        <is>
          <t>2026-09-19 16:00</t>
        </is>
      </c>
      <c r="D65" s="22" t="n">
        <v>3</v>
      </c>
      <c r="E65" s="12" t="inlineStr">
        <is>
          <t>ATS</t>
        </is>
      </c>
      <c r="F65" s="12" t="inlineStr">
        <is>
          <t>AKR +23.5</t>
        </is>
      </c>
      <c r="G65" s="23" t="n">
        <v>-23.5</v>
      </c>
      <c r="H65" s="13" t="n">
        <v>-110</v>
      </c>
      <c r="I65" s="15" t="n">
        <v>0.7239834892643007</v>
      </c>
      <c r="J65" s="15" t="n">
        <v>0.5</v>
      </c>
      <c r="K65" s="15" t="n">
        <v>0.5238095238095238</v>
      </c>
      <c r="L65" s="14" t="n">
        <v>0.0949847616483101</v>
      </c>
      <c r="M65" s="14" t="n">
        <v>0.3821502976863922</v>
      </c>
      <c r="N65" s="15" t="n">
        <v>0</v>
      </c>
      <c r="O65" s="24" t="n">
        <v>0.839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TROY @ MIZ</t>
        </is>
      </c>
      <c r="C66" s="17" t="inlineStr">
        <is>
          <t>2026-09-19 23:00</t>
        </is>
      </c>
      <c r="D66" s="25" t="n">
        <v>3</v>
      </c>
      <c r="E66" s="17" t="inlineStr">
        <is>
          <t>ATS</t>
        </is>
      </c>
      <c r="F66" s="17" t="inlineStr">
        <is>
          <t>TROY +26.5</t>
        </is>
      </c>
      <c r="G66" s="26" t="n">
        <v>-26.5</v>
      </c>
      <c r="H66" s="18" t="n">
        <v>-108</v>
      </c>
      <c r="I66" s="20" t="n">
        <v>0.7158593512596449</v>
      </c>
      <c r="J66" s="20" t="n">
        <v>0.4956702459300312</v>
      </c>
      <c r="K66" s="20" t="n">
        <v>0.5192307692307693</v>
      </c>
      <c r="L66" s="19" t="n">
        <v>0.09498351274398348</v>
      </c>
      <c r="M66" s="19" t="n">
        <v>0.3786920839074643</v>
      </c>
      <c r="N66" s="20" t="n">
        <v>0</v>
      </c>
      <c r="O66" s="27" t="n">
        <v>0.839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USU @ UTAH</t>
        </is>
      </c>
      <c r="C67" s="12" t="inlineStr">
        <is>
          <t>2026-09-19 19:30</t>
        </is>
      </c>
      <c r="D67" s="22" t="n">
        <v>3</v>
      </c>
      <c r="E67" s="12" t="inlineStr">
        <is>
          <t>ATS</t>
        </is>
      </c>
      <c r="F67" s="12" t="inlineStr">
        <is>
          <t>USU +28.5</t>
        </is>
      </c>
      <c r="G67" s="23" t="n">
        <v>-28.5</v>
      </c>
      <c r="H67" s="13" t="n">
        <v>-118</v>
      </c>
      <c r="I67" s="15" t="n">
        <v>0.7395037347650635</v>
      </c>
      <c r="J67" s="15" t="n">
        <v>0.5173641257162701</v>
      </c>
      <c r="K67" s="15" t="n">
        <v>0.5412844036697247</v>
      </c>
      <c r="L67" s="14" t="n">
        <v>0.09497745904175824</v>
      </c>
      <c r="M67" s="14" t="n">
        <v>0.3662018150744393</v>
      </c>
      <c r="N67" s="15" t="n">
        <v>0</v>
      </c>
      <c r="O67" s="24" t="n">
        <v>0.839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SDAK @ BOIS</t>
        </is>
      </c>
      <c r="C68" s="17" t="inlineStr">
        <is>
          <t>2026-09-20 02:00</t>
        </is>
      </c>
      <c r="D68" s="25" t="n">
        <v>3</v>
      </c>
      <c r="E68" s="17" t="inlineStr">
        <is>
          <t>ATS</t>
        </is>
      </c>
      <c r="F68" s="17" t="inlineStr">
        <is>
          <t>SDAK +23.5</t>
        </is>
      </c>
      <c r="G68" s="26" t="n">
        <v>-23.5</v>
      </c>
      <c r="H68" s="18" t="n">
        <v>-110</v>
      </c>
      <c r="I68" s="20" t="n">
        <v>0.7136474392514435</v>
      </c>
      <c r="J68" s="20" t="n">
        <v>0.5</v>
      </c>
      <c r="K68" s="20" t="n">
        <v>0.5238095238095238</v>
      </c>
      <c r="L68" s="19" t="n">
        <v>0.09497645358069871</v>
      </c>
      <c r="M68" s="19" t="n">
        <v>0.3624178385709376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SDAK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UNM @ OU</t>
        </is>
      </c>
      <c r="C69" s="12" t="inlineStr">
        <is>
          <t>2026-09-19 23:30</t>
        </is>
      </c>
      <c r="D69" s="22" t="n">
        <v>3</v>
      </c>
      <c r="E69" s="12" t="inlineStr">
        <is>
          <t>ATS</t>
        </is>
      </c>
      <c r="F69" s="12" t="inlineStr">
        <is>
          <t>UNM +22.5</t>
        </is>
      </c>
      <c r="G69" s="23" t="n">
        <v>-22.5</v>
      </c>
      <c r="H69" s="13" t="n">
        <v>-112</v>
      </c>
      <c r="I69" s="15" t="n">
        <v>0.7147600721590853</v>
      </c>
      <c r="J69" s="15" t="n">
        <v>0.5043297540699688</v>
      </c>
      <c r="K69" s="15" t="n">
        <v>0.5283018867924528</v>
      </c>
      <c r="L69" s="14" t="n">
        <v>0.09497090783813837</v>
      </c>
      <c r="M69" s="14" t="n">
        <v>0.3529387080154114</v>
      </c>
      <c r="N69" s="15" t="n">
        <v>0</v>
      </c>
      <c r="O69" s="24" t="n">
        <v>0.839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UND @ NEB</t>
        </is>
      </c>
      <c r="C70" s="17" t="inlineStr">
        <is>
          <t>2026-09-19 23:15</t>
        </is>
      </c>
      <c r="D70" s="25" t="n">
        <v>3</v>
      </c>
      <c r="E70" s="17" t="inlineStr">
        <is>
          <t>ATS</t>
        </is>
      </c>
      <c r="F70" s="17" t="inlineStr">
        <is>
          <t>UND +24.5</t>
        </is>
      </c>
      <c r="G70" s="26" t="n">
        <v>-24.5</v>
      </c>
      <c r="H70" s="18" t="n">
        <v>-115</v>
      </c>
      <c r="I70" s="20" t="n">
        <v>0.723368172894171</v>
      </c>
      <c r="J70" s="20" t="n">
        <v>0.5108342361863488</v>
      </c>
      <c r="K70" s="20" t="n">
        <v>0.5348837209302325</v>
      </c>
      <c r="L70" s="19" t="n">
        <v>0.09497016687944362</v>
      </c>
      <c r="M70" s="19" t="n">
        <v>0.3523839754108413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UND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ARST @ TCU</t>
        </is>
      </c>
      <c r="C71" s="12" t="inlineStr">
        <is>
          <t>2026-09-20 00:00</t>
        </is>
      </c>
      <c r="D71" s="22" t="n">
        <v>3</v>
      </c>
      <c r="E71" s="12" t="inlineStr">
        <is>
          <t>ATS</t>
        </is>
      </c>
      <c r="F71" s="12" t="inlineStr">
        <is>
          <t>ARST +19.5</t>
        </is>
      </c>
      <c r="G71" s="23" t="n">
        <v>-19.5</v>
      </c>
      <c r="H71" s="13" t="n">
        <v>-105</v>
      </c>
      <c r="I71" s="15" t="n">
        <v>0.6905703440607743</v>
      </c>
      <c r="J71" s="15" t="n">
        <v>0.4891657638136511</v>
      </c>
      <c r="K71" s="15" t="n">
        <v>0.5121951219512195</v>
      </c>
      <c r="L71" s="14" t="n">
        <v>0.09496732560123823</v>
      </c>
      <c r="M71" s="14" t="n">
        <v>0.3482563860234165</v>
      </c>
      <c r="N71" s="15" t="n">
        <v>0</v>
      </c>
      <c r="O71" s="24" t="n">
        <v>0.839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NEV @ MTSU</t>
        </is>
      </c>
      <c r="C72" s="17" t="inlineStr">
        <is>
          <t>2026-09-19 23:00</t>
        </is>
      </c>
      <c r="D72" s="25" t="n">
        <v>3</v>
      </c>
      <c r="E72" s="17" t="inlineStr">
        <is>
          <t>ML</t>
        </is>
      </c>
      <c r="F72" s="17" t="inlineStr">
        <is>
          <t>MTSU ML</t>
        </is>
      </c>
      <c r="G72" s="26" t="n"/>
      <c r="H72" s="18" t="n">
        <v>150</v>
      </c>
      <c r="I72" s="20" t="n">
        <v>0.5404675456977119</v>
      </c>
      <c r="J72" s="20" t="n">
        <v>0.3835616438356164</v>
      </c>
      <c r="K72" s="20" t="n">
        <v>0.4</v>
      </c>
      <c r="L72" s="19" t="n">
        <v>0.0949654478756958</v>
      </c>
      <c r="M72" s="19" t="n">
        <v>0.3511688642442798</v>
      </c>
      <c r="N72" s="20" t="n">
        <v>0</v>
      </c>
      <c r="O72" s="27" t="n">
        <v>0.839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PRST @ ORE</t>
        </is>
      </c>
      <c r="C73" s="12" t="inlineStr">
        <is>
          <t>2026-09-19 02:30</t>
        </is>
      </c>
      <c r="D73" s="22" t="n">
        <v>3</v>
      </c>
      <c r="E73" s="12" t="inlineStr">
        <is>
          <t>TOTAL</t>
        </is>
      </c>
      <c r="F73" s="12" t="inlineStr">
        <is>
          <t>Under 67.5</t>
        </is>
      </c>
      <c r="G73" s="23" t="n">
        <v>67.5</v>
      </c>
      <c r="H73" s="13" t="n">
        <v>-108</v>
      </c>
      <c r="I73" s="15" t="n">
        <v>0.6977457494252083</v>
      </c>
      <c r="J73" s="15" t="n">
        <v>0.4956702459300312</v>
      </c>
      <c r="K73" s="15" t="n">
        <v>0.5192307692307693</v>
      </c>
      <c r="L73" s="14" t="n">
        <v>0.09496441844845784</v>
      </c>
      <c r="M73" s="14" t="n">
        <v>0.3438066285226233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PRST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EMU @ WIS</t>
        </is>
      </c>
      <c r="C74" s="17" t="inlineStr">
        <is>
          <t>2026-09-19 16:30</t>
        </is>
      </c>
      <c r="D74" s="25" t="n">
        <v>3</v>
      </c>
      <c r="E74" s="17" t="inlineStr">
        <is>
          <t>ATS</t>
        </is>
      </c>
      <c r="F74" s="17" t="inlineStr">
        <is>
          <t>EMU +24.5</t>
        </is>
      </c>
      <c r="G74" s="26" t="n">
        <v>-24.5</v>
      </c>
      <c r="H74" s="18" t="n">
        <v>-118</v>
      </c>
      <c r="I74" s="20" t="n">
        <v>0.7263937089064225</v>
      </c>
      <c r="J74" s="20" t="n">
        <v>0.5173641257162701</v>
      </c>
      <c r="K74" s="20" t="n">
        <v>0.5412844036697247</v>
      </c>
      <c r="L74" s="19" t="n">
        <v>0.09496157436336697</v>
      </c>
      <c r="M74" s="19" t="n">
        <v>0.3419815978101703</v>
      </c>
      <c r="N74" s="20" t="n">
        <v>0</v>
      </c>
      <c r="O74" s="27" t="n">
        <v>0.839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BGSU @ ISU</t>
        </is>
      </c>
      <c r="C75" s="12" t="inlineStr">
        <is>
          <t>2026-09-19 16:00</t>
        </is>
      </c>
      <c r="D75" s="22" t="n">
        <v>3</v>
      </c>
      <c r="E75" s="12" t="inlineStr">
        <is>
          <t>ATS</t>
        </is>
      </c>
      <c r="F75" s="12" t="inlineStr">
        <is>
          <t>BGSU +23.5</t>
        </is>
      </c>
      <c r="G75" s="23" t="n">
        <v>-23.5</v>
      </c>
      <c r="H75" s="13" t="n">
        <v>-110</v>
      </c>
      <c r="I75" s="15" t="n">
        <v>0.7013179906203442</v>
      </c>
      <c r="J75" s="15" t="n">
        <v>0.5</v>
      </c>
      <c r="K75" s="15" t="n">
        <v>0.5238095238095238</v>
      </c>
      <c r="L75" s="14" t="n">
        <v>0.09496043186579106</v>
      </c>
      <c r="M75" s="14" t="n">
        <v>0.3388798002752025</v>
      </c>
      <c r="N75" s="15" t="n">
        <v>0</v>
      </c>
      <c r="O75" s="24" t="n">
        <v>0.839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TULN @ KSU</t>
        </is>
      </c>
      <c r="C76" s="17" t="inlineStr">
        <is>
          <t>2026-09-19 16:00</t>
        </is>
      </c>
      <c r="D76" s="25" t="n">
        <v>3</v>
      </c>
      <c r="E76" s="17" t="inlineStr">
        <is>
          <t>ATS</t>
        </is>
      </c>
      <c r="F76" s="17" t="inlineStr">
        <is>
          <t>TULN +20.5</t>
        </is>
      </c>
      <c r="G76" s="26" t="n">
        <v>-20.5</v>
      </c>
      <c r="H76" s="18" t="n">
        <v>-105</v>
      </c>
      <c r="I76" s="20" t="n">
        <v>0.6847286064942457</v>
      </c>
      <c r="J76" s="20" t="n">
        <v>0.4891657638136511</v>
      </c>
      <c r="K76" s="20" t="n">
        <v>0.5121951219512195</v>
      </c>
      <c r="L76" s="19" t="n">
        <v>0.09495798786964038</v>
      </c>
      <c r="M76" s="19" t="n">
        <v>0.3368510888697178</v>
      </c>
      <c r="N76" s="20" t="n">
        <v>0</v>
      </c>
      <c r="O76" s="27" t="n">
        <v>0.839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GAST @ UCF</t>
        </is>
      </c>
      <c r="C77" s="12" t="inlineStr">
        <is>
          <t>2026-09-19 23:00</t>
        </is>
      </c>
      <c r="D77" s="22" t="n">
        <v>3</v>
      </c>
      <c r="E77" s="12" t="inlineStr">
        <is>
          <t>ATS</t>
        </is>
      </c>
      <c r="F77" s="12" t="inlineStr">
        <is>
          <t>GAST +18.5</t>
        </is>
      </c>
      <c r="G77" s="23" t="n">
        <v>-18.5</v>
      </c>
      <c r="H77" s="13" t="n">
        <v>-108</v>
      </c>
      <c r="I77" s="15" t="n">
        <v>0.6901895123376061</v>
      </c>
      <c r="J77" s="15" t="n">
        <v>0.4956702459300312</v>
      </c>
      <c r="K77" s="15" t="n">
        <v>0.5192307692307693</v>
      </c>
      <c r="L77" s="14" t="n">
        <v>0.09495095722250253</v>
      </c>
      <c r="M77" s="14" t="n">
        <v>0.3292538756131673</v>
      </c>
      <c r="N77" s="15" t="n">
        <v>0</v>
      </c>
      <c r="O77" s="24" t="n">
        <v>0.839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NICH @ SHSU</t>
        </is>
      </c>
      <c r="C78" s="17" t="inlineStr">
        <is>
          <t>2026-09-19 23:00</t>
        </is>
      </c>
      <c r="D78" s="25" t="n">
        <v>3</v>
      </c>
      <c r="E78" s="17" t="inlineStr">
        <is>
          <t>ATS</t>
        </is>
      </c>
      <c r="F78" s="17" t="inlineStr">
        <is>
          <t>NICH +17.5</t>
        </is>
      </c>
      <c r="G78" s="26" t="n">
        <v>-17.5</v>
      </c>
      <c r="H78" s="18" t="n">
        <v>-115</v>
      </c>
      <c r="I78" s="20" t="n">
        <v>0.704150346888386</v>
      </c>
      <c r="J78" s="20" t="n">
        <v>0.5108342361863488</v>
      </c>
      <c r="K78" s="20" t="n">
        <v>0.5348837209302325</v>
      </c>
      <c r="L78" s="19" t="n">
        <v>0.09493414604097036</v>
      </c>
      <c r="M78" s="19" t="n">
        <v>0.3164549963565475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NICH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LT @ BAY</t>
        </is>
      </c>
      <c r="C79" s="12" t="inlineStr">
        <is>
          <t>2026-09-19 20:00</t>
        </is>
      </c>
      <c r="D79" s="22" t="n">
        <v>3</v>
      </c>
      <c r="E79" s="12" t="inlineStr">
        <is>
          <t>ATS</t>
        </is>
      </c>
      <c r="F79" s="12" t="inlineStr">
        <is>
          <t>LT +19.5</t>
        </is>
      </c>
      <c r="G79" s="23" t="n">
        <v>-19.5</v>
      </c>
      <c r="H79" s="13" t="n">
        <v>-112</v>
      </c>
      <c r="I79" s="15" t="n">
        <v>0.6948752167385044</v>
      </c>
      <c r="J79" s="15" t="n">
        <v>0.5043297540699688</v>
      </c>
      <c r="K79" s="15" t="n">
        <v>0.5283018867924528</v>
      </c>
      <c r="L79" s="14" t="n">
        <v>0.09493329100288043</v>
      </c>
      <c r="M79" s="14" t="n">
        <v>0.3152995173978832</v>
      </c>
      <c r="N79" s="15" t="n">
        <v>0</v>
      </c>
      <c r="O79" s="24" t="n">
        <v>0.839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WMU @ RICE</t>
        </is>
      </c>
      <c r="C80" s="17" t="inlineStr">
        <is>
          <t>2026-09-19 23:00</t>
        </is>
      </c>
      <c r="D80" s="25" t="n">
        <v>3</v>
      </c>
      <c r="E80" s="17" t="inlineStr">
        <is>
          <t>ATS</t>
        </is>
      </c>
      <c r="F80" s="17" t="inlineStr">
        <is>
          <t>RICE +9.5</t>
        </is>
      </c>
      <c r="G80" s="26" t="n">
        <v>9.5</v>
      </c>
      <c r="H80" s="18" t="n">
        <v>-105</v>
      </c>
      <c r="I80" s="20" t="n">
        <v>0.6715424118480497</v>
      </c>
      <c r="J80" s="20" t="n">
        <v>0.4891657638136511</v>
      </c>
      <c r="K80" s="20" t="n">
        <v>0.5121951219512195</v>
      </c>
      <c r="L80" s="19" t="n">
        <v>0.09492590895518437</v>
      </c>
      <c r="M80" s="19" t="n">
        <v>0.3111066136080971</v>
      </c>
      <c r="N80" s="20" t="n">
        <v>0</v>
      </c>
      <c r="O80" s="27" t="n">
        <v>0.839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MONT @ ORST</t>
        </is>
      </c>
      <c r="C81" s="12" t="inlineStr">
        <is>
          <t>2026-09-20 03:00</t>
        </is>
      </c>
      <c r="D81" s="22" t="n">
        <v>3</v>
      </c>
      <c r="E81" s="12" t="inlineStr">
        <is>
          <t>ATS</t>
        </is>
      </c>
      <c r="F81" s="12" t="inlineStr">
        <is>
          <t>MONT +17.5</t>
        </is>
      </c>
      <c r="G81" s="23" t="n">
        <v>-17.5</v>
      </c>
      <c r="H81" s="13" t="n">
        <v>-112</v>
      </c>
      <c r="I81" s="15" t="n">
        <v>0.6909632416068893</v>
      </c>
      <c r="J81" s="15" t="n">
        <v>0.5043297540699688</v>
      </c>
      <c r="K81" s="15" t="n">
        <v>0.5283018867924528</v>
      </c>
      <c r="L81" s="14" t="n">
        <v>0.09492146234491071</v>
      </c>
      <c r="M81" s="14" t="n">
        <v>0.3078947073273262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MONT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FSU @ ALA</t>
        </is>
      </c>
      <c r="C82" s="17" t="inlineStr">
        <is>
          <t>2026-09-19 19:30</t>
        </is>
      </c>
      <c r="D82" s="25" t="n">
        <v>3</v>
      </c>
      <c r="E82" s="17" t="inlineStr">
        <is>
          <t>ATS</t>
        </is>
      </c>
      <c r="F82" s="17" t="inlineStr">
        <is>
          <t>FSU +19.5</t>
        </is>
      </c>
      <c r="G82" s="26" t="n">
        <v>-19.5</v>
      </c>
      <c r="H82" s="18" t="n">
        <v>-110</v>
      </c>
      <c r="I82" s="20" t="n">
        <v>0.681509143346299</v>
      </c>
      <c r="J82" s="20" t="n">
        <v>0.5</v>
      </c>
      <c r="K82" s="20" t="n">
        <v>0.5238095238095238</v>
      </c>
      <c r="L82" s="19" t="n">
        <v>0.09490891350155506</v>
      </c>
      <c r="M82" s="19" t="n">
        <v>0.3010629100247526</v>
      </c>
      <c r="N82" s="20" t="n">
        <v>0</v>
      </c>
      <c r="O82" s="27" t="n">
        <v>0.839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FRES @ SJSU</t>
        </is>
      </c>
      <c r="C83" s="12" t="inlineStr">
        <is>
          <t>2026-09-20 03:00</t>
        </is>
      </c>
      <c r="D83" s="22" t="n">
        <v>3</v>
      </c>
      <c r="E83" s="12" t="inlineStr">
        <is>
          <t>ATS</t>
        </is>
      </c>
      <c r="F83" s="12" t="inlineStr">
        <is>
          <t>SJSU +6.5</t>
        </is>
      </c>
      <c r="G83" s="23" t="n">
        <v>6.5</v>
      </c>
      <c r="H83" s="13" t="n">
        <v>-102</v>
      </c>
      <c r="I83" s="15" t="n">
        <v>0.6511979136001844</v>
      </c>
      <c r="J83" s="15" t="n">
        <v>0.4826358742837298</v>
      </c>
      <c r="K83" s="15" t="n">
        <v>0.504950495049505</v>
      </c>
      <c r="L83" s="14" t="n">
        <v>0.09487831406531574</v>
      </c>
      <c r="M83" s="14" t="n">
        <v>0.2896272406591889</v>
      </c>
      <c r="N83" s="15" t="n">
        <v>0</v>
      </c>
      <c r="O83" s="24" t="n">
        <v>0.839</v>
      </c>
      <c r="P83" s="12" t="inlineStr">
        <is>
          <t>DraftKings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DSU @ USF</t>
        </is>
      </c>
      <c r="C84" s="17" t="inlineStr">
        <is>
          <t>2026-09-19 23:00</t>
        </is>
      </c>
      <c r="D84" s="25" t="n">
        <v>3</v>
      </c>
      <c r="E84" s="17" t="inlineStr">
        <is>
          <t>TOTAL</t>
        </is>
      </c>
      <c r="F84" s="17" t="inlineStr">
        <is>
          <t>Under 61.5</t>
        </is>
      </c>
      <c r="G84" s="26" t="n">
        <v>61.5</v>
      </c>
      <c r="H84" s="18" t="n">
        <v>-108</v>
      </c>
      <c r="I84" s="20" t="n">
        <v>0.6571795125953453</v>
      </c>
      <c r="J84" s="20" t="n">
        <v>0.4956702459300312</v>
      </c>
      <c r="K84" s="20" t="n">
        <v>0.5192307692307693</v>
      </c>
      <c r="L84" s="19" t="n">
        <v>0.09480087392550139</v>
      </c>
      <c r="M84" s="19" t="n">
        <v>0.2656790612947393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DSU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WVU @ UVA</t>
        </is>
      </c>
      <c r="C85" s="12" t="inlineStr">
        <is>
          <t>2026-09-19 23:30</t>
        </is>
      </c>
      <c r="D85" s="22" t="n">
        <v>3</v>
      </c>
      <c r="E85" s="12" t="inlineStr">
        <is>
          <t>ATS</t>
        </is>
      </c>
      <c r="F85" s="12" t="inlineStr">
        <is>
          <t>WVU +10</t>
        </is>
      </c>
      <c r="G85" s="23" t="n">
        <v>-10</v>
      </c>
      <c r="H85" s="13" t="n">
        <v>-102</v>
      </c>
      <c r="I85" s="15" t="n">
        <v>0.6323008640807237</v>
      </c>
      <c r="J85" s="15" t="n">
        <v>0.4826358742837298</v>
      </c>
      <c r="K85" s="15" t="n">
        <v>0.504950495049505</v>
      </c>
      <c r="L85" s="14" t="n">
        <v>0.09472275121310837</v>
      </c>
      <c r="M85" s="14" t="n">
        <v>0.2440827137645052</v>
      </c>
      <c r="N85" s="15" t="n">
        <v>0.0322</v>
      </c>
      <c r="O85" s="24" t="n">
        <v>0.839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UK @ TA&amp;M</t>
        </is>
      </c>
      <c r="C86" s="17" t="inlineStr">
        <is>
          <t>2026-09-19 19:30</t>
        </is>
      </c>
      <c r="D86" s="25" t="n">
        <v>3</v>
      </c>
      <c r="E86" s="17" t="inlineStr">
        <is>
          <t>ATS</t>
        </is>
      </c>
      <c r="F86" s="17" t="inlineStr">
        <is>
          <t>UK +16.5</t>
        </is>
      </c>
      <c r="G86" s="26" t="n">
        <v>-16.5</v>
      </c>
      <c r="H86" s="18" t="n">
        <v>-102</v>
      </c>
      <c r="I86" s="20" t="n">
        <v>0.6316665090447426</v>
      </c>
      <c r="J86" s="20" t="n">
        <v>0.4826358742837298</v>
      </c>
      <c r="K86" s="20" t="n">
        <v>0.504950495049505</v>
      </c>
      <c r="L86" s="19" t="n">
        <v>0.09471498410539793</v>
      </c>
      <c r="M86" s="19" t="n">
        <v>0.2509474002650787</v>
      </c>
      <c r="N86" s="20" t="n">
        <v>0</v>
      </c>
      <c r="O86" s="27" t="n">
        <v>0.839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CLT @ APP</t>
        </is>
      </c>
      <c r="C87" s="12" t="inlineStr">
        <is>
          <t>2026-09-19 22:00</t>
        </is>
      </c>
      <c r="D87" s="22" t="n">
        <v>3</v>
      </c>
      <c r="E87" s="12" t="inlineStr">
        <is>
          <t>ATS</t>
        </is>
      </c>
      <c r="F87" s="12" t="inlineStr">
        <is>
          <t>CLT +17.5</t>
        </is>
      </c>
      <c r="G87" s="23" t="n">
        <v>-17.5</v>
      </c>
      <c r="H87" s="13" t="n">
        <v>-110</v>
      </c>
      <c r="I87" s="15" t="n">
        <v>0.6538796290995894</v>
      </c>
      <c r="J87" s="15" t="n">
        <v>0.5</v>
      </c>
      <c r="K87" s="15" t="n">
        <v>0.5238095238095238</v>
      </c>
      <c r="L87" s="14" t="n">
        <v>0.09470877297328392</v>
      </c>
      <c r="M87" s="14" t="n">
        <v>0.2483156555537616</v>
      </c>
      <c r="N87" s="15" t="n">
        <v>0</v>
      </c>
      <c r="O87" s="24" t="n">
        <v>0.839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UNT @ TXST</t>
        </is>
      </c>
      <c r="C88" s="17" t="inlineStr">
        <is>
          <t>2026-09-19 16:00</t>
        </is>
      </c>
      <c r="D88" s="25" t="n">
        <v>3</v>
      </c>
      <c r="E88" s="17" t="inlineStr">
        <is>
          <t>TOTAL</t>
        </is>
      </c>
      <c r="F88" s="17" t="inlineStr">
        <is>
          <t>Under 63.5</t>
        </is>
      </c>
      <c r="G88" s="26" t="n">
        <v>63.5</v>
      </c>
      <c r="H88" s="18" t="n">
        <v>-110</v>
      </c>
      <c r="I88" s="20" t="n">
        <v>0.6526021521104356</v>
      </c>
      <c r="J88" s="20" t="n">
        <v>0.5</v>
      </c>
      <c r="K88" s="20" t="n">
        <v>0.5238095238095238</v>
      </c>
      <c r="L88" s="19" t="n">
        <v>0.09469270539012475</v>
      </c>
      <c r="M88" s="19" t="n">
        <v>0.2458768358471952</v>
      </c>
      <c r="N88" s="20" t="n">
        <v>0</v>
      </c>
      <c r="O88" s="27" t="n">
        <v>0.839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FIU @ FAU</t>
        </is>
      </c>
      <c r="C89" s="12" t="inlineStr">
        <is>
          <t>2026-09-19 22:00</t>
        </is>
      </c>
      <c r="D89" s="22" t="n">
        <v>3</v>
      </c>
      <c r="E89" s="12" t="inlineStr">
        <is>
          <t>TOTAL</t>
        </is>
      </c>
      <c r="F89" s="12" t="inlineStr">
        <is>
          <t>Under 62.5</t>
        </is>
      </c>
      <c r="G89" s="23" t="n">
        <v>62.5</v>
      </c>
      <c r="H89" s="13" t="n">
        <v>-110</v>
      </c>
      <c r="I89" s="15" t="n">
        <v>0.6526021510022221</v>
      </c>
      <c r="J89" s="15" t="n">
        <v>0.5</v>
      </c>
      <c r="K89" s="15" t="n">
        <v>0.5238095238095238</v>
      </c>
      <c r="L89" s="14" t="n">
        <v>0.09469270537580907</v>
      </c>
      <c r="M89" s="14" t="n">
        <v>0.2458768337315149</v>
      </c>
      <c r="N89" s="15" t="n">
        <v>0</v>
      </c>
      <c r="O89" s="24" t="n">
        <v>0.839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NEV @ MTSU</t>
        </is>
      </c>
      <c r="C90" s="17" t="inlineStr">
        <is>
          <t>2026-09-19 23:00</t>
        </is>
      </c>
      <c r="D90" s="25" t="n">
        <v>3</v>
      </c>
      <c r="E90" s="17" t="inlineStr">
        <is>
          <t>ATS</t>
        </is>
      </c>
      <c r="F90" s="17" t="inlineStr">
        <is>
          <t>MTSU +3.5</t>
        </is>
      </c>
      <c r="G90" s="26" t="n">
        <v>3.5</v>
      </c>
      <c r="H90" s="18" t="n">
        <v>-108</v>
      </c>
      <c r="I90" s="20" t="n">
        <v>0.6456780878627362</v>
      </c>
      <c r="J90" s="20" t="n">
        <v>0.4956702459300312</v>
      </c>
      <c r="K90" s="20" t="n">
        <v>0.5192307692307693</v>
      </c>
      <c r="L90" s="19" t="n">
        <v>0.09467566434614678</v>
      </c>
      <c r="M90" s="19" t="n">
        <v>0.2435281692171216</v>
      </c>
      <c r="N90" s="20" t="n">
        <v>0</v>
      </c>
      <c r="O90" s="27" t="n">
        <v>0.839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KENT @ OSU</t>
        </is>
      </c>
      <c r="C91" s="12" t="inlineStr">
        <is>
          <t>2026-09-19 16:00</t>
        </is>
      </c>
      <c r="D91" s="22" t="n">
        <v>3</v>
      </c>
      <c r="E91" s="12" t="inlineStr">
        <is>
          <t>TOTAL</t>
        </is>
      </c>
      <c r="F91" s="12" t="inlineStr">
        <is>
          <t>Under 59.5</t>
        </is>
      </c>
      <c r="G91" s="23" t="n">
        <v>59.5</v>
      </c>
      <c r="H91" s="13" t="n">
        <v>-110</v>
      </c>
      <c r="I91" s="15" t="n">
        <v>0.6512179749405709</v>
      </c>
      <c r="J91" s="15" t="n">
        <v>0.5</v>
      </c>
      <c r="K91" s="15" t="n">
        <v>0.5238095238095238</v>
      </c>
      <c r="L91" s="14" t="n">
        <v>0.09467429534123355</v>
      </c>
      <c r="M91" s="14" t="n">
        <v>0.2432343157956354</v>
      </c>
      <c r="N91" s="15" t="n">
        <v>0</v>
      </c>
      <c r="O91" s="24" t="n">
        <v>0.839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BALL @ LIB</t>
        </is>
      </c>
      <c r="C92" s="17" t="inlineStr">
        <is>
          <t>2026-09-19 20:00</t>
        </is>
      </c>
      <c r="D92" s="25" t="n">
        <v>3</v>
      </c>
      <c r="E92" s="17" t="inlineStr">
        <is>
          <t>ATS</t>
        </is>
      </c>
      <c r="F92" s="17" t="inlineStr">
        <is>
          <t>BALL +14.5</t>
        </is>
      </c>
      <c r="G92" s="26" t="n">
        <v>-14.5</v>
      </c>
      <c r="H92" s="18" t="n">
        <v>-115</v>
      </c>
      <c r="I92" s="20" t="n">
        <v>0.6564866705870094</v>
      </c>
      <c r="J92" s="20" t="n">
        <v>0.5108342361863488</v>
      </c>
      <c r="K92" s="20" t="n">
        <v>0.5348837209302325</v>
      </c>
      <c r="L92" s="19" t="n">
        <v>0.0945314490911494</v>
      </c>
      <c r="M92" s="19" t="n">
        <v>0.2273446450104957</v>
      </c>
      <c r="N92" s="20" t="n">
        <v>0</v>
      </c>
      <c r="O92" s="27" t="n">
        <v>0.839</v>
      </c>
      <c r="P92" s="17" t="inlineStr">
        <is>
          <t>DraftKings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M-OH @ CIN</t>
        </is>
      </c>
      <c r="C93" s="12" t="inlineStr">
        <is>
          <t>2026-09-19 19:30</t>
        </is>
      </c>
      <c r="D93" s="22" t="n">
        <v>3</v>
      </c>
      <c r="E93" s="12" t="inlineStr">
        <is>
          <t>ATS</t>
        </is>
      </c>
      <c r="F93" s="12" t="inlineStr">
        <is>
          <t>M-OH +14.5</t>
        </is>
      </c>
      <c r="G93" s="23" t="n">
        <v>-14.5</v>
      </c>
      <c r="H93" s="13" t="n">
        <v>-112</v>
      </c>
      <c r="I93" s="15" t="n">
        <v>0.6473460375427917</v>
      </c>
      <c r="J93" s="15" t="n">
        <v>0.5043297540699688</v>
      </c>
      <c r="K93" s="15" t="n">
        <v>0.5283018867924528</v>
      </c>
      <c r="L93" s="14" t="n">
        <v>0.09451595018073862</v>
      </c>
      <c r="M93" s="14" t="n">
        <v>0.2253335710631414</v>
      </c>
      <c r="N93" s="15" t="n">
        <v>0</v>
      </c>
      <c r="O93" s="24" t="n">
        <v>0.839</v>
      </c>
      <c r="P93" s="12" t="inlineStr">
        <is>
          <t>DraftKings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CONN @ USM</t>
        </is>
      </c>
      <c r="C94" s="17" t="inlineStr">
        <is>
          <t>2026-09-19 23:00</t>
        </is>
      </c>
      <c r="D94" s="25" t="n">
        <v>3</v>
      </c>
      <c r="E94" s="17" t="inlineStr">
        <is>
          <t>ATS</t>
        </is>
      </c>
      <c r="F94" s="17" t="inlineStr">
        <is>
          <t>USM +3</t>
        </is>
      </c>
      <c r="G94" s="26" t="n">
        <v>3</v>
      </c>
      <c r="H94" s="18" t="n">
        <v>-105</v>
      </c>
      <c r="I94" s="20" t="n">
        <v>0.622927671553746</v>
      </c>
      <c r="J94" s="20" t="n">
        <v>0.4891657638136511</v>
      </c>
      <c r="K94" s="20" t="n">
        <v>0.5121951219512195</v>
      </c>
      <c r="L94" s="19" t="n">
        <v>0.09440127563507143</v>
      </c>
      <c r="M94" s="19" t="n">
        <v>0.2056419451647072</v>
      </c>
      <c r="N94" s="20" t="n">
        <v>0.0488</v>
      </c>
      <c r="O94" s="27" t="n">
        <v>0.839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LSU @ MISS</t>
        </is>
      </c>
      <c r="C95" s="12" t="inlineStr">
        <is>
          <t>2026-09-19 23:30</t>
        </is>
      </c>
      <c r="D95" s="22" t="n">
        <v>3</v>
      </c>
      <c r="E95" s="12" t="inlineStr">
        <is>
          <t>ML</t>
        </is>
      </c>
      <c r="F95" s="12" t="inlineStr">
        <is>
          <t>MISS ML</t>
        </is>
      </c>
      <c r="G95" s="23" t="n"/>
      <c r="H95" s="13" t="n">
        <v>130</v>
      </c>
      <c r="I95" s="15" t="n">
        <v>0.5256664799798741</v>
      </c>
      <c r="J95" s="15" t="n">
        <v>0.4170073589533933</v>
      </c>
      <c r="K95" s="15" t="n">
        <v>0.4347826086956522</v>
      </c>
      <c r="L95" s="14" t="n">
        <v>0.09421555028487143</v>
      </c>
      <c r="M95" s="14" t="n">
        <v>0.2090329039537104</v>
      </c>
      <c r="N95" s="15" t="n">
        <v>0</v>
      </c>
      <c r="O95" s="24" t="n">
        <v>0.839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MRSH @ MOST</t>
        </is>
      </c>
      <c r="C96" s="17" t="inlineStr">
        <is>
          <t>2026-09-19 22:30</t>
        </is>
      </c>
      <c r="D96" s="25" t="n">
        <v>3</v>
      </c>
      <c r="E96" s="17" t="inlineStr">
        <is>
          <t>ATS</t>
        </is>
      </c>
      <c r="F96" s="17" t="inlineStr">
        <is>
          <t>MOST +3.5</t>
        </is>
      </c>
      <c r="G96" s="26" t="n">
        <v>3.5</v>
      </c>
      <c r="H96" s="18" t="n">
        <v>-115</v>
      </c>
      <c r="I96" s="20" t="n">
        <v>0.6419872296137685</v>
      </c>
      <c r="J96" s="20" t="n">
        <v>0.5108342361863488</v>
      </c>
      <c r="K96" s="20" t="n">
        <v>0.5348837209302325</v>
      </c>
      <c r="L96" s="19" t="n">
        <v>0.09415004360125051</v>
      </c>
      <c r="M96" s="19" t="n">
        <v>0.2002369944953062</v>
      </c>
      <c r="N96" s="20" t="n">
        <v>0</v>
      </c>
      <c r="O96" s="27" t="n">
        <v>0.839</v>
      </c>
      <c r="P96" s="17" t="inlineStr">
        <is>
          <t>DraftKings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VT @ MD</t>
        </is>
      </c>
      <c r="C97" s="12" t="inlineStr">
        <is>
          <t>2026-09-19 23:30</t>
        </is>
      </c>
      <c r="D97" s="22" t="n">
        <v>3</v>
      </c>
      <c r="E97" s="12" t="inlineStr">
        <is>
          <t>ATS</t>
        </is>
      </c>
      <c r="F97" s="12" t="inlineStr">
        <is>
          <t>MD +3</t>
        </is>
      </c>
      <c r="G97" s="23" t="n">
        <v>3</v>
      </c>
      <c r="H97" s="13" t="n">
        <v>-115</v>
      </c>
      <c r="I97" s="15" t="n">
        <v>0.6417725157444896</v>
      </c>
      <c r="J97" s="15" t="n">
        <v>0.5108342361863488</v>
      </c>
      <c r="K97" s="15" t="n">
        <v>0.5348837209302325</v>
      </c>
      <c r="L97" s="14" t="n">
        <v>0.09414252318920331</v>
      </c>
      <c r="M97" s="14" t="n">
        <v>0.1904233174293797</v>
      </c>
      <c r="N97" s="15" t="n">
        <v>0.0471</v>
      </c>
      <c r="O97" s="24" t="n">
        <v>0.839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PUR @ UCLA</t>
        </is>
      </c>
      <c r="C98" s="17" t="inlineStr">
        <is>
          <t>2026-09-20 03:00</t>
        </is>
      </c>
      <c r="D98" s="25" t="n">
        <v>3</v>
      </c>
      <c r="E98" s="17" t="inlineStr">
        <is>
          <t>ATS</t>
        </is>
      </c>
      <c r="F98" s="17" t="inlineStr">
        <is>
          <t>PUR +14</t>
        </is>
      </c>
      <c r="G98" s="26" t="n">
        <v>-14</v>
      </c>
      <c r="H98" s="18" t="n">
        <v>-108</v>
      </c>
      <c r="I98" s="20" t="n">
        <v>0.6198638710203984</v>
      </c>
      <c r="J98" s="20" t="n">
        <v>0.4956702459300312</v>
      </c>
      <c r="K98" s="20" t="n">
        <v>0.5192307692307693</v>
      </c>
      <c r="L98" s="19" t="n">
        <v>0.09403242717725174</v>
      </c>
      <c r="M98" s="19" t="n">
        <v>0.1866990030224219</v>
      </c>
      <c r="N98" s="20" t="n">
        <v>0.0367</v>
      </c>
      <c r="O98" s="27" t="n">
        <v>0.839</v>
      </c>
      <c r="P98" s="17" t="inlineStr">
        <is>
          <t>DraftKings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SELA @ ULM</t>
        </is>
      </c>
      <c r="C99" s="12" t="inlineStr">
        <is>
          <t>2026-09-19 20:30</t>
        </is>
      </c>
      <c r="D99" s="22" t="n">
        <v>3</v>
      </c>
      <c r="E99" s="12" t="inlineStr">
        <is>
          <t>ATS</t>
        </is>
      </c>
      <c r="F99" s="12" t="inlineStr">
        <is>
          <t>SELA +10.5</t>
        </is>
      </c>
      <c r="G99" s="23" t="n">
        <v>-10.5</v>
      </c>
      <c r="H99" s="13" t="n">
        <v>-112</v>
      </c>
      <c r="I99" s="15" t="n">
        <v>0.6298253173458725</v>
      </c>
      <c r="J99" s="15" t="n">
        <v>0.5043297540699688</v>
      </c>
      <c r="K99" s="15" t="n">
        <v>0.5283018867924528</v>
      </c>
      <c r="L99" s="14" t="n">
        <v>0.09399692404118244</v>
      </c>
      <c r="M99" s="14" t="n">
        <v>0.1921693506904016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SELA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WKU @ IU</t>
        </is>
      </c>
      <c r="C100" s="17" t="inlineStr">
        <is>
          <t>2026-09-19 20:00</t>
        </is>
      </c>
      <c r="D100" s="25" t="n">
        <v>3</v>
      </c>
      <c r="E100" s="17" t="inlineStr">
        <is>
          <t>TOTAL</t>
        </is>
      </c>
      <c r="F100" s="17" t="inlineStr">
        <is>
          <t>Under 60.5</t>
        </is>
      </c>
      <c r="G100" s="26" t="n">
        <v>60.5</v>
      </c>
      <c r="H100" s="18" t="n">
        <v>-110</v>
      </c>
      <c r="I100" s="20" t="n">
        <v>0.6168851587430113</v>
      </c>
      <c r="J100" s="20" t="n">
        <v>0.4947698744769875</v>
      </c>
      <c r="K100" s="20" t="n">
        <v>0.5238095238095238</v>
      </c>
      <c r="L100" s="19" t="n">
        <v>0.09395349839472102</v>
      </c>
      <c r="M100" s="19" t="n">
        <v>0.1776898485093852</v>
      </c>
      <c r="N100" s="20" t="n">
        <v>0</v>
      </c>
      <c r="O100" s="27" t="n">
        <v>0.839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LSU @ MISS</t>
        </is>
      </c>
      <c r="C101" s="12" t="inlineStr">
        <is>
          <t>2026-09-19 23:30</t>
        </is>
      </c>
      <c r="D101" s="22" t="n">
        <v>3</v>
      </c>
      <c r="E101" s="12" t="inlineStr">
        <is>
          <t>TOTAL</t>
        </is>
      </c>
      <c r="F101" s="12" t="inlineStr">
        <is>
          <t>Under 59.5</t>
        </is>
      </c>
      <c r="G101" s="23" t="n">
        <v>59.5</v>
      </c>
      <c r="H101" s="13" t="n">
        <v>-112</v>
      </c>
      <c r="I101" s="15" t="n">
        <v>0.6280836393422469</v>
      </c>
      <c r="J101" s="15" t="n">
        <v>0.5043297540699688</v>
      </c>
      <c r="K101" s="15" t="n">
        <v>0.5283018867924528</v>
      </c>
      <c r="L101" s="14" t="n">
        <v>0.09392170896108787</v>
      </c>
      <c r="M101" s="14" t="n">
        <v>0.1888726030406815</v>
      </c>
      <c r="N101" s="15" t="n">
        <v>0</v>
      </c>
      <c r="O101" s="24" t="n">
        <v>0.839</v>
      </c>
      <c r="P101" s="12" t="inlineStr">
        <is>
          <t>DraftKings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KENN @ TENN</t>
        </is>
      </c>
      <c r="C102" s="17" t="inlineStr">
        <is>
          <t>2026-09-19 23:45</t>
        </is>
      </c>
      <c r="D102" s="25" t="n">
        <v>3</v>
      </c>
      <c r="E102" s="17" t="inlineStr">
        <is>
          <t>TOTAL</t>
        </is>
      </c>
      <c r="F102" s="17" t="inlineStr">
        <is>
          <t>Under 59.5</t>
        </is>
      </c>
      <c r="G102" s="26" t="n">
        <v>59.5</v>
      </c>
      <c r="H102" s="18" t="n">
        <v>-110</v>
      </c>
      <c r="I102" s="20" t="n">
        <v>0.6195002192081915</v>
      </c>
      <c r="J102" s="20" t="n">
        <v>0.5</v>
      </c>
      <c r="K102" s="20" t="n">
        <v>0.5238095238095238</v>
      </c>
      <c r="L102" s="19" t="n">
        <v>0.0937676428976935</v>
      </c>
      <c r="M102" s="19" t="n">
        <v>0.1826822366701839</v>
      </c>
      <c r="N102" s="20" t="n">
        <v>0</v>
      </c>
      <c r="O102" s="27" t="n">
        <v>0.839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USC @ RUTG</t>
        </is>
      </c>
      <c r="C103" s="12" t="inlineStr">
        <is>
          <t>2026-09-19 19:30</t>
        </is>
      </c>
      <c r="D103" s="22" t="n">
        <v>3</v>
      </c>
      <c r="E103" s="12" t="inlineStr">
        <is>
          <t>TOTAL</t>
        </is>
      </c>
      <c r="F103" s="12" t="inlineStr">
        <is>
          <t>Under 59.5</t>
        </is>
      </c>
      <c r="G103" s="23" t="n">
        <v>59.5</v>
      </c>
      <c r="H103" s="13" t="n">
        <v>-110</v>
      </c>
      <c r="I103" s="15" t="n">
        <v>0.6178693176434582</v>
      </c>
      <c r="J103" s="15" t="n">
        <v>0.5</v>
      </c>
      <c r="K103" s="15" t="n">
        <v>0.5238095238095238</v>
      </c>
      <c r="L103" s="14" t="n">
        <v>0.09368065252250113</v>
      </c>
      <c r="M103" s="14" t="n">
        <v>0.1795686973193293</v>
      </c>
      <c r="N103" s="15" t="n">
        <v>0</v>
      </c>
      <c r="O103" s="24" t="n">
        <v>0.839</v>
      </c>
      <c r="P103" s="12" t="inlineStr">
        <is>
          <t>DraftKings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MER @ GT</t>
        </is>
      </c>
      <c r="C104" s="17" t="inlineStr">
        <is>
          <t>2026-09-19 16:00</t>
        </is>
      </c>
      <c r="D104" s="25" t="n">
        <v>3</v>
      </c>
      <c r="E104" s="17" t="inlineStr">
        <is>
          <t>TOTAL</t>
        </is>
      </c>
      <c r="F104" s="17" t="inlineStr">
        <is>
          <t>Under 58.5</t>
        </is>
      </c>
      <c r="G104" s="26" t="n">
        <v>58.5</v>
      </c>
      <c r="H104" s="18" t="n">
        <v>-105</v>
      </c>
      <c r="I104" s="20" t="n">
        <v>0.6024537529588541</v>
      </c>
      <c r="J104" s="20" t="n">
        <v>0.4891657638136511</v>
      </c>
      <c r="K104" s="20" t="n">
        <v>0.5121951219512195</v>
      </c>
      <c r="L104" s="19" t="n">
        <v>0.09356127953565135</v>
      </c>
      <c r="M104" s="19" t="n">
        <v>0.1762192319672864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MER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JMU @ SDSU</t>
        </is>
      </c>
      <c r="C105" s="12" t="inlineStr">
        <is>
          <t>2026-09-20 02:00</t>
        </is>
      </c>
      <c r="D105" s="22" t="n">
        <v>3</v>
      </c>
      <c r="E105" s="12" t="inlineStr">
        <is>
          <t>TOTAL</t>
        </is>
      </c>
      <c r="F105" s="12" t="inlineStr">
        <is>
          <t>Over 46.5</t>
        </is>
      </c>
      <c r="G105" s="23" t="n">
        <v>46.5</v>
      </c>
      <c r="H105" s="13" t="n">
        <v>-105</v>
      </c>
      <c r="I105" s="15" t="n">
        <v>0.6007528677205783</v>
      </c>
      <c r="J105" s="15" t="n">
        <v>0.4891657638136511</v>
      </c>
      <c r="K105" s="15" t="n">
        <v>0.5121951219512195</v>
      </c>
      <c r="L105" s="14" t="n">
        <v>0.09345290090517688</v>
      </c>
      <c r="M105" s="14" t="n">
        <v>0.172898456025891</v>
      </c>
      <c r="N105" s="15" t="n">
        <v>0</v>
      </c>
      <c r="O105" s="24" t="n">
        <v>0.839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LSU @ MISS</t>
        </is>
      </c>
      <c r="C106" s="17" t="inlineStr">
        <is>
          <t>2026-09-19 23:30</t>
        </is>
      </c>
      <c r="D106" s="25" t="n">
        <v>3</v>
      </c>
      <c r="E106" s="17" t="inlineStr">
        <is>
          <t>ATS</t>
        </is>
      </c>
      <c r="F106" s="17" t="inlineStr">
        <is>
          <t>MISS +3</t>
        </is>
      </c>
      <c r="G106" s="26" t="n">
        <v>3</v>
      </c>
      <c r="H106" s="18" t="n">
        <v>-112</v>
      </c>
      <c r="I106" s="20" t="n">
        <v>0.6169955880240894</v>
      </c>
      <c r="J106" s="20" t="n">
        <v>0.5043297540699688</v>
      </c>
      <c r="K106" s="20" t="n">
        <v>0.5283018867924528</v>
      </c>
      <c r="L106" s="19" t="n">
        <v>0.09329272297633229</v>
      </c>
      <c r="M106" s="19" t="n">
        <v>0.1592720307499299</v>
      </c>
      <c r="N106" s="20" t="n">
        <v>0.0513</v>
      </c>
      <c r="O106" s="27" t="n">
        <v>0.839</v>
      </c>
      <c r="P106" s="17" t="inlineStr">
        <is>
          <t>DraftKings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MSST @ SC</t>
        </is>
      </c>
      <c r="C107" s="12" t="inlineStr">
        <is>
          <t>2026-09-19 20:15</t>
        </is>
      </c>
      <c r="D107" s="22" t="n">
        <v>3</v>
      </c>
      <c r="E107" s="12" t="inlineStr">
        <is>
          <t>TOTAL</t>
        </is>
      </c>
      <c r="F107" s="12" t="inlineStr">
        <is>
          <t>Under 58.5</t>
        </is>
      </c>
      <c r="G107" s="23" t="n">
        <v>58.5</v>
      </c>
      <c r="H107" s="13" t="n">
        <v>-108</v>
      </c>
      <c r="I107" s="15" t="n">
        <v>0.6057059940170441</v>
      </c>
      <c r="J107" s="15" t="n">
        <v>0.4956702459300312</v>
      </c>
      <c r="K107" s="15" t="n">
        <v>0.5192307692307693</v>
      </c>
      <c r="L107" s="14" t="n">
        <v>0.09324200565386223</v>
      </c>
      <c r="M107" s="14" t="n">
        <v>0.1665448773661591</v>
      </c>
      <c r="N107" s="15" t="n">
        <v>0</v>
      </c>
      <c r="O107" s="24" t="n">
        <v>0.839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EWU @ WASH</t>
        </is>
      </c>
      <c r="C108" s="17" t="inlineStr">
        <is>
          <t>2026-09-19 23:15</t>
        </is>
      </c>
      <c r="D108" s="25" t="n">
        <v>3</v>
      </c>
      <c r="E108" s="17" t="inlineStr">
        <is>
          <t>TOTAL</t>
        </is>
      </c>
      <c r="F108" s="17" t="inlineStr">
        <is>
          <t>Under 56.5</t>
        </is>
      </c>
      <c r="G108" s="26" t="n">
        <v>56.5</v>
      </c>
      <c r="H108" s="18" t="n">
        <v>-108</v>
      </c>
      <c r="I108" s="20" t="n">
        <v>0.6022945874338045</v>
      </c>
      <c r="J108" s="20" t="n">
        <v>0.4956702459300312</v>
      </c>
      <c r="K108" s="20" t="n">
        <v>0.5192307692307693</v>
      </c>
      <c r="L108" s="19" t="n">
        <v>0.09297083400344028</v>
      </c>
      <c r="M108" s="19" t="n">
        <v>0.1599747609836235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EWU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BGSU @ ISU</t>
        </is>
      </c>
      <c r="C109" s="12" t="inlineStr">
        <is>
          <t>2026-09-19 16:00</t>
        </is>
      </c>
      <c r="D109" s="22" t="n">
        <v>3</v>
      </c>
      <c r="E109" s="12" t="inlineStr">
        <is>
          <t>TOTAL</t>
        </is>
      </c>
      <c r="F109" s="12" t="inlineStr">
        <is>
          <t>Over 44.5</t>
        </is>
      </c>
      <c r="G109" s="23" t="n">
        <v>44.5</v>
      </c>
      <c r="H109" s="13" t="n">
        <v>-102</v>
      </c>
      <c r="I109" s="15" t="n">
        <v>0.5817643022104717</v>
      </c>
      <c r="J109" s="15" t="n">
        <v>0.4826358742837298</v>
      </c>
      <c r="K109" s="15" t="n">
        <v>0.504950495049505</v>
      </c>
      <c r="L109" s="14" t="n">
        <v>0.09251599818272414</v>
      </c>
      <c r="M109" s="14" t="n">
        <v>0.1521214612403459</v>
      </c>
      <c r="N109" s="15" t="n">
        <v>0</v>
      </c>
      <c r="O109" s="24" t="n">
        <v>0.839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STAN @ DUKE</t>
        </is>
      </c>
      <c r="C110" s="17" t="inlineStr">
        <is>
          <t>2026-09-19 20:00</t>
        </is>
      </c>
      <c r="D110" s="25" t="n">
        <v>3</v>
      </c>
      <c r="E110" s="17" t="inlineStr">
        <is>
          <t>ML</t>
        </is>
      </c>
      <c r="F110" s="17" t="inlineStr">
        <is>
          <t>STAN ML</t>
        </is>
      </c>
      <c r="G110" s="26" t="n"/>
      <c r="H110" s="18" t="n">
        <v>295</v>
      </c>
      <c r="I110" s="20" t="n">
        <v>0.2917168107140944</v>
      </c>
      <c r="J110" s="20" t="n">
        <v>0.2428115015974441</v>
      </c>
      <c r="K110" s="20" t="n">
        <v>0.2531645569620253</v>
      </c>
      <c r="L110" s="19" t="n">
        <v>0.09230214597058191</v>
      </c>
      <c r="M110" s="19" t="n">
        <v>0.1522814023206729</v>
      </c>
      <c r="N110" s="20" t="n">
        <v>0</v>
      </c>
      <c r="O110" s="27" t="n">
        <v>0.839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WMU @ RICE</t>
        </is>
      </c>
      <c r="C111" s="12" t="inlineStr">
        <is>
          <t>2026-09-19 23:00</t>
        </is>
      </c>
      <c r="D111" s="22" t="n">
        <v>3</v>
      </c>
      <c r="E111" s="12" t="inlineStr">
        <is>
          <t>TOTAL</t>
        </is>
      </c>
      <c r="F111" s="12" t="inlineStr">
        <is>
          <t>Over 43.5</t>
        </is>
      </c>
      <c r="G111" s="23" t="n">
        <v>43.5</v>
      </c>
      <c r="H111" s="13" t="n">
        <v>-115</v>
      </c>
      <c r="I111" s="15" t="n">
        <v>0.6132881145709708</v>
      </c>
      <c r="J111" s="15" t="n">
        <v>0.5108342361863488</v>
      </c>
      <c r="K111" s="15" t="n">
        <v>0.5348837209302325</v>
      </c>
      <c r="L111" s="14" t="n">
        <v>0.09225409428749758</v>
      </c>
      <c r="M111" s="14" t="n">
        <v>0.1465821272413801</v>
      </c>
      <c r="N111" s="15" t="n">
        <v>0</v>
      </c>
      <c r="O111" s="24" t="n">
        <v>0.839</v>
      </c>
      <c r="P111" s="12" t="inlineStr">
        <is>
          <t>DraftKings</t>
        </is>
      </c>
      <c r="Q111" s="12" t="inlineStr">
        <is>
          <t>outside the top 10 plays for this week</t>
        </is>
      </c>
    </row>
    <row r="112">
      <c r="A112" s="17" t="inlineStr">
        <is>
          <t>PASS</t>
        </is>
      </c>
      <c r="B112" s="17" t="inlineStr">
        <is>
          <t>CCU @ DEL</t>
        </is>
      </c>
      <c r="C112" s="17" t="inlineStr">
        <is>
          <t>2026-09-19 15:30</t>
        </is>
      </c>
      <c r="D112" s="25" t="n">
        <v>3</v>
      </c>
      <c r="E112" s="17" t="inlineStr">
        <is>
          <t>TOTAL</t>
        </is>
      </c>
      <c r="F112" s="17" t="inlineStr">
        <is>
          <t>Under 57.5</t>
        </is>
      </c>
      <c r="G112" s="26" t="n">
        <v>57.5</v>
      </c>
      <c r="H112" s="18" t="n">
        <v>-110</v>
      </c>
      <c r="I112" s="20" t="n">
        <v>0.5975243736282159</v>
      </c>
      <c r="J112" s="20" t="n">
        <v>0.5</v>
      </c>
      <c r="K112" s="20" t="n">
        <v>0.5238095238095238</v>
      </c>
      <c r="L112" s="19" t="n">
        <v>0.09192163064792221</v>
      </c>
      <c r="M112" s="19" t="n">
        <v>0.1407283496538667</v>
      </c>
      <c r="N112" s="20" t="n">
        <v>0</v>
      </c>
      <c r="O112" s="27" t="n">
        <v>0.839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SMU @ LOU</t>
        </is>
      </c>
      <c r="C113" s="12" t="inlineStr">
        <is>
          <t>2026-09-19 19:30</t>
        </is>
      </c>
      <c r="D113" s="22" t="n">
        <v>3</v>
      </c>
      <c r="E113" s="12" t="inlineStr">
        <is>
          <t>TOTAL</t>
        </is>
      </c>
      <c r="F113" s="12" t="inlineStr">
        <is>
          <t>Under 59.5</t>
        </is>
      </c>
      <c r="G113" s="23" t="n">
        <v>59.5</v>
      </c>
      <c r="H113" s="13" t="n">
        <v>-118</v>
      </c>
      <c r="I113" s="15" t="n">
        <v>0.6182441785419756</v>
      </c>
      <c r="J113" s="15" t="n">
        <v>0.5173641257162701</v>
      </c>
      <c r="K113" s="15" t="n">
        <v>0.5412844036697247</v>
      </c>
      <c r="L113" s="14" t="n">
        <v>0.09191778681257784</v>
      </c>
      <c r="M113" s="14" t="n">
        <v>0.1421799230690735</v>
      </c>
      <c r="N113" s="15" t="n">
        <v>0</v>
      </c>
      <c r="O113" s="24" t="n">
        <v>0.839</v>
      </c>
      <c r="P113" s="12" t="inlineStr">
        <is>
          <t>DraftKings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UTSA @ TEX</t>
        </is>
      </c>
      <c r="C114" s="17" t="inlineStr">
        <is>
          <t>2026-09-20 00:00</t>
        </is>
      </c>
      <c r="D114" s="25" t="n">
        <v>3</v>
      </c>
      <c r="E114" s="17" t="inlineStr">
        <is>
          <t>TOTAL</t>
        </is>
      </c>
      <c r="F114" s="17" t="inlineStr">
        <is>
          <t>Under 58.5</t>
        </is>
      </c>
      <c r="G114" s="26" t="n">
        <v>58.5</v>
      </c>
      <c r="H114" s="18" t="n">
        <v>-115</v>
      </c>
      <c r="I114" s="20" t="n">
        <v>0.6098765949800449</v>
      </c>
      <c r="J114" s="20" t="n">
        <v>0.5108342361863488</v>
      </c>
      <c r="K114" s="20" t="n">
        <v>0.5348837209302325</v>
      </c>
      <c r="L114" s="19" t="n">
        <v>0.09184645230237359</v>
      </c>
      <c r="M114" s="19" t="n">
        <v>0.140204068875736</v>
      </c>
      <c r="N114" s="20" t="n">
        <v>0</v>
      </c>
      <c r="O114" s="27" t="n">
        <v>0.839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ASU @ KU</t>
        </is>
      </c>
      <c r="C115" s="12" t="inlineStr">
        <is>
          <t>2026-09-19 16:00</t>
        </is>
      </c>
      <c r="D115" s="22" t="n">
        <v>3</v>
      </c>
      <c r="E115" s="12" t="inlineStr">
        <is>
          <t>ML</t>
        </is>
      </c>
      <c r="F115" s="12" t="inlineStr">
        <is>
          <t>KU ML</t>
        </is>
      </c>
      <c r="G115" s="23" t="n"/>
      <c r="H115" s="13" t="n">
        <v>180</v>
      </c>
      <c r="I115" s="15" t="n">
        <v>0.4056249247874287</v>
      </c>
      <c r="J115" s="15" t="n">
        <v>0.3403141361256544</v>
      </c>
      <c r="K115" s="15" t="n">
        <v>0.3571428571428572</v>
      </c>
      <c r="L115" s="14" t="n">
        <v>0.09171520017430947</v>
      </c>
      <c r="M115" s="14" t="n">
        <v>0.1357497894048003</v>
      </c>
      <c r="N115" s="15" t="n">
        <v>0</v>
      </c>
      <c r="O115" s="24" t="n">
        <v>0.839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FLA @ AUB</t>
        </is>
      </c>
      <c r="C116" s="17" t="inlineStr">
        <is>
          <t>2026-09-19 23:00</t>
        </is>
      </c>
      <c r="D116" s="25" t="n">
        <v>3</v>
      </c>
      <c r="E116" s="17" t="inlineStr">
        <is>
          <t>ATS</t>
        </is>
      </c>
      <c r="F116" s="17" t="inlineStr">
        <is>
          <t>AUB +2.5</t>
        </is>
      </c>
      <c r="G116" s="26" t="n">
        <v>2.5</v>
      </c>
      <c r="H116" s="18" t="n">
        <v>-110</v>
      </c>
      <c r="I116" s="20" t="n">
        <v>0.5909949778961293</v>
      </c>
      <c r="J116" s="20" t="n">
        <v>0.5</v>
      </c>
      <c r="K116" s="20" t="n">
        <v>0.5238095238095238</v>
      </c>
      <c r="L116" s="19" t="n">
        <v>0.090968218647438</v>
      </c>
      <c r="M116" s="19" t="n">
        <v>0.1282631396198832</v>
      </c>
      <c r="N116" s="20" t="n">
        <v>0</v>
      </c>
      <c r="O116" s="27" t="n">
        <v>0.839</v>
      </c>
      <c r="P116" s="17" t="inlineStr">
        <is>
          <t>DraftKings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FLA @ AUB</t>
        </is>
      </c>
      <c r="C117" s="12" t="inlineStr">
        <is>
          <t>2026-09-19 23:00</t>
        </is>
      </c>
      <c r="D117" s="22" t="n">
        <v>3</v>
      </c>
      <c r="E117" s="12" t="inlineStr">
        <is>
          <t>ML</t>
        </is>
      </c>
      <c r="F117" s="12" t="inlineStr">
        <is>
          <t>AUB ML</t>
        </is>
      </c>
      <c r="G117" s="23" t="n"/>
      <c r="H117" s="13" t="n">
        <v>110</v>
      </c>
      <c r="I117" s="15" t="n">
        <v>0.540315965239362</v>
      </c>
      <c r="J117" s="15" t="n">
        <v>0.4572564612326044</v>
      </c>
      <c r="K117" s="15" t="n">
        <v>0.4761904761904762</v>
      </c>
      <c r="L117" s="14" t="n">
        <v>0.09093967152750573</v>
      </c>
      <c r="M117" s="14" t="n">
        <v>0.1346635270026602</v>
      </c>
      <c r="N117" s="15" t="n">
        <v>0</v>
      </c>
      <c r="O117" s="24" t="n">
        <v>0.839</v>
      </c>
      <c r="P117" s="12" t="inlineStr">
        <is>
          <t>DraftKings</t>
        </is>
      </c>
      <c r="Q117" s="12" t="inlineStr">
        <is>
          <t>correlated with a stronger play on the same game</t>
        </is>
      </c>
    </row>
    <row r="118">
      <c r="A118" s="17" t="inlineStr">
        <is>
          <t>PASS</t>
        </is>
      </c>
      <c r="B118" s="17" t="inlineStr">
        <is>
          <t>USU @ UTAH</t>
        </is>
      </c>
      <c r="C118" s="17" t="inlineStr">
        <is>
          <t>2026-09-19 19:30</t>
        </is>
      </c>
      <c r="D118" s="25" t="n">
        <v>3</v>
      </c>
      <c r="E118" s="17" t="inlineStr">
        <is>
          <t>TOTAL</t>
        </is>
      </c>
      <c r="F118" s="17" t="inlineStr">
        <is>
          <t>Under 56.5</t>
        </is>
      </c>
      <c r="G118" s="26" t="n">
        <v>56.5</v>
      </c>
      <c r="H118" s="18" t="n">
        <v>-105</v>
      </c>
      <c r="I118" s="20" t="n">
        <v>0.5778165698312331</v>
      </c>
      <c r="J118" s="20" t="n">
        <v>0.4891657638136511</v>
      </c>
      <c r="K118" s="20" t="n">
        <v>0.5121951219512195</v>
      </c>
      <c r="L118" s="19" t="n">
        <v>0.09090447504671421</v>
      </c>
      <c r="M118" s="19" t="n">
        <v>0.128118064908598</v>
      </c>
      <c r="N118" s="20" t="n">
        <v>0</v>
      </c>
      <c r="O118" s="27" t="n">
        <v>0.839</v>
      </c>
      <c r="P118" s="17" t="inlineStr">
        <is>
          <t>DraftKings</t>
        </is>
      </c>
      <c r="Q118" s="17" t="inlineStr">
        <is>
          <t>outside the top 10 plays for this week</t>
        </is>
      </c>
    </row>
    <row r="119">
      <c r="A119" s="12" t="inlineStr">
        <is>
          <t>PASS</t>
        </is>
      </c>
      <c r="B119" s="12" t="inlineStr">
        <is>
          <t>UNC @ CLEM</t>
        </is>
      </c>
      <c r="C119" s="12" t="inlineStr">
        <is>
          <t>2026-09-19 16:00</t>
        </is>
      </c>
      <c r="D119" s="22" t="n">
        <v>3</v>
      </c>
      <c r="E119" s="12" t="inlineStr">
        <is>
          <t>TOTAL</t>
        </is>
      </c>
      <c r="F119" s="12" t="inlineStr">
        <is>
          <t>Over 43.5</t>
        </is>
      </c>
      <c r="G119" s="23" t="n">
        <v>43.5</v>
      </c>
      <c r="H119" s="13" t="n">
        <v>-110</v>
      </c>
      <c r="I119" s="15" t="n">
        <v>0.5904464403358543</v>
      </c>
      <c r="J119" s="15" t="n">
        <v>0.5</v>
      </c>
      <c r="K119" s="15" t="n">
        <v>0.5238095238095238</v>
      </c>
      <c r="L119" s="14" t="n">
        <v>0.09087606032913681</v>
      </c>
      <c r="M119" s="14" t="n">
        <v>0.1272159315502672</v>
      </c>
      <c r="N119" s="15" t="n">
        <v>0</v>
      </c>
      <c r="O119" s="24" t="n">
        <v>0.839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UTM @ MEM</t>
        </is>
      </c>
      <c r="C120" s="17" t="inlineStr">
        <is>
          <t>2026-09-19 23:00</t>
        </is>
      </c>
      <c r="D120" s="25" t="n">
        <v>3</v>
      </c>
      <c r="E120" s="17" t="inlineStr">
        <is>
          <t>TOTAL</t>
        </is>
      </c>
      <c r="F120" s="17" t="inlineStr">
        <is>
          <t>Under 57.5</t>
        </is>
      </c>
      <c r="G120" s="26" t="n">
        <v>57.5</v>
      </c>
      <c r="H120" s="18" t="n">
        <v>-110</v>
      </c>
      <c r="I120" s="20" t="n">
        <v>0.5868562097839791</v>
      </c>
      <c r="J120" s="20" t="n">
        <v>0.5</v>
      </c>
      <c r="K120" s="20" t="n">
        <v>0.5238095238095238</v>
      </c>
      <c r="L120" s="19" t="n">
        <v>0.09021999910818522</v>
      </c>
      <c r="M120" s="19" t="n">
        <v>0.1203618550421419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UTM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SYR @ PITT</t>
        </is>
      </c>
      <c r="C121" s="12" t="inlineStr">
        <is>
          <t>2026-09-17 23:30</t>
        </is>
      </c>
      <c r="D121" s="22" t="n">
        <v>3</v>
      </c>
      <c r="E121" s="12" t="inlineStr">
        <is>
          <t>ATS</t>
        </is>
      </c>
      <c r="F121" s="12" t="inlineStr">
        <is>
          <t>SYR +10.5</t>
        </is>
      </c>
      <c r="G121" s="23" t="n">
        <v>-10.5</v>
      </c>
      <c r="H121" s="13" t="n">
        <v>-115</v>
      </c>
      <c r="I121" s="15" t="n">
        <v>0.5982992849285195</v>
      </c>
      <c r="J121" s="15" t="n">
        <v>0.5108342361863488</v>
      </c>
      <c r="K121" s="15" t="n">
        <v>0.5348837209302325</v>
      </c>
      <c r="L121" s="14" t="n">
        <v>0.08996930636203408</v>
      </c>
      <c r="M121" s="14" t="n">
        <v>0.1185595326924493</v>
      </c>
      <c r="N121" s="15" t="n">
        <v>0</v>
      </c>
      <c r="O121" s="24" t="n">
        <v>0.839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ARST @ TCU</t>
        </is>
      </c>
      <c r="C122" s="17" t="inlineStr">
        <is>
          <t>2026-09-20 00:00</t>
        </is>
      </c>
      <c r="D122" s="25" t="n">
        <v>3</v>
      </c>
      <c r="E122" s="17" t="inlineStr">
        <is>
          <t>TOTAL</t>
        </is>
      </c>
      <c r="F122" s="17" t="inlineStr">
        <is>
          <t>Under 56.5</t>
        </is>
      </c>
      <c r="G122" s="26" t="n">
        <v>56.5</v>
      </c>
      <c r="H122" s="18" t="n">
        <v>-110</v>
      </c>
      <c r="I122" s="20" t="n">
        <v>0.5832336879244076</v>
      </c>
      <c r="J122" s="20" t="n">
        <v>0.5</v>
      </c>
      <c r="K122" s="20" t="n">
        <v>0.5238095238095238</v>
      </c>
      <c r="L122" s="19" t="n">
        <v>0.08945536293909936</v>
      </c>
      <c r="M122" s="19" t="n">
        <v>0.1134461314920507</v>
      </c>
      <c r="N122" s="20" t="n">
        <v>0</v>
      </c>
      <c r="O122" s="27" t="n">
        <v>0.839</v>
      </c>
      <c r="P122" s="17" t="inlineStr">
        <is>
          <t>DraftKings</t>
        </is>
      </c>
      <c r="Q122" s="17" t="inlineStr">
        <is>
          <t>outside the top 10 plays for this week</t>
        </is>
      </c>
    </row>
    <row r="123">
      <c r="A123" s="12" t="inlineStr">
        <is>
          <t>PASS</t>
        </is>
      </c>
      <c r="B123" s="12" t="inlineStr">
        <is>
          <t>DUQ @ WSU</t>
        </is>
      </c>
      <c r="C123" s="12" t="inlineStr">
        <is>
          <t>2026-09-19 19:30</t>
        </is>
      </c>
      <c r="D123" s="22" t="n">
        <v>3</v>
      </c>
      <c r="E123" s="12" t="inlineStr">
        <is>
          <t>TOTAL</t>
        </is>
      </c>
      <c r="F123" s="12" t="inlineStr">
        <is>
          <t>Under 53.5</t>
        </is>
      </c>
      <c r="G123" s="23" t="n">
        <v>53.5</v>
      </c>
      <c r="H123" s="13" t="n">
        <v>-108</v>
      </c>
      <c r="I123" s="15" t="n">
        <v>0.5737310047194353</v>
      </c>
      <c r="J123" s="15" t="n">
        <v>0.4956702459300312</v>
      </c>
      <c r="K123" s="15" t="n">
        <v>0.5192307692307693</v>
      </c>
      <c r="L123" s="14" t="n">
        <v>0.08834164720053488</v>
      </c>
      <c r="M123" s="14" t="n">
        <v>0.1049634164966902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DUQ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SELA @ ULM</t>
        </is>
      </c>
      <c r="C124" s="17" t="inlineStr">
        <is>
          <t>2026-09-19 20:30</t>
        </is>
      </c>
      <c r="D124" s="25" t="n">
        <v>3</v>
      </c>
      <c r="E124" s="17" t="inlineStr">
        <is>
          <t>TOTAL</t>
        </is>
      </c>
      <c r="F124" s="17" t="inlineStr">
        <is>
          <t>Over 48.5</t>
        </is>
      </c>
      <c r="G124" s="26" t="n">
        <v>48.5</v>
      </c>
      <c r="H124" s="18" t="n">
        <v>-112</v>
      </c>
      <c r="I124" s="20" t="n">
        <v>0.5835755174352463</v>
      </c>
      <c r="J124" s="20" t="n">
        <v>0.5043297540699688</v>
      </c>
      <c r="K124" s="20" t="n">
        <v>0.5283018867924528</v>
      </c>
      <c r="L124" s="19" t="n">
        <v>0.088293541566506</v>
      </c>
      <c r="M124" s="19" t="n">
        <v>0.1046250865738589</v>
      </c>
      <c r="N124" s="20" t="n">
        <v>0</v>
      </c>
      <c r="O124" s="27" t="n">
        <v>0.725</v>
      </c>
      <c r="P124" s="17" t="inlineStr">
        <is>
          <t>DraftKings</t>
        </is>
      </c>
      <c r="Q124" s="17" t="inlineStr">
        <is>
          <t>SELA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FIU @ FAU</t>
        </is>
      </c>
      <c r="C125" s="12" t="inlineStr">
        <is>
          <t>2026-09-19 22:00</t>
        </is>
      </c>
      <c r="D125" s="22" t="n">
        <v>3</v>
      </c>
      <c r="E125" s="12" t="inlineStr">
        <is>
          <t>ML</t>
        </is>
      </c>
      <c r="F125" s="12" t="inlineStr">
        <is>
          <t>FIU ML</t>
        </is>
      </c>
      <c r="G125" s="23" t="n"/>
      <c r="H125" s="13" t="n">
        <v>225</v>
      </c>
      <c r="I125" s="15" t="n">
        <v>0.3410405987539735</v>
      </c>
      <c r="J125" s="15" t="n">
        <v>0.2949668357393679</v>
      </c>
      <c r="K125" s="15" t="n">
        <v>0.3076923076923077</v>
      </c>
      <c r="L125" s="14" t="n">
        <v>0.08816556722163803</v>
      </c>
      <c r="M125" s="14" t="n">
        <v>0.1083819459504141</v>
      </c>
      <c r="N125" s="15" t="n">
        <v>0</v>
      </c>
      <c r="O125" s="24" t="n">
        <v>0.839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STAN @ DUKE</t>
        </is>
      </c>
      <c r="C126" s="17" t="inlineStr">
        <is>
          <t>2026-09-19 20:00</t>
        </is>
      </c>
      <c r="D126" s="25" t="n">
        <v>3</v>
      </c>
      <c r="E126" s="17" t="inlineStr">
        <is>
          <t>ATS</t>
        </is>
      </c>
      <c r="F126" s="17" t="inlineStr">
        <is>
          <t>STAN +9.5</t>
        </is>
      </c>
      <c r="G126" s="26" t="n">
        <v>-9.5</v>
      </c>
      <c r="H126" s="18" t="n">
        <v>-108</v>
      </c>
      <c r="I126" s="20" t="n">
        <v>0.5715225930695444</v>
      </c>
      <c r="J126" s="20" t="n">
        <v>0.4956702459300312</v>
      </c>
      <c r="K126" s="20" t="n">
        <v>0.5192307692307693</v>
      </c>
      <c r="L126" s="19" t="n">
        <v>0.08771199459942559</v>
      </c>
      <c r="M126" s="19" t="n">
        <v>0.1007101792450487</v>
      </c>
      <c r="N126" s="20" t="n">
        <v>0</v>
      </c>
      <c r="O126" s="27" t="n">
        <v>0.839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ASU @ KU</t>
        </is>
      </c>
      <c r="C127" s="12" t="inlineStr">
        <is>
          <t>2026-09-19 16:00</t>
        </is>
      </c>
      <c r="D127" s="22" t="n">
        <v>3</v>
      </c>
      <c r="E127" s="12" t="inlineStr">
        <is>
          <t>ATS</t>
        </is>
      </c>
      <c r="F127" s="12" t="inlineStr">
        <is>
          <t>KU +5.5</t>
        </is>
      </c>
      <c r="G127" s="23" t="n">
        <v>5.5</v>
      </c>
      <c r="H127" s="13" t="n">
        <v>-112</v>
      </c>
      <c r="I127" s="15" t="n">
        <v>0.5766588348487317</v>
      </c>
      <c r="J127" s="15" t="n">
        <v>0.5043297540699688</v>
      </c>
      <c r="K127" s="15" t="n">
        <v>0.5283018867924528</v>
      </c>
      <c r="L127" s="14" t="n">
        <v>0.08615321812203824</v>
      </c>
      <c r="M127" s="14" t="n">
        <v>0.09153279453509922</v>
      </c>
      <c r="N127" s="15" t="n">
        <v>0</v>
      </c>
      <c r="O127" s="24" t="n">
        <v>0.839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GASO @ JVST</t>
        </is>
      </c>
      <c r="C128" s="17" t="inlineStr">
        <is>
          <t>2026-09-19 23:00</t>
        </is>
      </c>
      <c r="D128" s="25" t="n">
        <v>3</v>
      </c>
      <c r="E128" s="17" t="inlineStr">
        <is>
          <t>TOTAL</t>
        </is>
      </c>
      <c r="F128" s="17" t="inlineStr">
        <is>
          <t>Under 52.5</t>
        </is>
      </c>
      <c r="G128" s="26" t="n">
        <v>52.5</v>
      </c>
      <c r="H128" s="18" t="n">
        <v>-105</v>
      </c>
      <c r="I128" s="20" t="n">
        <v>0.5592588257221088</v>
      </c>
      <c r="J128" s="20" t="n">
        <v>0.4891657638136511</v>
      </c>
      <c r="K128" s="20" t="n">
        <v>0.5121951219512195</v>
      </c>
      <c r="L128" s="19" t="n">
        <v>0.08613095438643457</v>
      </c>
      <c r="M128" s="19" t="n">
        <v>0.09188627879078393</v>
      </c>
      <c r="N128" s="20" t="n">
        <v>0</v>
      </c>
      <c r="O128" s="27" t="n">
        <v>0.839</v>
      </c>
      <c r="P128" s="17" t="inlineStr">
        <is>
          <t>DraftKings</t>
        </is>
      </c>
      <c r="Q128" s="17" t="inlineStr">
        <is>
          <t>outside the top 10 plays for this week</t>
        </is>
      </c>
    </row>
    <row r="129">
      <c r="A129" s="12" t="inlineStr">
        <is>
          <t>PASS</t>
        </is>
      </c>
      <c r="B129" s="12" t="inlineStr">
        <is>
          <t>MIA @ WAKE</t>
        </is>
      </c>
      <c r="C129" s="12" t="inlineStr">
        <is>
          <t>2026-09-18 23:30</t>
        </is>
      </c>
      <c r="D129" s="22" t="n">
        <v>3</v>
      </c>
      <c r="E129" s="12" t="inlineStr">
        <is>
          <t>TOTAL</t>
        </is>
      </c>
      <c r="F129" s="12" t="inlineStr">
        <is>
          <t>Under 56.5</t>
        </is>
      </c>
      <c r="G129" s="23" t="n">
        <v>56.5</v>
      </c>
      <c r="H129" s="13" t="n">
        <v>-112</v>
      </c>
      <c r="I129" s="15" t="n">
        <v>0.5743479870867317</v>
      </c>
      <c r="J129" s="15" t="n">
        <v>0.5043297540699688</v>
      </c>
      <c r="K129" s="15" t="n">
        <v>0.5283018867924528</v>
      </c>
      <c r="L129" s="14" t="n">
        <v>0.08530303388878784</v>
      </c>
      <c r="M129" s="14" t="n">
        <v>0.08715868984274211</v>
      </c>
      <c r="N129" s="15" t="n">
        <v>0</v>
      </c>
      <c r="O129" s="24" t="n">
        <v>0.839</v>
      </c>
      <c r="P129" s="12" t="inlineStr">
        <is>
          <t>DraftKings</t>
        </is>
      </c>
      <c r="Q129" s="12" t="inlineStr">
        <is>
          <t>outside the top 10 plays for this week</t>
        </is>
      </c>
    </row>
    <row r="130">
      <c r="A130" s="17" t="inlineStr">
        <is>
          <t>PASS</t>
        </is>
      </c>
      <c r="B130" s="17" t="inlineStr">
        <is>
          <t>EMU @ WIS</t>
        </is>
      </c>
      <c r="C130" s="17" t="inlineStr">
        <is>
          <t>2026-09-19 16:30</t>
        </is>
      </c>
      <c r="D130" s="25" t="n">
        <v>3</v>
      </c>
      <c r="E130" s="17" t="inlineStr">
        <is>
          <t>TOTAL</t>
        </is>
      </c>
      <c r="F130" s="17" t="inlineStr">
        <is>
          <t>Over 45.5</t>
        </is>
      </c>
      <c r="G130" s="26" t="n">
        <v>45.5</v>
      </c>
      <c r="H130" s="18" t="n">
        <v>-108</v>
      </c>
      <c r="I130" s="20" t="n">
        <v>0.5643978071882442</v>
      </c>
      <c r="J130" s="20" t="n">
        <v>0.4956702459300312</v>
      </c>
      <c r="K130" s="20" t="n">
        <v>0.5192307692307693</v>
      </c>
      <c r="L130" s="19" t="n">
        <v>0.08526841137980082</v>
      </c>
      <c r="M130" s="19" t="n">
        <v>0.08698836939958143</v>
      </c>
      <c r="N130" s="20" t="n">
        <v>0</v>
      </c>
      <c r="O130" s="27" t="n">
        <v>0.839</v>
      </c>
      <c r="P130" s="17" t="inlineStr">
        <is>
          <t>DraftKings</t>
        </is>
      </c>
      <c r="Q130" s="17" t="inlineStr">
        <is>
          <t>outside the top 10 plays for this week</t>
        </is>
      </c>
    </row>
    <row r="131">
      <c r="A131" s="12" t="inlineStr">
        <is>
          <t>PASS</t>
        </is>
      </c>
      <c r="B131" s="12" t="inlineStr">
        <is>
          <t>UAB @ UL</t>
        </is>
      </c>
      <c r="C131" s="12" t="inlineStr">
        <is>
          <t>2026-09-20 00:00</t>
        </is>
      </c>
      <c r="D131" s="22" t="n">
        <v>3</v>
      </c>
      <c r="E131" s="12" t="inlineStr">
        <is>
          <t>TOTAL</t>
        </is>
      </c>
      <c r="F131" s="12" t="inlineStr">
        <is>
          <t>Under 56.5</t>
        </is>
      </c>
      <c r="G131" s="23" t="n">
        <v>56.5</v>
      </c>
      <c r="H131" s="13" t="n">
        <v>-108</v>
      </c>
      <c r="I131" s="15" t="n">
        <v>0.5606183235247334</v>
      </c>
      <c r="J131" s="15" t="n">
        <v>0.4956702459300312</v>
      </c>
      <c r="K131" s="15" t="n">
        <v>0.5192307692307693</v>
      </c>
      <c r="L131" s="14" t="n">
        <v>0.08367486886758746</v>
      </c>
      <c r="M131" s="14" t="n">
        <v>0.07970936382541249</v>
      </c>
      <c r="N131" s="15" t="n">
        <v>0</v>
      </c>
      <c r="O131" s="24" t="n">
        <v>0.839</v>
      </c>
      <c r="P131" s="12" t="inlineStr">
        <is>
          <t>DraftKings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UNM @ OU</t>
        </is>
      </c>
      <c r="C132" s="17" t="inlineStr">
        <is>
          <t>2026-09-19 23:30</t>
        </is>
      </c>
      <c r="D132" s="25" t="n">
        <v>3</v>
      </c>
      <c r="E132" s="17" t="inlineStr">
        <is>
          <t>TOTAL</t>
        </is>
      </c>
      <c r="F132" s="17" t="inlineStr">
        <is>
          <t>Over 46.5</t>
        </is>
      </c>
      <c r="G132" s="26" t="n">
        <v>46.5</v>
      </c>
      <c r="H132" s="18" t="n">
        <v>-115</v>
      </c>
      <c r="I132" s="20" t="n">
        <v>0.5757334679148104</v>
      </c>
      <c r="J132" s="20" t="n">
        <v>0.5108342361863488</v>
      </c>
      <c r="K132" s="20" t="n">
        <v>0.5348837209302325</v>
      </c>
      <c r="L132" s="19" t="n">
        <v>0.08274761209707551</v>
      </c>
      <c r="M132" s="19" t="n">
        <v>0.07637126610160205</v>
      </c>
      <c r="N132" s="20" t="n">
        <v>0</v>
      </c>
      <c r="O132" s="27" t="n">
        <v>0.839</v>
      </c>
      <c r="P132" s="17" t="inlineStr">
        <is>
          <t>DraftKings</t>
        </is>
      </c>
      <c r="Q132" s="17" t="inlineStr">
        <is>
          <t>outside the top 10 plays for this week</t>
        </is>
      </c>
    </row>
    <row r="133">
      <c r="A133" s="12" t="inlineStr">
        <is>
          <t>PASS</t>
        </is>
      </c>
      <c r="B133" s="12" t="inlineStr">
        <is>
          <t>WVU @ UVA</t>
        </is>
      </c>
      <c r="C133" s="12" t="inlineStr">
        <is>
          <t>2026-09-19 23:30</t>
        </is>
      </c>
      <c r="D133" s="22" t="n">
        <v>3</v>
      </c>
      <c r="E133" s="12" t="inlineStr">
        <is>
          <t>TOTAL</t>
        </is>
      </c>
      <c r="F133" s="12" t="inlineStr">
        <is>
          <t>Under 53.5</t>
        </is>
      </c>
      <c r="G133" s="23" t="n">
        <v>53.5</v>
      </c>
      <c r="H133" s="13" t="n">
        <v>-112</v>
      </c>
      <c r="I133" s="15" t="n">
        <v>0.5668408457758103</v>
      </c>
      <c r="J133" s="15" t="n">
        <v>0.5043297540699688</v>
      </c>
      <c r="K133" s="15" t="n">
        <v>0.5283018867924528</v>
      </c>
      <c r="L133" s="14" t="n">
        <v>0.08197877895802969</v>
      </c>
      <c r="M133" s="14" t="n">
        <v>0.07294874378992655</v>
      </c>
      <c r="N133" s="15" t="n">
        <v>0</v>
      </c>
      <c r="O133" s="24" t="n">
        <v>0.839</v>
      </c>
      <c r="P133" s="12" t="inlineStr">
        <is>
          <t>DraftKings</t>
        </is>
      </c>
      <c r="Q133" s="12" t="inlineStr">
        <is>
          <t>correlated with a stronger play on the same game</t>
        </is>
      </c>
    </row>
    <row r="134">
      <c r="A134" s="17" t="inlineStr">
        <is>
          <t>PASS</t>
        </is>
      </c>
      <c r="B134" s="17" t="inlineStr">
        <is>
          <t>M-OH @ CIN</t>
        </is>
      </c>
      <c r="C134" s="17" t="inlineStr">
        <is>
          <t>2026-09-19 19:30</t>
        </is>
      </c>
      <c r="D134" s="25" t="n">
        <v>3</v>
      </c>
      <c r="E134" s="17" t="inlineStr">
        <is>
          <t>TOTAL</t>
        </is>
      </c>
      <c r="F134" s="17" t="inlineStr">
        <is>
          <t>Over 49.5</t>
        </is>
      </c>
      <c r="G134" s="26" t="n">
        <v>49.5</v>
      </c>
      <c r="H134" s="18" t="n">
        <v>-110</v>
      </c>
      <c r="I134" s="20" t="n">
        <v>0.5608843548564783</v>
      </c>
      <c r="J134" s="20" t="n">
        <v>0.5</v>
      </c>
      <c r="K134" s="20" t="n">
        <v>0.5238095238095238</v>
      </c>
      <c r="L134" s="19" t="n">
        <v>0.08141094859107895</v>
      </c>
      <c r="M134" s="19" t="n">
        <v>0.07077922290782213</v>
      </c>
      <c r="N134" s="20" t="n">
        <v>0</v>
      </c>
      <c r="O134" s="27" t="n">
        <v>0.839</v>
      </c>
      <c r="P134" s="17" t="inlineStr">
        <is>
          <t>DraftKings</t>
        </is>
      </c>
      <c r="Q134" s="17" t="inlineStr">
        <is>
          <t>correlated with a stronger play on the same game</t>
        </is>
      </c>
    </row>
    <row r="135">
      <c r="A135" s="12" t="inlineStr">
        <is>
          <t>PASS</t>
        </is>
      </c>
      <c r="B135" s="12" t="inlineStr">
        <is>
          <t>NICH @ SHSU</t>
        </is>
      </c>
      <c r="C135" s="12" t="inlineStr">
        <is>
          <t>2026-09-19 23:00</t>
        </is>
      </c>
      <c r="D135" s="22" t="n">
        <v>3</v>
      </c>
      <c r="E135" s="12" t="inlineStr">
        <is>
          <t>TOTAL</t>
        </is>
      </c>
      <c r="F135" s="12" t="inlineStr">
        <is>
          <t>Over 49.5</t>
        </is>
      </c>
      <c r="G135" s="23" t="n">
        <v>49.5</v>
      </c>
      <c r="H135" s="13" t="n">
        <v>-112</v>
      </c>
      <c r="I135" s="15" t="n">
        <v>0.5649481005130805</v>
      </c>
      <c r="J135" s="15" t="n">
        <v>0.5043297540699688</v>
      </c>
      <c r="K135" s="15" t="n">
        <v>0.5283018867924528</v>
      </c>
      <c r="L135" s="14" t="n">
        <v>0.08098718707194345</v>
      </c>
      <c r="M135" s="14" t="n">
        <v>0.06936604739975949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NICH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STO @ MASS</t>
        </is>
      </c>
      <c r="C136" s="17" t="inlineStr">
        <is>
          <t>2026-09-19 19:30</t>
        </is>
      </c>
      <c r="D136" s="25" t="n">
        <v>3</v>
      </c>
      <c r="E136" s="17" t="inlineStr">
        <is>
          <t>TOTAL</t>
        </is>
      </c>
      <c r="F136" s="17" t="inlineStr">
        <is>
          <t>Over 49.5</t>
        </is>
      </c>
      <c r="G136" s="26" t="n">
        <v>49.5</v>
      </c>
      <c r="H136" s="18" t="n">
        <v>-115</v>
      </c>
      <c r="I136" s="20" t="n">
        <v>0.5700931385549737</v>
      </c>
      <c r="J136" s="20" t="n">
        <v>0.5108342361863488</v>
      </c>
      <c r="K136" s="20" t="n">
        <v>0.5348837209302325</v>
      </c>
      <c r="L136" s="19" t="n">
        <v>0.07979784702277144</v>
      </c>
      <c r="M136" s="19" t="n">
        <v>0.06582630251582033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STO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UAB @ UL</t>
        </is>
      </c>
      <c r="C137" s="12" t="inlineStr">
        <is>
          <t>2026-09-20 00:00</t>
        </is>
      </c>
      <c r="D137" s="22" t="n">
        <v>3</v>
      </c>
      <c r="E137" s="12" t="inlineStr">
        <is>
          <t>ML</t>
        </is>
      </c>
      <c r="F137" s="12" t="inlineStr">
        <is>
          <t>UAB ML</t>
        </is>
      </c>
      <c r="G137" s="23" t="n"/>
      <c r="H137" s="13" t="n">
        <v>250</v>
      </c>
      <c r="I137" s="15" t="n">
        <v>0.3059736485675911</v>
      </c>
      <c r="J137" s="15" t="n">
        <v>0.274247491638796</v>
      </c>
      <c r="K137" s="15" t="n">
        <v>0.2857142857142857</v>
      </c>
      <c r="L137" s="14" t="n">
        <v>0.07970342793993671</v>
      </c>
      <c r="M137" s="14" t="n">
        <v>0.070907769986569</v>
      </c>
      <c r="N137" s="15" t="n">
        <v>0</v>
      </c>
      <c r="O137" s="24" t="n">
        <v>0.839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FIU @ FAU</t>
        </is>
      </c>
      <c r="C138" s="17" t="inlineStr">
        <is>
          <t>2026-09-19 22:00</t>
        </is>
      </c>
      <c r="D138" s="25" t="n">
        <v>3</v>
      </c>
      <c r="E138" s="17" t="inlineStr">
        <is>
          <t>ATS</t>
        </is>
      </c>
      <c r="F138" s="17" t="inlineStr">
        <is>
          <t>FIU +7</t>
        </is>
      </c>
      <c r="G138" s="26" t="n">
        <v>-7</v>
      </c>
      <c r="H138" s="18" t="n">
        <v>-115</v>
      </c>
      <c r="I138" s="20" t="n">
        <v>0.5685941154911228</v>
      </c>
      <c r="J138" s="20" t="n">
        <v>0.5108342361863488</v>
      </c>
      <c r="K138" s="20" t="n">
        <v>0.5348837209302325</v>
      </c>
      <c r="L138" s="19" t="n">
        <v>0.07891110451166122</v>
      </c>
      <c r="M138" s="19" t="n">
        <v>0.05991040634747986</v>
      </c>
      <c r="N138" s="20" t="n">
        <v>0.0494</v>
      </c>
      <c r="O138" s="27" t="n">
        <v>0.839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FSU @ ALA</t>
        </is>
      </c>
      <c r="C139" s="12" t="inlineStr">
        <is>
          <t>2026-09-19 19:30</t>
        </is>
      </c>
      <c r="D139" s="22" t="n">
        <v>3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-115</v>
      </c>
      <c r="I139" s="15" t="n">
        <v>0.5663014851273729</v>
      </c>
      <c r="J139" s="15" t="n">
        <v>0.5108342361863488</v>
      </c>
      <c r="K139" s="15" t="n">
        <v>0.5348837209302325</v>
      </c>
      <c r="L139" s="14" t="n">
        <v>0.07746396630782543</v>
      </c>
      <c r="M139" s="14" t="n">
        <v>0.0587375591511754</v>
      </c>
      <c r="N139" s="15" t="n">
        <v>0</v>
      </c>
      <c r="O139" s="24" t="n">
        <v>0.839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UND @ NEB</t>
        </is>
      </c>
      <c r="C140" s="17" t="inlineStr">
        <is>
          <t>2026-09-19 23:15</t>
        </is>
      </c>
      <c r="D140" s="25" t="n">
        <v>3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-108</v>
      </c>
      <c r="I140" s="20" t="n">
        <v>0.549140095721209</v>
      </c>
      <c r="J140" s="20" t="n">
        <v>0.4956702459300312</v>
      </c>
      <c r="K140" s="20" t="n">
        <v>0.5192307692307693</v>
      </c>
      <c r="L140" s="19" t="n">
        <v>0.07722531091034944</v>
      </c>
      <c r="M140" s="19" t="n">
        <v>0.05760314731492122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UND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AKR @ MINN</t>
        </is>
      </c>
      <c r="C141" s="12" t="inlineStr">
        <is>
          <t>2026-09-19 16:00</t>
        </is>
      </c>
      <c r="D141" s="22" t="n">
        <v>3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-115</v>
      </c>
      <c r="I141" s="15" t="n">
        <v>0.5643967166150992</v>
      </c>
      <c r="J141" s="15" t="n">
        <v>0.5108342361863488</v>
      </c>
      <c r="K141" s="15" t="n">
        <v>0.5348837209302325</v>
      </c>
      <c r="L141" s="14" t="n">
        <v>0.07617381331647265</v>
      </c>
      <c r="M141" s="14" t="n">
        <v>0.05517647019344607</v>
      </c>
      <c r="N141" s="15" t="n">
        <v>0</v>
      </c>
      <c r="O141" s="24" t="n">
        <v>0.839</v>
      </c>
      <c r="P141" s="12" t="inlineStr">
        <is>
          <t>DraftKings</t>
        </is>
      </c>
      <c r="Q141" s="12" t="inlineStr">
        <is>
          <t>outside the top 10 plays for this week</t>
        </is>
      </c>
    </row>
    <row r="142">
      <c r="A142" s="17" t="inlineStr">
        <is>
          <t>PASS</t>
        </is>
      </c>
      <c r="B142" s="17" t="inlineStr">
        <is>
          <t>WYO @ CMU</t>
        </is>
      </c>
      <c r="C142" s="17" t="inlineStr">
        <is>
          <t>2026-09-19 17:00</t>
        </is>
      </c>
      <c r="D142" s="25" t="n">
        <v>3</v>
      </c>
      <c r="E142" s="17" t="inlineStr">
        <is>
          <t>ML</t>
        </is>
      </c>
      <c r="F142" s="17" t="inlineStr">
        <is>
          <t>CMU ML</t>
        </is>
      </c>
      <c r="G142" s="26" t="n"/>
      <c r="H142" s="18" t="n">
        <v>-120</v>
      </c>
      <c r="I142" s="20" t="n">
        <v>0.5759849761160167</v>
      </c>
      <c r="J142" s="20" t="n">
        <v>0.5217391304347826</v>
      </c>
      <c r="K142" s="20" t="n">
        <v>0.5454545454545454</v>
      </c>
      <c r="L142" s="19" t="n">
        <v>0.07585661476708026</v>
      </c>
      <c r="M142" s="19" t="n">
        <v>0.05597245621269753</v>
      </c>
      <c r="N142" s="20" t="n">
        <v>0</v>
      </c>
      <c r="O142" s="27" t="n">
        <v>0.839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UK @ TA&amp;M</t>
        </is>
      </c>
      <c r="C143" s="12" t="inlineStr">
        <is>
          <t>2026-09-19 19:30</t>
        </is>
      </c>
      <c r="D143" s="22" t="n">
        <v>3</v>
      </c>
      <c r="E143" s="12" t="inlineStr">
        <is>
          <t>TOTAL</t>
        </is>
      </c>
      <c r="F143" s="12" t="inlineStr">
        <is>
          <t>Over 49.5</t>
        </is>
      </c>
      <c r="G143" s="23" t="n">
        <v>49.5</v>
      </c>
      <c r="H143" s="13" t="n">
        <v>-115</v>
      </c>
      <c r="I143" s="15" t="n">
        <v>0.5624862071828436</v>
      </c>
      <c r="J143" s="15" t="n">
        <v>0.5108342361863488</v>
      </c>
      <c r="K143" s="15" t="n">
        <v>0.5348837209302325</v>
      </c>
      <c r="L143" s="14" t="n">
        <v>0.07479558772270672</v>
      </c>
      <c r="M143" s="14" t="n">
        <v>0.0516046482114032</v>
      </c>
      <c r="N143" s="15" t="n">
        <v>0</v>
      </c>
      <c r="O143" s="24" t="n">
        <v>0.839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WYO @ CMU</t>
        </is>
      </c>
      <c r="C144" s="17" t="inlineStr">
        <is>
          <t>2026-09-19 17:00</t>
        </is>
      </c>
      <c r="D144" s="25" t="n">
        <v>3</v>
      </c>
      <c r="E144" s="17" t="inlineStr">
        <is>
          <t>ATS</t>
        </is>
      </c>
      <c r="F144" s="17" t="inlineStr">
        <is>
          <t>CMU -1.5</t>
        </is>
      </c>
      <c r="G144" s="26" t="n">
        <v>-1.5</v>
      </c>
      <c r="H144" s="18" t="n">
        <v>-108</v>
      </c>
      <c r="I144" s="20" t="n">
        <v>0.5451466339254009</v>
      </c>
      <c r="J144" s="20" t="n">
        <v>0.4956702459300312</v>
      </c>
      <c r="K144" s="20" t="n">
        <v>0.5192307692307693</v>
      </c>
      <c r="L144" s="19" t="n">
        <v>0.07429769346722143</v>
      </c>
      <c r="M144" s="19" t="n">
        <v>0.04991203570817948</v>
      </c>
      <c r="N144" s="20" t="n">
        <v>0</v>
      </c>
      <c r="O144" s="27" t="n">
        <v>0.839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COLO @ NU</t>
        </is>
      </c>
      <c r="C145" s="12" t="inlineStr">
        <is>
          <t>2026-09-19 23:30</t>
        </is>
      </c>
      <c r="D145" s="22" t="n">
        <v>3</v>
      </c>
      <c r="E145" s="12" t="inlineStr">
        <is>
          <t>TOTAL</t>
        </is>
      </c>
      <c r="F145" s="12" t="inlineStr">
        <is>
          <t>Over 48.5</t>
        </is>
      </c>
      <c r="G145" s="23" t="n">
        <v>48.5</v>
      </c>
      <c r="H145" s="13" t="n">
        <v>-110</v>
      </c>
      <c r="I145" s="15" t="n">
        <v>0.5493733576309575</v>
      </c>
      <c r="J145" s="15" t="n">
        <v>0.5</v>
      </c>
      <c r="K145" s="15" t="n">
        <v>0.5238095238095238</v>
      </c>
      <c r="L145" s="14" t="n">
        <v>0.07387831552381208</v>
      </c>
      <c r="M145" s="14" t="n">
        <v>0.04880368275000979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SMU @ LOU</t>
        </is>
      </c>
      <c r="C146" s="17" t="inlineStr">
        <is>
          <t>2026-09-19 19:30</t>
        </is>
      </c>
      <c r="D146" s="25" t="n">
        <v>3</v>
      </c>
      <c r="E146" s="17" t="inlineStr">
        <is>
          <t>ML</t>
        </is>
      </c>
      <c r="F146" s="17" t="inlineStr">
        <is>
          <t>LOU ML</t>
        </is>
      </c>
      <c r="G146" s="26" t="n"/>
      <c r="H146" s="18" t="n">
        <v>-120</v>
      </c>
      <c r="I146" s="20" t="n">
        <v>0.5724198043501066</v>
      </c>
      <c r="J146" s="20" t="n">
        <v>0.5217391304347826</v>
      </c>
      <c r="K146" s="20" t="n">
        <v>0.5454545454545454</v>
      </c>
      <c r="L146" s="19" t="n">
        <v>0.07323405591087152</v>
      </c>
      <c r="M146" s="19" t="n">
        <v>0.0494363079751956</v>
      </c>
      <c r="N146" s="20" t="n">
        <v>0</v>
      </c>
      <c r="O146" s="27" t="n">
        <v>0.839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UAB @ UL</t>
        </is>
      </c>
      <c r="C147" s="12" t="inlineStr">
        <is>
          <t>2026-09-20 00:00</t>
        </is>
      </c>
      <c r="D147" s="22" t="n">
        <v>3</v>
      </c>
      <c r="E147" s="12" t="inlineStr">
        <is>
          <t>ATS</t>
        </is>
      </c>
      <c r="F147" s="12" t="inlineStr">
        <is>
          <t>UAB +7.5</t>
        </is>
      </c>
      <c r="G147" s="23" t="n">
        <v>-7.5</v>
      </c>
      <c r="H147" s="13" t="n">
        <v>-110</v>
      </c>
      <c r="I147" s="15" t="n">
        <v>0.5472095939894825</v>
      </c>
      <c r="J147" s="15" t="n">
        <v>0.5</v>
      </c>
      <c r="K147" s="15" t="n">
        <v>0.5238095238095238</v>
      </c>
      <c r="L147" s="14" t="n">
        <v>0.07210638064482937</v>
      </c>
      <c r="M147" s="14" t="n">
        <v>0.04467286125264858</v>
      </c>
      <c r="N147" s="15" t="n">
        <v>0</v>
      </c>
      <c r="O147" s="24" t="n">
        <v>0.839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SMU @ LOU</t>
        </is>
      </c>
      <c r="C148" s="17" t="inlineStr">
        <is>
          <t>2026-09-19 19:30</t>
        </is>
      </c>
      <c r="D148" s="25" t="n">
        <v>3</v>
      </c>
      <c r="E148" s="17" t="inlineStr">
        <is>
          <t>ATS</t>
        </is>
      </c>
      <c r="F148" s="17" t="inlineStr">
        <is>
          <t>LOU -1.5</t>
        </is>
      </c>
      <c r="G148" s="26" t="n">
        <v>-1.5</v>
      </c>
      <c r="H148" s="18" t="n">
        <v>-108</v>
      </c>
      <c r="I148" s="20" t="n">
        <v>0.541493713325953</v>
      </c>
      <c r="J148" s="20" t="n">
        <v>0.4956702459300312</v>
      </c>
      <c r="K148" s="20" t="n">
        <v>0.5192307692307693</v>
      </c>
      <c r="L148" s="19" t="n">
        <v>0.07125732823047302</v>
      </c>
      <c r="M148" s="19" t="n">
        <v>0.04287678122035388</v>
      </c>
      <c r="N148" s="20" t="n">
        <v>0</v>
      </c>
      <c r="O148" s="27" t="n">
        <v>0.839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ECU @ ODU</t>
        </is>
      </c>
      <c r="C149" s="12" t="inlineStr">
        <is>
          <t>2026-09-19 22:00</t>
        </is>
      </c>
      <c r="D149" s="22" t="n">
        <v>3</v>
      </c>
      <c r="E149" s="12" t="inlineStr">
        <is>
          <t>ATS</t>
        </is>
      </c>
      <c r="F149" s="12" t="inlineStr">
        <is>
          <t>ODU -3</t>
        </is>
      </c>
      <c r="G149" s="23" t="n">
        <v>-3</v>
      </c>
      <c r="H149" s="13" t="n">
        <v>-108</v>
      </c>
      <c r="I149" s="15" t="n">
        <v>0.5412771879339008</v>
      </c>
      <c r="J149" s="15" t="n">
        <v>0.4956702459300312</v>
      </c>
      <c r="K149" s="15" t="n">
        <v>0.5192307692307693</v>
      </c>
      <c r="L149" s="14" t="n">
        <v>0.07106560418871048</v>
      </c>
      <c r="M149" s="14" t="n">
        <v>0.03992067514679936</v>
      </c>
      <c r="N149" s="15" t="n">
        <v>0.0598</v>
      </c>
      <c r="O149" s="24" t="n">
        <v>0.839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JMU @ SDSU</t>
        </is>
      </c>
      <c r="C150" s="17" t="inlineStr">
        <is>
          <t>2026-09-20 02:00</t>
        </is>
      </c>
      <c r="D150" s="25" t="n">
        <v>3</v>
      </c>
      <c r="E150" s="17" t="inlineStr">
        <is>
          <t>ML</t>
        </is>
      </c>
      <c r="F150" s="17" t="inlineStr">
        <is>
          <t>SDSU ML</t>
        </is>
      </c>
      <c r="G150" s="26" t="n"/>
      <c r="H150" s="18" t="n">
        <v>-135</v>
      </c>
      <c r="I150" s="20" t="n">
        <v>0.6005963827493461</v>
      </c>
      <c r="J150" s="20" t="n">
        <v>0.551441114716549</v>
      </c>
      <c r="K150" s="20" t="n">
        <v>0.574468085106383</v>
      </c>
      <c r="L150" s="19" t="n">
        <v>0.06977235009208492</v>
      </c>
      <c r="M150" s="19" t="n">
        <v>0.04548259219330619</v>
      </c>
      <c r="N150" s="20" t="n">
        <v>0</v>
      </c>
      <c r="O150" s="27" t="n">
        <v>0.839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ECU @ ODU</t>
        </is>
      </c>
      <c r="C151" s="12" t="inlineStr">
        <is>
          <t>2026-09-19 22:00</t>
        </is>
      </c>
      <c r="D151" s="22" t="n">
        <v>3</v>
      </c>
      <c r="E151" s="12" t="inlineStr">
        <is>
          <t>ML</t>
        </is>
      </c>
      <c r="F151" s="12" t="inlineStr">
        <is>
          <t>ODU ML</t>
        </is>
      </c>
      <c r="G151" s="23" t="n"/>
      <c r="H151" s="13" t="n">
        <v>-148</v>
      </c>
      <c r="I151" s="15" t="n">
        <v>0.6220606248236609</v>
      </c>
      <c r="J151" s="15" t="n">
        <v>0.5720596355604638</v>
      </c>
      <c r="K151" s="15" t="n">
        <v>0.5967741935483871</v>
      </c>
      <c r="L151" s="14" t="n">
        <v>0.06896271628100531</v>
      </c>
      <c r="M151" s="14" t="n">
        <v>0.04237185781262087</v>
      </c>
      <c r="N151" s="15" t="n">
        <v>0</v>
      </c>
      <c r="O151" s="24" t="n">
        <v>0.839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CONN @ USM</t>
        </is>
      </c>
      <c r="C152" s="17" t="inlineStr">
        <is>
          <t>2026-09-19 23:00</t>
        </is>
      </c>
      <c r="D152" s="25" t="n">
        <v>3</v>
      </c>
      <c r="E152" s="17" t="inlineStr">
        <is>
          <t>TOTAL</t>
        </is>
      </c>
      <c r="F152" s="17" t="inlineStr">
        <is>
          <t>Under 54.5</t>
        </is>
      </c>
      <c r="G152" s="26" t="n">
        <v>54.5</v>
      </c>
      <c r="H152" s="18" t="n">
        <v>-108</v>
      </c>
      <c r="I152" s="20" t="n">
        <v>0.5374812731816272</v>
      </c>
      <c r="J152" s="20" t="n">
        <v>0.4956702459300312</v>
      </c>
      <c r="K152" s="20" t="n">
        <v>0.5192307692307693</v>
      </c>
      <c r="L152" s="19" t="n">
        <v>0.06748471401583311</v>
      </c>
      <c r="M152" s="19" t="n">
        <v>0.0351491187201709</v>
      </c>
      <c r="N152" s="20" t="n">
        <v>0</v>
      </c>
      <c r="O152" s="27" t="n">
        <v>0.839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FLA @ AUB</t>
        </is>
      </c>
      <c r="C153" s="12" t="inlineStr">
        <is>
          <t>2026-09-19 23:00</t>
        </is>
      </c>
      <c r="D153" s="22" t="n">
        <v>3</v>
      </c>
      <c r="E153" s="12" t="inlineStr">
        <is>
          <t>TOTAL</t>
        </is>
      </c>
      <c r="F153" s="12" t="inlineStr">
        <is>
          <t>Under 53.5</t>
        </is>
      </c>
      <c r="G153" s="23" t="n">
        <v>53.5</v>
      </c>
      <c r="H153" s="13" t="n">
        <v>-108</v>
      </c>
      <c r="I153" s="15" t="n">
        <v>0.5374812644972277</v>
      </c>
      <c r="J153" s="15" t="n">
        <v>0.4956702459300312</v>
      </c>
      <c r="K153" s="15" t="n">
        <v>0.5192307692307693</v>
      </c>
      <c r="L153" s="14" t="n">
        <v>0.06748470533650047</v>
      </c>
      <c r="M153" s="14" t="n">
        <v>0.03514910199466081</v>
      </c>
      <c r="N153" s="15" t="n">
        <v>0</v>
      </c>
      <c r="O153" s="24" t="n">
        <v>0.839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JMU @ SDSU</t>
        </is>
      </c>
      <c r="C154" s="17" t="inlineStr">
        <is>
          <t>2026-09-20 02:00</t>
        </is>
      </c>
      <c r="D154" s="25" t="n">
        <v>3</v>
      </c>
      <c r="E154" s="17" t="inlineStr">
        <is>
          <t>ATS</t>
        </is>
      </c>
      <c r="F154" s="17" t="inlineStr">
        <is>
          <t>SDSU -2.5</t>
        </is>
      </c>
      <c r="G154" s="26" t="n">
        <v>-2.5</v>
      </c>
      <c r="H154" s="18" t="n">
        <v>-112</v>
      </c>
      <c r="I154" s="20" t="n">
        <v>0.5462264199872242</v>
      </c>
      <c r="J154" s="20" t="n">
        <v>0.5043297540699688</v>
      </c>
      <c r="K154" s="20" t="n">
        <v>0.5283018867924528</v>
      </c>
      <c r="L154" s="19" t="n">
        <v>0.06684526818819336</v>
      </c>
      <c r="M154" s="19" t="n">
        <v>0.03392858069010285</v>
      </c>
      <c r="N154" s="20" t="n">
        <v>0</v>
      </c>
      <c r="O154" s="27" t="n">
        <v>0.839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ECU @ ODU</t>
        </is>
      </c>
      <c r="C155" s="12" t="inlineStr">
        <is>
          <t>2026-09-19 22:00</t>
        </is>
      </c>
      <c r="D155" s="22" t="n">
        <v>3</v>
      </c>
      <c r="E155" s="12" t="inlineStr">
        <is>
          <t>TOTAL</t>
        </is>
      </c>
      <c r="F155" s="12" t="inlineStr">
        <is>
          <t>Over 49.5</t>
        </is>
      </c>
      <c r="G155" s="23" t="n">
        <v>49.5</v>
      </c>
      <c r="H155" s="13" t="n">
        <v>-110</v>
      </c>
      <c r="I155" s="15" t="n">
        <v>0.5376882696790126</v>
      </c>
      <c r="J155" s="15" t="n">
        <v>0.5</v>
      </c>
      <c r="K155" s="15" t="n">
        <v>0.5238095238095238</v>
      </c>
      <c r="L155" s="14" t="n">
        <v>0.0627334237387708</v>
      </c>
      <c r="M155" s="14" t="n">
        <v>0.02649578756902415</v>
      </c>
      <c r="N155" s="15" t="n">
        <v>0</v>
      </c>
      <c r="O155" s="24" t="n">
        <v>0.839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NCSU @ VAN</t>
        </is>
      </c>
      <c r="C156" s="17" t="inlineStr">
        <is>
          <t>2026-09-19 16:45</t>
        </is>
      </c>
      <c r="D156" s="25" t="n">
        <v>3</v>
      </c>
      <c r="E156" s="17" t="inlineStr">
        <is>
          <t>TOTAL</t>
        </is>
      </c>
      <c r="F156" s="17" t="inlineStr">
        <is>
          <t>Over 50.5</t>
        </is>
      </c>
      <c r="G156" s="26" t="n">
        <v>50.5</v>
      </c>
      <c r="H156" s="18" t="n">
        <v>-112</v>
      </c>
      <c r="I156" s="20" t="n">
        <v>0.539853134197287</v>
      </c>
      <c r="J156" s="20" t="n">
        <v>0.5043297540699688</v>
      </c>
      <c r="K156" s="20" t="n">
        <v>0.5283018867924528</v>
      </c>
      <c r="L156" s="19" t="n">
        <v>0.05985137409381223</v>
      </c>
      <c r="M156" s="19" t="n">
        <v>0.02186486115915032</v>
      </c>
      <c r="N156" s="20" t="n">
        <v>0</v>
      </c>
      <c r="O156" s="27" t="n">
        <v>0.839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ASU @ KU</t>
        </is>
      </c>
      <c r="C157" s="12" t="inlineStr">
        <is>
          <t>2026-09-19 16:00</t>
        </is>
      </c>
      <c r="D157" s="22" t="n">
        <v>3</v>
      </c>
      <c r="E157" s="12" t="inlineStr">
        <is>
          <t>TOTAL</t>
        </is>
      </c>
      <c r="F157" s="12" t="inlineStr">
        <is>
          <t>Over 50.5</t>
        </is>
      </c>
      <c r="G157" s="23" t="n">
        <v>50.5</v>
      </c>
      <c r="H157" s="13" t="n">
        <v>-115</v>
      </c>
      <c r="I157" s="15" t="n">
        <v>0.5450632969128333</v>
      </c>
      <c r="J157" s="15" t="n">
        <v>0.5108342361863488</v>
      </c>
      <c r="K157" s="15" t="n">
        <v>0.5348837209302325</v>
      </c>
      <c r="L157" s="14" t="n">
        <v>0.05773520926558411</v>
      </c>
      <c r="M157" s="14" t="n">
        <v>0.01903138118486214</v>
      </c>
      <c r="N157" s="15" t="n">
        <v>0</v>
      </c>
      <c r="O157" s="24" t="n">
        <v>0.839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HOU @ TTU</t>
        </is>
      </c>
      <c r="C158" s="17" t="inlineStr">
        <is>
          <t>2026-09-19 00:00</t>
        </is>
      </c>
      <c r="D158" s="25" t="n">
        <v>3</v>
      </c>
      <c r="E158" s="17" t="inlineStr">
        <is>
          <t>ATS</t>
        </is>
      </c>
      <c r="F158" s="17" t="inlineStr">
        <is>
          <t>HOU +7.5</t>
        </is>
      </c>
      <c r="G158" s="26" t="n">
        <v>-7.5</v>
      </c>
      <c r="H158" s="18" t="n">
        <v>-115</v>
      </c>
      <c r="I158" s="20" t="n">
        <v>0.5442353360691697</v>
      </c>
      <c r="J158" s="20" t="n">
        <v>0.5108342361863488</v>
      </c>
      <c r="K158" s="20" t="n">
        <v>0.5348837209302325</v>
      </c>
      <c r="L158" s="19" t="n">
        <v>0.05670243731756366</v>
      </c>
      <c r="M158" s="19" t="n">
        <v>0.01748345439018673</v>
      </c>
      <c r="N158" s="20" t="n">
        <v>0</v>
      </c>
      <c r="O158" s="27" t="n">
        <v>0.839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CLT @ APP</t>
        </is>
      </c>
      <c r="C159" s="12" t="inlineStr">
        <is>
          <t>2026-09-19 22:00</t>
        </is>
      </c>
      <c r="D159" s="22" t="n">
        <v>3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-108</v>
      </c>
      <c r="I159" s="15" t="n">
        <v>0.5217242606530897</v>
      </c>
      <c r="J159" s="15" t="n">
        <v>0.4956702459300312</v>
      </c>
      <c r="K159" s="15" t="n">
        <v>0.5192307692307693</v>
      </c>
      <c r="L159" s="14" t="n">
        <v>0.04778377017213249</v>
      </c>
      <c r="M159" s="14" t="n">
        <v>0.004802279776320972</v>
      </c>
      <c r="N159" s="15" t="n">
        <v>0</v>
      </c>
      <c r="O159" s="24" t="n">
        <v>0.839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COLO @ NU</t>
        </is>
      </c>
      <c r="C160" s="17" t="inlineStr">
        <is>
          <t>2026-09-19 23:30</t>
        </is>
      </c>
      <c r="D160" s="25" t="n">
        <v>3</v>
      </c>
      <c r="E160" s="17" t="inlineStr">
        <is>
          <t>ML</t>
        </is>
      </c>
      <c r="F160" s="17" t="inlineStr">
        <is>
          <t>NU ML</t>
        </is>
      </c>
      <c r="G160" s="26" t="n"/>
      <c r="H160" s="18" t="n">
        <v>-175</v>
      </c>
      <c r="I160" s="20" t="n">
        <v>0.6392034901730106</v>
      </c>
      <c r="J160" s="20" t="n">
        <v>0.6092362344582594</v>
      </c>
      <c r="K160" s="20" t="n">
        <v>0.6363636363636364</v>
      </c>
      <c r="L160" s="19" t="n">
        <v>0.04521788722166089</v>
      </c>
      <c r="M160" s="19" t="n">
        <v>0.004462627414730802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ME @ BC</t>
        </is>
      </c>
      <c r="C161" s="12" t="inlineStr">
        <is>
          <t>2026-09-19 18:00</t>
        </is>
      </c>
      <c r="D161" s="22" t="n">
        <v>3</v>
      </c>
      <c r="E161" s="12" t="inlineStr">
        <is>
          <t>TOTAL</t>
        </is>
      </c>
      <c r="F161" s="12" t="inlineStr">
        <is>
          <t>Under 53.5</t>
        </is>
      </c>
      <c r="G161" s="23" t="n">
        <v>53.5</v>
      </c>
      <c r="H161" s="13" t="n">
        <v>-108</v>
      </c>
      <c r="I161" s="15" t="n">
        <v>0.5177573055079014</v>
      </c>
      <c r="J161" s="15" t="n">
        <v>0.4956702459300312</v>
      </c>
      <c r="K161" s="15" t="n">
        <v>0.5192307692307693</v>
      </c>
      <c r="L161" s="14" t="n">
        <v>0.04155617567182075</v>
      </c>
      <c r="M161" s="14" t="n">
        <v>-0.00283778198478235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ME isn't a full FBS participant this season — model doesn't rate them reliably</t>
        </is>
      </c>
    </row>
    <row r="162">
      <c r="A162" s="17" t="inlineStr">
        <is>
          <t>PASS</t>
        </is>
      </c>
      <c r="B162" s="17" t="inlineStr">
        <is>
          <t>UNI @ IOWA</t>
        </is>
      </c>
      <c r="C162" s="17" t="inlineStr">
        <is>
          <t>2026-09-19 20:00</t>
        </is>
      </c>
      <c r="D162" s="25" t="n">
        <v>3</v>
      </c>
      <c r="E162" s="17" t="inlineStr">
        <is>
          <t>TOTAL</t>
        </is>
      </c>
      <c r="F162" s="17" t="inlineStr">
        <is>
          <t>Over 49.5</t>
        </is>
      </c>
      <c r="G162" s="26" t="n">
        <v>49.5</v>
      </c>
      <c r="H162" s="18" t="n">
        <v>-115</v>
      </c>
      <c r="I162" s="20" t="n">
        <v>0.5332636906033801</v>
      </c>
      <c r="J162" s="20" t="n">
        <v>0.5108342361863488</v>
      </c>
      <c r="K162" s="20" t="n">
        <v>0.5348837209302325</v>
      </c>
      <c r="L162" s="19" t="n">
        <v>0.04102695962138103</v>
      </c>
      <c r="M162" s="19" t="n">
        <v>-0.003028752350202502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UNI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GASO @ JVST</t>
        </is>
      </c>
      <c r="C163" s="12" t="inlineStr">
        <is>
          <t>2026-09-19 23:00</t>
        </is>
      </c>
      <c r="D163" s="22" t="n">
        <v>3</v>
      </c>
      <c r="E163" s="12" t="inlineStr">
        <is>
          <t>ATS</t>
        </is>
      </c>
      <c r="F163" s="12" t="inlineStr">
        <is>
          <t>JVST -3</t>
        </is>
      </c>
      <c r="G163" s="23" t="n">
        <v>-3</v>
      </c>
      <c r="H163" s="13" t="n">
        <v>-122</v>
      </c>
      <c r="I163" s="15" t="n">
        <v>0.5485300138565985</v>
      </c>
      <c r="J163" s="15" t="n">
        <v>0.5260865852617197</v>
      </c>
      <c r="K163" s="15" t="n">
        <v>0.5495495495495496</v>
      </c>
      <c r="L163" s="14" t="n">
        <v>0.04000729476308557</v>
      </c>
      <c r="M163" s="14" t="n">
        <v>-0.001743350879736706</v>
      </c>
      <c r="N163" s="15" t="n">
        <v>0.0603</v>
      </c>
      <c r="O163" s="24" t="n">
        <v>0.839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LT @ BAY</t>
        </is>
      </c>
      <c r="C164" s="17" t="inlineStr">
        <is>
          <t>2026-09-19 20:00</t>
        </is>
      </c>
      <c r="D164" s="25" t="n">
        <v>3</v>
      </c>
      <c r="E164" s="17" t="inlineStr">
        <is>
          <t>TOTAL</t>
        </is>
      </c>
      <c r="F164" s="17" t="inlineStr">
        <is>
          <t>Under 53.5</t>
        </is>
      </c>
      <c r="G164" s="26" t="n">
        <v>53.5</v>
      </c>
      <c r="H164" s="18" t="n">
        <v>-112</v>
      </c>
      <c r="I164" s="20" t="n">
        <v>0.5240716147355399</v>
      </c>
      <c r="J164" s="20" t="n">
        <v>0.5043297540699688</v>
      </c>
      <c r="K164" s="20" t="n">
        <v>0.5283018867924528</v>
      </c>
      <c r="L164" s="19" t="n">
        <v>0.03707013040517221</v>
      </c>
      <c r="M164" s="19" t="n">
        <v>-0.00800730067915667</v>
      </c>
      <c r="N164" s="20" t="n">
        <v>0</v>
      </c>
      <c r="O164" s="27" t="n">
        <v>0.839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COLO @ NU</t>
        </is>
      </c>
      <c r="C165" s="12" t="inlineStr">
        <is>
          <t>2026-09-19 23:30</t>
        </is>
      </c>
      <c r="D165" s="22" t="n">
        <v>3</v>
      </c>
      <c r="E165" s="12" t="inlineStr">
        <is>
          <t>ATS</t>
        </is>
      </c>
      <c r="F165" s="12" t="inlineStr">
        <is>
          <t>NU -3.5</t>
        </is>
      </c>
      <c r="G165" s="23" t="n">
        <v>-3.5</v>
      </c>
      <c r="H165" s="13" t="n">
        <v>-115</v>
      </c>
      <c r="I165" s="15" t="n">
        <v>0.5297299584649824</v>
      </c>
      <c r="J165" s="15" t="n">
        <v>0.5108342361863488</v>
      </c>
      <c r="K165" s="15" t="n">
        <v>0.5348837209302325</v>
      </c>
      <c r="L165" s="14" t="n">
        <v>0.03522742304385739</v>
      </c>
      <c r="M165" s="14" t="n">
        <v>-0.00963529504372862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VT @ MD</t>
        </is>
      </c>
      <c r="C166" s="17" t="inlineStr">
        <is>
          <t>2026-09-19 23:30</t>
        </is>
      </c>
      <c r="D166" s="25" t="n">
        <v>3</v>
      </c>
      <c r="E166" s="17" t="inlineStr">
        <is>
          <t>TOTAL</t>
        </is>
      </c>
      <c r="F166" s="17" t="inlineStr">
        <is>
          <t>Under 54.5</t>
        </is>
      </c>
      <c r="G166" s="26" t="n">
        <v>54.5</v>
      </c>
      <c r="H166" s="18" t="n">
        <v>-115</v>
      </c>
      <c r="I166" s="20" t="n">
        <v>0.529306233425802</v>
      </c>
      <c r="J166" s="20" t="n">
        <v>0.5108342361863488</v>
      </c>
      <c r="K166" s="20" t="n">
        <v>0.5348837209302325</v>
      </c>
      <c r="L166" s="19" t="n">
        <v>0.03450969704748727</v>
      </c>
      <c r="M166" s="19" t="n">
        <v>-0.01042747663871813</v>
      </c>
      <c r="N166" s="20" t="n">
        <v>0</v>
      </c>
      <c r="O166" s="27" t="n">
        <v>0.839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SIU @ ILL</t>
        </is>
      </c>
      <c r="C167" s="12" t="inlineStr">
        <is>
          <t>2026-09-19 18:00</t>
        </is>
      </c>
      <c r="D167" s="22" t="n">
        <v>3</v>
      </c>
      <c r="E167" s="12" t="inlineStr">
        <is>
          <t>TOTAL</t>
        </is>
      </c>
      <c r="F167" s="12" t="inlineStr">
        <is>
          <t>Under 54.5</t>
        </is>
      </c>
      <c r="G167" s="23" t="n">
        <v>54.5</v>
      </c>
      <c r="H167" s="13" t="n">
        <v>-110</v>
      </c>
      <c r="I167" s="15" t="n">
        <v>0.5179356455150337</v>
      </c>
      <c r="J167" s="15" t="n">
        <v>0.5</v>
      </c>
      <c r="K167" s="15" t="n">
        <v>0.5238095238095238</v>
      </c>
      <c r="L167" s="14" t="n">
        <v>0.03425841544515491</v>
      </c>
      <c r="M167" s="14" t="n">
        <v>-0.01121376765311743</v>
      </c>
      <c r="N167" s="15" t="n">
        <v>0</v>
      </c>
      <c r="O167" s="24" t="n">
        <v>0.4</v>
      </c>
      <c r="P167" s="12" t="inlineStr">
        <is>
          <t>DraftKings</t>
        </is>
      </c>
      <c r="Q167" s="12" t="inlineStr">
        <is>
          <t>SIU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TULN @ KSU</t>
        </is>
      </c>
      <c r="C168" s="17" t="inlineStr">
        <is>
          <t>2026-09-19 16:00</t>
        </is>
      </c>
      <c r="D168" s="25" t="n">
        <v>3</v>
      </c>
      <c r="E168" s="17" t="inlineStr">
        <is>
          <t>TOTAL</t>
        </is>
      </c>
      <c r="F168" s="17" t="inlineStr">
        <is>
          <t>Over 49.5</t>
        </is>
      </c>
      <c r="G168" s="26" t="n">
        <v>49.5</v>
      </c>
      <c r="H168" s="18" t="n">
        <v>-112</v>
      </c>
      <c r="I168" s="20" t="n">
        <v>0.5220871180685285</v>
      </c>
      <c r="J168" s="20" t="n">
        <v>0.5043297540699688</v>
      </c>
      <c r="K168" s="20" t="n">
        <v>0.5283018867924528</v>
      </c>
      <c r="L168" s="19" t="n">
        <v>0.03368153213776001</v>
      </c>
      <c r="M168" s="19" t="n">
        <v>-0.01176366937028539</v>
      </c>
      <c r="N168" s="20" t="n">
        <v>0</v>
      </c>
      <c r="O168" s="27" t="n">
        <v>0.839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GAST @ UCF</t>
        </is>
      </c>
      <c r="C169" s="12" t="inlineStr">
        <is>
          <t>2026-09-19 23:00</t>
        </is>
      </c>
      <c r="D169" s="22" t="n">
        <v>3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-112</v>
      </c>
      <c r="I169" s="15" t="n">
        <v>0.5220870993245796</v>
      </c>
      <c r="J169" s="15" t="n">
        <v>0.5043297540699688</v>
      </c>
      <c r="K169" s="15" t="n">
        <v>0.5283018867924528</v>
      </c>
      <c r="L169" s="14" t="n">
        <v>0.03368149964348378</v>
      </c>
      <c r="M169" s="14" t="n">
        <v>-0.01176370484990286</v>
      </c>
      <c r="N169" s="15" t="n">
        <v>0</v>
      </c>
      <c r="O169" s="24" t="n">
        <v>0.839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OHIO @ USA</t>
        </is>
      </c>
      <c r="C170" s="17" t="inlineStr">
        <is>
          <t>2026-09-19 23:00</t>
        </is>
      </c>
      <c r="D170" s="25" t="n">
        <v>3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-112</v>
      </c>
      <c r="I170" s="20" t="n">
        <v>0.5220870881809174</v>
      </c>
      <c r="J170" s="20" t="n">
        <v>0.5043297540699688</v>
      </c>
      <c r="K170" s="20" t="n">
        <v>0.5283018867924528</v>
      </c>
      <c r="L170" s="19" t="n">
        <v>0.03368148032496549</v>
      </c>
      <c r="M170" s="19" t="n">
        <v>-0.01176372594326347</v>
      </c>
      <c r="N170" s="20" t="n">
        <v>0</v>
      </c>
      <c r="O170" s="27" t="n">
        <v>0.839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SDAK @ BOIS</t>
        </is>
      </c>
      <c r="C171" s="12" t="inlineStr">
        <is>
          <t>2026-09-20 02:00</t>
        </is>
      </c>
      <c r="D171" s="22" t="n">
        <v>3</v>
      </c>
      <c r="E171" s="12" t="inlineStr">
        <is>
          <t>TOTAL</t>
        </is>
      </c>
      <c r="F171" s="12" t="inlineStr">
        <is>
          <t>Under 54.5</t>
        </is>
      </c>
      <c r="G171" s="23" t="n">
        <v>54.5</v>
      </c>
      <c r="H171" s="13" t="n">
        <v>-112</v>
      </c>
      <c r="I171" s="15" t="n">
        <v>0.5220870651688523</v>
      </c>
      <c r="J171" s="15" t="n">
        <v>0.5043297540699688</v>
      </c>
      <c r="K171" s="15" t="n">
        <v>0.5283018867924528</v>
      </c>
      <c r="L171" s="14" t="n">
        <v>0.03368144043151729</v>
      </c>
      <c r="M171" s="14" t="n">
        <v>-0.01176376950181535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SDAK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BUFF @ PSU</t>
        </is>
      </c>
      <c r="C172" s="17" t="inlineStr">
        <is>
          <t>2026-09-19 16:00</t>
        </is>
      </c>
      <c r="D172" s="25" t="n">
        <v>3</v>
      </c>
      <c r="E172" s="17" t="inlineStr">
        <is>
          <t>TOTAL</t>
        </is>
      </c>
      <c r="F172" s="17" t="inlineStr">
        <is>
          <t>Under 50.5</t>
        </is>
      </c>
      <c r="G172" s="26" t="n">
        <v>50.5</v>
      </c>
      <c r="H172" s="18" t="n">
        <v>-112</v>
      </c>
      <c r="I172" s="20" t="n">
        <v>0.5220870074956161</v>
      </c>
      <c r="J172" s="20" t="n">
        <v>0.5043297540699688</v>
      </c>
      <c r="K172" s="20" t="n">
        <v>0.5283018867924528</v>
      </c>
      <c r="L172" s="19" t="n">
        <v>0.0336813404498067</v>
      </c>
      <c r="M172" s="19" t="n">
        <v>-0.01176387866901241</v>
      </c>
      <c r="N172" s="20" t="n">
        <v>0</v>
      </c>
      <c r="O172" s="27" t="n">
        <v>0.839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GASO @ JVST</t>
        </is>
      </c>
      <c r="C173" s="12" t="inlineStr">
        <is>
          <t>2026-09-19 23:00</t>
        </is>
      </c>
      <c r="D173" s="22" t="n">
        <v>3</v>
      </c>
      <c r="E173" s="12" t="inlineStr">
        <is>
          <t>ML</t>
        </is>
      </c>
      <c r="F173" s="12" t="inlineStr">
        <is>
          <t>JVST ML</t>
        </is>
      </c>
      <c r="G173" s="23" t="n"/>
      <c r="H173" s="13" t="n">
        <v>-180</v>
      </c>
      <c r="I173" s="15" t="n">
        <v>0.6372424596829809</v>
      </c>
      <c r="J173" s="15" t="n">
        <v>0.6164383561643836</v>
      </c>
      <c r="K173" s="15" t="n">
        <v>0.6428571428571429</v>
      </c>
      <c r="L173" s="14" t="n">
        <v>0.03239732413629048</v>
      </c>
      <c r="M173" s="14" t="n">
        <v>-0.008733951604251944</v>
      </c>
      <c r="N173" s="15" t="n">
        <v>0</v>
      </c>
      <c r="O173" s="24" t="n">
        <v>0.839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MSST @ SC</t>
        </is>
      </c>
      <c r="C174" s="17" t="inlineStr">
        <is>
          <t>2026-09-19 20:15</t>
        </is>
      </c>
      <c r="D174" s="25" t="n">
        <v>3</v>
      </c>
      <c r="E174" s="17" t="inlineStr">
        <is>
          <t>ATS</t>
        </is>
      </c>
      <c r="F174" s="17" t="inlineStr">
        <is>
          <t>MSST +4</t>
        </is>
      </c>
      <c r="G174" s="26" t="n">
        <v>-4</v>
      </c>
      <c r="H174" s="18" t="n">
        <v>-112</v>
      </c>
      <c r="I174" s="20" t="n">
        <v>0.5204424871534439</v>
      </c>
      <c r="J174" s="20" t="n">
        <v>0.5043297540699688</v>
      </c>
      <c r="K174" s="20" t="n">
        <v>0.5283018867924528</v>
      </c>
      <c r="L174" s="19" t="n">
        <v>0.03079644177455667</v>
      </c>
      <c r="M174" s="19" t="n">
        <v>-0.01441256705801469</v>
      </c>
      <c r="N174" s="20" t="n">
        <v>0.0312</v>
      </c>
      <c r="O174" s="27" t="n">
        <v>0.839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TEM @ TOL</t>
        </is>
      </c>
      <c r="C175" s="12" t="inlineStr">
        <is>
          <t>2026-09-19 19:00</t>
        </is>
      </c>
      <c r="D175" s="22" t="n">
        <v>3</v>
      </c>
      <c r="E175" s="12" t="inlineStr">
        <is>
          <t>ML</t>
        </is>
      </c>
      <c r="F175" s="12" t="inlineStr">
        <is>
          <t>TOL ML</t>
        </is>
      </c>
      <c r="G175" s="23" t="n"/>
      <c r="H175" s="13" t="n">
        <v>-218</v>
      </c>
      <c r="I175" s="15" t="n">
        <v>0.6781856250702285</v>
      </c>
      <c r="J175" s="15" t="n">
        <v>0.6574752261956054</v>
      </c>
      <c r="K175" s="15" t="n">
        <v>0.6855345911949685</v>
      </c>
      <c r="L175" s="14" t="n">
        <v>0.03039409102524932</v>
      </c>
      <c r="M175" s="14" t="n">
        <v>-0.01072005150306121</v>
      </c>
      <c r="N175" s="15" t="n">
        <v>0</v>
      </c>
      <c r="O175" s="24" t="n">
        <v>0.839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TROY @ MIZ</t>
        </is>
      </c>
      <c r="C176" s="17" t="inlineStr">
        <is>
          <t>2026-09-19 23:00</t>
        </is>
      </c>
      <c r="D176" s="25" t="n">
        <v>3</v>
      </c>
      <c r="E176" s="17" t="inlineStr">
        <is>
          <t>TOTAL</t>
        </is>
      </c>
      <c r="F176" s="17" t="inlineStr">
        <is>
          <t>Over 50.5</t>
        </is>
      </c>
      <c r="G176" s="26" t="n">
        <v>50.5</v>
      </c>
      <c r="H176" s="18" t="n">
        <v>-108</v>
      </c>
      <c r="I176" s="20" t="n">
        <v>0.5098012284358664</v>
      </c>
      <c r="J176" s="20" t="n">
        <v>0.4956702459300312</v>
      </c>
      <c r="K176" s="20" t="n">
        <v>0.5192307692307693</v>
      </c>
      <c r="L176" s="19" t="n">
        <v>0.02768278550697907</v>
      </c>
      <c r="M176" s="19" t="n">
        <v>-0.01816059708647944</v>
      </c>
      <c r="N176" s="20" t="n">
        <v>0</v>
      </c>
      <c r="O176" s="27" t="n">
        <v>0.839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UGA @ ARK</t>
        </is>
      </c>
      <c r="C177" s="12" t="inlineStr">
        <is>
          <t>2026-09-19 16:00</t>
        </is>
      </c>
      <c r="D177" s="22" t="n">
        <v>3</v>
      </c>
      <c r="E177" s="12" t="inlineStr">
        <is>
          <t>TOTAL</t>
        </is>
      </c>
      <c r="F177" s="12" t="inlineStr">
        <is>
          <t>Under 54.5</t>
        </is>
      </c>
      <c r="G177" s="23" t="n">
        <v>54.5</v>
      </c>
      <c r="H177" s="13" t="n">
        <v>-112</v>
      </c>
      <c r="I177" s="15" t="n">
        <v>0.5181121897444233</v>
      </c>
      <c r="J177" s="15" t="n">
        <v>0.5043297540699688</v>
      </c>
      <c r="K177" s="15" t="n">
        <v>0.5283018867924528</v>
      </c>
      <c r="L177" s="14" t="n">
        <v>0.02659854893572448</v>
      </c>
      <c r="M177" s="14" t="n">
        <v>-0.01928764084091306</v>
      </c>
      <c r="N177" s="15" t="n">
        <v>0</v>
      </c>
      <c r="O177" s="24" t="n">
        <v>0.839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BALL @ LIB</t>
        </is>
      </c>
      <c r="C178" s="17" t="inlineStr">
        <is>
          <t>2026-09-19 20:00</t>
        </is>
      </c>
      <c r="D178" s="25" t="n">
        <v>3</v>
      </c>
      <c r="E178" s="17" t="inlineStr">
        <is>
          <t>TOTAL</t>
        </is>
      </c>
      <c r="F178" s="17" t="inlineStr">
        <is>
          <t>Over 49.5</t>
        </is>
      </c>
      <c r="G178" s="26" t="n">
        <v>49.5</v>
      </c>
      <c r="H178" s="18" t="n">
        <v>-118</v>
      </c>
      <c r="I178" s="20" t="n">
        <v>0.5305888576498667</v>
      </c>
      <c r="J178" s="20" t="n">
        <v>0.5173641257162701</v>
      </c>
      <c r="K178" s="20" t="n">
        <v>0.5412844036697247</v>
      </c>
      <c r="L178" s="19" t="n">
        <v>0.02496222156975863</v>
      </c>
      <c r="M178" s="19" t="n">
        <v>-0.01975956807058521</v>
      </c>
      <c r="N178" s="20" t="n">
        <v>0</v>
      </c>
      <c r="O178" s="27" t="n">
        <v>0.839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CCU @ DEL</t>
        </is>
      </c>
      <c r="C179" s="12" t="inlineStr">
        <is>
          <t>2026-09-19 15:30</t>
        </is>
      </c>
      <c r="D179" s="22" t="n">
        <v>3</v>
      </c>
      <c r="E179" s="12" t="inlineStr">
        <is>
          <t>ML</t>
        </is>
      </c>
      <c r="F179" s="12" t="inlineStr">
        <is>
          <t>CCU ML</t>
        </is>
      </c>
      <c r="G179" s="23" t="n"/>
      <c r="H179" s="13" t="n">
        <v>180</v>
      </c>
      <c r="I179" s="15" t="n">
        <v>0.3511097637938756</v>
      </c>
      <c r="J179" s="15" t="n">
        <v>0.3425247738043947</v>
      </c>
      <c r="K179" s="15" t="n">
        <v>0.3571428571428572</v>
      </c>
      <c r="L179" s="14" t="n">
        <v>0.02449806519387096</v>
      </c>
      <c r="M179" s="14" t="n">
        <v>-0.0168926613771484</v>
      </c>
      <c r="N179" s="15" t="n">
        <v>0</v>
      </c>
      <c r="O179" s="24" t="n">
        <v>0.839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CCU @ DEL</t>
        </is>
      </c>
      <c r="C180" s="17" t="inlineStr">
        <is>
          <t>2026-09-19 15:30</t>
        </is>
      </c>
      <c r="D180" s="25" t="n">
        <v>3</v>
      </c>
      <c r="E180" s="17" t="inlineStr">
        <is>
          <t>ATS</t>
        </is>
      </c>
      <c r="F180" s="17" t="inlineStr">
        <is>
          <t>CCU +4.5</t>
        </is>
      </c>
      <c r="G180" s="26" t="n">
        <v>-4.5</v>
      </c>
      <c r="H180" s="18" t="n">
        <v>-105</v>
      </c>
      <c r="I180" s="20" t="n">
        <v>0.5014131277994349</v>
      </c>
      <c r="J180" s="20" t="n">
        <v>0.4891657638136511</v>
      </c>
      <c r="K180" s="20" t="n">
        <v>0.5121951219512195</v>
      </c>
      <c r="L180" s="19" t="n">
        <v>0.02447322815892428</v>
      </c>
      <c r="M180" s="19" t="n">
        <v>-0.02105056001062711</v>
      </c>
      <c r="N180" s="20" t="n">
        <v>0</v>
      </c>
      <c r="O180" s="27" t="n">
        <v>0.839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STAN @ DUKE</t>
        </is>
      </c>
      <c r="C181" s="12" t="inlineStr">
        <is>
          <t>2026-09-19 20:00</t>
        </is>
      </c>
      <c r="D181" s="22" t="n">
        <v>3</v>
      </c>
      <c r="E181" s="12" t="inlineStr">
        <is>
          <t>TOTAL</t>
        </is>
      </c>
      <c r="F181" s="12" t="inlineStr">
        <is>
          <t>Over 50.5</t>
        </is>
      </c>
      <c r="G181" s="23" t="n">
        <v>50.5</v>
      </c>
      <c r="H181" s="13" t="n">
        <v>-115</v>
      </c>
      <c r="I181" s="15" t="n">
        <v>0.5233527986774833</v>
      </c>
      <c r="J181" s="15" t="n">
        <v>0.5108342361863488</v>
      </c>
      <c r="K181" s="15" t="n">
        <v>0.5348837209302325</v>
      </c>
      <c r="L181" s="14" t="n">
        <v>0.02397663440913692</v>
      </c>
      <c r="M181" s="14" t="n">
        <v>-0.02155781116818345</v>
      </c>
      <c r="N181" s="15" t="n">
        <v>0</v>
      </c>
      <c r="O181" s="24" t="n">
        <v>0.839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UNT @ TXST</t>
        </is>
      </c>
      <c r="C182" s="17" t="inlineStr">
        <is>
          <t>2026-09-19 16:00</t>
        </is>
      </c>
      <c r="D182" s="25" t="n">
        <v>3</v>
      </c>
      <c r="E182" s="17" t="inlineStr">
        <is>
          <t>ML</t>
        </is>
      </c>
      <c r="F182" s="17" t="inlineStr">
        <is>
          <t>TXST ML</t>
        </is>
      </c>
      <c r="G182" s="26" t="n"/>
      <c r="H182" s="18" t="n">
        <v>-148</v>
      </c>
      <c r="I182" s="20" t="n">
        <v>0.5846732463115353</v>
      </c>
      <c r="J182" s="20" t="n">
        <v>0.5720596355604638</v>
      </c>
      <c r="K182" s="20" t="n">
        <v>0.5967741935483871</v>
      </c>
      <c r="L182" s="19" t="n">
        <v>0.0216618810226418</v>
      </c>
      <c r="M182" s="19" t="n">
        <v>-0.02027726293742738</v>
      </c>
      <c r="N182" s="20" t="n">
        <v>0</v>
      </c>
      <c r="O182" s="27" t="n">
        <v>0.839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UNT @ TXST</t>
        </is>
      </c>
      <c r="C183" s="12" t="inlineStr">
        <is>
          <t>2026-09-19 16:00</t>
        </is>
      </c>
      <c r="D183" s="22" t="n">
        <v>3</v>
      </c>
      <c r="E183" s="12" t="inlineStr">
        <is>
          <t>ATS</t>
        </is>
      </c>
      <c r="F183" s="12" t="inlineStr">
        <is>
          <t>TXST -3</t>
        </is>
      </c>
      <c r="G183" s="23" t="n">
        <v>-3</v>
      </c>
      <c r="H183" s="13" t="n">
        <v>-102</v>
      </c>
      <c r="I183" s="15" t="n">
        <v>0.4930657404875142</v>
      </c>
      <c r="J183" s="15" t="n">
        <v>0.4826358742837298</v>
      </c>
      <c r="K183" s="15" t="n">
        <v>0.504950495049505</v>
      </c>
      <c r="L183" s="14" t="n">
        <v>0.02124503174744539</v>
      </c>
      <c r="M183" s="14" t="n">
        <v>-0.02209839611536402</v>
      </c>
      <c r="N183" s="15" t="n">
        <v>0.0611</v>
      </c>
      <c r="O183" s="24" t="n">
        <v>0.839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NCSU @ VAN</t>
        </is>
      </c>
      <c r="C184" s="17" t="inlineStr">
        <is>
          <t>2026-09-19 16:45</t>
        </is>
      </c>
      <c r="D184" s="25" t="n">
        <v>3</v>
      </c>
      <c r="E184" s="17" t="inlineStr">
        <is>
          <t>ML</t>
        </is>
      </c>
      <c r="F184" s="17" t="inlineStr">
        <is>
          <t>VAN ML</t>
        </is>
      </c>
      <c r="G184" s="26" t="n"/>
      <c r="H184" s="18" t="n">
        <v>-166</v>
      </c>
      <c r="I184" s="20" t="n">
        <v>0.6121941559714327</v>
      </c>
      <c r="J184" s="20" t="n">
        <v>0.5996387718242023</v>
      </c>
      <c r="K184" s="20" t="n">
        <v>0.6240601503759399</v>
      </c>
      <c r="L184" s="19" t="n">
        <v>0.02060566573769716</v>
      </c>
      <c r="M184" s="19" t="n">
        <v>-0.01901418380481279</v>
      </c>
      <c r="N184" s="20" t="n">
        <v>0</v>
      </c>
      <c r="O184" s="27" t="n">
        <v>0.839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OHIO @ USA</t>
        </is>
      </c>
      <c r="C185" s="12" t="inlineStr">
        <is>
          <t>2026-09-19 23:00</t>
        </is>
      </c>
      <c r="D185" s="22" t="n">
        <v>3</v>
      </c>
      <c r="E185" s="12" t="inlineStr">
        <is>
          <t>ML</t>
        </is>
      </c>
      <c r="F185" s="12" t="inlineStr">
        <is>
          <t>USA ML</t>
        </is>
      </c>
      <c r="G185" s="23" t="n"/>
      <c r="H185" s="13" t="n">
        <v>-225</v>
      </c>
      <c r="I185" s="15" t="n">
        <v>0.6773214275531136</v>
      </c>
      <c r="J185" s="15" t="n">
        <v>0.6636481241914618</v>
      </c>
      <c r="K185" s="15" t="n">
        <v>0.6923076923076923</v>
      </c>
      <c r="L185" s="14" t="n">
        <v>0.02028618002209083</v>
      </c>
      <c r="M185" s="14" t="n">
        <v>-0.02164682686772479</v>
      </c>
      <c r="N185" s="15" t="n">
        <v>0</v>
      </c>
      <c r="O185" s="24" t="n">
        <v>0.839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MRSH @ MOST</t>
        </is>
      </c>
      <c r="C186" s="17" t="inlineStr">
        <is>
          <t>2026-09-19 22:30</t>
        </is>
      </c>
      <c r="D186" s="25" t="n">
        <v>3</v>
      </c>
      <c r="E186" s="17" t="inlineStr">
        <is>
          <t>TOTAL</t>
        </is>
      </c>
      <c r="F186" s="17" t="inlineStr">
        <is>
          <t>Over 51.5</t>
        </is>
      </c>
      <c r="G186" s="26" t="n">
        <v>51.5</v>
      </c>
      <c r="H186" s="18" t="n">
        <v>-112</v>
      </c>
      <c r="I186" s="20" t="n">
        <v>0.514130969174035</v>
      </c>
      <c r="J186" s="20" t="n">
        <v>0.5043297540699688</v>
      </c>
      <c r="K186" s="20" t="n">
        <v>0.5283018867924528</v>
      </c>
      <c r="L186" s="19" t="n">
        <v>0.01916750383849712</v>
      </c>
      <c r="M186" s="19" t="n">
        <v>-0.02682352263486232</v>
      </c>
      <c r="N186" s="20" t="n">
        <v>0</v>
      </c>
      <c r="O186" s="27" t="n">
        <v>0.839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BYU @ CSU</t>
        </is>
      </c>
      <c r="C187" s="12" t="inlineStr">
        <is>
          <t>2026-09-19 23:30</t>
        </is>
      </c>
      <c r="D187" s="22" t="n">
        <v>3</v>
      </c>
      <c r="E187" s="12" t="inlineStr">
        <is>
          <t>TOTAL</t>
        </is>
      </c>
      <c r="F187" s="12" t="inlineStr">
        <is>
          <t>Over 52.5</t>
        </is>
      </c>
      <c r="G187" s="23" t="n">
        <v>52.5</v>
      </c>
      <c r="H187" s="13" t="n">
        <v>-105</v>
      </c>
      <c r="I187" s="15" t="n">
        <v>0.4985737151668523</v>
      </c>
      <c r="J187" s="15" t="n">
        <v>0.4891657638136511</v>
      </c>
      <c r="K187" s="15" t="n">
        <v>0.5121951219512195</v>
      </c>
      <c r="L187" s="14" t="n">
        <v>0.01897412855126167</v>
      </c>
      <c r="M187" s="14" t="n">
        <v>-0.02659417515043117</v>
      </c>
      <c r="N187" s="15" t="n">
        <v>0</v>
      </c>
      <c r="O187" s="24" t="n">
        <v>0.839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NCSU @ VAN</t>
        </is>
      </c>
      <c r="C188" s="17" t="inlineStr">
        <is>
          <t>2026-09-19 16:45</t>
        </is>
      </c>
      <c r="D188" s="25" t="n">
        <v>3</v>
      </c>
      <c r="E188" s="17" t="inlineStr">
        <is>
          <t>ATS</t>
        </is>
      </c>
      <c r="F188" s="17" t="inlineStr">
        <is>
          <t>VAN -3.5</t>
        </is>
      </c>
      <c r="G188" s="26" t="n">
        <v>-3.5</v>
      </c>
      <c r="H188" s="18" t="n">
        <v>-102</v>
      </c>
      <c r="I188" s="20" t="n">
        <v>0.4919086194809554</v>
      </c>
      <c r="J188" s="20" t="n">
        <v>0.4826358742837298</v>
      </c>
      <c r="K188" s="20" t="n">
        <v>0.504950495049505</v>
      </c>
      <c r="L188" s="19" t="n">
        <v>0.01895499242707</v>
      </c>
      <c r="M188" s="19" t="n">
        <v>-0.02582802808673523</v>
      </c>
      <c r="N188" s="20" t="n">
        <v>0</v>
      </c>
      <c r="O188" s="27" t="n">
        <v>0.839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MSU @ ND</t>
        </is>
      </c>
      <c r="C189" s="12" t="inlineStr">
        <is>
          <t>2026-09-19 23:30</t>
        </is>
      </c>
      <c r="D189" s="22" t="n">
        <v>3</v>
      </c>
      <c r="E189" s="12" t="inlineStr">
        <is>
          <t>TOTAL</t>
        </is>
      </c>
      <c r="F189" s="12" t="inlineStr">
        <is>
          <t>Under 52.5</t>
        </is>
      </c>
      <c r="G189" s="23" t="n">
        <v>52.5</v>
      </c>
      <c r="H189" s="13" t="n">
        <v>-118</v>
      </c>
      <c r="I189" s="15" t="n">
        <v>0.5266176939377067</v>
      </c>
      <c r="J189" s="15" t="n">
        <v>0.5173641257162701</v>
      </c>
      <c r="K189" s="15" t="n">
        <v>0.5412844036697247</v>
      </c>
      <c r="L189" s="14" t="n">
        <v>0.01767760700769214</v>
      </c>
      <c r="M189" s="14" t="n">
        <v>-0.02709612475915202</v>
      </c>
      <c r="N189" s="15" t="n">
        <v>0</v>
      </c>
      <c r="O189" s="24" t="n">
        <v>0.839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NDSU @ SAC</t>
        </is>
      </c>
      <c r="C190" s="17" t="inlineStr">
        <is>
          <t>2026-09-20 02:30</t>
        </is>
      </c>
      <c r="D190" s="25" t="n">
        <v>3</v>
      </c>
      <c r="E190" s="17" t="inlineStr">
        <is>
          <t>TOTAL</t>
        </is>
      </c>
      <c r="F190" s="17" t="inlineStr">
        <is>
          <t>Under 51.5</t>
        </is>
      </c>
      <c r="G190" s="26" t="n">
        <v>51.5</v>
      </c>
      <c r="H190" s="18" t="n">
        <v>-118</v>
      </c>
      <c r="I190" s="20" t="n">
        <v>0.5266176786323649</v>
      </c>
      <c r="J190" s="20" t="n">
        <v>0.5173641257162701</v>
      </c>
      <c r="K190" s="20" t="n">
        <v>0.5412844036697247</v>
      </c>
      <c r="L190" s="19" t="n">
        <v>0.01767757844872863</v>
      </c>
      <c r="M190" s="19" t="n">
        <v>-0.02709615303512258</v>
      </c>
      <c r="N190" s="20" t="n">
        <v>0</v>
      </c>
      <c r="O190" s="27" t="n">
        <v>0.926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OHIO @ USA</t>
        </is>
      </c>
      <c r="C191" s="12" t="inlineStr">
        <is>
          <t>2026-09-19 23:00</t>
        </is>
      </c>
      <c r="D191" s="22" t="n">
        <v>3</v>
      </c>
      <c r="E191" s="12" t="inlineStr">
        <is>
          <t>ATS</t>
        </is>
      </c>
      <c r="F191" s="12" t="inlineStr">
        <is>
          <t>USA -5.5</t>
        </is>
      </c>
      <c r="G191" s="23" t="n">
        <v>-5.5</v>
      </c>
      <c r="H191" s="13" t="n">
        <v>-110</v>
      </c>
      <c r="I191" s="15" t="n">
        <v>0.5085651908385669</v>
      </c>
      <c r="J191" s="15" t="n">
        <v>0.5</v>
      </c>
      <c r="K191" s="15" t="n">
        <v>0.5238095238095238</v>
      </c>
      <c r="L191" s="14" t="n">
        <v>0.01694709898404521</v>
      </c>
      <c r="M191" s="14" t="n">
        <v>-0.02910281749000865</v>
      </c>
      <c r="N191" s="15" t="n">
        <v>0</v>
      </c>
      <c r="O191" s="24" t="n">
        <v>0.839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MSST @ SC</t>
        </is>
      </c>
      <c r="C192" s="17" t="inlineStr">
        <is>
          <t>2026-09-19 20:15</t>
        </is>
      </c>
      <c r="D192" s="25" t="n">
        <v>3</v>
      </c>
      <c r="E192" s="17" t="inlineStr">
        <is>
          <t>ML</t>
        </is>
      </c>
      <c r="F192" s="17" t="inlineStr">
        <is>
          <t>MSST ML</t>
        </is>
      </c>
      <c r="G192" s="26" t="n"/>
      <c r="H192" s="18" t="n">
        <v>150</v>
      </c>
      <c r="I192" s="20" t="n">
        <v>0.3895064336420959</v>
      </c>
      <c r="J192" s="20" t="n">
        <v>0.3835616438356164</v>
      </c>
      <c r="K192" s="20" t="n">
        <v>0.4</v>
      </c>
      <c r="L192" s="19" t="n">
        <v>0.01536285431443484</v>
      </c>
      <c r="M192" s="19" t="n">
        <v>-0.02623391589476021</v>
      </c>
      <c r="N192" s="20" t="n">
        <v>0</v>
      </c>
      <c r="O192" s="27" t="n">
        <v>0.839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TEM @ TOL</t>
        </is>
      </c>
      <c r="C193" s="12" t="inlineStr">
        <is>
          <t>2026-09-19 19:00</t>
        </is>
      </c>
      <c r="D193" s="22" t="n">
        <v>3</v>
      </c>
      <c r="E193" s="12" t="inlineStr">
        <is>
          <t>ATS</t>
        </is>
      </c>
      <c r="F193" s="12" t="inlineStr">
        <is>
          <t>TOL -5.5</t>
        </is>
      </c>
      <c r="G193" s="23" t="n">
        <v>-5.5</v>
      </c>
      <c r="H193" s="13" t="n">
        <v>-115</v>
      </c>
      <c r="I193" s="15" t="n">
        <v>0.5184825683393495</v>
      </c>
      <c r="J193" s="15" t="n">
        <v>0.5108342361863488</v>
      </c>
      <c r="K193" s="15" t="n">
        <v>0.5348837209302325</v>
      </c>
      <c r="L193" s="14" t="n">
        <v>0.01484949521733578</v>
      </c>
      <c r="M193" s="14" t="n">
        <v>-0.03066302440904234</v>
      </c>
      <c r="N193" s="15" t="n">
        <v>0</v>
      </c>
      <c r="O193" s="24" t="n">
        <v>0.839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MONT @ ORST</t>
        </is>
      </c>
      <c r="C194" s="17" t="inlineStr">
        <is>
          <t>2026-09-20 03:00</t>
        </is>
      </c>
      <c r="D194" s="25" t="n">
        <v>3</v>
      </c>
      <c r="E194" s="17" t="inlineStr">
        <is>
          <t>TOTAL</t>
        </is>
      </c>
      <c r="F194" s="17" t="inlineStr">
        <is>
          <t>Over 52.5</t>
        </is>
      </c>
      <c r="G194" s="26" t="n">
        <v>52.5</v>
      </c>
      <c r="H194" s="18" t="n">
        <v>-115</v>
      </c>
      <c r="I194" s="20" t="n">
        <v>0.5173832023536092</v>
      </c>
      <c r="J194" s="20" t="n">
        <v>0.5108342361863488</v>
      </c>
      <c r="K194" s="20" t="n">
        <v>0.5348837209302325</v>
      </c>
      <c r="L194" s="19" t="n">
        <v>0.01274287892412448</v>
      </c>
      <c r="M194" s="19" t="n">
        <v>-0.03271836081716539</v>
      </c>
      <c r="N194" s="20" t="n">
        <v>0</v>
      </c>
      <c r="O194" s="27" t="n">
        <v>0.4</v>
      </c>
      <c r="P194" s="17" t="inlineStr">
        <is>
          <t>DraftKings</t>
        </is>
      </c>
      <c r="Q194" s="17" t="inlineStr">
        <is>
          <t>MONT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UNC @ CLEM</t>
        </is>
      </c>
      <c r="C195" s="12" t="inlineStr">
        <is>
          <t>2026-09-19 16:00</t>
        </is>
      </c>
      <c r="D195" s="22" t="n">
        <v>3</v>
      </c>
      <c r="E195" s="12" t="inlineStr">
        <is>
          <t>ATS</t>
        </is>
      </c>
      <c r="F195" s="12" t="inlineStr">
        <is>
          <t>UNC +3.5</t>
        </is>
      </c>
      <c r="G195" s="23" t="n">
        <v>-3.5</v>
      </c>
      <c r="H195" s="13" t="n">
        <v>-115</v>
      </c>
      <c r="I195" s="15" t="n">
        <v>0.5168979298761311</v>
      </c>
      <c r="J195" s="15" t="n">
        <v>0.5108342361863488</v>
      </c>
      <c r="K195" s="15" t="n">
        <v>0.5348837209302325</v>
      </c>
      <c r="L195" s="14" t="n">
        <v>0.01180878843221538</v>
      </c>
      <c r="M195" s="14" t="n">
        <v>-0.03362560936201575</v>
      </c>
      <c r="N195" s="15" t="n">
        <v>0</v>
      </c>
      <c r="O195" s="24" t="n">
        <v>0.839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PUR @ UCLA</t>
        </is>
      </c>
      <c r="C196" s="17" t="inlineStr">
        <is>
          <t>2026-09-20 03:00</t>
        </is>
      </c>
      <c r="D196" s="25" t="n">
        <v>3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0.510144932073888</v>
      </c>
      <c r="J196" s="20" t="n">
        <v>0.5043297540699688</v>
      </c>
      <c r="K196" s="20" t="n">
        <v>0.5283018867924528</v>
      </c>
      <c r="L196" s="19" t="n">
        <v>0.01147421824891267</v>
      </c>
      <c r="M196" s="19" t="n">
        <v>-0.03436852143156921</v>
      </c>
      <c r="N196" s="20" t="n">
        <v>0</v>
      </c>
      <c r="O196" s="27" t="n">
        <v>0.839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TEM @ TOL</t>
        </is>
      </c>
      <c r="C197" s="12" t="inlineStr">
        <is>
          <t>2026-09-19 19:00</t>
        </is>
      </c>
      <c r="D197" s="22" t="n">
        <v>3</v>
      </c>
      <c r="E197" s="12" t="inlineStr">
        <is>
          <t>TOTAL</t>
        </is>
      </c>
      <c r="F197" s="12" t="inlineStr">
        <is>
          <t>Over 50.5</t>
        </is>
      </c>
      <c r="G197" s="23" t="n">
        <v>50.5</v>
      </c>
      <c r="H197" s="13" t="n">
        <v>-118</v>
      </c>
      <c r="I197" s="15" t="n">
        <v>0.522639487238564</v>
      </c>
      <c r="J197" s="15" t="n">
        <v>0.5173641257162701</v>
      </c>
      <c r="K197" s="15" t="n">
        <v>0.5412844036697247</v>
      </c>
      <c r="L197" s="14" t="n">
        <v>0.01015763603318133</v>
      </c>
      <c r="M197" s="14" t="n">
        <v>-0.0344456930677377</v>
      </c>
      <c r="N197" s="15" t="n">
        <v>0</v>
      </c>
      <c r="O197" s="24" t="n">
        <v>0.839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UNC @ CLEM</t>
        </is>
      </c>
      <c r="C198" s="17" t="inlineStr">
        <is>
          <t>2026-09-19 16:00</t>
        </is>
      </c>
      <c r="D198" s="25" t="n">
        <v>3</v>
      </c>
      <c r="E198" s="17" t="inlineStr">
        <is>
          <t>ML</t>
        </is>
      </c>
      <c r="F198" s="17" t="inlineStr">
        <is>
          <t>UNC ML</t>
        </is>
      </c>
      <c r="G198" s="26" t="n"/>
      <c r="H198" s="18" t="n">
        <v>145</v>
      </c>
      <c r="I198" s="20" t="n">
        <v>0.3946416664132579</v>
      </c>
      <c r="J198" s="20" t="n">
        <v>0.3907637655417407</v>
      </c>
      <c r="K198" s="20" t="n">
        <v>0.4081632653061225</v>
      </c>
      <c r="L198" s="19" t="n">
        <v>0.009887960099457084</v>
      </c>
      <c r="M198" s="19" t="n">
        <v>-0.03312791728751796</v>
      </c>
      <c r="N198" s="20" t="n">
        <v>0</v>
      </c>
      <c r="O198" s="27" t="n">
        <v>0.839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NIU @ ARIZ</t>
        </is>
      </c>
      <c r="C199" s="12" t="inlineStr">
        <is>
          <t>2026-09-20 02:30</t>
        </is>
      </c>
      <c r="D199" s="22" t="n">
        <v>3</v>
      </c>
      <c r="E199" s="12" t="inlineStr">
        <is>
          <t>TOTAL</t>
        </is>
      </c>
      <c r="F199" s="12" t="inlineStr">
        <is>
          <t>Under 49.5</t>
        </is>
      </c>
      <c r="G199" s="23" t="n">
        <v>49.5</v>
      </c>
      <c r="H199" s="13" t="n">
        <v>-108</v>
      </c>
      <c r="I199" s="15" t="n">
        <v>0.4998305588677219</v>
      </c>
      <c r="J199" s="15" t="n">
        <v>0.4956702459300312</v>
      </c>
      <c r="K199" s="15" t="n">
        <v>0.5192307692307693</v>
      </c>
      <c r="L199" s="14" t="n">
        <v>0.008371536854861306</v>
      </c>
      <c r="M199" s="14" t="n">
        <v>-0.03736336810660967</v>
      </c>
      <c r="N199" s="15" t="n">
        <v>0</v>
      </c>
      <c r="O199" s="24" t="n">
        <v>0.839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SYR @ PITT</t>
        </is>
      </c>
      <c r="C200" s="17" t="inlineStr">
        <is>
          <t>2026-09-17 23:30</t>
        </is>
      </c>
      <c r="D200" s="25" t="n">
        <v>3</v>
      </c>
      <c r="E200" s="17" t="inlineStr">
        <is>
          <t>TOTAL</t>
        </is>
      </c>
      <c r="F200" s="17" t="inlineStr">
        <is>
          <t>Under 51.5</t>
        </is>
      </c>
      <c r="G200" s="26" t="n">
        <v>51.5</v>
      </c>
      <c r="H200" s="18" t="n">
        <v>-110</v>
      </c>
      <c r="I200" s="20" t="n">
        <v>0.5039907932620655</v>
      </c>
      <c r="J200" s="20" t="n">
        <v>0.5</v>
      </c>
      <c r="K200" s="20" t="n">
        <v>0.5238095238095238</v>
      </c>
      <c r="L200" s="19" t="n">
        <v>0.007962859242512769</v>
      </c>
      <c r="M200" s="19" t="n">
        <v>-0.03783575831787489</v>
      </c>
      <c r="N200" s="20" t="n">
        <v>0</v>
      </c>
      <c r="O200" s="27" t="n">
        <v>0.839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NEV @ MTSU</t>
        </is>
      </c>
      <c r="C201" s="12" t="inlineStr">
        <is>
          <t>2026-09-19 23:00</t>
        </is>
      </c>
      <c r="D201" s="22" t="n">
        <v>3</v>
      </c>
      <c r="E201" s="12" t="inlineStr">
        <is>
          <t>TOTAL</t>
        </is>
      </c>
      <c r="F201" s="12" t="inlineStr">
        <is>
          <t>Under 50.5</t>
        </is>
      </c>
      <c r="G201" s="23" t="n">
        <v>50.5</v>
      </c>
      <c r="H201" s="13" t="n">
        <v>-108</v>
      </c>
      <c r="I201" s="15" t="n">
        <v>0.4978350809818011</v>
      </c>
      <c r="J201" s="15" t="n">
        <v>0.4956702459300312</v>
      </c>
      <c r="K201" s="15" t="n">
        <v>0.5192307692307693</v>
      </c>
      <c r="L201" s="14" t="n">
        <v>0.004364416022112758</v>
      </c>
      <c r="M201" s="14" t="n">
        <v>-0.04120651070171644</v>
      </c>
      <c r="N201" s="15" t="n">
        <v>0</v>
      </c>
      <c r="O201" s="24" t="n">
        <v>0.839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UTEP @ MICH</t>
        </is>
      </c>
      <c r="C202" s="17" t="inlineStr">
        <is>
          <t>2026-09-19 19:30</t>
        </is>
      </c>
      <c r="D202" s="25" t="n">
        <v>3</v>
      </c>
      <c r="E202" s="17" t="inlineStr">
        <is>
          <t>TOTAL</t>
        </is>
      </c>
      <c r="F202" s="17" t="inlineStr">
        <is>
          <t>Over 49.5</t>
        </is>
      </c>
      <c r="G202" s="26" t="n">
        <v>49.5</v>
      </c>
      <c r="H202" s="18" t="n">
        <v>-110</v>
      </c>
      <c r="I202" s="20" t="n">
        <v>0.5019955778151671</v>
      </c>
      <c r="J202" s="20" t="n">
        <v>0.5</v>
      </c>
      <c r="K202" s="20" t="n">
        <v>0.5238095238095238</v>
      </c>
      <c r="L202" s="19" t="n">
        <v>0.003988809127849315</v>
      </c>
      <c r="M202" s="19" t="n">
        <v>-0.04164480598922637</v>
      </c>
      <c r="N202" s="20" t="n">
        <v>0</v>
      </c>
      <c r="O202" s="27" t="n">
        <v>0.839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FRES @ SJSU</t>
        </is>
      </c>
      <c r="C203" s="12" t="inlineStr">
        <is>
          <t>2026-09-20 03:00</t>
        </is>
      </c>
      <c r="D203" s="22" t="n">
        <v>3</v>
      </c>
      <c r="E203" s="12" t="inlineStr">
        <is>
          <t>TOTAL</t>
        </is>
      </c>
      <c r="F203" s="12" t="inlineStr">
        <is>
          <t>Under 50.5</t>
        </is>
      </c>
      <c r="G203" s="23" t="n">
        <v>50.5</v>
      </c>
      <c r="H203" s="13" t="n">
        <v>-112</v>
      </c>
      <c r="I203" s="15" t="n">
        <v>0.5061556513640563</v>
      </c>
      <c r="J203" s="15" t="n">
        <v>0.5043297540699688</v>
      </c>
      <c r="K203" s="15" t="n">
        <v>0.5283018867924528</v>
      </c>
      <c r="L203" s="14" t="n">
        <v>0.003618691610171043</v>
      </c>
      <c r="M203" s="14" t="n">
        <v>-0.04191965991803637</v>
      </c>
      <c r="N203" s="15" t="n">
        <v>0</v>
      </c>
      <c r="O203" s="24" t="n">
        <v>0.839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FRES @ SJSU</t>
        </is>
      </c>
      <c r="C204" s="17" t="inlineStr">
        <is>
          <t>2026-09-20 03:00</t>
        </is>
      </c>
      <c r="D204" s="25" t="n">
        <v>3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-108</v>
      </c>
      <c r="I204" s="20" t="n">
        <v>0.4938443486359437</v>
      </c>
      <c r="J204" s="20" t="n">
        <v>0.4956702459300312</v>
      </c>
      <c r="K204" s="20" t="n">
        <v>0.5192307692307693</v>
      </c>
      <c r="L204" s="19" t="n">
        <v>-0.003681848458328739</v>
      </c>
      <c r="M204" s="19" t="n">
        <v>-0.04889236559003429</v>
      </c>
      <c r="N204" s="20" t="n">
        <v>0</v>
      </c>
      <c r="O204" s="27" t="n">
        <v>0.839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UTEP @ MICH</t>
        </is>
      </c>
      <c r="C205" s="12" t="inlineStr">
        <is>
          <t>2026-09-19 19:30</t>
        </is>
      </c>
      <c r="D205" s="22" t="n">
        <v>3</v>
      </c>
      <c r="E205" s="12" t="inlineStr">
        <is>
          <t>TOTAL</t>
        </is>
      </c>
      <c r="F205" s="12" t="inlineStr">
        <is>
          <t>Under 49.5</t>
        </is>
      </c>
      <c r="G205" s="23" t="n">
        <v>49.5</v>
      </c>
      <c r="H205" s="13" t="n">
        <v>-110</v>
      </c>
      <c r="I205" s="15" t="n">
        <v>0.4980044221848329</v>
      </c>
      <c r="J205" s="15" t="n">
        <v>0.5</v>
      </c>
      <c r="K205" s="15" t="n">
        <v>0.5238095238095238</v>
      </c>
      <c r="L205" s="14" t="n">
        <v>-0.003988809127849315</v>
      </c>
      <c r="M205" s="14" t="n">
        <v>-0.04926428491986445</v>
      </c>
      <c r="N205" s="15" t="n">
        <v>0</v>
      </c>
      <c r="O205" s="24" t="n">
        <v>0.839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NEV @ MTSU</t>
        </is>
      </c>
      <c r="C206" s="17" t="inlineStr">
        <is>
          <t>2026-09-19 23:00</t>
        </is>
      </c>
      <c r="D206" s="25" t="n">
        <v>3</v>
      </c>
      <c r="E206" s="17" t="inlineStr">
        <is>
          <t>TOTAL</t>
        </is>
      </c>
      <c r="F206" s="17" t="inlineStr">
        <is>
          <t>Over 50.5</t>
        </is>
      </c>
      <c r="G206" s="26" t="n">
        <v>50.5</v>
      </c>
      <c r="H206" s="18" t="n">
        <v>-112</v>
      </c>
      <c r="I206" s="20" t="n">
        <v>0.5021649190181989</v>
      </c>
      <c r="J206" s="20" t="n">
        <v>0.5043297540699688</v>
      </c>
      <c r="K206" s="20" t="n">
        <v>0.5283018867924528</v>
      </c>
      <c r="L206" s="19" t="n">
        <v>-0.004289580349563814</v>
      </c>
      <c r="M206" s="19" t="n">
        <v>-0.04947354614412347</v>
      </c>
      <c r="N206" s="20" t="n">
        <v>0</v>
      </c>
      <c r="O206" s="27" t="n">
        <v>0.839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UNC @ CLEM</t>
        </is>
      </c>
      <c r="C207" s="12" t="inlineStr">
        <is>
          <t>2026-09-19 16:00</t>
        </is>
      </c>
      <c r="D207" s="22" t="n">
        <v>3</v>
      </c>
      <c r="E207" s="12" t="inlineStr">
        <is>
          <t>ML</t>
        </is>
      </c>
      <c r="F207" s="12" t="inlineStr">
        <is>
          <t>CLEM ML</t>
        </is>
      </c>
      <c r="G207" s="23" t="n"/>
      <c r="H207" s="13" t="n">
        <v>-175</v>
      </c>
      <c r="I207" s="15" t="n">
        <v>0.6053583335867421</v>
      </c>
      <c r="J207" s="15" t="n">
        <v>0.6092362344582594</v>
      </c>
      <c r="K207" s="15" t="n">
        <v>0.6363636363636364</v>
      </c>
      <c r="L207" s="14" t="n">
        <v>-0.006355676313682479</v>
      </c>
      <c r="M207" s="14" t="n">
        <v>-0.0487226186494053</v>
      </c>
      <c r="N207" s="15" t="n">
        <v>0</v>
      </c>
      <c r="O207" s="24" t="n">
        <v>0.839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SYR @ PITT</t>
        </is>
      </c>
      <c r="C208" s="17" t="inlineStr">
        <is>
          <t>2026-09-17 23:30</t>
        </is>
      </c>
      <c r="D208" s="25" t="n">
        <v>3</v>
      </c>
      <c r="E208" s="17" t="inlineStr">
        <is>
          <t>TOTAL</t>
        </is>
      </c>
      <c r="F208" s="17" t="inlineStr">
        <is>
          <t>Over 51.5</t>
        </is>
      </c>
      <c r="G208" s="26" t="n">
        <v>51.5</v>
      </c>
      <c r="H208" s="18" t="n">
        <v>-110</v>
      </c>
      <c r="I208" s="20" t="n">
        <v>0.4960092067379345</v>
      </c>
      <c r="J208" s="20" t="n">
        <v>0.5</v>
      </c>
      <c r="K208" s="20" t="n">
        <v>0.5238095238095238</v>
      </c>
      <c r="L208" s="19" t="n">
        <v>-0.007962859242512769</v>
      </c>
      <c r="M208" s="19" t="n">
        <v>-0.05307333259121594</v>
      </c>
      <c r="N208" s="20" t="n">
        <v>0</v>
      </c>
      <c r="O208" s="27" t="n">
        <v>0.839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NIU @ ARIZ</t>
        </is>
      </c>
      <c r="C209" s="12" t="inlineStr">
        <is>
          <t>2026-09-20 02:30</t>
        </is>
      </c>
      <c r="D209" s="22" t="n">
        <v>3</v>
      </c>
      <c r="E209" s="12" t="inlineStr">
        <is>
          <t>TOTAL</t>
        </is>
      </c>
      <c r="F209" s="12" t="inlineStr">
        <is>
          <t>Over 49.5</t>
        </is>
      </c>
      <c r="G209" s="23" t="n">
        <v>49.5</v>
      </c>
      <c r="H209" s="13" t="n">
        <v>-112</v>
      </c>
      <c r="I209" s="15" t="n">
        <v>0.5001694411322781</v>
      </c>
      <c r="J209" s="15" t="n">
        <v>0.5043297540699688</v>
      </c>
      <c r="K209" s="15" t="n">
        <v>0.5283018867924528</v>
      </c>
      <c r="L209" s="14" t="n">
        <v>-0.008228521099880216</v>
      </c>
      <c r="M209" s="14" t="n">
        <v>-0.05325070071390214</v>
      </c>
      <c r="N209" s="15" t="n">
        <v>0</v>
      </c>
      <c r="O209" s="24" t="n">
        <v>0.839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MSST @ SC</t>
        </is>
      </c>
      <c r="C210" s="17" t="inlineStr">
        <is>
          <t>2026-09-19 20:15</t>
        </is>
      </c>
      <c r="D210" s="25" t="n">
        <v>3</v>
      </c>
      <c r="E210" s="17" t="inlineStr">
        <is>
          <t>ML</t>
        </is>
      </c>
      <c r="F210" s="17" t="inlineStr">
        <is>
          <t>SC ML</t>
        </is>
      </c>
      <c r="G210" s="26" t="n"/>
      <c r="H210" s="18" t="n">
        <v>-180</v>
      </c>
      <c r="I210" s="20" t="n">
        <v>0.6104935663579041</v>
      </c>
      <c r="J210" s="20" t="n">
        <v>0.6164383561643836</v>
      </c>
      <c r="K210" s="20" t="n">
        <v>0.6428571428571429</v>
      </c>
      <c r="L210" s="19" t="n">
        <v>-0.009610779873740488</v>
      </c>
      <c r="M210" s="19" t="n">
        <v>-0.05034334122103812</v>
      </c>
      <c r="N210" s="20" t="n">
        <v>0</v>
      </c>
      <c r="O210" s="27" t="n">
        <v>0.839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TEM @ TOL</t>
        </is>
      </c>
      <c r="C211" s="12" t="inlineStr">
        <is>
          <t>2026-09-19 19:00</t>
        </is>
      </c>
      <c r="D211" s="22" t="n">
        <v>3</v>
      </c>
      <c r="E211" s="12" t="inlineStr">
        <is>
          <t>TOTAL</t>
        </is>
      </c>
      <c r="F211" s="12" t="inlineStr">
        <is>
          <t>Under 50.5</t>
        </is>
      </c>
      <c r="G211" s="23" t="n">
        <v>50.5</v>
      </c>
      <c r="H211" s="13" t="n">
        <v>-102</v>
      </c>
      <c r="I211" s="15" t="n">
        <v>0.477360512761436</v>
      </c>
      <c r="J211" s="15" t="n">
        <v>0.4826358742837298</v>
      </c>
      <c r="K211" s="15" t="n">
        <v>0.504950495049505</v>
      </c>
      <c r="L211" s="14" t="n">
        <v>-0.01088233640902431</v>
      </c>
      <c r="M211" s="14" t="n">
        <v>-0.0546389845312738</v>
      </c>
      <c r="N211" s="15" t="n">
        <v>0</v>
      </c>
      <c r="O211" s="24" t="n">
        <v>0.839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PUR @ UCLA</t>
        </is>
      </c>
      <c r="C212" s="17" t="inlineStr">
        <is>
          <t>2026-09-20 03:00</t>
        </is>
      </c>
      <c r="D212" s="25" t="n">
        <v>3</v>
      </c>
      <c r="E212" s="17" t="inlineStr">
        <is>
          <t>TOTAL</t>
        </is>
      </c>
      <c r="F212" s="17" t="inlineStr">
        <is>
          <t>Under 52.5</t>
        </is>
      </c>
      <c r="G212" s="26" t="n">
        <v>52.5</v>
      </c>
      <c r="H212" s="18" t="n">
        <v>-108</v>
      </c>
      <c r="I212" s="20" t="n">
        <v>0.489855067926112</v>
      </c>
      <c r="J212" s="20" t="n">
        <v>0.4956702459300312</v>
      </c>
      <c r="K212" s="20" t="n">
        <v>0.5192307692307693</v>
      </c>
      <c r="L212" s="19" t="n">
        <v>-0.01167266990722887</v>
      </c>
      <c r="M212" s="19" t="n">
        <v>-0.05657542473489541</v>
      </c>
      <c r="N212" s="20" t="n">
        <v>0</v>
      </c>
      <c r="O212" s="27" t="n">
        <v>0.839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UNC @ CLEM</t>
        </is>
      </c>
      <c r="C213" s="12" t="inlineStr">
        <is>
          <t>2026-09-19 16:00</t>
        </is>
      </c>
      <c r="D213" s="22" t="n">
        <v>3</v>
      </c>
      <c r="E213" s="12" t="inlineStr">
        <is>
          <t>ATS</t>
        </is>
      </c>
      <c r="F213" s="12" t="inlineStr">
        <is>
          <t>CLEM -3.5</t>
        </is>
      </c>
      <c r="G213" s="23" t="n">
        <v>-3.5</v>
      </c>
      <c r="H213" s="13" t="n">
        <v>-105</v>
      </c>
      <c r="I213" s="15" t="n">
        <v>0.4831020701238688</v>
      </c>
      <c r="J213" s="15" t="n">
        <v>0.4891657638136511</v>
      </c>
      <c r="K213" s="15" t="n">
        <v>0.5121951219512195</v>
      </c>
      <c r="L213" s="14" t="n">
        <v>-0.01232611359603768</v>
      </c>
      <c r="M213" s="14" t="n">
        <v>-0.05680072023435145</v>
      </c>
      <c r="N213" s="15" t="n">
        <v>0</v>
      </c>
      <c r="O213" s="24" t="n">
        <v>0.839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CCU @ DEL</t>
        </is>
      </c>
      <c r="C214" s="17" t="inlineStr">
        <is>
          <t>2026-09-19 15:30</t>
        </is>
      </c>
      <c r="D214" s="25" t="n">
        <v>3</v>
      </c>
      <c r="E214" s="17" t="inlineStr">
        <is>
          <t>ML</t>
        </is>
      </c>
      <c r="F214" s="17" t="inlineStr">
        <is>
          <t>DEL ML</t>
        </is>
      </c>
      <c r="G214" s="26" t="n"/>
      <c r="H214" s="18" t="n">
        <v>-218</v>
      </c>
      <c r="I214" s="20" t="n">
        <v>0.6488902362061244</v>
      </c>
      <c r="J214" s="20" t="n">
        <v>0.6574752261956054</v>
      </c>
      <c r="K214" s="20" t="n">
        <v>0.6855345911949685</v>
      </c>
      <c r="L214" s="19" t="n">
        <v>-0.0129759009596392</v>
      </c>
      <c r="M214" s="19" t="n">
        <v>-0.05345369213969009</v>
      </c>
      <c r="N214" s="20" t="n">
        <v>0</v>
      </c>
      <c r="O214" s="27" t="n">
        <v>0.839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MONT @ ORST</t>
        </is>
      </c>
      <c r="C215" s="12" t="inlineStr">
        <is>
          <t>2026-09-20 03:00</t>
        </is>
      </c>
      <c r="D215" s="22" t="n">
        <v>3</v>
      </c>
      <c r="E215" s="12" t="inlineStr">
        <is>
          <t>TOTAL</t>
        </is>
      </c>
      <c r="F215" s="12" t="inlineStr">
        <is>
          <t>Under 52.5</t>
        </is>
      </c>
      <c r="G215" s="23" t="n">
        <v>52.5</v>
      </c>
      <c r="H215" s="13" t="n">
        <v>-105</v>
      </c>
      <c r="I215" s="15" t="n">
        <v>0.4826167976463908</v>
      </c>
      <c r="J215" s="15" t="n">
        <v>0.4891657638136511</v>
      </c>
      <c r="K215" s="15" t="n">
        <v>0.5121951219512195</v>
      </c>
      <c r="L215" s="14" t="n">
        <v>-0.013300098801674</v>
      </c>
      <c r="M215" s="14" t="n">
        <v>-0.05774815697609426</v>
      </c>
      <c r="N215" s="15" t="n">
        <v>0</v>
      </c>
      <c r="O215" s="24" t="n">
        <v>0.4</v>
      </c>
      <c r="P215" s="12" t="inlineStr">
        <is>
          <t>DraftKings</t>
        </is>
      </c>
      <c r="Q215" s="12" t="inlineStr">
        <is>
          <t>MONT isn't a full FBS participant this season — model doesn't rate them reliably</t>
        </is>
      </c>
    </row>
    <row r="216">
      <c r="A216" s="17" t="inlineStr">
        <is>
          <t>PASS</t>
        </is>
      </c>
      <c r="B216" s="17" t="inlineStr">
        <is>
          <t>TEM @ TOL</t>
        </is>
      </c>
      <c r="C216" s="17" t="inlineStr">
        <is>
          <t>2026-09-19 19:00</t>
        </is>
      </c>
      <c r="D216" s="25" t="n">
        <v>3</v>
      </c>
      <c r="E216" s="17" t="inlineStr">
        <is>
          <t>ATS</t>
        </is>
      </c>
      <c r="F216" s="17" t="inlineStr">
        <is>
          <t>TEM +5.5</t>
        </is>
      </c>
      <c r="G216" s="26" t="n">
        <v>-5.5</v>
      </c>
      <c r="H216" s="18" t="n">
        <v>-105</v>
      </c>
      <c r="I216" s="20" t="n">
        <v>0.4815174316606505</v>
      </c>
      <c r="J216" s="20" t="n">
        <v>0.4891657638136511</v>
      </c>
      <c r="K216" s="20" t="n">
        <v>0.5121951219512195</v>
      </c>
      <c r="L216" s="19" t="n">
        <v>-0.01549579705339152</v>
      </c>
      <c r="M216" s="19" t="n">
        <v>-0.05989453818634904</v>
      </c>
      <c r="N216" s="20" t="n">
        <v>0</v>
      </c>
      <c r="O216" s="27" t="n">
        <v>0.839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OHIO @ USA</t>
        </is>
      </c>
      <c r="C217" s="12" t="inlineStr">
        <is>
          <t>2026-09-19 23:00</t>
        </is>
      </c>
      <c r="D217" s="22" t="n">
        <v>3</v>
      </c>
      <c r="E217" s="12" t="inlineStr">
        <is>
          <t>ATS</t>
        </is>
      </c>
      <c r="F217" s="12" t="inlineStr">
        <is>
          <t>OHIO +5.5</t>
        </is>
      </c>
      <c r="G217" s="23" t="n">
        <v>-5.5</v>
      </c>
      <c r="H217" s="13" t="n">
        <v>-110</v>
      </c>
      <c r="I217" s="15" t="n">
        <v>0.4914348091614331</v>
      </c>
      <c r="J217" s="15" t="n">
        <v>0.5</v>
      </c>
      <c r="K217" s="15" t="n">
        <v>0.5238095238095238</v>
      </c>
      <c r="L217" s="14" t="n">
        <v>-0.01694709898404521</v>
      </c>
      <c r="M217" s="14" t="n">
        <v>-0.06180627341908218</v>
      </c>
      <c r="N217" s="15" t="n">
        <v>0</v>
      </c>
      <c r="O217" s="24" t="n">
        <v>0.839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NCSU @ VAN</t>
        </is>
      </c>
      <c r="C218" s="17" t="inlineStr">
        <is>
          <t>2026-09-19 16:45</t>
        </is>
      </c>
      <c r="D218" s="25" t="n">
        <v>3</v>
      </c>
      <c r="E218" s="17" t="inlineStr">
        <is>
          <t>ATS</t>
        </is>
      </c>
      <c r="F218" s="17" t="inlineStr">
        <is>
          <t>NCSU +3.5</t>
        </is>
      </c>
      <c r="G218" s="26" t="n">
        <v>-3.5</v>
      </c>
      <c r="H218" s="18" t="n">
        <v>-118</v>
      </c>
      <c r="I218" s="20" t="n">
        <v>0.5080913805190446</v>
      </c>
      <c r="J218" s="20" t="n">
        <v>0.5173641257162701</v>
      </c>
      <c r="K218" s="20" t="n">
        <v>0.5412844036697247</v>
      </c>
      <c r="L218" s="19" t="n">
        <v>-0.01771338763472689</v>
      </c>
      <c r="M218" s="19" t="n">
        <v>-0.0613227037868499</v>
      </c>
      <c r="N218" s="20" t="n">
        <v>0</v>
      </c>
      <c r="O218" s="27" t="n">
        <v>0.839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BYU @ CSU</t>
        </is>
      </c>
      <c r="C219" s="12" t="inlineStr">
        <is>
          <t>2026-09-19 23:30</t>
        </is>
      </c>
      <c r="D219" s="22" t="n">
        <v>3</v>
      </c>
      <c r="E219" s="12" t="inlineStr">
        <is>
          <t>TOTAL</t>
        </is>
      </c>
      <c r="F219" s="12" t="inlineStr">
        <is>
          <t>Under 52.5</t>
        </is>
      </c>
      <c r="G219" s="23" t="n">
        <v>52.5</v>
      </c>
      <c r="H219" s="13" t="n">
        <v>-115</v>
      </c>
      <c r="I219" s="15" t="n">
        <v>0.5014262848331477</v>
      </c>
      <c r="J219" s="15" t="n">
        <v>0.5108342361863488</v>
      </c>
      <c r="K219" s="15" t="n">
        <v>0.5348837209302325</v>
      </c>
      <c r="L219" s="14" t="n">
        <v>-0.01818953883695447</v>
      </c>
      <c r="M219" s="14" t="n">
        <v>-0.06255085879020228</v>
      </c>
      <c r="N219" s="15" t="n">
        <v>0</v>
      </c>
      <c r="O219" s="24" t="n">
        <v>0.839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NDSU @ SAC</t>
        </is>
      </c>
      <c r="C220" s="17" t="inlineStr">
        <is>
          <t>2026-09-20 02:30</t>
        </is>
      </c>
      <c r="D220" s="25" t="n">
        <v>3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-102</v>
      </c>
      <c r="I220" s="20" t="n">
        <v>0.4733823213676351</v>
      </c>
      <c r="J220" s="20" t="n">
        <v>0.4826358742837298</v>
      </c>
      <c r="K220" s="20" t="n">
        <v>0.504950495049505</v>
      </c>
      <c r="L220" s="19" t="n">
        <v>-0.01891680678494028</v>
      </c>
      <c r="M220" s="19" t="n">
        <v>-0.06251736356605586</v>
      </c>
      <c r="N220" s="20" t="n">
        <v>0</v>
      </c>
      <c r="O220" s="27" t="n">
        <v>0.926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MSU @ ND</t>
        </is>
      </c>
      <c r="C221" s="12" t="inlineStr">
        <is>
          <t>2026-09-19 23:30</t>
        </is>
      </c>
      <c r="D221" s="22" t="n">
        <v>3</v>
      </c>
      <c r="E221" s="12" t="inlineStr">
        <is>
          <t>TOTAL</t>
        </is>
      </c>
      <c r="F221" s="12" t="inlineStr">
        <is>
          <t>Over 52.5</t>
        </is>
      </c>
      <c r="G221" s="23" t="n">
        <v>52.5</v>
      </c>
      <c r="H221" s="13" t="n">
        <v>-102</v>
      </c>
      <c r="I221" s="15" t="n">
        <v>0.4733823060622933</v>
      </c>
      <c r="J221" s="15" t="n">
        <v>0.4826358742837298</v>
      </c>
      <c r="K221" s="15" t="n">
        <v>0.504950495049505</v>
      </c>
      <c r="L221" s="14" t="n">
        <v>-0.0189168372395283</v>
      </c>
      <c r="M221" s="14" t="n">
        <v>-0.0625173938766348</v>
      </c>
      <c r="N221" s="15" t="n">
        <v>0</v>
      </c>
      <c r="O221" s="24" t="n">
        <v>0.839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MRSH @ MOST</t>
        </is>
      </c>
      <c r="C222" s="17" t="inlineStr">
        <is>
          <t>2026-09-19 22:30</t>
        </is>
      </c>
      <c r="D222" s="25" t="n">
        <v>3</v>
      </c>
      <c r="E222" s="17" t="inlineStr">
        <is>
          <t>TOTAL</t>
        </is>
      </c>
      <c r="F222" s="17" t="inlineStr">
        <is>
          <t>Under 51.5</t>
        </is>
      </c>
      <c r="G222" s="26" t="n">
        <v>51.5</v>
      </c>
      <c r="H222" s="18" t="n">
        <v>-108</v>
      </c>
      <c r="I222" s="20" t="n">
        <v>0.485869030825965</v>
      </c>
      <c r="J222" s="20" t="n">
        <v>0.4956702459300312</v>
      </c>
      <c r="K222" s="20" t="n">
        <v>0.5192307692307693</v>
      </c>
      <c r="L222" s="19" t="n">
        <v>-0.01949296671240393</v>
      </c>
      <c r="M222" s="19" t="n">
        <v>-0.06425223692777104</v>
      </c>
      <c r="N222" s="20" t="n">
        <v>0</v>
      </c>
      <c r="O222" s="27" t="n">
        <v>0.839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UNT @ TXST</t>
        </is>
      </c>
      <c r="C223" s="12" t="inlineStr">
        <is>
          <t>2026-09-19 16:00</t>
        </is>
      </c>
      <c r="D223" s="22" t="n">
        <v>3</v>
      </c>
      <c r="E223" s="12" t="inlineStr">
        <is>
          <t>ATS</t>
        </is>
      </c>
      <c r="F223" s="12" t="inlineStr">
        <is>
          <t>UNT +3</t>
        </is>
      </c>
      <c r="G223" s="23" t="n">
        <v>-3</v>
      </c>
      <c r="H223" s="13" t="n">
        <v>-118</v>
      </c>
      <c r="I223" s="15" t="n">
        <v>0.5069342595124858</v>
      </c>
      <c r="J223" s="15" t="n">
        <v>0.5173641257162701</v>
      </c>
      <c r="K223" s="15" t="n">
        <v>0.5412844036697247</v>
      </c>
      <c r="L223" s="14" t="n">
        <v>-0.01986237021032193</v>
      </c>
      <c r="M223" s="14" t="n">
        <v>-0.05958300318756352</v>
      </c>
      <c r="N223" s="15" t="n">
        <v>0.0611</v>
      </c>
      <c r="O223" s="24" t="n">
        <v>0.839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CCU @ DEL</t>
        </is>
      </c>
      <c r="C224" s="17" t="inlineStr">
        <is>
          <t>2026-09-19 15:30</t>
        </is>
      </c>
      <c r="D224" s="25" t="n">
        <v>3</v>
      </c>
      <c r="E224" s="17" t="inlineStr">
        <is>
          <t>ATS</t>
        </is>
      </c>
      <c r="F224" s="17" t="inlineStr">
        <is>
          <t>DEL -4.5</t>
        </is>
      </c>
      <c r="G224" s="26" t="n">
        <v>-4.5</v>
      </c>
      <c r="H224" s="18" t="n">
        <v>-115</v>
      </c>
      <c r="I224" s="20" t="n">
        <v>0.4985868722005651</v>
      </c>
      <c r="J224" s="20" t="n">
        <v>0.5108342361863488</v>
      </c>
      <c r="K224" s="20" t="n">
        <v>0.5348837209302325</v>
      </c>
      <c r="L224" s="19" t="n">
        <v>-0.02347886127232232</v>
      </c>
      <c r="M224" s="19" t="n">
        <v>-0.06785932588590016</v>
      </c>
      <c r="N224" s="20" t="n">
        <v>0</v>
      </c>
      <c r="O224" s="27" t="n">
        <v>0.839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STAN @ DUKE</t>
        </is>
      </c>
      <c r="C225" s="12" t="inlineStr">
        <is>
          <t>2026-09-19 20:00</t>
        </is>
      </c>
      <c r="D225" s="22" t="n">
        <v>3</v>
      </c>
      <c r="E225" s="12" t="inlineStr">
        <is>
          <t>TOTAL</t>
        </is>
      </c>
      <c r="F225" s="12" t="inlineStr">
        <is>
          <t>Under 50.5</t>
        </is>
      </c>
      <c r="G225" s="23" t="n">
        <v>50.5</v>
      </c>
      <c r="H225" s="13" t="n">
        <v>-105</v>
      </c>
      <c r="I225" s="15" t="n">
        <v>0.4766472013225167</v>
      </c>
      <c r="J225" s="15" t="n">
        <v>0.4891657638136511</v>
      </c>
      <c r="K225" s="15" t="n">
        <v>0.5121951219512195</v>
      </c>
      <c r="L225" s="14" t="n">
        <v>-0.02499006240118793</v>
      </c>
      <c r="M225" s="14" t="n">
        <v>-0.06940308313222932</v>
      </c>
      <c r="N225" s="15" t="n">
        <v>0</v>
      </c>
      <c r="O225" s="24" t="n">
        <v>0.839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BALL @ LIB</t>
        </is>
      </c>
      <c r="C226" s="17" t="inlineStr">
        <is>
          <t>2026-09-19 20:00</t>
        </is>
      </c>
      <c r="D226" s="25" t="n">
        <v>3</v>
      </c>
      <c r="E226" s="17" t="inlineStr">
        <is>
          <t>TOTAL</t>
        </is>
      </c>
      <c r="F226" s="17" t="inlineStr">
        <is>
          <t>Under 49.5</t>
        </is>
      </c>
      <c r="G226" s="26" t="n">
        <v>49.5</v>
      </c>
      <c r="H226" s="18" t="n">
        <v>-102</v>
      </c>
      <c r="I226" s="20" t="n">
        <v>0.4694111423501333</v>
      </c>
      <c r="J226" s="20" t="n">
        <v>0.4826358742837298</v>
      </c>
      <c r="K226" s="20" t="n">
        <v>0.504950495049505</v>
      </c>
      <c r="L226" s="19" t="n">
        <v>-0.02666565729195204</v>
      </c>
      <c r="M226" s="19" t="n">
        <v>-0.07038185534581454</v>
      </c>
      <c r="N226" s="20" t="n">
        <v>0</v>
      </c>
      <c r="O226" s="27" t="n">
        <v>0.839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UGA @ ARK</t>
        </is>
      </c>
      <c r="C227" s="12" t="inlineStr">
        <is>
          <t>2026-09-19 16:00</t>
        </is>
      </c>
      <c r="D227" s="22" t="n">
        <v>3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-108</v>
      </c>
      <c r="I227" s="15" t="n">
        <v>0.4818878102555767</v>
      </c>
      <c r="J227" s="15" t="n">
        <v>0.4956702459300312</v>
      </c>
      <c r="K227" s="15" t="n">
        <v>0.5192307692307693</v>
      </c>
      <c r="L227" s="14" t="n">
        <v>-0.02703793263494873</v>
      </c>
      <c r="M227" s="14" t="n">
        <v>-0.07191977284111151</v>
      </c>
      <c r="N227" s="15" t="n">
        <v>0</v>
      </c>
      <c r="O227" s="24" t="n">
        <v>0.839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TROY @ MIZ</t>
        </is>
      </c>
      <c r="C228" s="17" t="inlineStr">
        <is>
          <t>2026-09-19 23:00</t>
        </is>
      </c>
      <c r="D228" s="25" t="n">
        <v>3</v>
      </c>
      <c r="E228" s="17" t="inlineStr">
        <is>
          <t>TOTAL</t>
        </is>
      </c>
      <c r="F228" s="17" t="inlineStr">
        <is>
          <t>Under 50.5</t>
        </is>
      </c>
      <c r="G228" s="26" t="n">
        <v>50.5</v>
      </c>
      <c r="H228" s="18" t="n">
        <v>-112</v>
      </c>
      <c r="I228" s="20" t="n">
        <v>0.4901987715641336</v>
      </c>
      <c r="J228" s="20" t="n">
        <v>0.5043297540699688</v>
      </c>
      <c r="K228" s="20" t="n">
        <v>0.5283018867924528</v>
      </c>
      <c r="L228" s="19" t="n">
        <v>-0.02723417501752164</v>
      </c>
      <c r="M228" s="19" t="n">
        <v>-0.07212375382503289</v>
      </c>
      <c r="N228" s="20" t="n">
        <v>0</v>
      </c>
      <c r="O228" s="27" t="n">
        <v>0.839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UNT @ TXST</t>
        </is>
      </c>
      <c r="C229" s="12" t="inlineStr">
        <is>
          <t>2026-09-19 16:00</t>
        </is>
      </c>
      <c r="D229" s="22" t="n">
        <v>3</v>
      </c>
      <c r="E229" s="12" t="inlineStr">
        <is>
          <t>ML</t>
        </is>
      </c>
      <c r="F229" s="12" t="inlineStr">
        <is>
          <t>UNT ML</t>
        </is>
      </c>
      <c r="G229" s="23" t="n"/>
      <c r="H229" s="13" t="n">
        <v>124</v>
      </c>
      <c r="I229" s="15" t="n">
        <v>0.4153267536884647</v>
      </c>
      <c r="J229" s="15" t="n">
        <v>0.4279403644395361</v>
      </c>
      <c r="K229" s="15" t="n">
        <v>0.4464285714285715</v>
      </c>
      <c r="L229" s="14" t="n">
        <v>-0.02856441148655096</v>
      </c>
      <c r="M229" s="14" t="n">
        <v>-0.06966807173783895</v>
      </c>
      <c r="N229" s="15" t="n">
        <v>0</v>
      </c>
      <c r="O229" s="24" t="n">
        <v>0.839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NCSU @ VAN</t>
        </is>
      </c>
      <c r="C230" s="17" t="inlineStr">
        <is>
          <t>2026-09-19 16:45</t>
        </is>
      </c>
      <c r="D230" s="25" t="n">
        <v>3</v>
      </c>
      <c r="E230" s="17" t="inlineStr">
        <is>
          <t>ML</t>
        </is>
      </c>
      <c r="F230" s="17" t="inlineStr">
        <is>
          <t>NCSU ML</t>
        </is>
      </c>
      <c r="G230" s="26" t="n"/>
      <c r="H230" s="18" t="n">
        <v>140</v>
      </c>
      <c r="I230" s="20" t="n">
        <v>0.3878058440285673</v>
      </c>
      <c r="J230" s="20" t="n">
        <v>0.4003612281757977</v>
      </c>
      <c r="K230" s="20" t="n">
        <v>0.4166666666666667</v>
      </c>
      <c r="L230" s="19" t="n">
        <v>-0.0302685846948623</v>
      </c>
      <c r="M230" s="19" t="n">
        <v>-0.06926597433143844</v>
      </c>
      <c r="N230" s="20" t="n">
        <v>0</v>
      </c>
      <c r="O230" s="27" t="n">
        <v>0.839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MSST @ SC</t>
        </is>
      </c>
      <c r="C231" s="12" t="inlineStr">
        <is>
          <t>2026-09-19 20:15</t>
        </is>
      </c>
      <c r="D231" s="22" t="n">
        <v>3</v>
      </c>
      <c r="E231" s="12" t="inlineStr">
        <is>
          <t>ATS</t>
        </is>
      </c>
      <c r="F231" s="12" t="inlineStr">
        <is>
          <t>SC -4</t>
        </is>
      </c>
      <c r="G231" s="23" t="n">
        <v>-4</v>
      </c>
      <c r="H231" s="13" t="n">
        <v>-108</v>
      </c>
      <c r="I231" s="15" t="n">
        <v>0.4795575128465561</v>
      </c>
      <c r="J231" s="15" t="n">
        <v>0.4956702459300312</v>
      </c>
      <c r="K231" s="15" t="n">
        <v>0.5192307692307693</v>
      </c>
      <c r="L231" s="14" t="n">
        <v>-0.0312949862109019</v>
      </c>
      <c r="M231" s="14" t="n">
        <v>-0.07402383114153085</v>
      </c>
      <c r="N231" s="15" t="n">
        <v>0.0312</v>
      </c>
      <c r="O231" s="24" t="n">
        <v>0.839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BUFF @ PSU</t>
        </is>
      </c>
      <c r="C232" s="17" t="inlineStr">
        <is>
          <t>2026-09-19 16:00</t>
        </is>
      </c>
      <c r="D232" s="25" t="n">
        <v>3</v>
      </c>
      <c r="E232" s="17" t="inlineStr">
        <is>
          <t>TOTAL</t>
        </is>
      </c>
      <c r="F232" s="17" t="inlineStr">
        <is>
          <t>Over 50.5</t>
        </is>
      </c>
      <c r="G232" s="26" t="n">
        <v>50.5</v>
      </c>
      <c r="H232" s="18" t="n">
        <v>-108</v>
      </c>
      <c r="I232" s="20" t="n">
        <v>0.4779129925043839</v>
      </c>
      <c r="J232" s="20" t="n">
        <v>0.4956702459300312</v>
      </c>
      <c r="K232" s="20" t="n">
        <v>0.5192307692307693</v>
      </c>
      <c r="L232" s="19" t="n">
        <v>-0.03421790342113451</v>
      </c>
      <c r="M232" s="19" t="n">
        <v>-0.07957497739896424</v>
      </c>
      <c r="N232" s="20" t="n">
        <v>0</v>
      </c>
      <c r="O232" s="27" t="n">
        <v>0.839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SDAK @ BOIS</t>
        </is>
      </c>
      <c r="C233" s="12" t="inlineStr">
        <is>
          <t>2026-09-20 02:00</t>
        </is>
      </c>
      <c r="D233" s="22" t="n">
        <v>3</v>
      </c>
      <c r="E233" s="12" t="inlineStr">
        <is>
          <t>TOTAL</t>
        </is>
      </c>
      <c r="F233" s="12" t="inlineStr">
        <is>
          <t>Over 54.5</t>
        </is>
      </c>
      <c r="G233" s="23" t="n">
        <v>54.5</v>
      </c>
      <c r="H233" s="13" t="n">
        <v>-108</v>
      </c>
      <c r="I233" s="15" t="n">
        <v>0.4779129348311478</v>
      </c>
      <c r="J233" s="15" t="n">
        <v>0.4956702459300312</v>
      </c>
      <c r="K233" s="15" t="n">
        <v>0.5192307692307693</v>
      </c>
      <c r="L233" s="14" t="n">
        <v>-0.03421800467985499</v>
      </c>
      <c r="M233" s="14" t="n">
        <v>-0.07957508847334493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SDAK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OHIO @ USA</t>
        </is>
      </c>
      <c r="C234" s="17" t="inlineStr">
        <is>
          <t>2026-09-19 23:00</t>
        </is>
      </c>
      <c r="D234" s="25" t="n">
        <v>3</v>
      </c>
      <c r="E234" s="17" t="inlineStr">
        <is>
          <t>TOTAL</t>
        </is>
      </c>
      <c r="F234" s="17" t="inlineStr">
        <is>
          <t>Under 51.5</t>
        </is>
      </c>
      <c r="G234" s="26" t="n">
        <v>51.5</v>
      </c>
      <c r="H234" s="18" t="n">
        <v>-108</v>
      </c>
      <c r="I234" s="20" t="n">
        <v>0.4779129118190826</v>
      </c>
      <c r="J234" s="20" t="n">
        <v>0.4956702459300312</v>
      </c>
      <c r="K234" s="20" t="n">
        <v>0.5192307692307693</v>
      </c>
      <c r="L234" s="19" t="n">
        <v>-0.03421804508283911</v>
      </c>
      <c r="M234" s="19" t="n">
        <v>-0.07957513279287798</v>
      </c>
      <c r="N234" s="20" t="n">
        <v>0</v>
      </c>
      <c r="O234" s="27" t="n">
        <v>0.839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GAST @ UCF</t>
        </is>
      </c>
      <c r="C235" s="12" t="inlineStr">
        <is>
          <t>2026-09-19 23:00</t>
        </is>
      </c>
      <c r="D235" s="22" t="n">
        <v>3</v>
      </c>
      <c r="E235" s="12" t="inlineStr">
        <is>
          <t>TOTAL</t>
        </is>
      </c>
      <c r="F235" s="12" t="inlineStr">
        <is>
          <t>Under 50.5</t>
        </is>
      </c>
      <c r="G235" s="23" t="n">
        <v>50.5</v>
      </c>
      <c r="H235" s="13" t="n">
        <v>-108</v>
      </c>
      <c r="I235" s="15" t="n">
        <v>0.4779129006754204</v>
      </c>
      <c r="J235" s="15" t="n">
        <v>0.4956702459300312</v>
      </c>
      <c r="K235" s="15" t="n">
        <v>0.5192307692307693</v>
      </c>
      <c r="L235" s="14" t="n">
        <v>-0.03421806464810133</v>
      </c>
      <c r="M235" s="14" t="n">
        <v>-0.07957515425474593</v>
      </c>
      <c r="N235" s="15" t="n">
        <v>0</v>
      </c>
      <c r="O235" s="24" t="n">
        <v>0.839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TULN @ KSU</t>
        </is>
      </c>
      <c r="C236" s="17" t="inlineStr">
        <is>
          <t>2026-09-19 16:00</t>
        </is>
      </c>
      <c r="D236" s="25" t="n">
        <v>3</v>
      </c>
      <c r="E236" s="17" t="inlineStr">
        <is>
          <t>TOTAL</t>
        </is>
      </c>
      <c r="F236" s="17" t="inlineStr">
        <is>
          <t>Under 49.5</t>
        </is>
      </c>
      <c r="G236" s="26" t="n">
        <v>49.5</v>
      </c>
      <c r="H236" s="18" t="n">
        <v>-108</v>
      </c>
      <c r="I236" s="20" t="n">
        <v>0.4779128819314715</v>
      </c>
      <c r="J236" s="20" t="n">
        <v>0.4956702459300312</v>
      </c>
      <c r="K236" s="20" t="n">
        <v>0.5192307692307693</v>
      </c>
      <c r="L236" s="19" t="n">
        <v>-0.0342180975574073</v>
      </c>
      <c r="M236" s="19" t="n">
        <v>-0.07957519035420291</v>
      </c>
      <c r="N236" s="20" t="n">
        <v>0</v>
      </c>
      <c r="O236" s="27" t="n">
        <v>0.839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SIU @ ILL</t>
        </is>
      </c>
      <c r="C237" s="12" t="inlineStr">
        <is>
          <t>2026-09-19 18:00</t>
        </is>
      </c>
      <c r="D237" s="22" t="n">
        <v>3</v>
      </c>
      <c r="E237" s="12" t="inlineStr">
        <is>
          <t>TOTAL</t>
        </is>
      </c>
      <c r="F237" s="12" t="inlineStr">
        <is>
          <t>Over 54.5</t>
        </is>
      </c>
      <c r="G237" s="23" t="n">
        <v>54.5</v>
      </c>
      <c r="H237" s="13" t="n">
        <v>-110</v>
      </c>
      <c r="I237" s="15" t="n">
        <v>0.4820643544849663</v>
      </c>
      <c r="J237" s="15" t="n">
        <v>0.5</v>
      </c>
      <c r="K237" s="15" t="n">
        <v>0.5238095238095238</v>
      </c>
      <c r="L237" s="14" t="n">
        <v>-0.034258415445155</v>
      </c>
      <c r="M237" s="14" t="n">
        <v>-0.0796953232559735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SIU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VT @ MD</t>
        </is>
      </c>
      <c r="C238" s="17" t="inlineStr">
        <is>
          <t>2026-09-19 23:30</t>
        </is>
      </c>
      <c r="D238" s="25" t="n">
        <v>3</v>
      </c>
      <c r="E238" s="17" t="inlineStr">
        <is>
          <t>TOTAL</t>
        </is>
      </c>
      <c r="F238" s="17" t="inlineStr">
        <is>
          <t>Over 54.5</t>
        </is>
      </c>
      <c r="G238" s="26" t="n">
        <v>54.5</v>
      </c>
      <c r="H238" s="18" t="n">
        <v>-105</v>
      </c>
      <c r="I238" s="20" t="n">
        <v>0.470693766574198</v>
      </c>
      <c r="J238" s="20" t="n">
        <v>0.4891657638136511</v>
      </c>
      <c r="K238" s="20" t="n">
        <v>0.5121951219512195</v>
      </c>
      <c r="L238" s="19" t="n">
        <v>-0.03589152549957779</v>
      </c>
      <c r="M238" s="19" t="n">
        <v>-0.08102645573608958</v>
      </c>
      <c r="N238" s="20" t="n">
        <v>0</v>
      </c>
      <c r="O238" s="27" t="n">
        <v>0.839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COLO @ NU</t>
        </is>
      </c>
      <c r="C239" s="12" t="inlineStr">
        <is>
          <t>2026-09-19 23:30</t>
        </is>
      </c>
      <c r="D239" s="22" t="n">
        <v>3</v>
      </c>
      <c r="E239" s="12" t="inlineStr">
        <is>
          <t>ATS</t>
        </is>
      </c>
      <c r="F239" s="12" t="inlineStr">
        <is>
          <t>COLO +3.5</t>
        </is>
      </c>
      <c r="G239" s="23" t="n">
        <v>-3.5</v>
      </c>
      <c r="H239" s="13" t="n">
        <v>-105</v>
      </c>
      <c r="I239" s="15" t="n">
        <v>0.4702700415350176</v>
      </c>
      <c r="J239" s="15" t="n">
        <v>0.4891657638136511</v>
      </c>
      <c r="K239" s="15" t="n">
        <v>0.5121951219512195</v>
      </c>
      <c r="L239" s="14" t="n">
        <v>-0.03663153387249715</v>
      </c>
      <c r="M239" s="14" t="n">
        <v>-0.0818537284316323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LT @ BAY</t>
        </is>
      </c>
      <c r="C240" s="17" t="inlineStr">
        <is>
          <t>2026-09-19 20:00</t>
        </is>
      </c>
      <c r="D240" s="25" t="n">
        <v>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-108</v>
      </c>
      <c r="I240" s="20" t="n">
        <v>0.4759283852644601</v>
      </c>
      <c r="J240" s="20" t="n">
        <v>0.4956702459300312</v>
      </c>
      <c r="K240" s="20" t="n">
        <v>0.5192307692307693</v>
      </c>
      <c r="L240" s="19" t="n">
        <v>-0.03764823725098458</v>
      </c>
      <c r="M240" s="19" t="n">
        <v>-0.08339718393511375</v>
      </c>
      <c r="N240" s="20" t="n">
        <v>0</v>
      </c>
      <c r="O240" s="27" t="n">
        <v>0.839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OHIO @ USA</t>
        </is>
      </c>
      <c r="C241" s="12" t="inlineStr">
        <is>
          <t>2026-09-19 23:00</t>
        </is>
      </c>
      <c r="D241" s="22" t="n">
        <v>3</v>
      </c>
      <c r="E241" s="12" t="inlineStr">
        <is>
          <t>ML</t>
        </is>
      </c>
      <c r="F241" s="12" t="inlineStr">
        <is>
          <t>OHIO ML</t>
        </is>
      </c>
      <c r="G241" s="23" t="n"/>
      <c r="H241" s="13" t="n">
        <v>185</v>
      </c>
      <c r="I241" s="15" t="n">
        <v>0.3226785724468864</v>
      </c>
      <c r="J241" s="15" t="n">
        <v>0.3363518758085381</v>
      </c>
      <c r="K241" s="15" t="n">
        <v>0.3508771929824561</v>
      </c>
      <c r="L241" s="14" t="n">
        <v>-0.03833973124460302</v>
      </c>
      <c r="M241" s="14" t="n">
        <v>-0.08036606852637385</v>
      </c>
      <c r="N241" s="15" t="n">
        <v>0</v>
      </c>
      <c r="O241" s="24" t="n">
        <v>0.839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UAB @ UL</t>
        </is>
      </c>
      <c r="C242" s="17" t="inlineStr">
        <is>
          <t>2026-09-20 00:00</t>
        </is>
      </c>
      <c r="D242" s="25" t="n">
        <v>3</v>
      </c>
      <c r="E242" s="17" t="inlineStr">
        <is>
          <t>ML</t>
        </is>
      </c>
      <c r="F242" s="17" t="inlineStr">
        <is>
          <t>UL ML</t>
        </is>
      </c>
      <c r="G242" s="26" t="n"/>
      <c r="H242" s="18" t="n">
        <v>-310</v>
      </c>
      <c r="I242" s="20" t="n">
        <v>0.6940263514324089</v>
      </c>
      <c r="J242" s="20" t="n">
        <v>0.725752508361204</v>
      </c>
      <c r="K242" s="20" t="n">
        <v>0.7560975609756098</v>
      </c>
      <c r="L242" s="19" t="n">
        <v>-0.04087009668957784</v>
      </c>
      <c r="M242" s="19" t="n">
        <v>-0.08209418036358829</v>
      </c>
      <c r="N242" s="20" t="n">
        <v>0</v>
      </c>
      <c r="O242" s="27" t="n">
        <v>0.839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ME @ BC</t>
        </is>
      </c>
      <c r="C243" s="12" t="inlineStr">
        <is>
          <t>2026-09-19 18:00</t>
        </is>
      </c>
      <c r="D243" s="22" t="n">
        <v>3</v>
      </c>
      <c r="E243" s="12" t="inlineStr">
        <is>
          <t>TOTAL</t>
        </is>
      </c>
      <c r="F243" s="12" t="inlineStr">
        <is>
          <t>Over 53.5</t>
        </is>
      </c>
      <c r="G243" s="23" t="n">
        <v>53.5</v>
      </c>
      <c r="H243" s="13" t="n">
        <v>-112</v>
      </c>
      <c r="I243" s="15" t="n">
        <v>0.4822426944920986</v>
      </c>
      <c r="J243" s="15" t="n">
        <v>0.5043297540699688</v>
      </c>
      <c r="K243" s="15" t="n">
        <v>0.5283018867924528</v>
      </c>
      <c r="L243" s="14" t="n">
        <v>-0.04093529427835405</v>
      </c>
      <c r="M243" s="14" t="n">
        <v>-0.08718347113995628</v>
      </c>
      <c r="N243" s="15" t="n">
        <v>0</v>
      </c>
      <c r="O243" s="24" t="n">
        <v>0.725</v>
      </c>
      <c r="P243" s="12" t="inlineStr">
        <is>
          <t>DraftKings</t>
        </is>
      </c>
      <c r="Q243" s="12" t="inlineStr">
        <is>
          <t>ME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UNI @ IOWA</t>
        </is>
      </c>
      <c r="C244" s="17" t="inlineStr">
        <is>
          <t>2026-09-19 20:00</t>
        </is>
      </c>
      <c r="D244" s="25" t="n">
        <v>3</v>
      </c>
      <c r="E244" s="17" t="inlineStr">
        <is>
          <t>TOTAL</t>
        </is>
      </c>
      <c r="F244" s="17" t="inlineStr">
        <is>
          <t>Under 49.5</t>
        </is>
      </c>
      <c r="G244" s="26" t="n">
        <v>49.5</v>
      </c>
      <c r="H244" s="18" t="n">
        <v>-105</v>
      </c>
      <c r="I244" s="20" t="n">
        <v>0.4667363093966199</v>
      </c>
      <c r="J244" s="20" t="n">
        <v>0.4891657638136511</v>
      </c>
      <c r="K244" s="20" t="n">
        <v>0.5121951219512195</v>
      </c>
      <c r="L244" s="19" t="n">
        <v>-0.04259509110945092</v>
      </c>
      <c r="M244" s="19" t="n">
        <v>-0.08875291974945643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UNI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GASO @ JVST</t>
        </is>
      </c>
      <c r="C245" s="12" t="inlineStr">
        <is>
          <t>2026-09-19 23:00</t>
        </is>
      </c>
      <c r="D245" s="22" t="n">
        <v>3</v>
      </c>
      <c r="E245" s="12" t="inlineStr">
        <is>
          <t>ATS</t>
        </is>
      </c>
      <c r="F245" s="12" t="inlineStr">
        <is>
          <t>GASO +3</t>
        </is>
      </c>
      <c r="G245" s="23" t="n">
        <v>-3</v>
      </c>
      <c r="H245" s="13" t="n">
        <v>102</v>
      </c>
      <c r="I245" s="15" t="n">
        <v>0.4514699861434015</v>
      </c>
      <c r="J245" s="15" t="n">
        <v>0.4739134147382802</v>
      </c>
      <c r="K245" s="15" t="n">
        <v>0.495049504950495</v>
      </c>
      <c r="L245" s="14" t="n">
        <v>-0.043789106549648</v>
      </c>
      <c r="M245" s="14" t="n">
        <v>-0.08272238112251207</v>
      </c>
      <c r="N245" s="15" t="n">
        <v>0.0603</v>
      </c>
      <c r="O245" s="24" t="n">
        <v>0.839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CLT @ APP</t>
        </is>
      </c>
      <c r="C246" s="17" t="inlineStr">
        <is>
          <t>2026-09-19 22:00</t>
        </is>
      </c>
      <c r="D246" s="25" t="n">
        <v>3</v>
      </c>
      <c r="E246" s="17" t="inlineStr">
        <is>
          <t>TOTAL</t>
        </is>
      </c>
      <c r="F246" s="17" t="inlineStr">
        <is>
          <t>Under 51.5</t>
        </is>
      </c>
      <c r="G246" s="26" t="n">
        <v>51.5</v>
      </c>
      <c r="H246" s="18" t="n">
        <v>-112</v>
      </c>
      <c r="I246" s="20" t="n">
        <v>0.4782757393469103</v>
      </c>
      <c r="J246" s="20" t="n">
        <v>0.5043297540699688</v>
      </c>
      <c r="K246" s="20" t="n">
        <v>0.5283018867924528</v>
      </c>
      <c r="L246" s="19" t="n">
        <v>-0.04710636187652709</v>
      </c>
      <c r="M246" s="19" t="n">
        <v>-0.09469235052191993</v>
      </c>
      <c r="N246" s="20" t="n">
        <v>0</v>
      </c>
      <c r="O246" s="27" t="n">
        <v>0.839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GASO @ JVST</t>
        </is>
      </c>
      <c r="C247" s="12" t="inlineStr">
        <is>
          <t>2026-09-19 23:00</t>
        </is>
      </c>
      <c r="D247" s="22" t="n">
        <v>3</v>
      </c>
      <c r="E247" s="12" t="inlineStr">
        <is>
          <t>ML</t>
        </is>
      </c>
      <c r="F247" s="12" t="inlineStr">
        <is>
          <t>GASO ML</t>
        </is>
      </c>
      <c r="G247" s="23" t="n"/>
      <c r="H247" s="13" t="n">
        <v>150</v>
      </c>
      <c r="I247" s="15" t="n">
        <v>0.3627575403170191</v>
      </c>
      <c r="J247" s="15" t="n">
        <v>0.3835616438356164</v>
      </c>
      <c r="K247" s="15" t="n">
        <v>0.4</v>
      </c>
      <c r="L247" s="14" t="n">
        <v>-0.04902465989302795</v>
      </c>
      <c r="M247" s="14" t="n">
        <v>-0.09310614920745219</v>
      </c>
      <c r="N247" s="15" t="n">
        <v>0</v>
      </c>
      <c r="O247" s="24" t="n">
        <v>0.839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TEM @ TOL</t>
        </is>
      </c>
      <c r="C248" s="17" t="inlineStr">
        <is>
          <t>2026-09-19 19:00</t>
        </is>
      </c>
      <c r="D248" s="25" t="n">
        <v>3</v>
      </c>
      <c r="E248" s="17" t="inlineStr">
        <is>
          <t>ML</t>
        </is>
      </c>
      <c r="F248" s="17" t="inlineStr">
        <is>
          <t>TEM ML</t>
        </is>
      </c>
      <c r="G248" s="26" t="n"/>
      <c r="H248" s="18" t="n">
        <v>180</v>
      </c>
      <c r="I248" s="20" t="n">
        <v>0.3218143749297715</v>
      </c>
      <c r="J248" s="20" t="n">
        <v>0.3425247738043947</v>
      </c>
      <c r="K248" s="20" t="n">
        <v>0.3571428571428572</v>
      </c>
      <c r="L248" s="19" t="n">
        <v>-0.05343618392095172</v>
      </c>
      <c r="M248" s="19" t="n">
        <v>-0.0989197501966399</v>
      </c>
      <c r="N248" s="20" t="n">
        <v>0</v>
      </c>
      <c r="O248" s="27" t="n">
        <v>0.839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STAN @ DUKE</t>
        </is>
      </c>
      <c r="C249" s="12" t="inlineStr">
        <is>
          <t>2026-09-19 20:00</t>
        </is>
      </c>
      <c r="D249" s="22" t="n">
        <v>3</v>
      </c>
      <c r="E249" s="12" t="inlineStr">
        <is>
          <t>ML</t>
        </is>
      </c>
      <c r="F249" s="12" t="inlineStr">
        <is>
          <t>DUKE ML</t>
        </is>
      </c>
      <c r="G249" s="23" t="n"/>
      <c r="H249" s="13" t="n">
        <v>-375</v>
      </c>
      <c r="I249" s="15" t="n">
        <v>0.7082831892859056</v>
      </c>
      <c r="J249" s="15" t="n">
        <v>0.7571884984025559</v>
      </c>
      <c r="K249" s="15" t="n">
        <v>0.7894736842105263</v>
      </c>
      <c r="L249" s="14" t="n">
        <v>-0.05618655651003966</v>
      </c>
      <c r="M249" s="14" t="n">
        <v>-0.1028412935711863</v>
      </c>
      <c r="N249" s="15" t="n">
        <v>0</v>
      </c>
      <c r="O249" s="24" t="n">
        <v>0.839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FIU @ FAU</t>
        </is>
      </c>
      <c r="C250" s="17" t="inlineStr">
        <is>
          <t>2026-09-19 22:00</t>
        </is>
      </c>
      <c r="D250" s="25" t="n">
        <v>3</v>
      </c>
      <c r="E250" s="17" t="inlineStr">
        <is>
          <t>ML</t>
        </is>
      </c>
      <c r="F250" s="17" t="inlineStr">
        <is>
          <t>FAU ML</t>
        </is>
      </c>
      <c r="G250" s="26" t="n"/>
      <c r="H250" s="18" t="n">
        <v>-278</v>
      </c>
      <c r="I250" s="20" t="n">
        <v>0.6589594012460265</v>
      </c>
      <c r="J250" s="20" t="n">
        <v>0.705033164260632</v>
      </c>
      <c r="K250" s="20" t="n">
        <v>0.7354497354497355</v>
      </c>
      <c r="L250" s="19" t="n">
        <v>-0.05667950385636537</v>
      </c>
      <c r="M250" s="19" t="n">
        <v>-0.1040048429100792</v>
      </c>
      <c r="N250" s="20" t="n">
        <v>0</v>
      </c>
      <c r="O250" s="27" t="n">
        <v>0.839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HOU @ TTU</t>
        </is>
      </c>
      <c r="C251" s="12" t="inlineStr">
        <is>
          <t>2026-09-19 00:00</t>
        </is>
      </c>
      <c r="D251" s="22" t="n">
        <v>3</v>
      </c>
      <c r="E251" s="12" t="inlineStr">
        <is>
          <t>ATS</t>
        </is>
      </c>
      <c r="F251" s="12" t="inlineStr">
        <is>
          <t>TTU -7.5</t>
        </is>
      </c>
      <c r="G251" s="23" t="n">
        <v>-7.5</v>
      </c>
      <c r="H251" s="13" t="n">
        <v>-105</v>
      </c>
      <c r="I251" s="15" t="n">
        <v>0.4557646639308303</v>
      </c>
      <c r="J251" s="15" t="n">
        <v>0.4891657638136511</v>
      </c>
      <c r="K251" s="15" t="n">
        <v>0.5121951219512195</v>
      </c>
      <c r="L251" s="14" t="n">
        <v>-0.05853308772519541</v>
      </c>
      <c r="M251" s="14" t="n">
        <v>-0.1101737513731409</v>
      </c>
      <c r="N251" s="15" t="n">
        <v>0</v>
      </c>
      <c r="O251" s="24" t="n">
        <v>0.839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ASU @ KU</t>
        </is>
      </c>
      <c r="C252" s="17" t="inlineStr">
        <is>
          <t>2026-09-19 16:00</t>
        </is>
      </c>
      <c r="D252" s="25" t="n">
        <v>3</v>
      </c>
      <c r="E252" s="17" t="inlineStr">
        <is>
          <t>TOTAL</t>
        </is>
      </c>
      <c r="F252" s="17" t="inlineStr">
        <is>
          <t>Under 50.5</t>
        </is>
      </c>
      <c r="G252" s="26" t="n">
        <v>50.5</v>
      </c>
      <c r="H252" s="18" t="n">
        <v>-105</v>
      </c>
      <c r="I252" s="20" t="n">
        <v>0.4549367030871667</v>
      </c>
      <c r="J252" s="20" t="n">
        <v>0.4891657638136511</v>
      </c>
      <c r="K252" s="20" t="n">
        <v>0.5121951219512195</v>
      </c>
      <c r="L252" s="19" t="n">
        <v>-0.05957162124805496</v>
      </c>
      <c r="M252" s="19" t="n">
        <v>-0.1117902463536269</v>
      </c>
      <c r="N252" s="20" t="n">
        <v>0</v>
      </c>
      <c r="O252" s="27" t="n">
        <v>0.839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NCSU @ VAN</t>
        </is>
      </c>
      <c r="C253" s="12" t="inlineStr">
        <is>
          <t>2026-09-19 16:45</t>
        </is>
      </c>
      <c r="D253" s="22" t="n">
        <v>3</v>
      </c>
      <c r="E253" s="12" t="inlineStr">
        <is>
          <t>TOTAL</t>
        </is>
      </c>
      <c r="F253" s="12" t="inlineStr">
        <is>
          <t>Under 50.5</t>
        </is>
      </c>
      <c r="G253" s="23" t="n">
        <v>50.5</v>
      </c>
      <c r="H253" s="13" t="n">
        <v>-108</v>
      </c>
      <c r="I253" s="15" t="n">
        <v>0.460146865802713</v>
      </c>
      <c r="J253" s="15" t="n">
        <v>0.4956702459300312</v>
      </c>
      <c r="K253" s="15" t="n">
        <v>0.5192307692307693</v>
      </c>
      <c r="L253" s="14" t="n">
        <v>-0.0605874496896503</v>
      </c>
      <c r="M253" s="14" t="n">
        <v>-0.113791221416997</v>
      </c>
      <c r="N253" s="15" t="n">
        <v>0</v>
      </c>
      <c r="O253" s="24" t="n">
        <v>0.839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ECU @ ODU</t>
        </is>
      </c>
      <c r="C254" s="17" t="inlineStr">
        <is>
          <t>2026-09-19 22:00</t>
        </is>
      </c>
      <c r="D254" s="25" t="n">
        <v>3</v>
      </c>
      <c r="E254" s="17" t="inlineStr">
        <is>
          <t>TOTAL</t>
        </is>
      </c>
      <c r="F254" s="17" t="inlineStr">
        <is>
          <t>Under 49.5</t>
        </is>
      </c>
      <c r="G254" s="26" t="n">
        <v>49.5</v>
      </c>
      <c r="H254" s="18" t="n">
        <v>-110</v>
      </c>
      <c r="I254" s="20" t="n">
        <v>0.4623117303209874</v>
      </c>
      <c r="J254" s="20" t="n">
        <v>0.5</v>
      </c>
      <c r="K254" s="20" t="n">
        <v>0.5238095238095238</v>
      </c>
      <c r="L254" s="19" t="n">
        <v>-0.0627334237387708</v>
      </c>
      <c r="M254" s="19" t="n">
        <v>-0.117404878478115</v>
      </c>
      <c r="N254" s="20" t="n">
        <v>0</v>
      </c>
      <c r="O254" s="27" t="n">
        <v>0.839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SYR @ PITT</t>
        </is>
      </c>
      <c r="C255" s="12" t="inlineStr">
        <is>
          <t>2026-09-17 23:30</t>
        </is>
      </c>
      <c r="D255" s="22" t="n">
        <v>3</v>
      </c>
      <c r="E255" s="12" t="inlineStr">
        <is>
          <t>ML</t>
        </is>
      </c>
      <c r="F255" s="12" t="inlineStr">
        <is>
          <t>PITT ML</t>
        </is>
      </c>
      <c r="G255" s="23" t="n"/>
      <c r="H255" s="13" t="n">
        <v>-425</v>
      </c>
      <c r="I255" s="15" t="n">
        <v>0.7181055181930232</v>
      </c>
      <c r="J255" s="15" t="n">
        <v>0.7768331562167907</v>
      </c>
      <c r="K255" s="15" t="n">
        <v>0.8095238095238095</v>
      </c>
      <c r="L255" s="14" t="n">
        <v>-0.06285855896347746</v>
      </c>
      <c r="M255" s="14" t="n">
        <v>-0.1129284775262654</v>
      </c>
      <c r="N255" s="15" t="n">
        <v>0</v>
      </c>
      <c r="O255" s="24" t="n">
        <v>0.839</v>
      </c>
      <c r="P255" s="12" t="inlineStr">
        <is>
          <t>DraftKings</t>
        </is>
      </c>
      <c r="Q255" s="12" t="inlineStr">
        <is>
          <t>price outside allowed range</t>
        </is>
      </c>
    </row>
    <row r="256">
      <c r="A256" s="17" t="inlineStr">
        <is>
          <t>PASS</t>
        </is>
      </c>
      <c r="B256" s="17" t="inlineStr">
        <is>
          <t>COLO @ NU</t>
        </is>
      </c>
      <c r="C256" s="17" t="inlineStr">
        <is>
          <t>2026-09-19 23:30</t>
        </is>
      </c>
      <c r="D256" s="25" t="n">
        <v>3</v>
      </c>
      <c r="E256" s="17" t="inlineStr">
        <is>
          <t>ML</t>
        </is>
      </c>
      <c r="F256" s="17" t="inlineStr">
        <is>
          <t>COLO ML</t>
        </is>
      </c>
      <c r="G256" s="26" t="n"/>
      <c r="H256" s="18" t="n">
        <v>145</v>
      </c>
      <c r="I256" s="20" t="n">
        <v>0.3607965098269894</v>
      </c>
      <c r="J256" s="20" t="n">
        <v>0.3907637655417407</v>
      </c>
      <c r="K256" s="20" t="n">
        <v>0.4081632653061225</v>
      </c>
      <c r="L256" s="19" t="n">
        <v>-0.06346679147961262</v>
      </c>
      <c r="M256" s="19" t="n">
        <v>-0.1160485509238759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PUR @ UCLA</t>
        </is>
      </c>
      <c r="C257" s="12" t="inlineStr">
        <is>
          <t>2026-09-20 03:00</t>
        </is>
      </c>
      <c r="D257" s="22" t="n">
        <v>3</v>
      </c>
      <c r="E257" s="12" t="inlineStr">
        <is>
          <t>ML</t>
        </is>
      </c>
      <c r="F257" s="12" t="inlineStr">
        <is>
          <t>UCLA ML</t>
        </is>
      </c>
      <c r="G257" s="23" t="n"/>
      <c r="H257" s="13" t="n">
        <v>-650</v>
      </c>
      <c r="I257" s="15" t="n">
        <v>0.7650193458038936</v>
      </c>
      <c r="J257" s="15" t="n">
        <v>0.8316498316498315</v>
      </c>
      <c r="K257" s="15" t="n">
        <v>0.8666666666666667</v>
      </c>
      <c r="L257" s="14" t="n">
        <v>-0.0653201394352291</v>
      </c>
      <c r="M257" s="14" t="n">
        <v>-0.1172853702262766</v>
      </c>
      <c r="N257" s="15" t="n">
        <v>0</v>
      </c>
      <c r="O257" s="24" t="n">
        <v>0.839</v>
      </c>
      <c r="P257" s="12" t="inlineStr">
        <is>
          <t>DraftKings</t>
        </is>
      </c>
      <c r="Q257" s="12" t="inlineStr">
        <is>
          <t>price outside allowed range</t>
        </is>
      </c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TOTAL</t>
        </is>
      </c>
      <c r="F258" s="17" t="inlineStr">
        <is>
          <t>Over 53.5</t>
        </is>
      </c>
      <c r="G258" s="26" t="n">
        <v>53.5</v>
      </c>
      <c r="H258" s="18" t="n">
        <v>-112</v>
      </c>
      <c r="I258" s="20" t="n">
        <v>0.4625187355027723</v>
      </c>
      <c r="J258" s="20" t="n">
        <v>0.5043297540699688</v>
      </c>
      <c r="K258" s="20" t="n">
        <v>0.5283018867924528</v>
      </c>
      <c r="L258" s="19" t="n">
        <v>-0.06675941633376785</v>
      </c>
      <c r="M258" s="19" t="n">
        <v>-0.1245181077983238</v>
      </c>
      <c r="N258" s="20" t="n">
        <v>0</v>
      </c>
      <c r="O258" s="27" t="n">
        <v>0.839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CONN @ USM</t>
        </is>
      </c>
      <c r="C259" s="12" t="inlineStr">
        <is>
          <t>2026-09-19 23:00</t>
        </is>
      </c>
      <c r="D259" s="22" t="n">
        <v>3</v>
      </c>
      <c r="E259" s="12" t="inlineStr">
        <is>
          <t>TOTAL</t>
        </is>
      </c>
      <c r="F259" s="12" t="inlineStr">
        <is>
          <t>Over 54.5</t>
        </is>
      </c>
      <c r="G259" s="23" t="n">
        <v>54.5</v>
      </c>
      <c r="H259" s="13" t="n">
        <v>-112</v>
      </c>
      <c r="I259" s="15" t="n">
        <v>0.4625187268183728</v>
      </c>
      <c r="J259" s="15" t="n">
        <v>0.5043297540699688</v>
      </c>
      <c r="K259" s="15" t="n">
        <v>0.5283018867924528</v>
      </c>
      <c r="L259" s="14" t="n">
        <v>-0.06675942504984723</v>
      </c>
      <c r="M259" s="14" t="n">
        <v>-0.1245181242366515</v>
      </c>
      <c r="N259" s="15" t="n">
        <v>0</v>
      </c>
      <c r="O259" s="24" t="n">
        <v>0.839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UK @ TA&amp;M</t>
        </is>
      </c>
      <c r="C260" s="17" t="inlineStr">
        <is>
          <t>2026-09-19 19:30</t>
        </is>
      </c>
      <c r="D260" s="25" t="n">
        <v>3</v>
      </c>
      <c r="E260" s="17" t="inlineStr">
        <is>
          <t>ML</t>
        </is>
      </c>
      <c r="F260" s="17" t="inlineStr">
        <is>
          <t>TA&amp;M ML</t>
        </is>
      </c>
      <c r="G260" s="26" t="n"/>
      <c r="H260" s="18" t="n">
        <v>-800</v>
      </c>
      <c r="I260" s="20" t="n">
        <v>0.7813344649470423</v>
      </c>
      <c r="J260" s="20" t="n">
        <v>0.8524590163934427</v>
      </c>
      <c r="K260" s="20" t="n">
        <v>0.8888888888888888</v>
      </c>
      <c r="L260" s="19" t="n">
        <v>-0.06702685767501151</v>
      </c>
      <c r="M260" s="19" t="n">
        <v>-0.1209987269345775</v>
      </c>
      <c r="N260" s="20" t="n">
        <v>0</v>
      </c>
      <c r="O260" s="27" t="n">
        <v>0.839</v>
      </c>
      <c r="P260" s="17" t="inlineStr">
        <is>
          <t>DraftKings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JMU @ SDSU</t>
        </is>
      </c>
      <c r="C261" s="12" t="inlineStr">
        <is>
          <t>2026-09-20 02:00</t>
        </is>
      </c>
      <c r="D261" s="22" t="n">
        <v>3</v>
      </c>
      <c r="E261" s="12" t="inlineStr">
        <is>
          <t>ATS</t>
        </is>
      </c>
      <c r="F261" s="12" t="inlineStr">
        <is>
          <t>JMU +2.5</t>
        </is>
      </c>
      <c r="G261" s="23" t="n">
        <v>-2.5</v>
      </c>
      <c r="H261" s="13" t="n">
        <v>-108</v>
      </c>
      <c r="I261" s="15" t="n">
        <v>0.4537735800127758</v>
      </c>
      <c r="J261" s="15" t="n">
        <v>0.4956702459300312</v>
      </c>
      <c r="K261" s="15" t="n">
        <v>0.5192307692307693</v>
      </c>
      <c r="L261" s="14" t="n">
        <v>-0.06757019217948999</v>
      </c>
      <c r="M261" s="14" t="n">
        <v>-0.1260656977531724</v>
      </c>
      <c r="N261" s="15" t="n">
        <v>0</v>
      </c>
      <c r="O261" s="24" t="n">
        <v>0.839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ECU @ ODU</t>
        </is>
      </c>
      <c r="C262" s="17" t="inlineStr">
        <is>
          <t>2026-09-19 22:00</t>
        </is>
      </c>
      <c r="D262" s="25" t="n">
        <v>3</v>
      </c>
      <c r="E262" s="17" t="inlineStr">
        <is>
          <t>ATS</t>
        </is>
      </c>
      <c r="F262" s="17" t="inlineStr">
        <is>
          <t>ECU +3</t>
        </is>
      </c>
      <c r="G262" s="26" t="n">
        <v>-3</v>
      </c>
      <c r="H262" s="18" t="n">
        <v>-112</v>
      </c>
      <c r="I262" s="20" t="n">
        <v>0.4587228120660992</v>
      </c>
      <c r="J262" s="20" t="n">
        <v>0.5043297540699688</v>
      </c>
      <c r="K262" s="20" t="n">
        <v>0.5283018867924528</v>
      </c>
      <c r="L262" s="19" t="n">
        <v>-0.07036112565367562</v>
      </c>
      <c r="M262" s="19" t="n">
        <v>-0.1238273943235371</v>
      </c>
      <c r="N262" s="20" t="n">
        <v>0.0598</v>
      </c>
      <c r="O262" s="27" t="n">
        <v>0.839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SMU @ LOU</t>
        </is>
      </c>
      <c r="C263" s="12" t="inlineStr">
        <is>
          <t>2026-09-19 19:30</t>
        </is>
      </c>
      <c r="D263" s="22" t="n">
        <v>3</v>
      </c>
      <c r="E263" s="12" t="inlineStr">
        <is>
          <t>ATS</t>
        </is>
      </c>
      <c r="F263" s="12" t="inlineStr">
        <is>
          <t>SMU +1.5</t>
        </is>
      </c>
      <c r="G263" s="23" t="n">
        <v>-1.5</v>
      </c>
      <c r="H263" s="13" t="n">
        <v>-112</v>
      </c>
      <c r="I263" s="15" t="n">
        <v>0.458506286674047</v>
      </c>
      <c r="J263" s="15" t="n">
        <v>0.5043297540699688</v>
      </c>
      <c r="K263" s="15" t="n">
        <v>0.5283018867924528</v>
      </c>
      <c r="L263" s="14" t="n">
        <v>-0.07055429896792037</v>
      </c>
      <c r="M263" s="14" t="n">
        <v>-0.1321131002241253</v>
      </c>
      <c r="N263" s="15" t="n">
        <v>0</v>
      </c>
      <c r="O263" s="24" t="n">
        <v>0.839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CLT @ APP</t>
        </is>
      </c>
      <c r="C264" s="17" t="inlineStr">
        <is>
          <t>2026-09-19 22:00</t>
        </is>
      </c>
      <c r="D264" s="25" t="n">
        <v>3</v>
      </c>
      <c r="E264" s="17" t="inlineStr">
        <is>
          <t>ML</t>
        </is>
      </c>
      <c r="F264" s="17" t="inlineStr">
        <is>
          <t>APP ML</t>
        </is>
      </c>
      <c r="G264" s="26" t="n"/>
      <c r="H264" s="18" t="n">
        <v>-1000</v>
      </c>
      <c r="I264" s="20" t="n">
        <v>0.7926439347407648</v>
      </c>
      <c r="J264" s="20" t="n">
        <v>0.8720930232558138</v>
      </c>
      <c r="K264" s="20" t="n">
        <v>0.9090909090909091</v>
      </c>
      <c r="L264" s="19" t="n">
        <v>-0.07066238664472621</v>
      </c>
      <c r="M264" s="19" t="n">
        <v>-0.1280916717851587</v>
      </c>
      <c r="N264" s="20" t="n">
        <v>0</v>
      </c>
      <c r="O264" s="27" t="n">
        <v>0.839</v>
      </c>
      <c r="P264" s="17" t="inlineStr">
        <is>
          <t>DraftKings</t>
        </is>
      </c>
      <c r="Q264" s="17" t="inlineStr">
        <is>
          <t>price outside allowed range</t>
        </is>
      </c>
    </row>
    <row r="265">
      <c r="A265" s="12" t="inlineStr">
        <is>
          <t>PASS</t>
        </is>
      </c>
      <c r="B265" s="12" t="inlineStr">
        <is>
          <t>UAB @ UL</t>
        </is>
      </c>
      <c r="C265" s="12" t="inlineStr">
        <is>
          <t>2026-09-20 00:00</t>
        </is>
      </c>
      <c r="D265" s="22" t="n">
        <v>3</v>
      </c>
      <c r="E265" s="12" t="inlineStr">
        <is>
          <t>ATS</t>
        </is>
      </c>
      <c r="F265" s="12" t="inlineStr">
        <is>
          <t>UL -7.5</t>
        </is>
      </c>
      <c r="G265" s="23" t="n">
        <v>-7.5</v>
      </c>
      <c r="H265" s="13" t="n">
        <v>-110</v>
      </c>
      <c r="I265" s="15" t="n">
        <v>0.4527904060105175</v>
      </c>
      <c r="J265" s="15" t="n">
        <v>0.5</v>
      </c>
      <c r="K265" s="15" t="n">
        <v>0.5238095238095238</v>
      </c>
      <c r="L265" s="14" t="n">
        <v>-0.07210638064482937</v>
      </c>
      <c r="M265" s="14" t="n">
        <v>-0.1355819521617394</v>
      </c>
      <c r="N265" s="15" t="n">
        <v>0</v>
      </c>
      <c r="O265" s="24" t="n">
        <v>0.839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WYO @ CMU</t>
        </is>
      </c>
      <c r="C266" s="17" t="inlineStr">
        <is>
          <t>2026-09-19 17:00</t>
        </is>
      </c>
      <c r="D266" s="25" t="n">
        <v>3</v>
      </c>
      <c r="E266" s="17" t="inlineStr">
        <is>
          <t>ATS</t>
        </is>
      </c>
      <c r="F266" s="17" t="inlineStr">
        <is>
          <t>WYO +1.5</t>
        </is>
      </c>
      <c r="G266" s="26" t="n">
        <v>-1.5</v>
      </c>
      <c r="H266" s="18" t="n">
        <v>-112</v>
      </c>
      <c r="I266" s="20" t="n">
        <v>0.4548533660745991</v>
      </c>
      <c r="J266" s="20" t="n">
        <v>0.5043297540699688</v>
      </c>
      <c r="K266" s="20" t="n">
        <v>0.5283018867924528</v>
      </c>
      <c r="L266" s="19" t="n">
        <v>-0.07362265290516756</v>
      </c>
      <c r="M266" s="19" t="n">
        <v>-0.1390275570730802</v>
      </c>
      <c r="N266" s="20" t="n">
        <v>0</v>
      </c>
      <c r="O266" s="27" t="n">
        <v>0.839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COLO @ NU</t>
        </is>
      </c>
      <c r="C267" s="12" t="inlineStr">
        <is>
          <t>2026-09-19 23:30</t>
        </is>
      </c>
      <c r="D267" s="22" t="n">
        <v>3</v>
      </c>
      <c r="E267" s="12" t="inlineStr">
        <is>
          <t>TOTAL</t>
        </is>
      </c>
      <c r="F267" s="12" t="inlineStr">
        <is>
          <t>Under 48.5</t>
        </is>
      </c>
      <c r="G267" s="23" t="n">
        <v>48.5</v>
      </c>
      <c r="H267" s="13" t="n">
        <v>-110</v>
      </c>
      <c r="I267" s="15" t="n">
        <v>0.4506266423690425</v>
      </c>
      <c r="J267" s="15" t="n">
        <v>0.5</v>
      </c>
      <c r="K267" s="15" t="n">
        <v>0.5238095238095238</v>
      </c>
      <c r="L267" s="14" t="n">
        <v>-0.07387831552381208</v>
      </c>
      <c r="M267" s="14" t="n">
        <v>-0.1397127736591006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ASU @ KU</t>
        </is>
      </c>
      <c r="C268" s="17" t="inlineStr">
        <is>
          <t>2026-09-19 16:00</t>
        </is>
      </c>
      <c r="D268" s="25" t="n">
        <v>3</v>
      </c>
      <c r="E268" s="17" t="inlineStr">
        <is>
          <t>ML</t>
        </is>
      </c>
      <c r="F268" s="17" t="inlineStr">
        <is>
          <t>ASU ML</t>
        </is>
      </c>
      <c r="G268" s="26" t="n"/>
      <c r="H268" s="18" t="n">
        <v>-225</v>
      </c>
      <c r="I268" s="20" t="n">
        <v>0.5943750752125713</v>
      </c>
      <c r="J268" s="20" t="n">
        <v>0.6596858638743455</v>
      </c>
      <c r="K268" s="20" t="n">
        <v>0.6923076923076923</v>
      </c>
      <c r="L268" s="19" t="n">
        <v>-0.0739793416336524</v>
      </c>
      <c r="M268" s="19" t="n">
        <v>-0.1414582246929527</v>
      </c>
      <c r="N268" s="20" t="n">
        <v>0</v>
      </c>
      <c r="O268" s="27" t="n">
        <v>0.839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UK @ TA&amp;M</t>
        </is>
      </c>
      <c r="C269" s="12" t="inlineStr">
        <is>
          <t>2026-09-19 19:30</t>
        </is>
      </c>
      <c r="D269" s="22" t="n">
        <v>3</v>
      </c>
      <c r="E269" s="12" t="inlineStr">
        <is>
          <t>TOTAL</t>
        </is>
      </c>
      <c r="F269" s="12" t="inlineStr">
        <is>
          <t>Under 49.5</t>
        </is>
      </c>
      <c r="G269" s="23" t="n">
        <v>49.5</v>
      </c>
      <c r="H269" s="13" t="n">
        <v>-105</v>
      </c>
      <c r="I269" s="15" t="n">
        <v>0.4375137928171564</v>
      </c>
      <c r="J269" s="15" t="n">
        <v>0.4891657638136511</v>
      </c>
      <c r="K269" s="15" t="n">
        <v>0.5121951219512195</v>
      </c>
      <c r="L269" s="14" t="n">
        <v>-0.07643604691266019</v>
      </c>
      <c r="M269" s="14" t="n">
        <v>-0.1458064044998375</v>
      </c>
      <c r="N269" s="15" t="n">
        <v>0</v>
      </c>
      <c r="O269" s="24" t="n">
        <v>0.839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SMU @ LOU</t>
        </is>
      </c>
      <c r="C270" s="17" t="inlineStr">
        <is>
          <t>2026-09-19 19:30</t>
        </is>
      </c>
      <c r="D270" s="25" t="n">
        <v>3</v>
      </c>
      <c r="E270" s="17" t="inlineStr">
        <is>
          <t>ML</t>
        </is>
      </c>
      <c r="F270" s="17" t="inlineStr">
        <is>
          <t>SMU ML</t>
        </is>
      </c>
      <c r="G270" s="26" t="n"/>
      <c r="H270" s="18" t="n">
        <v>100</v>
      </c>
      <c r="I270" s="20" t="n">
        <v>0.4275801956498934</v>
      </c>
      <c r="J270" s="20" t="n">
        <v>0.4782608695652174</v>
      </c>
      <c r="K270" s="20" t="n">
        <v>0.5</v>
      </c>
      <c r="L270" s="19" t="n">
        <v>-0.07656846955843183</v>
      </c>
      <c r="M270" s="19" t="n">
        <v>-0.1448396087002133</v>
      </c>
      <c r="N270" s="20" t="n">
        <v>0</v>
      </c>
      <c r="O270" s="27" t="n">
        <v>0.839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UND @ NEB</t>
        </is>
      </c>
      <c r="C271" s="12" t="inlineStr">
        <is>
          <t>2026-09-19 23:15</t>
        </is>
      </c>
      <c r="D271" s="22" t="n">
        <v>3</v>
      </c>
      <c r="E271" s="12" t="inlineStr">
        <is>
          <t>TOTAL</t>
        </is>
      </c>
      <c r="F271" s="12" t="inlineStr">
        <is>
          <t>Under 51.5</t>
        </is>
      </c>
      <c r="G271" s="23" t="n">
        <v>51.5</v>
      </c>
      <c r="H271" s="13" t="n">
        <v>-112</v>
      </c>
      <c r="I271" s="15" t="n">
        <v>0.450859904278791</v>
      </c>
      <c r="J271" s="15" t="n">
        <v>0.5043297540699688</v>
      </c>
      <c r="K271" s="15" t="n">
        <v>0.5283018867924528</v>
      </c>
      <c r="L271" s="14" t="n">
        <v>-0.07658700485630383</v>
      </c>
      <c r="M271" s="14" t="n">
        <v>-0.1465866097580029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UND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AKR @ MINN</t>
        </is>
      </c>
      <c r="C272" s="17" t="inlineStr">
        <is>
          <t>2026-09-19 16:00</t>
        </is>
      </c>
      <c r="D272" s="25" t="n">
        <v>3</v>
      </c>
      <c r="E272" s="17" t="inlineStr">
        <is>
          <t>TOTAL</t>
        </is>
      </c>
      <c r="F272" s="17" t="inlineStr">
        <is>
          <t>Under 48.5</t>
        </is>
      </c>
      <c r="G272" s="26" t="n">
        <v>48.5</v>
      </c>
      <c r="H272" s="18" t="n">
        <v>-105</v>
      </c>
      <c r="I272" s="20" t="n">
        <v>0.4356032833849008</v>
      </c>
      <c r="J272" s="20" t="n">
        <v>0.4891657638136511</v>
      </c>
      <c r="K272" s="20" t="n">
        <v>0.5121951219512195</v>
      </c>
      <c r="L272" s="19" t="n">
        <v>-0.07776848949022505</v>
      </c>
      <c r="M272" s="19" t="n">
        <v>-0.1495364467247174</v>
      </c>
      <c r="N272" s="20" t="n">
        <v>0</v>
      </c>
      <c r="O272" s="27" t="n">
        <v>0.839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JMU @ SDSU</t>
        </is>
      </c>
      <c r="C273" s="12" t="inlineStr">
        <is>
          <t>2026-09-20 02:00</t>
        </is>
      </c>
      <c r="D273" s="22" t="n">
        <v>3</v>
      </c>
      <c r="E273" s="12" t="inlineStr">
        <is>
          <t>ML</t>
        </is>
      </c>
      <c r="F273" s="12" t="inlineStr">
        <is>
          <t>JMU ML</t>
        </is>
      </c>
      <c r="G273" s="23" t="n"/>
      <c r="H273" s="13" t="n">
        <v>114</v>
      </c>
      <c r="I273" s="15" t="n">
        <v>0.3994036172506539</v>
      </c>
      <c r="J273" s="15" t="n">
        <v>0.448558885283451</v>
      </c>
      <c r="K273" s="15" t="n">
        <v>0.4672897196261682</v>
      </c>
      <c r="L273" s="14" t="n">
        <v>-0.07779725391011615</v>
      </c>
      <c r="M273" s="14" t="n">
        <v>-0.1452762590836009</v>
      </c>
      <c r="N273" s="15" t="n">
        <v>0</v>
      </c>
      <c r="O273" s="24" t="n">
        <v>0.839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M-OH @ CIN</t>
        </is>
      </c>
      <c r="C274" s="17" t="inlineStr">
        <is>
          <t>2026-09-19 19:30</t>
        </is>
      </c>
      <c r="D274" s="25" t="n">
        <v>3</v>
      </c>
      <c r="E274" s="17" t="inlineStr">
        <is>
          <t>ML</t>
        </is>
      </c>
      <c r="F274" s="17" t="inlineStr">
        <is>
          <t>CIN ML</t>
        </is>
      </c>
      <c r="G274" s="26" t="n"/>
      <c r="H274" s="18" t="n">
        <v>-700</v>
      </c>
      <c r="I274" s="20" t="n">
        <v>0.7478227696606899</v>
      </c>
      <c r="J274" s="20" t="n">
        <v>0.84</v>
      </c>
      <c r="K274" s="20" t="n">
        <v>0.875</v>
      </c>
      <c r="L274" s="19" t="n">
        <v>-0.0778465716448586</v>
      </c>
      <c r="M274" s="19" t="n">
        <v>-0.1453454061020687</v>
      </c>
      <c r="N274" s="20" t="n">
        <v>0</v>
      </c>
      <c r="O274" s="27" t="n">
        <v>0.839</v>
      </c>
      <c r="P274" s="17" t="inlineStr">
        <is>
          <t>DraftKings</t>
        </is>
      </c>
      <c r="Q274" s="17" t="inlineStr">
        <is>
          <t>price outside allowed range</t>
        </is>
      </c>
    </row>
    <row r="275">
      <c r="A275" s="12" t="inlineStr">
        <is>
          <t>PASS</t>
        </is>
      </c>
      <c r="B275" s="12" t="inlineStr">
        <is>
          <t>BALL @ LIB</t>
        </is>
      </c>
      <c r="C275" s="12" t="inlineStr">
        <is>
          <t>2026-09-19 20:00</t>
        </is>
      </c>
      <c r="D275" s="22" t="n">
        <v>3</v>
      </c>
      <c r="E275" s="12" t="inlineStr">
        <is>
          <t>ML</t>
        </is>
      </c>
      <c r="F275" s="12" t="inlineStr">
        <is>
          <t>LIB ML</t>
        </is>
      </c>
      <c r="G275" s="23" t="n"/>
      <c r="H275" s="13" t="n">
        <v>-600</v>
      </c>
      <c r="I275" s="15" t="n">
        <v>0.731455660287226</v>
      </c>
      <c r="J275" s="15" t="n">
        <v>0.8223350253807106</v>
      </c>
      <c r="K275" s="15" t="n">
        <v>0.8571428571428571</v>
      </c>
      <c r="L275" s="14" t="n">
        <v>-0.07810077579137421</v>
      </c>
      <c r="M275" s="14" t="n">
        <v>-0.1466350629982364</v>
      </c>
      <c r="N275" s="15" t="n">
        <v>0</v>
      </c>
      <c r="O275" s="24" t="n">
        <v>0.839</v>
      </c>
      <c r="P275" s="12" t="inlineStr">
        <is>
          <t>DraftKings</t>
        </is>
      </c>
      <c r="Q275" s="12" t="inlineStr">
        <is>
          <t>price outside allowed range</t>
        </is>
      </c>
    </row>
    <row r="276">
      <c r="A276" s="17" t="inlineStr">
        <is>
          <t>PASS</t>
        </is>
      </c>
      <c r="B276" s="17" t="inlineStr">
        <is>
          <t>FSU @ ALA</t>
        </is>
      </c>
      <c r="C276" s="17" t="inlineStr">
        <is>
          <t>2026-09-19 19:30</t>
        </is>
      </c>
      <c r="D276" s="25" t="n">
        <v>3</v>
      </c>
      <c r="E276" s="17" t="inlineStr">
        <is>
          <t>TOTAL</t>
        </is>
      </c>
      <c r="F276" s="17" t="inlineStr">
        <is>
          <t>Under 48.5</t>
        </is>
      </c>
      <c r="G276" s="26" t="n">
        <v>48.5</v>
      </c>
      <c r="H276" s="18" t="n">
        <v>-105</v>
      </c>
      <c r="I276" s="20" t="n">
        <v>0.4336985148726271</v>
      </c>
      <c r="J276" s="20" t="n">
        <v>0.4891657638136511</v>
      </c>
      <c r="K276" s="20" t="n">
        <v>0.5121951219512195</v>
      </c>
      <c r="L276" s="19" t="n">
        <v>-0.07901059497521556</v>
      </c>
      <c r="M276" s="19" t="n">
        <v>-0.1532552804867756</v>
      </c>
      <c r="N276" s="20" t="n">
        <v>0</v>
      </c>
      <c r="O276" s="27" t="n">
        <v>0.839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WYO @ CMU</t>
        </is>
      </c>
      <c r="C277" s="12" t="inlineStr">
        <is>
          <t>2026-09-19 17:00</t>
        </is>
      </c>
      <c r="D277" s="22" t="n">
        <v>3</v>
      </c>
      <c r="E277" s="12" t="inlineStr">
        <is>
          <t>ML</t>
        </is>
      </c>
      <c r="F277" s="12" t="inlineStr">
        <is>
          <t>WYO ML</t>
        </is>
      </c>
      <c r="G277" s="23" t="n"/>
      <c r="H277" s="13" t="n">
        <v>100</v>
      </c>
      <c r="I277" s="15" t="n">
        <v>0.4240150238839833</v>
      </c>
      <c r="J277" s="15" t="n">
        <v>0.4782608695652174</v>
      </c>
      <c r="K277" s="15" t="n">
        <v>0.5</v>
      </c>
      <c r="L277" s="14" t="n">
        <v>-0.07902033828117308</v>
      </c>
      <c r="M277" s="14" t="n">
        <v>-0.1519699522320335</v>
      </c>
      <c r="N277" s="15" t="n">
        <v>0</v>
      </c>
      <c r="O277" s="24" t="n">
        <v>0.839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BGSU @ ISU</t>
        </is>
      </c>
      <c r="C278" s="17" t="inlineStr">
        <is>
          <t>2026-09-19 16:00</t>
        </is>
      </c>
      <c r="D278" s="25" t="n">
        <v>3</v>
      </c>
      <c r="E278" s="17" t="inlineStr">
        <is>
          <t>ML</t>
        </is>
      </c>
      <c r="F278" s="17" t="inlineStr">
        <is>
          <t>ISU ML</t>
        </is>
      </c>
      <c r="G278" s="26" t="n"/>
      <c r="H278" s="18" t="n">
        <v>-2400</v>
      </c>
      <c r="I278" s="20" t="n">
        <v>0.8185112205777769</v>
      </c>
      <c r="J278" s="20" t="n">
        <v>0.9258160237388724</v>
      </c>
      <c r="K278" s="20" t="n">
        <v>0.96</v>
      </c>
      <c r="L278" s="19" t="n">
        <v>-0.07976801521803015</v>
      </c>
      <c r="M278" s="19" t="n">
        <v>-0.1473841452314824</v>
      </c>
      <c r="N278" s="20" t="n">
        <v>0</v>
      </c>
      <c r="O278" s="27" t="n">
        <v>0.839</v>
      </c>
      <c r="P278" s="17" t="inlineStr">
        <is>
          <t>DraftKings</t>
        </is>
      </c>
      <c r="Q278" s="17" t="inlineStr">
        <is>
          <t>price outside allowed range</t>
        </is>
      </c>
    </row>
    <row r="279">
      <c r="A279" s="12" t="inlineStr">
        <is>
          <t>PASS</t>
        </is>
      </c>
      <c r="B279" s="12" t="inlineStr">
        <is>
          <t>ECU @ ODU</t>
        </is>
      </c>
      <c r="C279" s="12" t="inlineStr">
        <is>
          <t>2026-09-19 22:00</t>
        </is>
      </c>
      <c r="D279" s="22" t="n">
        <v>3</v>
      </c>
      <c r="E279" s="12" t="inlineStr">
        <is>
          <t>ML</t>
        </is>
      </c>
      <c r="F279" s="12" t="inlineStr">
        <is>
          <t>ECU ML</t>
        </is>
      </c>
      <c r="G279" s="23" t="n"/>
      <c r="H279" s="13" t="n">
        <v>124</v>
      </c>
      <c r="I279" s="15" t="n">
        <v>0.3779393751763391</v>
      </c>
      <c r="J279" s="15" t="n">
        <v>0.4279403644395361</v>
      </c>
      <c r="K279" s="15" t="n">
        <v>0.4464285714285715</v>
      </c>
      <c r="L279" s="14" t="n">
        <v>-0.08004243138577664</v>
      </c>
      <c r="M279" s="14" t="n">
        <v>-0.1534157996050003</v>
      </c>
      <c r="N279" s="15" t="n">
        <v>0</v>
      </c>
      <c r="O279" s="24" t="n">
        <v>0.839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FIU @ FAU</t>
        </is>
      </c>
      <c r="C280" s="17" t="inlineStr">
        <is>
          <t>2026-09-19 22:00</t>
        </is>
      </c>
      <c r="D280" s="25" t="n">
        <v>3</v>
      </c>
      <c r="E280" s="17" t="inlineStr">
        <is>
          <t>ATS</t>
        </is>
      </c>
      <c r="F280" s="17" t="inlineStr">
        <is>
          <t>FAU -7</t>
        </is>
      </c>
      <c r="G280" s="26" t="n">
        <v>-7</v>
      </c>
      <c r="H280" s="18" t="n">
        <v>-105</v>
      </c>
      <c r="I280" s="20" t="n">
        <v>0.4314058845088772</v>
      </c>
      <c r="J280" s="20" t="n">
        <v>0.4891657638136511</v>
      </c>
      <c r="K280" s="20" t="n">
        <v>0.5121951219512195</v>
      </c>
      <c r="L280" s="19" t="n">
        <v>-0.08039746792467641</v>
      </c>
      <c r="M280" s="19" t="n">
        <v>-0.1499394387438246</v>
      </c>
      <c r="N280" s="20" t="n">
        <v>0.0494</v>
      </c>
      <c r="O280" s="27" t="n">
        <v>0.839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FSU @ ALA</t>
        </is>
      </c>
      <c r="C281" s="12" t="inlineStr">
        <is>
          <t>2026-09-19 19:30</t>
        </is>
      </c>
      <c r="D281" s="22" t="n">
        <v>3</v>
      </c>
      <c r="E281" s="12" t="inlineStr">
        <is>
          <t>ML</t>
        </is>
      </c>
      <c r="F281" s="12" t="inlineStr">
        <is>
          <t>ALA ML</t>
        </is>
      </c>
      <c r="G281" s="23" t="n"/>
      <c r="H281" s="13" t="n">
        <v>-1350</v>
      </c>
      <c r="I281" s="15" t="n">
        <v>0.7870289950979854</v>
      </c>
      <c r="J281" s="15" t="n">
        <v>0.8933823529411765</v>
      </c>
      <c r="K281" s="15" t="n">
        <v>0.9310344827586207</v>
      </c>
      <c r="L281" s="14" t="n">
        <v>-0.08066965529503929</v>
      </c>
      <c r="M281" s="14" t="n">
        <v>-0.1546725608206825</v>
      </c>
      <c r="N281" s="15" t="n">
        <v>0</v>
      </c>
      <c r="O281" s="24" t="n">
        <v>0.839</v>
      </c>
      <c r="P281" s="12" t="inlineStr">
        <is>
          <t>DraftKings</t>
        </is>
      </c>
      <c r="Q281" s="12" t="inlineStr">
        <is>
          <t>price outside allowed range</t>
        </is>
      </c>
    </row>
    <row r="282">
      <c r="A282" s="17" t="inlineStr">
        <is>
          <t>PASS</t>
        </is>
      </c>
      <c r="B282" s="17" t="inlineStr">
        <is>
          <t>STO @ MASS</t>
        </is>
      </c>
      <c r="C282" s="17" t="inlineStr">
        <is>
          <t>2026-09-19 19:30</t>
        </is>
      </c>
      <c r="D282" s="25" t="n">
        <v>3</v>
      </c>
      <c r="E282" s="17" t="inlineStr">
        <is>
          <t>TOTAL</t>
        </is>
      </c>
      <c r="F282" s="17" t="inlineStr">
        <is>
          <t>Under 49.5</t>
        </is>
      </c>
      <c r="G282" s="26" t="n">
        <v>49.5</v>
      </c>
      <c r="H282" s="18" t="n">
        <v>-105</v>
      </c>
      <c r="I282" s="20" t="n">
        <v>0.4299068614450263</v>
      </c>
      <c r="J282" s="20" t="n">
        <v>0.4891657638136511</v>
      </c>
      <c r="K282" s="20" t="n">
        <v>0.5121951219512195</v>
      </c>
      <c r="L282" s="19" t="n">
        <v>-0.0812437459426977</v>
      </c>
      <c r="M282" s="19" t="n">
        <v>-0.1606580324168534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STO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M-OH @ CIN</t>
        </is>
      </c>
      <c r="C283" s="12" t="inlineStr">
        <is>
          <t>2026-09-19 19:30</t>
        </is>
      </c>
      <c r="D283" s="22" t="n">
        <v>3</v>
      </c>
      <c r="E283" s="12" t="inlineStr">
        <is>
          <t>TOTAL</t>
        </is>
      </c>
      <c r="F283" s="12" t="inlineStr">
        <is>
          <t>Under 49.5</t>
        </is>
      </c>
      <c r="G283" s="23" t="n">
        <v>49.5</v>
      </c>
      <c r="H283" s="13" t="n">
        <v>-110</v>
      </c>
      <c r="I283" s="15" t="n">
        <v>0.4391156451435217</v>
      </c>
      <c r="J283" s="15" t="n">
        <v>0.5</v>
      </c>
      <c r="K283" s="15" t="n">
        <v>0.5238095238095238</v>
      </c>
      <c r="L283" s="14" t="n">
        <v>-0.08141094859107895</v>
      </c>
      <c r="M283" s="14" t="n">
        <v>-0.161688313816913</v>
      </c>
      <c r="N283" s="15" t="n">
        <v>0</v>
      </c>
      <c r="O283" s="24" t="n">
        <v>0.839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NICH @ SHSU</t>
        </is>
      </c>
      <c r="C284" s="17" t="inlineStr">
        <is>
          <t>2026-09-19 23:00</t>
        </is>
      </c>
      <c r="D284" s="25" t="n">
        <v>3</v>
      </c>
      <c r="E284" s="17" t="inlineStr">
        <is>
          <t>TOTAL</t>
        </is>
      </c>
      <c r="F284" s="17" t="inlineStr">
        <is>
          <t>Under 49.5</t>
        </is>
      </c>
      <c r="G284" s="26" t="n">
        <v>49.5</v>
      </c>
      <c r="H284" s="18" t="n">
        <v>-108</v>
      </c>
      <c r="I284" s="20" t="n">
        <v>0.4350518994869195</v>
      </c>
      <c r="J284" s="20" t="n">
        <v>0.4956702459300312</v>
      </c>
      <c r="K284" s="20" t="n">
        <v>0.5192307692307693</v>
      </c>
      <c r="L284" s="19" t="n">
        <v>-0.08155026977762213</v>
      </c>
      <c r="M284" s="19" t="n">
        <v>-0.1621222676548217</v>
      </c>
      <c r="N284" s="20" t="n">
        <v>0</v>
      </c>
      <c r="O284" s="27" t="n">
        <v>0.725</v>
      </c>
      <c r="P284" s="17" t="inlineStr">
        <is>
          <t>DraftKings</t>
        </is>
      </c>
      <c r="Q284" s="17" t="inlineStr">
        <is>
          <t>NICH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WVU @ UVA</t>
        </is>
      </c>
      <c r="C285" s="12" t="inlineStr">
        <is>
          <t>2026-09-19 23:30</t>
        </is>
      </c>
      <c r="D285" s="22" t="n">
        <v>3</v>
      </c>
      <c r="E285" s="12" t="inlineStr">
        <is>
          <t>TOTAL</t>
        </is>
      </c>
      <c r="F285" s="12" t="inlineStr">
        <is>
          <t>Over 53.5</t>
        </is>
      </c>
      <c r="G285" s="23" t="n">
        <v>53.5</v>
      </c>
      <c r="H285" s="13" t="n">
        <v>-108</v>
      </c>
      <c r="I285" s="15" t="n">
        <v>0.4331591542241897</v>
      </c>
      <c r="J285" s="15" t="n">
        <v>0.4956702459300312</v>
      </c>
      <c r="K285" s="15" t="n">
        <v>0.5192307692307693</v>
      </c>
      <c r="L285" s="14" t="n">
        <v>-0.08252094873681204</v>
      </c>
      <c r="M285" s="14" t="n">
        <v>-0.1657675548274864</v>
      </c>
      <c r="N285" s="15" t="n">
        <v>0</v>
      </c>
      <c r="O285" s="24" t="n">
        <v>0.839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TROY @ MIZ</t>
        </is>
      </c>
      <c r="C286" s="17" t="inlineStr">
        <is>
          <t>2026-09-19 23:00</t>
        </is>
      </c>
      <c r="D286" s="25" t="n">
        <v>3</v>
      </c>
      <c r="E286" s="17" t="inlineStr">
        <is>
          <t>ML</t>
        </is>
      </c>
      <c r="F286" s="17" t="inlineStr">
        <is>
          <t>MIZ ML</t>
        </is>
      </c>
      <c r="G286" s="26" t="n"/>
      <c r="H286" s="18" t="n">
        <v>-6500</v>
      </c>
      <c r="I286" s="20" t="n">
        <v>0.8317947492251805</v>
      </c>
      <c r="J286" s="20" t="n">
        <v>0.9538784067085954</v>
      </c>
      <c r="K286" s="20" t="n">
        <v>0.9848484848484849</v>
      </c>
      <c r="L286" s="19" t="n">
        <v>-0.08297274179583243</v>
      </c>
      <c r="M286" s="19" t="n">
        <v>-0.1554084084790476</v>
      </c>
      <c r="N286" s="20" t="n">
        <v>0</v>
      </c>
      <c r="O286" s="27" t="n">
        <v>0.839</v>
      </c>
      <c r="P286" s="17" t="inlineStr">
        <is>
          <t>DraftKings</t>
        </is>
      </c>
      <c r="Q286" s="17" t="inlineStr">
        <is>
          <t>price outside allowed range</t>
        </is>
      </c>
    </row>
    <row r="287">
      <c r="A287" s="12" t="inlineStr">
        <is>
          <t>PASS</t>
        </is>
      </c>
      <c r="B287" s="12" t="inlineStr">
        <is>
          <t>UAB @ UL</t>
        </is>
      </c>
      <c r="C287" s="12" t="inlineStr">
        <is>
          <t>2026-09-20 00:00</t>
        </is>
      </c>
      <c r="D287" s="22" t="n">
        <v>3</v>
      </c>
      <c r="E287" s="12" t="inlineStr">
        <is>
          <t>TOTAL</t>
        </is>
      </c>
      <c r="F287" s="12" t="inlineStr">
        <is>
          <t>Over 56.5</t>
        </is>
      </c>
      <c r="G287" s="23" t="n">
        <v>56.5</v>
      </c>
      <c r="H287" s="13" t="n">
        <v>-112</v>
      </c>
      <c r="I287" s="15" t="n">
        <v>0.4393816764752666</v>
      </c>
      <c r="J287" s="15" t="n">
        <v>0.5043297540699688</v>
      </c>
      <c r="K287" s="15" t="n">
        <v>0.5283018867924528</v>
      </c>
      <c r="L287" s="14" t="n">
        <v>-0.0831597783271758</v>
      </c>
      <c r="M287" s="14" t="n">
        <v>-0.1683132552432454</v>
      </c>
      <c r="N287" s="15" t="n">
        <v>0</v>
      </c>
      <c r="O287" s="24" t="n">
        <v>0.839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TULN @ KSU</t>
        </is>
      </c>
      <c r="C288" s="17" t="inlineStr">
        <is>
          <t>2026-09-19 16:00</t>
        </is>
      </c>
      <c r="D288" s="25" t="n">
        <v>3</v>
      </c>
      <c r="E288" s="17" t="inlineStr">
        <is>
          <t>ML</t>
        </is>
      </c>
      <c r="F288" s="17" t="inlineStr">
        <is>
          <t>KSU ML</t>
        </is>
      </c>
      <c r="G288" s="26" t="n"/>
      <c r="H288" s="18" t="n">
        <v>-1800</v>
      </c>
      <c r="I288" s="20" t="n">
        <v>0.7942152473020465</v>
      </c>
      <c r="J288" s="20" t="n">
        <v>0.912442396313364</v>
      </c>
      <c r="K288" s="20" t="n">
        <v>0.9473684210526315</v>
      </c>
      <c r="L288" s="19" t="n">
        <v>-0.08334336689120363</v>
      </c>
      <c r="M288" s="19" t="n">
        <v>-0.1616616834033954</v>
      </c>
      <c r="N288" s="20" t="n">
        <v>0</v>
      </c>
      <c r="O288" s="27" t="n">
        <v>0.839</v>
      </c>
      <c r="P288" s="17" t="inlineStr">
        <is>
          <t>DraftKings</t>
        </is>
      </c>
      <c r="Q288" s="17" t="inlineStr">
        <is>
          <t>price outside allowed range</t>
        </is>
      </c>
    </row>
    <row r="289">
      <c r="A289" s="12" t="inlineStr">
        <is>
          <t>PASS</t>
        </is>
      </c>
      <c r="B289" s="12" t="inlineStr">
        <is>
          <t>UNM @ OU</t>
        </is>
      </c>
      <c r="C289" s="12" t="inlineStr">
        <is>
          <t>2026-09-19 23:30</t>
        </is>
      </c>
      <c r="D289" s="22" t="n">
        <v>3</v>
      </c>
      <c r="E289" s="12" t="inlineStr">
        <is>
          <t>TOTAL</t>
        </is>
      </c>
      <c r="F289" s="12" t="inlineStr">
        <is>
          <t>Under 46.5</t>
        </is>
      </c>
      <c r="G289" s="23" t="n">
        <v>46.5</v>
      </c>
      <c r="H289" s="13" t="n">
        <v>-105</v>
      </c>
      <c r="I289" s="15" t="n">
        <v>0.4242665320851896</v>
      </c>
      <c r="J289" s="15" t="n">
        <v>0.4891657638136511</v>
      </c>
      <c r="K289" s="15" t="n">
        <v>0.5121951219512195</v>
      </c>
      <c r="L289" s="14" t="n">
        <v>-0.08403757223048447</v>
      </c>
      <c r="M289" s="14" t="n">
        <v>-0.1716701040241536</v>
      </c>
      <c r="N289" s="15" t="n">
        <v>0</v>
      </c>
      <c r="O289" s="24" t="n">
        <v>0.839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KENN @ TENN</t>
        </is>
      </c>
      <c r="C290" s="17" t="inlineStr">
        <is>
          <t>2026-09-19 23:45</t>
        </is>
      </c>
      <c r="D290" s="25" t="n">
        <v>3</v>
      </c>
      <c r="E290" s="17" t="inlineStr">
        <is>
          <t>ML</t>
        </is>
      </c>
      <c r="F290" s="17" t="inlineStr">
        <is>
          <t>TENN ML</t>
        </is>
      </c>
      <c r="G290" s="26" t="n"/>
      <c r="H290" s="18" t="n">
        <v>-100000</v>
      </c>
      <c r="I290" s="20" t="n">
        <v>0.8499367258373444</v>
      </c>
      <c r="J290" s="20" t="n">
        <v>0.9807503701851887</v>
      </c>
      <c r="K290" s="20" t="n">
        <v>0.999000999000999</v>
      </c>
      <c r="L290" s="19" t="n">
        <v>-0.08419050806545607</v>
      </c>
      <c r="M290" s="19" t="n">
        <v>-0.1492133374368184</v>
      </c>
      <c r="N290" s="20" t="n">
        <v>0</v>
      </c>
      <c r="O290" s="27" t="n">
        <v>0.839</v>
      </c>
      <c r="P290" s="17" t="inlineStr">
        <is>
          <t>DraftKings</t>
        </is>
      </c>
      <c r="Q290" s="17" t="inlineStr">
        <is>
          <t>price outside allowed range</t>
        </is>
      </c>
    </row>
    <row r="291">
      <c r="A291" s="12" t="inlineStr">
        <is>
          <t>PASS</t>
        </is>
      </c>
      <c r="B291" s="12" t="inlineStr">
        <is>
          <t>MSU @ ND</t>
        </is>
      </c>
      <c r="C291" s="12" t="inlineStr">
        <is>
          <t>2026-09-19 23:30</t>
        </is>
      </c>
      <c r="D291" s="22" t="n">
        <v>3</v>
      </c>
      <c r="E291" s="12" t="inlineStr">
        <is>
          <t>ML</t>
        </is>
      </c>
      <c r="F291" s="12" t="inlineStr">
        <is>
          <t>ND ML</t>
        </is>
      </c>
      <c r="G291" s="23" t="n"/>
      <c r="H291" s="13" t="n">
        <v>-4500</v>
      </c>
      <c r="I291" s="15" t="n">
        <v>0.8176017960199771</v>
      </c>
      <c r="J291" s="15" t="n">
        <v>0.9462616822429908</v>
      </c>
      <c r="K291" s="15" t="n">
        <v>0.9782608695652174</v>
      </c>
      <c r="L291" s="14" t="n">
        <v>-0.08473217463893454</v>
      </c>
      <c r="M291" s="14" t="n">
        <v>-0.1642292751795791</v>
      </c>
      <c r="N291" s="15" t="n">
        <v>0</v>
      </c>
      <c r="O291" s="24" t="n">
        <v>0.839</v>
      </c>
      <c r="P291" s="12" t="inlineStr">
        <is>
          <t>DraftKings</t>
        </is>
      </c>
      <c r="Q291" s="12" t="inlineStr">
        <is>
          <t>price outside allowed range</t>
        </is>
      </c>
    </row>
    <row r="292">
      <c r="A292" s="17" t="inlineStr">
        <is>
          <t>PASS</t>
        </is>
      </c>
      <c r="B292" s="17" t="inlineStr">
        <is>
          <t>EMU @ WIS</t>
        </is>
      </c>
      <c r="C292" s="17" t="inlineStr">
        <is>
          <t>2026-09-19 16:30</t>
        </is>
      </c>
      <c r="D292" s="25" t="n">
        <v>3</v>
      </c>
      <c r="E292" s="17" t="inlineStr">
        <is>
          <t>TOTAL</t>
        </is>
      </c>
      <c r="F292" s="17" t="inlineStr">
        <is>
          <t>Under 45.5</t>
        </is>
      </c>
      <c r="G292" s="26" t="n">
        <v>45.5</v>
      </c>
      <c r="H292" s="18" t="n">
        <v>-112</v>
      </c>
      <c r="I292" s="20" t="n">
        <v>0.4356021928117558</v>
      </c>
      <c r="J292" s="20" t="n">
        <v>0.5043297540699688</v>
      </c>
      <c r="K292" s="20" t="n">
        <v>0.5283018867924528</v>
      </c>
      <c r="L292" s="19" t="n">
        <v>-0.08479508550645673</v>
      </c>
      <c r="M292" s="19" t="n">
        <v>-0.1754672778920336</v>
      </c>
      <c r="N292" s="20" t="n">
        <v>0</v>
      </c>
      <c r="O292" s="27" t="n">
        <v>0.839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GASO @ JVST</t>
        </is>
      </c>
      <c r="C293" s="12" t="inlineStr">
        <is>
          <t>2026-09-19 23:00</t>
        </is>
      </c>
      <c r="D293" s="22" t="n">
        <v>3</v>
      </c>
      <c r="E293" s="12" t="inlineStr">
        <is>
          <t>TOTAL</t>
        </is>
      </c>
      <c r="F293" s="12" t="inlineStr">
        <is>
          <t>Over 52.5</t>
        </is>
      </c>
      <c r="G293" s="23" t="n">
        <v>52.5</v>
      </c>
      <c r="H293" s="13" t="n">
        <v>-115</v>
      </c>
      <c r="I293" s="15" t="n">
        <v>0.4407411742778912</v>
      </c>
      <c r="J293" s="15" t="n">
        <v>0.5108342361863488</v>
      </c>
      <c r="K293" s="15" t="n">
        <v>0.5348837209302325</v>
      </c>
      <c r="L293" s="14" t="n">
        <v>-0.08498408637536668</v>
      </c>
      <c r="M293" s="14" t="n">
        <v>-0.1760056306978557</v>
      </c>
      <c r="N293" s="15" t="n">
        <v>0</v>
      </c>
      <c r="O293" s="24" t="n">
        <v>0.839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LT @ BAY</t>
        </is>
      </c>
      <c r="C294" s="17" t="inlineStr">
        <is>
          <t>2026-09-19 20:00</t>
        </is>
      </c>
      <c r="D294" s="25" t="n">
        <v>3</v>
      </c>
      <c r="E294" s="17" t="inlineStr">
        <is>
          <t>ML</t>
        </is>
      </c>
      <c r="F294" s="17" t="inlineStr">
        <is>
          <t>BAY ML</t>
        </is>
      </c>
      <c r="G294" s="26" t="n"/>
      <c r="H294" s="18" t="n">
        <v>-1350</v>
      </c>
      <c r="I294" s="20" t="n">
        <v>0.7679270619487433</v>
      </c>
      <c r="J294" s="20" t="n">
        <v>0.8933823529411765</v>
      </c>
      <c r="K294" s="20" t="n">
        <v>0.9310344827586207</v>
      </c>
      <c r="L294" s="19" t="n">
        <v>-0.08560705354002204</v>
      </c>
      <c r="M294" s="19" t="n">
        <v>-0.1751894519809796</v>
      </c>
      <c r="N294" s="20" t="n">
        <v>0</v>
      </c>
      <c r="O294" s="27" t="n">
        <v>0.839</v>
      </c>
      <c r="P294" s="17" t="inlineStr">
        <is>
          <t>DraftKings</t>
        </is>
      </c>
      <c r="Q294" s="17" t="inlineStr">
        <is>
          <t>price outside allowed range</t>
        </is>
      </c>
    </row>
    <row r="295">
      <c r="A295" s="12" t="inlineStr">
        <is>
          <t>PASS</t>
        </is>
      </c>
      <c r="B295" s="12" t="inlineStr">
        <is>
          <t>EMU @ WIS</t>
        </is>
      </c>
      <c r="C295" s="12" t="inlineStr">
        <is>
          <t>2026-09-19 16:30</t>
        </is>
      </c>
      <c r="D295" s="22" t="n">
        <v>3</v>
      </c>
      <c r="E295" s="12" t="inlineStr">
        <is>
          <t>ML</t>
        </is>
      </c>
      <c r="F295" s="12" t="inlineStr">
        <is>
          <t>WIS ML</t>
        </is>
      </c>
      <c r="G295" s="23" t="n"/>
      <c r="H295" s="13" t="n">
        <v>-2400</v>
      </c>
      <c r="I295" s="15" t="n">
        <v>0.7956468646758997</v>
      </c>
      <c r="J295" s="15" t="n">
        <v>0.9258160237388724</v>
      </c>
      <c r="K295" s="15" t="n">
        <v>0.96</v>
      </c>
      <c r="L295" s="14" t="n">
        <v>-0.08563934270951747</v>
      </c>
      <c r="M295" s="14" t="n">
        <v>-0.1712011826292711</v>
      </c>
      <c r="N295" s="15" t="n">
        <v>0</v>
      </c>
      <c r="O295" s="24" t="n">
        <v>0.839</v>
      </c>
      <c r="P295" s="12" t="inlineStr">
        <is>
          <t>DraftKings</t>
        </is>
      </c>
      <c r="Q295" s="12" t="inlineStr">
        <is>
          <t>price outside allowed range</t>
        </is>
      </c>
    </row>
    <row r="296">
      <c r="A296" s="17" t="inlineStr">
        <is>
          <t>PASS</t>
        </is>
      </c>
      <c r="B296" s="17" t="inlineStr">
        <is>
          <t>MIA @ WAKE</t>
        </is>
      </c>
      <c r="C296" s="17" t="inlineStr">
        <is>
          <t>2026-09-18 23:30</t>
        </is>
      </c>
      <c r="D296" s="25" t="n">
        <v>3</v>
      </c>
      <c r="E296" s="17" t="inlineStr">
        <is>
          <t>TOTAL</t>
        </is>
      </c>
      <c r="F296" s="17" t="inlineStr">
        <is>
          <t>Over 56.5</t>
        </is>
      </c>
      <c r="G296" s="26" t="n">
        <v>56.5</v>
      </c>
      <c r="H296" s="18" t="n">
        <v>-108</v>
      </c>
      <c r="I296" s="20" t="n">
        <v>0.4256520129132683</v>
      </c>
      <c r="J296" s="20" t="n">
        <v>0.4956702459300312</v>
      </c>
      <c r="K296" s="20" t="n">
        <v>0.5192307692307693</v>
      </c>
      <c r="L296" s="19" t="n">
        <v>-0.08576228740980593</v>
      </c>
      <c r="M296" s="19" t="n">
        <v>-0.1802257529077796</v>
      </c>
      <c r="N296" s="20" t="n">
        <v>0</v>
      </c>
      <c r="O296" s="27" t="n">
        <v>0.839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NIU @ ARIZ</t>
        </is>
      </c>
      <c r="C297" s="12" t="inlineStr">
        <is>
          <t>2026-09-20 02:30</t>
        </is>
      </c>
      <c r="D297" s="22" t="n">
        <v>3</v>
      </c>
      <c r="E297" s="12" t="inlineStr">
        <is>
          <t>ML</t>
        </is>
      </c>
      <c r="F297" s="12" t="inlineStr">
        <is>
          <t>ARIZ ML</t>
        </is>
      </c>
      <c r="G297" s="23" t="n"/>
      <c r="H297" s="13" t="n">
        <v>-100000</v>
      </c>
      <c r="I297" s="15" t="n">
        <v>0.8419712864932973</v>
      </c>
      <c r="J297" s="15" t="n">
        <v>0.9807503701851887</v>
      </c>
      <c r="K297" s="15" t="n">
        <v>0.999000999000999</v>
      </c>
      <c r="L297" s="14" t="n">
        <v>-0.08580719172096912</v>
      </c>
      <c r="M297" s="14" t="n">
        <v>-0.1571867422202095</v>
      </c>
      <c r="N297" s="15" t="n">
        <v>0</v>
      </c>
      <c r="O297" s="24" t="n">
        <v>0.839</v>
      </c>
      <c r="P297" s="12" t="inlineStr">
        <is>
          <t>DraftKings</t>
        </is>
      </c>
      <c r="Q297" s="12" t="inlineStr">
        <is>
          <t>price outside allowed range</t>
        </is>
      </c>
    </row>
    <row r="298">
      <c r="A298" s="17" t="inlineStr">
        <is>
          <t>PASS</t>
        </is>
      </c>
      <c r="B298" s="17" t="inlineStr">
        <is>
          <t>USU @ UTAH</t>
        </is>
      </c>
      <c r="C298" s="17" t="inlineStr">
        <is>
          <t>2026-09-19 19:30</t>
        </is>
      </c>
      <c r="D298" s="25" t="n">
        <v>3</v>
      </c>
      <c r="E298" s="17" t="inlineStr">
        <is>
          <t>ML</t>
        </is>
      </c>
      <c r="F298" s="17" t="inlineStr">
        <is>
          <t>UTAH ML</t>
        </is>
      </c>
      <c r="G298" s="26" t="n"/>
      <c r="H298" s="18" t="n">
        <v>-6500</v>
      </c>
      <c r="I298" s="20" t="n">
        <v>0.8162369969013338</v>
      </c>
      <c r="J298" s="20" t="n">
        <v>0.9538784067085954</v>
      </c>
      <c r="K298" s="20" t="n">
        <v>0.9848484848484849</v>
      </c>
      <c r="L298" s="19" t="n">
        <v>-0.08630824014848124</v>
      </c>
      <c r="M298" s="19" t="n">
        <v>-0.1712055108386458</v>
      </c>
      <c r="N298" s="20" t="n">
        <v>0</v>
      </c>
      <c r="O298" s="27" t="n">
        <v>0.839</v>
      </c>
      <c r="P298" s="17" t="inlineStr">
        <is>
          <t>DraftKings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UND @ NEB</t>
        </is>
      </c>
      <c r="C299" s="12" t="inlineStr">
        <is>
          <t>2026-09-19 23:15</t>
        </is>
      </c>
      <c r="D299" s="22" t="n">
        <v>3</v>
      </c>
      <c r="E299" s="12" t="inlineStr">
        <is>
          <t>ML</t>
        </is>
      </c>
      <c r="F299" s="12" t="inlineStr">
        <is>
          <t>NEB ML</t>
        </is>
      </c>
      <c r="G299" s="23" t="n"/>
      <c r="H299" s="13" t="n">
        <v>-3200</v>
      </c>
      <c r="I299" s="15" t="n">
        <v>0.7999137982527208</v>
      </c>
      <c r="J299" s="15" t="n">
        <v>0.9356725146198831</v>
      </c>
      <c r="K299" s="15" t="n">
        <v>0.9696969696969697</v>
      </c>
      <c r="L299" s="14" t="n">
        <v>-0.08644609834709738</v>
      </c>
      <c r="M299" s="14" t="n">
        <v>-0.1750888955518817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UND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ASU @ KU</t>
        </is>
      </c>
      <c r="C300" s="17" t="inlineStr">
        <is>
          <t>2026-09-19 16:00</t>
        </is>
      </c>
      <c r="D300" s="25" t="n">
        <v>3</v>
      </c>
      <c r="E300" s="17" t="inlineStr">
        <is>
          <t>ATS</t>
        </is>
      </c>
      <c r="F300" s="17" t="inlineStr">
        <is>
          <t>ASU -5.5</t>
        </is>
      </c>
      <c r="G300" s="26" t="n">
        <v>5.5</v>
      </c>
      <c r="H300" s="18" t="n">
        <v>-108</v>
      </c>
      <c r="I300" s="20" t="n">
        <v>0.4233411651512683</v>
      </c>
      <c r="J300" s="20" t="n">
        <v>0.4956702459300312</v>
      </c>
      <c r="K300" s="20" t="n">
        <v>0.5192307692307693</v>
      </c>
      <c r="L300" s="19" t="n">
        <v>-0.08658764774260952</v>
      </c>
      <c r="M300" s="19" t="n">
        <v>-0.1846762745234832</v>
      </c>
      <c r="N300" s="20" t="n">
        <v>0</v>
      </c>
      <c r="O300" s="27" t="n">
        <v>0.839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ARST @ TCU</t>
        </is>
      </c>
      <c r="C301" s="12" t="inlineStr">
        <is>
          <t>2026-09-20 00:00</t>
        </is>
      </c>
      <c r="D301" s="22" t="n">
        <v>3</v>
      </c>
      <c r="E301" s="12" t="inlineStr">
        <is>
          <t>ML</t>
        </is>
      </c>
      <c r="F301" s="12" t="inlineStr">
        <is>
          <t>TCU ML</t>
        </is>
      </c>
      <c r="G301" s="23" t="n"/>
      <c r="H301" s="13" t="n">
        <v>-1350</v>
      </c>
      <c r="I301" s="15" t="n">
        <v>0.7616698450434658</v>
      </c>
      <c r="J301" s="15" t="n">
        <v>0.8933823529411765</v>
      </c>
      <c r="K301" s="15" t="n">
        <v>0.9310344827586207</v>
      </c>
      <c r="L301" s="14" t="n">
        <v>-0.0868394806998839</v>
      </c>
      <c r="M301" s="14" t="n">
        <v>-0.1819101664347961</v>
      </c>
      <c r="N301" s="15" t="n">
        <v>0</v>
      </c>
      <c r="O301" s="24" t="n">
        <v>0.839</v>
      </c>
      <c r="P301" s="12" t="inlineStr">
        <is>
          <t>DraftKings</t>
        </is>
      </c>
      <c r="Q301" s="12" t="inlineStr">
        <is>
          <t>price outside allowed range</t>
        </is>
      </c>
    </row>
    <row r="302">
      <c r="A302" s="17" t="inlineStr">
        <is>
          <t>PASS</t>
        </is>
      </c>
      <c r="B302" s="17" t="inlineStr">
        <is>
          <t>WVU @ UVA</t>
        </is>
      </c>
      <c r="C302" s="17" t="inlineStr">
        <is>
          <t>2026-09-19 23:30</t>
        </is>
      </c>
      <c r="D302" s="25" t="n">
        <v>3</v>
      </c>
      <c r="E302" s="17" t="inlineStr">
        <is>
          <t>ML</t>
        </is>
      </c>
      <c r="F302" s="17" t="inlineStr">
        <is>
          <t>UVA ML</t>
        </is>
      </c>
      <c r="G302" s="26" t="n"/>
      <c r="H302" s="18" t="n">
        <v>-395</v>
      </c>
      <c r="I302" s="20" t="n">
        <v>0.6519324025282154</v>
      </c>
      <c r="J302" s="20" t="n">
        <v>0.7659021045164341</v>
      </c>
      <c r="K302" s="20" t="n">
        <v>0.797979797979798</v>
      </c>
      <c r="L302" s="19" t="n">
        <v>-0.08706231180975971</v>
      </c>
      <c r="M302" s="19" t="n">
        <v>-0.1830214196165402</v>
      </c>
      <c r="N302" s="20" t="n">
        <v>0</v>
      </c>
      <c r="O302" s="27" t="n">
        <v>0.839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UTM @ MEM</t>
        </is>
      </c>
      <c r="C303" s="12" t="inlineStr">
        <is>
          <t>2026-09-19 23:00</t>
        </is>
      </c>
      <c r="D303" s="22" t="n">
        <v>3</v>
      </c>
      <c r="E303" s="12" t="inlineStr">
        <is>
          <t>ML</t>
        </is>
      </c>
      <c r="F303" s="12" t="inlineStr">
        <is>
          <t>MEM ML</t>
        </is>
      </c>
      <c r="G303" s="23" t="n"/>
      <c r="H303" s="13" t="n">
        <v>-50000</v>
      </c>
      <c r="I303" s="15" t="n">
        <v>0.8300941500779528</v>
      </c>
      <c r="J303" s="15" t="n">
        <v>0.9761439931431837</v>
      </c>
      <c r="K303" s="15" t="n">
        <v>0.998003992015968</v>
      </c>
      <c r="L303" s="14" t="n">
        <v>-0.08719173644263525</v>
      </c>
      <c r="M303" s="14" t="n">
        <v>-0.1682456616218913</v>
      </c>
      <c r="N303" s="15" t="n">
        <v>0</v>
      </c>
      <c r="O303" s="24" t="n">
        <v>0.725</v>
      </c>
      <c r="P303" s="12" t="inlineStr">
        <is>
          <t>DraftKings</t>
        </is>
      </c>
      <c r="Q303" s="12" t="inlineStr">
        <is>
          <t>UTM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GAST @ UCF</t>
        </is>
      </c>
      <c r="C304" s="17" t="inlineStr">
        <is>
          <t>2026-09-19 23:00</t>
        </is>
      </c>
      <c r="D304" s="25" t="n">
        <v>3</v>
      </c>
      <c r="E304" s="17" t="inlineStr">
        <is>
          <t>ML</t>
        </is>
      </c>
      <c r="F304" s="17" t="inlineStr">
        <is>
          <t>UCF ML</t>
        </is>
      </c>
      <c r="G304" s="26" t="n"/>
      <c r="H304" s="18" t="n">
        <v>-1200</v>
      </c>
      <c r="I304" s="20" t="n">
        <v>0.7540652140144954</v>
      </c>
      <c r="J304" s="20" t="n">
        <v>0.8869565217391304</v>
      </c>
      <c r="K304" s="20" t="n">
        <v>0.9230769230769231</v>
      </c>
      <c r="L304" s="19" t="n">
        <v>-0.08722465784831755</v>
      </c>
      <c r="M304" s="19" t="n">
        <v>-0.1830960181509633</v>
      </c>
      <c r="N304" s="20" t="n">
        <v>0</v>
      </c>
      <c r="O304" s="27" t="n">
        <v>0.839</v>
      </c>
      <c r="P304" s="17" t="inlineStr">
        <is>
          <t>DraftKings</t>
        </is>
      </c>
      <c r="Q304" s="17" t="inlineStr">
        <is>
          <t>price outside allowed range</t>
        </is>
      </c>
    </row>
    <row r="305">
      <c r="A305" s="12" t="inlineStr">
        <is>
          <t>PASS</t>
        </is>
      </c>
      <c r="B305" s="12" t="inlineStr">
        <is>
          <t>STAN @ DUKE</t>
        </is>
      </c>
      <c r="C305" s="12" t="inlineStr">
        <is>
          <t>2026-09-19 20:00</t>
        </is>
      </c>
      <c r="D305" s="22" t="n">
        <v>3</v>
      </c>
      <c r="E305" s="12" t="inlineStr">
        <is>
          <t>ATS</t>
        </is>
      </c>
      <c r="F305" s="12" t="inlineStr">
        <is>
          <t>DUKE -9.5</t>
        </is>
      </c>
      <c r="G305" s="23" t="n">
        <v>-9.5</v>
      </c>
      <c r="H305" s="13" t="n">
        <v>-112</v>
      </c>
      <c r="I305" s="15" t="n">
        <v>0.4284774069304556</v>
      </c>
      <c r="J305" s="15" t="n">
        <v>0.5043297540699688</v>
      </c>
      <c r="K305" s="15" t="n">
        <v>0.5283018867924528</v>
      </c>
      <c r="L305" s="14" t="n">
        <v>-0.08731425001538265</v>
      </c>
      <c r="M305" s="14" t="n">
        <v>-0.1889534797387806</v>
      </c>
      <c r="N305" s="15" t="n">
        <v>0</v>
      </c>
      <c r="O305" s="24" t="n">
        <v>0.839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UNM @ OU</t>
        </is>
      </c>
      <c r="C306" s="17" t="inlineStr">
        <is>
          <t>2026-09-19 23:30</t>
        </is>
      </c>
      <c r="D306" s="25" t="n">
        <v>3</v>
      </c>
      <c r="E306" s="17" t="inlineStr">
        <is>
          <t>ML</t>
        </is>
      </c>
      <c r="F306" s="17" t="inlineStr">
        <is>
          <t>OU ML</t>
        </is>
      </c>
      <c r="G306" s="26" t="n"/>
      <c r="H306" s="18" t="n">
        <v>-2100</v>
      </c>
      <c r="I306" s="20" t="n">
        <v>0.7800066377068618</v>
      </c>
      <c r="J306" s="20" t="n">
        <v>0.9197080291970804</v>
      </c>
      <c r="K306" s="20" t="n">
        <v>0.9545454545454546</v>
      </c>
      <c r="L306" s="19" t="n">
        <v>-0.08754307503525306</v>
      </c>
      <c r="M306" s="19" t="n">
        <v>-0.1828501890690019</v>
      </c>
      <c r="N306" s="20" t="n">
        <v>0</v>
      </c>
      <c r="O306" s="27" t="n">
        <v>0.839</v>
      </c>
      <c r="P306" s="17" t="inlineStr">
        <is>
          <t>DraftKings</t>
        </is>
      </c>
      <c r="Q306" s="17" t="inlineStr">
        <is>
          <t>price outside allowed range</t>
        </is>
      </c>
    </row>
    <row r="307">
      <c r="A307" s="12" t="inlineStr">
        <is>
          <t>PASS</t>
        </is>
      </c>
      <c r="B307" s="12" t="inlineStr">
        <is>
          <t>FLA @ AUB</t>
        </is>
      </c>
      <c r="C307" s="12" t="inlineStr">
        <is>
          <t>2026-09-19 23:00</t>
        </is>
      </c>
      <c r="D307" s="22" t="n">
        <v>3</v>
      </c>
      <c r="E307" s="12" t="inlineStr">
        <is>
          <t>ML</t>
        </is>
      </c>
      <c r="F307" s="12" t="inlineStr">
        <is>
          <t>FLA ML</t>
        </is>
      </c>
      <c r="G307" s="23" t="n"/>
      <c r="H307" s="13" t="n">
        <v>-130</v>
      </c>
      <c r="I307" s="15" t="n">
        <v>0.459684034760638</v>
      </c>
      <c r="J307" s="15" t="n">
        <v>0.5427435387673957</v>
      </c>
      <c r="K307" s="15" t="n">
        <v>0.5652173913043478</v>
      </c>
      <c r="L307" s="14" t="n">
        <v>-0.08771295623659796</v>
      </c>
      <c r="M307" s="14" t="n">
        <v>-0.1867128615773328</v>
      </c>
      <c r="N307" s="15" t="n">
        <v>0</v>
      </c>
      <c r="O307" s="24" t="n">
        <v>0.839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DUQ @ WSU</t>
        </is>
      </c>
      <c r="C308" s="17" t="inlineStr">
        <is>
          <t>2026-09-19 19:30</t>
        </is>
      </c>
      <c r="D308" s="25" t="n">
        <v>3</v>
      </c>
      <c r="E308" s="17" t="inlineStr">
        <is>
          <t>TOTAL</t>
        </is>
      </c>
      <c r="F308" s="17" t="inlineStr">
        <is>
          <t>Over 53.5</t>
        </is>
      </c>
      <c r="G308" s="26" t="n">
        <v>53.5</v>
      </c>
      <c r="H308" s="18" t="n">
        <v>-112</v>
      </c>
      <c r="I308" s="20" t="n">
        <v>0.4262689952805647</v>
      </c>
      <c r="J308" s="20" t="n">
        <v>0.5043297540699688</v>
      </c>
      <c r="K308" s="20" t="n">
        <v>0.5283018867924528</v>
      </c>
      <c r="L308" s="19" t="n">
        <v>-0.08796604423216262</v>
      </c>
      <c r="M308" s="19" t="n">
        <v>-0.1931336875046453</v>
      </c>
      <c r="N308" s="20" t="n">
        <v>0</v>
      </c>
      <c r="O308" s="27" t="n">
        <v>0.725</v>
      </c>
      <c r="P308" s="17" t="inlineStr">
        <is>
          <t>DraftKings</t>
        </is>
      </c>
      <c r="Q308" s="17" t="inlineStr">
        <is>
          <t>DUQ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SELA @ ULM</t>
        </is>
      </c>
      <c r="C309" s="12" t="inlineStr">
        <is>
          <t>2026-09-19 20:30</t>
        </is>
      </c>
      <c r="D309" s="22" t="n">
        <v>3</v>
      </c>
      <c r="E309" s="12" t="inlineStr">
        <is>
          <t>TOTAL</t>
        </is>
      </c>
      <c r="F309" s="12" t="inlineStr">
        <is>
          <t>Under 48.5</t>
        </is>
      </c>
      <c r="G309" s="23" t="n">
        <v>48.5</v>
      </c>
      <c r="H309" s="13" t="n">
        <v>-108</v>
      </c>
      <c r="I309" s="15" t="n">
        <v>0.4164244825647537</v>
      </c>
      <c r="J309" s="15" t="n">
        <v>0.4956702459300312</v>
      </c>
      <c r="K309" s="15" t="n">
        <v>0.5192307692307693</v>
      </c>
      <c r="L309" s="14" t="n">
        <v>-0.08865756364983048</v>
      </c>
      <c r="M309" s="14" t="n">
        <v>-0.1979972928382521</v>
      </c>
      <c r="N309" s="15" t="n">
        <v>0</v>
      </c>
      <c r="O309" s="24" t="n">
        <v>0.725</v>
      </c>
      <c r="P309" s="12" t="inlineStr">
        <is>
          <t>DraftKings</t>
        </is>
      </c>
      <c r="Q309" s="12" t="inlineStr">
        <is>
          <t>SELA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ARST @ TCU</t>
        </is>
      </c>
      <c r="C310" s="17" t="inlineStr">
        <is>
          <t>2026-09-20 00:00</t>
        </is>
      </c>
      <c r="D310" s="25" t="n">
        <v>3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0.4167663120755924</v>
      </c>
      <c r="J310" s="20" t="n">
        <v>0.5</v>
      </c>
      <c r="K310" s="20" t="n">
        <v>0.5238095238095238</v>
      </c>
      <c r="L310" s="19" t="n">
        <v>-0.08945536293909936</v>
      </c>
      <c r="M310" s="19" t="n">
        <v>-0.2043552224011417</v>
      </c>
      <c r="N310" s="20" t="n">
        <v>0</v>
      </c>
      <c r="O310" s="27" t="n">
        <v>0.839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USU @ UTAH</t>
        </is>
      </c>
      <c r="C311" s="12" t="inlineStr">
        <is>
          <t>2026-09-19 19:30</t>
        </is>
      </c>
      <c r="D311" s="22" t="n">
        <v>3</v>
      </c>
      <c r="E311" s="12" t="inlineStr">
        <is>
          <t>TOTAL</t>
        </is>
      </c>
      <c r="F311" s="12" t="inlineStr">
        <is>
          <t>Over 56.5</t>
        </is>
      </c>
      <c r="G311" s="23" t="n">
        <v>56.5</v>
      </c>
      <c r="H311" s="13" t="n">
        <v>-115</v>
      </c>
      <c r="I311" s="15" t="n">
        <v>0.4221834301687669</v>
      </c>
      <c r="J311" s="15" t="n">
        <v>0.5108342361863488</v>
      </c>
      <c r="K311" s="15" t="n">
        <v>0.5348837209302325</v>
      </c>
      <c r="L311" s="14" t="n">
        <v>-0.09020317749210099</v>
      </c>
      <c r="M311" s="14" t="n">
        <v>-0.2107005435975228</v>
      </c>
      <c r="N311" s="15" t="n">
        <v>0</v>
      </c>
      <c r="O311" s="24" t="n">
        <v>0.839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UTM @ MEM</t>
        </is>
      </c>
      <c r="C312" s="17" t="inlineStr">
        <is>
          <t>2026-09-19 23:00</t>
        </is>
      </c>
      <c r="D312" s="25" t="n">
        <v>3</v>
      </c>
      <c r="E312" s="17" t="inlineStr">
        <is>
          <t>TOTAL</t>
        </is>
      </c>
      <c r="F312" s="17" t="inlineStr">
        <is>
          <t>Over 57.5</t>
        </is>
      </c>
      <c r="G312" s="26" t="n">
        <v>57.5</v>
      </c>
      <c r="H312" s="18" t="n">
        <v>-110</v>
      </c>
      <c r="I312" s="20" t="n">
        <v>0.4131437902160209</v>
      </c>
      <c r="J312" s="20" t="n">
        <v>0.5</v>
      </c>
      <c r="K312" s="20" t="n">
        <v>0.5238095238095238</v>
      </c>
      <c r="L312" s="19" t="n">
        <v>-0.09021999910818522</v>
      </c>
      <c r="M312" s="19" t="n">
        <v>-0.2112709459512327</v>
      </c>
      <c r="N312" s="20" t="n">
        <v>0</v>
      </c>
      <c r="O312" s="27" t="n">
        <v>0.725</v>
      </c>
      <c r="P312" s="17" t="inlineStr">
        <is>
          <t>DraftKings</t>
        </is>
      </c>
      <c r="Q312" s="17" t="inlineStr">
        <is>
          <t>UTM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AKR @ MINN</t>
        </is>
      </c>
      <c r="C313" s="12" t="inlineStr">
        <is>
          <t>2026-09-19 16:00</t>
        </is>
      </c>
      <c r="D313" s="22" t="n">
        <v>3</v>
      </c>
      <c r="E313" s="12" t="inlineStr">
        <is>
          <t>ML</t>
        </is>
      </c>
      <c r="F313" s="12" t="inlineStr">
        <is>
          <t>MINN ML</t>
        </is>
      </c>
      <c r="G313" s="23" t="n"/>
      <c r="H313" s="13" t="n">
        <v>-2400</v>
      </c>
      <c r="I313" s="15" t="n">
        <v>0.7608513305283465</v>
      </c>
      <c r="J313" s="15" t="n">
        <v>0.9258160237388724</v>
      </c>
      <c r="K313" s="15" t="n">
        <v>0.96</v>
      </c>
      <c r="L313" s="14" t="n">
        <v>-0.09063950656107794</v>
      </c>
      <c r="M313" s="14" t="n">
        <v>-0.207446530699639</v>
      </c>
      <c r="N313" s="15" t="n">
        <v>0</v>
      </c>
      <c r="O313" s="24" t="n">
        <v>0.839</v>
      </c>
      <c r="P313" s="12" t="inlineStr">
        <is>
          <t>DraftKings</t>
        </is>
      </c>
      <c r="Q313" s="12" t="inlineStr">
        <is>
          <t>price outside allowed range</t>
        </is>
      </c>
    </row>
    <row r="314">
      <c r="A314" s="17" t="inlineStr">
        <is>
          <t>PASS</t>
        </is>
      </c>
      <c r="B314" s="17" t="inlineStr">
        <is>
          <t>SYR @ PITT</t>
        </is>
      </c>
      <c r="C314" s="17" t="inlineStr">
        <is>
          <t>2026-09-17 23:30</t>
        </is>
      </c>
      <c r="D314" s="25" t="n">
        <v>3</v>
      </c>
      <c r="E314" s="17" t="inlineStr">
        <is>
          <t>ATS</t>
        </is>
      </c>
      <c r="F314" s="17" t="inlineStr">
        <is>
          <t>PITT -10.5</t>
        </is>
      </c>
      <c r="G314" s="26" t="n">
        <v>-10.5</v>
      </c>
      <c r="H314" s="18" t="n">
        <v>-105</v>
      </c>
      <c r="I314" s="20" t="n">
        <v>0.4017007150714805</v>
      </c>
      <c r="J314" s="20" t="n">
        <v>0.4891657638136511</v>
      </c>
      <c r="K314" s="20" t="n">
        <v>0.5121951219512195</v>
      </c>
      <c r="L314" s="19" t="n">
        <v>-0.09069490424715211</v>
      </c>
      <c r="M314" s="19" t="n">
        <v>-0.2157271753366333</v>
      </c>
      <c r="N314" s="20" t="n">
        <v>0</v>
      </c>
      <c r="O314" s="27" t="n">
        <v>0.839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UNC @ CLEM</t>
        </is>
      </c>
      <c r="C315" s="12" t="inlineStr">
        <is>
          <t>2026-09-19 16:00</t>
        </is>
      </c>
      <c r="D315" s="22" t="n">
        <v>3</v>
      </c>
      <c r="E315" s="12" t="inlineStr">
        <is>
          <t>TOTAL</t>
        </is>
      </c>
      <c r="F315" s="12" t="inlineStr">
        <is>
          <t>Under 43.5</t>
        </is>
      </c>
      <c r="G315" s="23" t="n">
        <v>43.5</v>
      </c>
      <c r="H315" s="13" t="n">
        <v>-110</v>
      </c>
      <c r="I315" s="15" t="n">
        <v>0.4095535596641457</v>
      </c>
      <c r="J315" s="15" t="n">
        <v>0.5</v>
      </c>
      <c r="K315" s="15" t="n">
        <v>0.5238095238095238</v>
      </c>
      <c r="L315" s="14" t="n">
        <v>-0.09087606032913681</v>
      </c>
      <c r="M315" s="14" t="n">
        <v>-0.2181250224593581</v>
      </c>
      <c r="N315" s="15" t="n">
        <v>0</v>
      </c>
      <c r="O315" s="24" t="n">
        <v>0.839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FLA @ AUB</t>
        </is>
      </c>
      <c r="C316" s="17" t="inlineStr">
        <is>
          <t>2026-09-19 23:00</t>
        </is>
      </c>
      <c r="D316" s="25" t="n">
        <v>3</v>
      </c>
      <c r="E316" s="17" t="inlineStr">
        <is>
          <t>ATS</t>
        </is>
      </c>
      <c r="F316" s="17" t="inlineStr">
        <is>
          <t>FLA -2.5</t>
        </is>
      </c>
      <c r="G316" s="26" t="n">
        <v>2.5</v>
      </c>
      <c r="H316" s="18" t="n">
        <v>-110</v>
      </c>
      <c r="I316" s="20" t="n">
        <v>0.4090050221038707</v>
      </c>
      <c r="J316" s="20" t="n">
        <v>0.5</v>
      </c>
      <c r="K316" s="20" t="n">
        <v>0.5238095238095238</v>
      </c>
      <c r="L316" s="19" t="n">
        <v>-0.090968218647438</v>
      </c>
      <c r="M316" s="19" t="n">
        <v>-0.2191722305289742</v>
      </c>
      <c r="N316" s="20" t="n">
        <v>0</v>
      </c>
      <c r="O316" s="27" t="n">
        <v>0.839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LSU @ MISS</t>
        </is>
      </c>
      <c r="C317" s="12" t="inlineStr">
        <is>
          <t>2026-09-19 23:30</t>
        </is>
      </c>
      <c r="D317" s="22" t="n">
        <v>3</v>
      </c>
      <c r="E317" s="12" t="inlineStr">
        <is>
          <t>ML</t>
        </is>
      </c>
      <c r="F317" s="12" t="inlineStr">
        <is>
          <t>LSU ML</t>
        </is>
      </c>
      <c r="G317" s="23" t="n"/>
      <c r="H317" s="13" t="n">
        <v>-155</v>
      </c>
      <c r="I317" s="15" t="n">
        <v>0.4743335200201259</v>
      </c>
      <c r="J317" s="15" t="n">
        <v>0.5829926410466066</v>
      </c>
      <c r="K317" s="15" t="n">
        <v>0.6078431372549019</v>
      </c>
      <c r="L317" s="14" t="n">
        <v>-0.09131736831628295</v>
      </c>
      <c r="M317" s="14" t="n">
        <v>-0.2196448541604382</v>
      </c>
      <c r="N317" s="15" t="n">
        <v>0</v>
      </c>
      <c r="O317" s="24" t="n">
        <v>0.839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UTSA @ TEX</t>
        </is>
      </c>
      <c r="C318" s="17" t="inlineStr">
        <is>
          <t>2026-09-20 00:00</t>
        </is>
      </c>
      <c r="D318" s="25" t="n">
        <v>3</v>
      </c>
      <c r="E318" s="17" t="inlineStr">
        <is>
          <t>ML</t>
        </is>
      </c>
      <c r="F318" s="17" t="inlineStr">
        <is>
          <t>TEX ML</t>
        </is>
      </c>
      <c r="G318" s="26" t="n"/>
      <c r="H318" s="18" t="n">
        <v>-8000</v>
      </c>
      <c r="I318" s="20" t="n">
        <v>0.7774206836947584</v>
      </c>
      <c r="J318" s="20" t="n">
        <v>0.9578344612181156</v>
      </c>
      <c r="K318" s="20" t="n">
        <v>0.9876543209876543</v>
      </c>
      <c r="L318" s="19" t="n">
        <v>-0.09146450468265335</v>
      </c>
      <c r="M318" s="19" t="n">
        <v>-0.2128615577590572</v>
      </c>
      <c r="N318" s="20" t="n">
        <v>0</v>
      </c>
      <c r="O318" s="27" t="n">
        <v>0.839</v>
      </c>
      <c r="P318" s="17" t="inlineStr">
        <is>
          <t>DraftKings</t>
        </is>
      </c>
      <c r="Q318" s="17" t="inlineStr">
        <is>
          <t>price outside allowed range</t>
        </is>
      </c>
    </row>
    <row r="319">
      <c r="A319" s="12" t="inlineStr">
        <is>
          <t>PASS</t>
        </is>
      </c>
      <c r="B319" s="12" t="inlineStr">
        <is>
          <t>BGSU @ ISU</t>
        </is>
      </c>
      <c r="C319" s="12" t="inlineStr">
        <is>
          <t>2026-09-19 16:00</t>
        </is>
      </c>
      <c r="D319" s="22" t="n">
        <v>3</v>
      </c>
      <c r="E319" s="12" t="inlineStr">
        <is>
          <t>TOTAL</t>
        </is>
      </c>
      <c r="F319" s="12" t="inlineStr">
        <is>
          <t>Under 44.5</t>
        </is>
      </c>
      <c r="G319" s="23" t="n">
        <v>44.5</v>
      </c>
      <c r="H319" s="13" t="n">
        <v>-118</v>
      </c>
      <c r="I319" s="15" t="n">
        <v>0.4182356977895283</v>
      </c>
      <c r="J319" s="15" t="n">
        <v>0.5173641257162701</v>
      </c>
      <c r="K319" s="15" t="n">
        <v>0.5412844036697247</v>
      </c>
      <c r="L319" s="14" t="n">
        <v>-0.09169403822151395</v>
      </c>
      <c r="M319" s="14" t="n">
        <v>-0.2273272701854477</v>
      </c>
      <c r="N319" s="15" t="n">
        <v>0</v>
      </c>
      <c r="O319" s="24" t="n">
        <v>0.839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CCU @ DEL</t>
        </is>
      </c>
      <c r="C320" s="17" t="inlineStr">
        <is>
          <t>2026-09-19 15:30</t>
        </is>
      </c>
      <c r="D320" s="25" t="n">
        <v>3</v>
      </c>
      <c r="E320" s="17" t="inlineStr">
        <is>
          <t>TOTAL</t>
        </is>
      </c>
      <c r="F320" s="17" t="inlineStr">
        <is>
          <t>Over 57.5</t>
        </is>
      </c>
      <c r="G320" s="26" t="n">
        <v>57.5</v>
      </c>
      <c r="H320" s="18" t="n">
        <v>-110</v>
      </c>
      <c r="I320" s="20" t="n">
        <v>0.4024756263717841</v>
      </c>
      <c r="J320" s="20" t="n">
        <v>0.5</v>
      </c>
      <c r="K320" s="20" t="n">
        <v>0.5238095238095238</v>
      </c>
      <c r="L320" s="19" t="n">
        <v>-0.09192163064792221</v>
      </c>
      <c r="M320" s="19" t="n">
        <v>-0.2316374405629577</v>
      </c>
      <c r="N320" s="20" t="n">
        <v>0</v>
      </c>
      <c r="O320" s="27" t="n">
        <v>0.839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UTSA @ TEX</t>
        </is>
      </c>
      <c r="C321" s="12" t="inlineStr">
        <is>
          <t>2026-09-20 00:00</t>
        </is>
      </c>
      <c r="D321" s="22" t="n">
        <v>3</v>
      </c>
      <c r="E321" s="12" t="inlineStr">
        <is>
          <t>TOTAL</t>
        </is>
      </c>
      <c r="F321" s="12" t="inlineStr">
        <is>
          <t>Over 58.5</t>
        </is>
      </c>
      <c r="G321" s="23" t="n">
        <v>58.5</v>
      </c>
      <c r="H321" s="13" t="n">
        <v>-105</v>
      </c>
      <c r="I321" s="15" t="n">
        <v>0.3901234050199552</v>
      </c>
      <c r="J321" s="15" t="n">
        <v>0.4891657638136511</v>
      </c>
      <c r="K321" s="15" t="n">
        <v>0.5121951219512195</v>
      </c>
      <c r="L321" s="14" t="n">
        <v>-0.09236081974578154</v>
      </c>
      <c r="M321" s="14" t="n">
        <v>-0.2383304949610399</v>
      </c>
      <c r="N321" s="15" t="n">
        <v>0</v>
      </c>
      <c r="O321" s="24" t="n">
        <v>0.839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SMU @ LOU</t>
        </is>
      </c>
      <c r="C322" s="17" t="inlineStr">
        <is>
          <t>2026-09-19 19:30</t>
        </is>
      </c>
      <c r="D322" s="25" t="n">
        <v>3</v>
      </c>
      <c r="E322" s="17" t="inlineStr">
        <is>
          <t>TOTAL</t>
        </is>
      </c>
      <c r="F322" s="17" t="inlineStr">
        <is>
          <t>Over 59.5</t>
        </is>
      </c>
      <c r="G322" s="26" t="n">
        <v>59.5</v>
      </c>
      <c r="H322" s="18" t="n">
        <v>-102</v>
      </c>
      <c r="I322" s="20" t="n">
        <v>0.3817558214580244</v>
      </c>
      <c r="J322" s="20" t="n">
        <v>0.4826358742837298</v>
      </c>
      <c r="K322" s="20" t="n">
        <v>0.504950495049505</v>
      </c>
      <c r="L322" s="19" t="n">
        <v>-0.0926965062698101</v>
      </c>
      <c r="M322" s="19" t="n">
        <v>-0.2439737653478339</v>
      </c>
      <c r="N322" s="20" t="n">
        <v>0</v>
      </c>
      <c r="O322" s="27" t="n">
        <v>0.839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WMU @ RICE</t>
        </is>
      </c>
      <c r="C323" s="12" t="inlineStr">
        <is>
          <t>2026-09-19 23:00</t>
        </is>
      </c>
      <c r="D323" s="22" t="n">
        <v>3</v>
      </c>
      <c r="E323" s="12" t="inlineStr">
        <is>
          <t>TOTAL</t>
        </is>
      </c>
      <c r="F323" s="12" t="inlineStr">
        <is>
          <t>Under 43.5</t>
        </is>
      </c>
      <c r="G323" s="23" t="n">
        <v>43.5</v>
      </c>
      <c r="H323" s="13" t="n">
        <v>-105</v>
      </c>
      <c r="I323" s="15" t="n">
        <v>0.3867118854290292</v>
      </c>
      <c r="J323" s="15" t="n">
        <v>0.4891657638136511</v>
      </c>
      <c r="K323" s="15" t="n">
        <v>0.5121951219512195</v>
      </c>
      <c r="L323" s="14" t="n">
        <v>-0.09271688082241272</v>
      </c>
      <c r="M323" s="14" t="n">
        <v>-0.2449910808290382</v>
      </c>
      <c r="N323" s="15" t="n">
        <v>0</v>
      </c>
      <c r="O323" s="24" t="n">
        <v>0.839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EWU @ WASH</t>
        </is>
      </c>
      <c r="C324" s="17" t="inlineStr">
        <is>
          <t>2026-09-19 23:15</t>
        </is>
      </c>
      <c r="D324" s="25" t="n">
        <v>3</v>
      </c>
      <c r="E324" s="17" t="inlineStr">
        <is>
          <t>TOTAL</t>
        </is>
      </c>
      <c r="F324" s="17" t="inlineStr">
        <is>
          <t>Over 56.5</t>
        </is>
      </c>
      <c r="G324" s="26" t="n">
        <v>56.5</v>
      </c>
      <c r="H324" s="18" t="n">
        <v>-112</v>
      </c>
      <c r="I324" s="20" t="n">
        <v>0.3977054125661955</v>
      </c>
      <c r="J324" s="20" t="n">
        <v>0.5043297540699688</v>
      </c>
      <c r="K324" s="20" t="n">
        <v>0.5283018867924528</v>
      </c>
      <c r="L324" s="19" t="n">
        <v>-0.09280864456617079</v>
      </c>
      <c r="M324" s="19" t="n">
        <v>-0.2472004690711299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EWU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CONN @ USM</t>
        </is>
      </c>
      <c r="C325" s="12" t="inlineStr">
        <is>
          <t>2026-09-19 23:00</t>
        </is>
      </c>
      <c r="D325" s="22" t="n">
        <v>3</v>
      </c>
      <c r="E325" s="12" t="inlineStr">
        <is>
          <t>ML</t>
        </is>
      </c>
      <c r="F325" s="12" t="inlineStr">
        <is>
          <t>CONN ML</t>
        </is>
      </c>
      <c r="G325" s="23" t="n"/>
      <c r="H325" s="13" t="n">
        <v>-155</v>
      </c>
      <c r="I325" s="15" t="n">
        <v>0.4594187795805241</v>
      </c>
      <c r="J325" s="15" t="n">
        <v>0.5829926410466066</v>
      </c>
      <c r="K325" s="15" t="n">
        <v>0.6078431372549019</v>
      </c>
      <c r="L325" s="14" t="n">
        <v>-0.09283343962281329</v>
      </c>
      <c r="M325" s="14" t="n">
        <v>-0.2441820077868797</v>
      </c>
      <c r="N325" s="15" t="n">
        <v>0</v>
      </c>
      <c r="O325" s="24" t="n">
        <v>0.839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VT @ MD</t>
        </is>
      </c>
      <c r="C326" s="17" t="inlineStr">
        <is>
          <t>2026-09-19 23:30</t>
        </is>
      </c>
      <c r="D326" s="25" t="n">
        <v>3</v>
      </c>
      <c r="E326" s="17" t="inlineStr">
        <is>
          <t>ML</t>
        </is>
      </c>
      <c r="F326" s="17" t="inlineStr">
        <is>
          <t>VT ML</t>
        </is>
      </c>
      <c r="G326" s="26" t="n"/>
      <c r="H326" s="18" t="n">
        <v>-142</v>
      </c>
      <c r="I326" s="20" t="n">
        <v>0.4406299448226706</v>
      </c>
      <c r="J326" s="20" t="n">
        <v>0.5634920634920635</v>
      </c>
      <c r="K326" s="20" t="n">
        <v>0.5867768595041323</v>
      </c>
      <c r="L326" s="19" t="n">
        <v>-0.09309082286648408</v>
      </c>
      <c r="M326" s="19" t="n">
        <v>-0.2490672771331952</v>
      </c>
      <c r="N326" s="20" t="n">
        <v>0</v>
      </c>
      <c r="O326" s="27" t="n">
        <v>0.839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MSST @ SC</t>
        </is>
      </c>
      <c r="C327" s="12" t="inlineStr">
        <is>
          <t>2026-09-19 20:15</t>
        </is>
      </c>
      <c r="D327" s="22" t="n">
        <v>3</v>
      </c>
      <c r="E327" s="12" t="inlineStr">
        <is>
          <t>TOTAL</t>
        </is>
      </c>
      <c r="F327" s="12" t="inlineStr">
        <is>
          <t>Over 58.5</t>
        </is>
      </c>
      <c r="G327" s="23" t="n">
        <v>58.5</v>
      </c>
      <c r="H327" s="13" t="n">
        <v>-112</v>
      </c>
      <c r="I327" s="15" t="n">
        <v>0.3942940059829559</v>
      </c>
      <c r="J327" s="15" t="n">
        <v>0.5043297540699688</v>
      </c>
      <c r="K327" s="15" t="n">
        <v>0.5283018867924528</v>
      </c>
      <c r="L327" s="14" t="n">
        <v>-0.09309658952126311</v>
      </c>
      <c r="M327" s="14" t="n">
        <v>-0.2536577743894048</v>
      </c>
      <c r="N327" s="15" t="n">
        <v>0</v>
      </c>
      <c r="O327" s="24" t="n">
        <v>0.839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JMU @ SDSU</t>
        </is>
      </c>
      <c r="C328" s="17" t="inlineStr">
        <is>
          <t>2026-09-20 02:00</t>
        </is>
      </c>
      <c r="D328" s="25" t="n">
        <v>3</v>
      </c>
      <c r="E328" s="17" t="inlineStr">
        <is>
          <t>TOTAL</t>
        </is>
      </c>
      <c r="F328" s="17" t="inlineStr">
        <is>
          <t>Under 46.5</t>
        </is>
      </c>
      <c r="G328" s="26" t="n">
        <v>46.5</v>
      </c>
      <c r="H328" s="18" t="n">
        <v>-115</v>
      </c>
      <c r="I328" s="20" t="n">
        <v>0.3992471322794217</v>
      </c>
      <c r="J328" s="20" t="n">
        <v>0.5108342361863488</v>
      </c>
      <c r="K328" s="20" t="n">
        <v>0.5348837209302325</v>
      </c>
      <c r="L328" s="19" t="n">
        <v>-0.09310682808206738</v>
      </c>
      <c r="M328" s="19" t="n">
        <v>-0.2535814483471682</v>
      </c>
      <c r="N328" s="20" t="n">
        <v>0</v>
      </c>
      <c r="O328" s="27" t="n">
        <v>0.839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MER @ GT</t>
        </is>
      </c>
      <c r="C329" s="12" t="inlineStr">
        <is>
          <t>2026-09-19 16:00</t>
        </is>
      </c>
      <c r="D329" s="22" t="n">
        <v>3</v>
      </c>
      <c r="E329" s="12" t="inlineStr">
        <is>
          <t>TOTAL</t>
        </is>
      </c>
      <c r="F329" s="12" t="inlineStr">
        <is>
          <t>Over 58.5</t>
        </is>
      </c>
      <c r="G329" s="23" t="n">
        <v>58.5</v>
      </c>
      <c r="H329" s="13" t="n">
        <v>-115</v>
      </c>
      <c r="I329" s="15" t="n">
        <v>0.3975462470411459</v>
      </c>
      <c r="J329" s="15" t="n">
        <v>0.5108342361863488</v>
      </c>
      <c r="K329" s="15" t="n">
        <v>0.5348837209302325</v>
      </c>
      <c r="L329" s="14" t="n">
        <v>-0.09323379861365483</v>
      </c>
      <c r="M329" s="14" t="n">
        <v>-0.2567613642274229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MER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MRSH @ MOST</t>
        </is>
      </c>
      <c r="C330" s="17" t="inlineStr">
        <is>
          <t>2026-09-19 22:30</t>
        </is>
      </c>
      <c r="D330" s="25" t="n">
        <v>3</v>
      </c>
      <c r="E330" s="17" t="inlineStr">
        <is>
          <t>ML</t>
        </is>
      </c>
      <c r="F330" s="17" t="inlineStr">
        <is>
          <t>MRSH ML</t>
        </is>
      </c>
      <c r="G330" s="26" t="n"/>
      <c r="H330" s="18" t="n">
        <v>-166</v>
      </c>
      <c r="I330" s="20" t="n">
        <v>0.4649708504764806</v>
      </c>
      <c r="J330" s="20" t="n">
        <v>0.5996387718242023</v>
      </c>
      <c r="K330" s="20" t="n">
        <v>0.6240601503759399</v>
      </c>
      <c r="L330" s="19" t="n">
        <v>-0.09333440501169969</v>
      </c>
      <c r="M330" s="19" t="n">
        <v>-0.2549262275497359</v>
      </c>
      <c r="N330" s="20" t="n">
        <v>0</v>
      </c>
      <c r="O330" s="27" t="n">
        <v>0.839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LSU @ MISS</t>
        </is>
      </c>
      <c r="C331" s="12" t="inlineStr">
        <is>
          <t>2026-09-19 23:30</t>
        </is>
      </c>
      <c r="D331" s="22" t="n">
        <v>3</v>
      </c>
      <c r="E331" s="12" t="inlineStr">
        <is>
          <t>ATS</t>
        </is>
      </c>
      <c r="F331" s="12" t="inlineStr">
        <is>
          <t>LSU -3</t>
        </is>
      </c>
      <c r="G331" s="23" t="n">
        <v>3</v>
      </c>
      <c r="H331" s="13" t="n">
        <v>-108</v>
      </c>
      <c r="I331" s="15" t="n">
        <v>0.3830044119759106</v>
      </c>
      <c r="J331" s="15" t="n">
        <v>0.4956702459300312</v>
      </c>
      <c r="K331" s="15" t="n">
        <v>0.5192307692307693</v>
      </c>
      <c r="L331" s="14" t="n">
        <v>-0.09342627689210184</v>
      </c>
      <c r="M331" s="14" t="n">
        <v>-0.2489027091347995</v>
      </c>
      <c r="N331" s="15" t="n">
        <v>0.0513</v>
      </c>
      <c r="O331" s="24" t="n">
        <v>0.839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USC @ RUTG</t>
        </is>
      </c>
      <c r="C332" s="17" t="inlineStr">
        <is>
          <t>2026-09-19 19:30</t>
        </is>
      </c>
      <c r="D332" s="25" t="n">
        <v>3</v>
      </c>
      <c r="E332" s="17" t="inlineStr">
        <is>
          <t>TOTAL</t>
        </is>
      </c>
      <c r="F332" s="17" t="inlineStr">
        <is>
          <t>Over 59.5</t>
        </is>
      </c>
      <c r="G332" s="26" t="n">
        <v>59.5</v>
      </c>
      <c r="H332" s="18" t="n">
        <v>-110</v>
      </c>
      <c r="I332" s="20" t="n">
        <v>0.3821306823565418</v>
      </c>
      <c r="J332" s="20" t="n">
        <v>0.5</v>
      </c>
      <c r="K332" s="20" t="n">
        <v>0.5238095238095238</v>
      </c>
      <c r="L332" s="19" t="n">
        <v>-0.09368065252250113</v>
      </c>
      <c r="M332" s="19" t="n">
        <v>-0.2704777882284202</v>
      </c>
      <c r="N332" s="20" t="n">
        <v>0</v>
      </c>
      <c r="O332" s="27" t="n">
        <v>0.839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WMU @ RICE</t>
        </is>
      </c>
      <c r="C333" s="12" t="inlineStr">
        <is>
          <t>2026-09-19 23:00</t>
        </is>
      </c>
      <c r="D333" s="22" t="n">
        <v>3</v>
      </c>
      <c r="E333" s="12" t="inlineStr">
        <is>
          <t>ML</t>
        </is>
      </c>
      <c r="F333" s="12" t="inlineStr">
        <is>
          <t>WMU ML</t>
        </is>
      </c>
      <c r="G333" s="23" t="n"/>
      <c r="H333" s="13" t="n">
        <v>-375</v>
      </c>
      <c r="I333" s="15" t="n">
        <v>0.5770168407509679</v>
      </c>
      <c r="J333" s="15" t="n">
        <v>0.7571884984025559</v>
      </c>
      <c r="K333" s="15" t="n">
        <v>0.7894736842105263</v>
      </c>
      <c r="L333" s="14" t="n">
        <v>-0.09374022225691331</v>
      </c>
      <c r="M333" s="14" t="n">
        <v>-0.2691120017154407</v>
      </c>
      <c r="N333" s="15" t="n">
        <v>0</v>
      </c>
      <c r="O333" s="24" t="n">
        <v>0.839</v>
      </c>
      <c r="P333" s="12" t="inlineStr">
        <is>
          <t>DraftKings</t>
        </is>
      </c>
      <c r="Q333" s="12" t="inlineStr">
        <is>
          <t>raw model/market disagreement exceeds the safety limit</t>
        </is>
      </c>
    </row>
    <row r="334">
      <c r="A334" s="17" t="inlineStr">
        <is>
          <t>PASS</t>
        </is>
      </c>
      <c r="B334" s="17" t="inlineStr">
        <is>
          <t>KENN @ TENN</t>
        </is>
      </c>
      <c r="C334" s="17" t="inlineStr">
        <is>
          <t>2026-09-19 23:45</t>
        </is>
      </c>
      <c r="D334" s="25" t="n">
        <v>3</v>
      </c>
      <c r="E334" s="17" t="inlineStr">
        <is>
          <t>TOTAL</t>
        </is>
      </c>
      <c r="F334" s="17" t="inlineStr">
        <is>
          <t>Over 59.5</t>
        </is>
      </c>
      <c r="G334" s="26" t="n">
        <v>59.5</v>
      </c>
      <c r="H334" s="18" t="n">
        <v>-110</v>
      </c>
      <c r="I334" s="20" t="n">
        <v>0.3804997807918085</v>
      </c>
      <c r="J334" s="20" t="n">
        <v>0.5</v>
      </c>
      <c r="K334" s="20" t="n">
        <v>0.5238095238095238</v>
      </c>
      <c r="L334" s="19" t="n">
        <v>-0.0937676428976935</v>
      </c>
      <c r="M334" s="19" t="n">
        <v>-0.2735913275792747</v>
      </c>
      <c r="N334" s="20" t="n">
        <v>0</v>
      </c>
      <c r="O334" s="27" t="n">
        <v>0.839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WKU @ IU</t>
        </is>
      </c>
      <c r="C335" s="12" t="inlineStr">
        <is>
          <t>2026-09-19 20:00</t>
        </is>
      </c>
      <c r="D335" s="22" t="n">
        <v>3</v>
      </c>
      <c r="E335" s="12" t="inlineStr">
        <is>
          <t>TOTAL</t>
        </is>
      </c>
      <c r="F335" s="12" t="inlineStr">
        <is>
          <t>Over 60.5</t>
        </is>
      </c>
      <c r="G335" s="23" t="n">
        <v>60.5</v>
      </c>
      <c r="H335" s="13" t="n">
        <v>-115</v>
      </c>
      <c r="I335" s="15" t="n">
        <v>0.3831148412569887</v>
      </c>
      <c r="J335" s="15" t="n">
        <v>0.5052301255230125</v>
      </c>
      <c r="K335" s="15" t="n">
        <v>0.5348837209302325</v>
      </c>
      <c r="L335" s="14" t="n">
        <v>-0.09383536696023384</v>
      </c>
      <c r="M335" s="14" t="n">
        <v>-0.2837418185195429</v>
      </c>
      <c r="N335" s="15" t="n">
        <v>0</v>
      </c>
      <c r="O335" s="24" t="n">
        <v>0.839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FRES @ SJSU</t>
        </is>
      </c>
      <c r="C336" s="17" t="inlineStr">
        <is>
          <t>2026-09-20 03:00</t>
        </is>
      </c>
      <c r="D336" s="25" t="n">
        <v>3</v>
      </c>
      <c r="E336" s="17" t="inlineStr">
        <is>
          <t>ML</t>
        </is>
      </c>
      <c r="F336" s="17" t="inlineStr">
        <is>
          <t>FRES ML</t>
        </is>
      </c>
      <c r="G336" s="26" t="n"/>
      <c r="H336" s="18" t="n">
        <v>-250</v>
      </c>
      <c r="I336" s="20" t="n">
        <v>0.5170153750040301</v>
      </c>
      <c r="J336" s="20" t="n">
        <v>0.6853932584269663</v>
      </c>
      <c r="K336" s="20" t="n">
        <v>0.7142857142857143</v>
      </c>
      <c r="L336" s="19" t="n">
        <v>-0.09392808293129191</v>
      </c>
      <c r="M336" s="19" t="n">
        <v>-0.276178474994358</v>
      </c>
      <c r="N336" s="20" t="n">
        <v>0</v>
      </c>
      <c r="O336" s="27" t="n">
        <v>0.839</v>
      </c>
      <c r="P336" s="17" t="inlineStr">
        <is>
          <t>DraftKings</t>
        </is>
      </c>
      <c r="Q336" s="17" t="inlineStr">
        <is>
          <t>raw model/market disagreement exceeds the safety limit</t>
        </is>
      </c>
    </row>
    <row r="337">
      <c r="A337" s="12" t="inlineStr">
        <is>
          <t>PASS</t>
        </is>
      </c>
      <c r="B337" s="12" t="inlineStr">
        <is>
          <t>PUR @ UCLA</t>
        </is>
      </c>
      <c r="C337" s="12" t="inlineStr">
        <is>
          <t>2026-09-20 03:00</t>
        </is>
      </c>
      <c r="D337" s="22" t="n">
        <v>3</v>
      </c>
      <c r="E337" s="12" t="inlineStr">
        <is>
          <t>ATS</t>
        </is>
      </c>
      <c r="F337" s="12" t="inlineStr">
        <is>
          <t>UCLA -14</t>
        </is>
      </c>
      <c r="G337" s="23" t="n">
        <v>-14</v>
      </c>
      <c r="H337" s="13" t="n">
        <v>-112</v>
      </c>
      <c r="I337" s="15" t="n">
        <v>0.3801361289796016</v>
      </c>
      <c r="J337" s="15" t="n">
        <v>0.5043297540699688</v>
      </c>
      <c r="K337" s="15" t="n">
        <v>0.5283018867924528</v>
      </c>
      <c r="L337" s="14" t="n">
        <v>-0.09394121264905797</v>
      </c>
      <c r="M337" s="14" t="n">
        <v>-0.2701638553056907</v>
      </c>
      <c r="N337" s="15" t="n">
        <v>0.0367</v>
      </c>
      <c r="O337" s="24" t="n">
        <v>0.839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LSU @ MISS</t>
        </is>
      </c>
      <c r="C338" s="17" t="inlineStr">
        <is>
          <t>2026-09-19 23:30</t>
        </is>
      </c>
      <c r="D338" s="25" t="n">
        <v>3</v>
      </c>
      <c r="E338" s="17" t="inlineStr">
        <is>
          <t>TOTAL</t>
        </is>
      </c>
      <c r="F338" s="17" t="inlineStr">
        <is>
          <t>Over 59.5</t>
        </is>
      </c>
      <c r="G338" s="26" t="n">
        <v>59.5</v>
      </c>
      <c r="H338" s="18" t="n">
        <v>-108</v>
      </c>
      <c r="I338" s="20" t="n">
        <v>0.3719163606577531</v>
      </c>
      <c r="J338" s="20" t="n">
        <v>0.4956702459300312</v>
      </c>
      <c r="K338" s="20" t="n">
        <v>0.5192307692307693</v>
      </c>
      <c r="L338" s="19" t="n">
        <v>-0.09401428054647329</v>
      </c>
      <c r="M338" s="19" t="n">
        <v>-0.2837166387332162</v>
      </c>
      <c r="N338" s="20" t="n">
        <v>0</v>
      </c>
      <c r="O338" s="27" t="n">
        <v>0.839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SELA @ ULM</t>
        </is>
      </c>
      <c r="C339" s="12" t="inlineStr">
        <is>
          <t>2026-09-19 20:30</t>
        </is>
      </c>
      <c r="D339" s="22" t="n">
        <v>3</v>
      </c>
      <c r="E339" s="12" t="inlineStr">
        <is>
          <t>ATS</t>
        </is>
      </c>
      <c r="F339" s="12" t="inlineStr">
        <is>
          <t>ULM -10.5</t>
        </is>
      </c>
      <c r="G339" s="23" t="n">
        <v>-10.5</v>
      </c>
      <c r="H339" s="13" t="n">
        <v>-108</v>
      </c>
      <c r="I339" s="15" t="n">
        <v>0.3701746826541274</v>
      </c>
      <c r="J339" s="15" t="n">
        <v>0.4956702459300312</v>
      </c>
      <c r="K339" s="15" t="n">
        <v>0.5192307692307693</v>
      </c>
      <c r="L339" s="14" t="n">
        <v>-0.0940842280344264</v>
      </c>
      <c r="M339" s="14" t="n">
        <v>-0.2870709815550139</v>
      </c>
      <c r="N339" s="15" t="n">
        <v>0</v>
      </c>
      <c r="O339" s="24" t="n">
        <v>0.725</v>
      </c>
      <c r="P339" s="12" t="inlineStr">
        <is>
          <t>DraftKings</t>
        </is>
      </c>
      <c r="Q339" s="12" t="inlineStr">
        <is>
          <t>SELA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NEV @ MTSU</t>
        </is>
      </c>
      <c r="C340" s="17" t="inlineStr">
        <is>
          <t>2026-09-19 23:00</t>
        </is>
      </c>
      <c r="D340" s="25" t="n">
        <v>3</v>
      </c>
      <c r="E340" s="17" t="inlineStr">
        <is>
          <t>ML</t>
        </is>
      </c>
      <c r="F340" s="17" t="inlineStr">
        <is>
          <t>NEV ML</t>
        </is>
      </c>
      <c r="G340" s="26" t="n"/>
      <c r="H340" s="18" t="n">
        <v>-180</v>
      </c>
      <c r="I340" s="20" t="n">
        <v>0.4595324543022881</v>
      </c>
      <c r="J340" s="20" t="n">
        <v>0.6164383561643836</v>
      </c>
      <c r="K340" s="20" t="n">
        <v>0.6428571428571429</v>
      </c>
      <c r="L340" s="19" t="n">
        <v>-0.09410981841137971</v>
      </c>
      <c r="M340" s="19" t="n">
        <v>-0.2851717377519963</v>
      </c>
      <c r="N340" s="20" t="n">
        <v>0</v>
      </c>
      <c r="O340" s="27" t="n">
        <v>0.839</v>
      </c>
      <c r="P340" s="17" t="inlineStr">
        <is>
          <t>DraftKings</t>
        </is>
      </c>
      <c r="Q340" s="17" t="inlineStr">
        <is>
          <t>raw model/market disagreement exceeds the safety limit</t>
        </is>
      </c>
    </row>
    <row r="341">
      <c r="A341" s="12" t="inlineStr">
        <is>
          <t>PASS</t>
        </is>
      </c>
      <c r="B341" s="12" t="inlineStr">
        <is>
          <t>CONN @ USM</t>
        </is>
      </c>
      <c r="C341" s="12" t="inlineStr">
        <is>
          <t>2026-09-19 23:00</t>
        </is>
      </c>
      <c r="D341" s="22" t="n">
        <v>3</v>
      </c>
      <c r="E341" s="12" t="inlineStr">
        <is>
          <t>ATS</t>
        </is>
      </c>
      <c r="F341" s="12" t="inlineStr">
        <is>
          <t>CONN -3</t>
        </is>
      </c>
      <c r="G341" s="23" t="n">
        <v>3</v>
      </c>
      <c r="H341" s="13" t="n">
        <v>-115</v>
      </c>
      <c r="I341" s="15" t="n">
        <v>0.377072328446254</v>
      </c>
      <c r="J341" s="15" t="n">
        <v>0.5108342361863488</v>
      </c>
      <c r="K341" s="15" t="n">
        <v>0.5348837209302325</v>
      </c>
      <c r="L341" s="14" t="n">
        <v>-0.09423634055429721</v>
      </c>
      <c r="M341" s="14" t="n">
        <v>-0.2806408022096825</v>
      </c>
      <c r="N341" s="15" t="n">
        <v>0.0488</v>
      </c>
      <c r="O341" s="24" t="n">
        <v>0.839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VT @ MD</t>
        </is>
      </c>
      <c r="C342" s="17" t="inlineStr">
        <is>
          <t>2026-09-19 23:30</t>
        </is>
      </c>
      <c r="D342" s="25" t="n">
        <v>3</v>
      </c>
      <c r="E342" s="17" t="inlineStr">
        <is>
          <t>ATS</t>
        </is>
      </c>
      <c r="F342" s="17" t="inlineStr">
        <is>
          <t>VT -3</t>
        </is>
      </c>
      <c r="G342" s="26" t="n">
        <v>3</v>
      </c>
      <c r="H342" s="18" t="n">
        <v>-105</v>
      </c>
      <c r="I342" s="20" t="n">
        <v>0.3582274842555104</v>
      </c>
      <c r="J342" s="20" t="n">
        <v>0.4891657638136511</v>
      </c>
      <c r="K342" s="20" t="n">
        <v>0.5121951219512195</v>
      </c>
      <c r="L342" s="19" t="n">
        <v>-0.09432418656267386</v>
      </c>
      <c r="M342" s="19" t="n">
        <v>-0.2864450590652328</v>
      </c>
      <c r="N342" s="20" t="n">
        <v>0.0471</v>
      </c>
      <c r="O342" s="27" t="n">
        <v>0.839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MRSH @ MOST</t>
        </is>
      </c>
      <c r="C343" s="12" t="inlineStr">
        <is>
          <t>2026-09-19 22:30</t>
        </is>
      </c>
      <c r="D343" s="22" t="n">
        <v>3</v>
      </c>
      <c r="E343" s="12" t="inlineStr">
        <is>
          <t>ATS</t>
        </is>
      </c>
      <c r="F343" s="12" t="inlineStr">
        <is>
          <t>MRSH -3.5</t>
        </is>
      </c>
      <c r="G343" s="23" t="n">
        <v>3.5</v>
      </c>
      <c r="H343" s="13" t="n">
        <v>-105</v>
      </c>
      <c r="I343" s="15" t="n">
        <v>0.3580127703862315</v>
      </c>
      <c r="J343" s="15" t="n">
        <v>0.4891657638136511</v>
      </c>
      <c r="K343" s="15" t="n">
        <v>0.5121951219512195</v>
      </c>
      <c r="L343" s="14" t="n">
        <v>-0.0943303809576284</v>
      </c>
      <c r="M343" s="14" t="n">
        <v>-0.3010226863887862</v>
      </c>
      <c r="N343" s="15" t="n">
        <v>0</v>
      </c>
      <c r="O343" s="24" t="n">
        <v>0.839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MIA @ WAKE</t>
        </is>
      </c>
      <c r="C344" s="17" t="inlineStr">
        <is>
          <t>2026-09-18 23:30</t>
        </is>
      </c>
      <c r="D344" s="25" t="n">
        <v>3</v>
      </c>
      <c r="E344" s="17" t="inlineStr">
        <is>
          <t>ML</t>
        </is>
      </c>
      <c r="F344" s="17" t="inlineStr">
        <is>
          <t>MIA ML</t>
        </is>
      </c>
      <c r="G344" s="26" t="n"/>
      <c r="H344" s="18" t="n">
        <v>-1350</v>
      </c>
      <c r="I344" s="20" t="n">
        <v>0.6509920445591368</v>
      </c>
      <c r="J344" s="20" t="n">
        <v>0.8933823529411765</v>
      </c>
      <c r="K344" s="20" t="n">
        <v>0.9310344827586207</v>
      </c>
      <c r="L344" s="19" t="n">
        <v>-0.09437388740084357</v>
      </c>
      <c r="M344" s="19" t="n">
        <v>-0.3007863225105568</v>
      </c>
      <c r="N344" s="20" t="n">
        <v>0</v>
      </c>
      <c r="O344" s="27" t="n">
        <v>0.839</v>
      </c>
      <c r="P344" s="17" t="inlineStr">
        <is>
          <t>DraftKings</t>
        </is>
      </c>
      <c r="Q344" s="17" t="inlineStr">
        <is>
          <t>price outside allowed range</t>
        </is>
      </c>
    </row>
    <row r="345">
      <c r="A345" s="12" t="inlineStr">
        <is>
          <t>PASS</t>
        </is>
      </c>
      <c r="B345" s="12" t="inlineStr">
        <is>
          <t>UGA @ ARK</t>
        </is>
      </c>
      <c r="C345" s="12" t="inlineStr">
        <is>
          <t>2026-09-19 16:00</t>
        </is>
      </c>
      <c r="D345" s="22" t="n">
        <v>3</v>
      </c>
      <c r="E345" s="12" t="inlineStr">
        <is>
          <t>ML</t>
        </is>
      </c>
      <c r="F345" s="12" t="inlineStr">
        <is>
          <t>UGA ML</t>
        </is>
      </c>
      <c r="G345" s="23" t="n"/>
      <c r="H345" s="13" t="n">
        <v>-3200</v>
      </c>
      <c r="I345" s="15" t="n">
        <v>0.6748093963233049</v>
      </c>
      <c r="J345" s="15" t="n">
        <v>0.9356725146198831</v>
      </c>
      <c r="K345" s="15" t="n">
        <v>0.9696969696969697</v>
      </c>
      <c r="L345" s="14" t="n">
        <v>-0.09446485450655664</v>
      </c>
      <c r="M345" s="14" t="n">
        <v>-0.3041028100415918</v>
      </c>
      <c r="N345" s="15" t="n">
        <v>0</v>
      </c>
      <c r="O345" s="24" t="n">
        <v>0.839</v>
      </c>
      <c r="P345" s="12" t="inlineStr">
        <is>
          <t>DraftKings</t>
        </is>
      </c>
      <c r="Q345" s="12" t="inlineStr">
        <is>
          <t>price outside allowed range</t>
        </is>
      </c>
    </row>
    <row r="346">
      <c r="A346" s="17" t="inlineStr">
        <is>
          <t>PASS</t>
        </is>
      </c>
      <c r="B346" s="17" t="inlineStr">
        <is>
          <t>WYO @ CMU</t>
        </is>
      </c>
      <c r="C346" s="17" t="inlineStr">
        <is>
          <t>2026-09-19 17:00</t>
        </is>
      </c>
      <c r="D346" s="25" t="n">
        <v>3</v>
      </c>
      <c r="E346" s="17" t="inlineStr">
        <is>
          <t>TOTAL</t>
        </is>
      </c>
      <c r="F346" s="17" t="inlineStr">
        <is>
          <t>Under 39.5</t>
        </is>
      </c>
      <c r="G346" s="26" t="n">
        <v>39.5</v>
      </c>
      <c r="H346" s="18" t="n">
        <v>-110</v>
      </c>
      <c r="I346" s="20" t="n">
        <v>0.3587995213306191</v>
      </c>
      <c r="J346" s="20" t="n">
        <v>0.5</v>
      </c>
      <c r="K346" s="20" t="n">
        <v>0.5238095238095238</v>
      </c>
      <c r="L346" s="19" t="n">
        <v>-0.0945038485118886</v>
      </c>
      <c r="M346" s="19" t="n">
        <v>-0.3150190956415453</v>
      </c>
      <c r="N346" s="20" t="n">
        <v>0</v>
      </c>
      <c r="O346" s="27" t="n">
        <v>0.839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NDSU @ SAC</t>
        </is>
      </c>
      <c r="C347" s="12" t="inlineStr">
        <is>
          <t>2026-09-20 02:30</t>
        </is>
      </c>
      <c r="D347" s="22" t="n">
        <v>3</v>
      </c>
      <c r="E347" s="12" t="inlineStr">
        <is>
          <t>ML</t>
        </is>
      </c>
      <c r="F347" s="12" t="inlineStr">
        <is>
          <t>NDSU ML</t>
        </is>
      </c>
      <c r="G347" s="23" t="n"/>
      <c r="H347" s="13" t="n">
        <v>-8000</v>
      </c>
      <c r="I347" s="15" t="n">
        <v>0.6843423226945632</v>
      </c>
      <c r="J347" s="15" t="n">
        <v>0.9578344612181156</v>
      </c>
      <c r="K347" s="15" t="n">
        <v>0.9876543209876543</v>
      </c>
      <c r="L347" s="14" t="n">
        <v>-0.09453541863699624</v>
      </c>
      <c r="M347" s="14" t="n">
        <v>-0.3071033982717548</v>
      </c>
      <c r="N347" s="15" t="n">
        <v>0</v>
      </c>
      <c r="O347" s="24" t="n">
        <v>0.926</v>
      </c>
      <c r="P347" s="12" t="inlineStr">
        <is>
          <t>DraftKings</t>
        </is>
      </c>
      <c r="Q347" s="12" t="inlineStr">
        <is>
          <t>price outside allowed range</t>
        </is>
      </c>
    </row>
    <row r="348">
      <c r="A348" s="17" t="inlineStr">
        <is>
          <t>PASS</t>
        </is>
      </c>
      <c r="B348" s="17" t="inlineStr">
        <is>
          <t>UK @ TA&amp;M</t>
        </is>
      </c>
      <c r="C348" s="17" t="inlineStr">
        <is>
          <t>2026-09-19 19:30</t>
        </is>
      </c>
      <c r="D348" s="25" t="n">
        <v>3</v>
      </c>
      <c r="E348" s="17" t="inlineStr">
        <is>
          <t>ATS</t>
        </is>
      </c>
      <c r="F348" s="17" t="inlineStr">
        <is>
          <t>TA&amp;M -16.5</t>
        </is>
      </c>
      <c r="G348" s="26" t="n">
        <v>-16.5</v>
      </c>
      <c r="H348" s="18" t="n">
        <v>-118</v>
      </c>
      <c r="I348" s="20" t="n">
        <v>0.3683334909552574</v>
      </c>
      <c r="J348" s="20" t="n">
        <v>0.5173641257162701</v>
      </c>
      <c r="K348" s="20" t="n">
        <v>0.5412844036697247</v>
      </c>
      <c r="L348" s="19" t="n">
        <v>-0.094559421486858</v>
      </c>
      <c r="M348" s="19" t="n">
        <v>-0.3195194828114736</v>
      </c>
      <c r="N348" s="20" t="n">
        <v>0</v>
      </c>
      <c r="O348" s="27" t="n">
        <v>0.839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USC @ RUTG</t>
        </is>
      </c>
      <c r="C349" s="12" t="inlineStr">
        <is>
          <t>2026-09-19 19:30</t>
        </is>
      </c>
      <c r="D349" s="22" t="n">
        <v>3</v>
      </c>
      <c r="E349" s="12" t="inlineStr">
        <is>
          <t>ML</t>
        </is>
      </c>
      <c r="F349" s="12" t="inlineStr">
        <is>
          <t>USC ML</t>
        </is>
      </c>
      <c r="G349" s="23" t="n"/>
      <c r="H349" s="13" t="n">
        <v>-1800</v>
      </c>
      <c r="I349" s="15" t="n">
        <v>0.6493628440272228</v>
      </c>
      <c r="J349" s="15" t="n">
        <v>0.912442396313364</v>
      </c>
      <c r="K349" s="15" t="n">
        <v>0.9473684210526315</v>
      </c>
      <c r="L349" s="14" t="n">
        <v>-0.09456188558839321</v>
      </c>
      <c r="M349" s="14" t="n">
        <v>-0.3145614424157093</v>
      </c>
      <c r="N349" s="15" t="n">
        <v>0</v>
      </c>
      <c r="O349" s="24" t="n">
        <v>0.839</v>
      </c>
      <c r="P349" s="12" t="inlineStr">
        <is>
          <t>DraftKings</t>
        </is>
      </c>
      <c r="Q349" s="12" t="inlineStr">
        <is>
          <t>price outside allowed range</t>
        </is>
      </c>
    </row>
    <row r="350">
      <c r="A350" s="17" t="inlineStr">
        <is>
          <t>PASS</t>
        </is>
      </c>
      <c r="B350" s="17" t="inlineStr">
        <is>
          <t>M-OH @ CIN</t>
        </is>
      </c>
      <c r="C350" s="17" t="inlineStr">
        <is>
          <t>2026-09-19 19:30</t>
        </is>
      </c>
      <c r="D350" s="25" t="n">
        <v>3</v>
      </c>
      <c r="E350" s="17" t="inlineStr">
        <is>
          <t>ATS</t>
        </is>
      </c>
      <c r="F350" s="17" t="inlineStr">
        <is>
          <t>CIN -14.5</t>
        </is>
      </c>
      <c r="G350" s="26" t="n">
        <v>-14.5</v>
      </c>
      <c r="H350" s="18" t="n">
        <v>-108</v>
      </c>
      <c r="I350" s="20" t="n">
        <v>0.3526539624572082</v>
      </c>
      <c r="J350" s="20" t="n">
        <v>0.4956702459300312</v>
      </c>
      <c r="K350" s="20" t="n">
        <v>0.5192307692307693</v>
      </c>
      <c r="L350" s="19" t="n">
        <v>-0.09456378214400843</v>
      </c>
      <c r="M350" s="19" t="n">
        <v>-0.3208145908231546</v>
      </c>
      <c r="N350" s="20" t="n">
        <v>0</v>
      </c>
      <c r="O350" s="27" t="n">
        <v>0.839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WVU @ UVA</t>
        </is>
      </c>
      <c r="C351" s="12" t="inlineStr">
        <is>
          <t>2026-09-19 23:30</t>
        </is>
      </c>
      <c r="D351" s="22" t="n">
        <v>3</v>
      </c>
      <c r="E351" s="12" t="inlineStr">
        <is>
          <t>ATS</t>
        </is>
      </c>
      <c r="F351" s="12" t="inlineStr">
        <is>
          <t>UVA -10</t>
        </is>
      </c>
      <c r="G351" s="23" t="n">
        <v>-10</v>
      </c>
      <c r="H351" s="13" t="n">
        <v>-118</v>
      </c>
      <c r="I351" s="15" t="n">
        <v>0.3676991359192762</v>
      </c>
      <c r="J351" s="15" t="n">
        <v>0.5173641257162701</v>
      </c>
      <c r="K351" s="15" t="n">
        <v>0.5412844036697247</v>
      </c>
      <c r="L351" s="14" t="n">
        <v>-0.09457062334337261</v>
      </c>
      <c r="M351" s="14" t="n">
        <v>-0.310365162916074</v>
      </c>
      <c r="N351" s="15" t="n">
        <v>0.0322</v>
      </c>
      <c r="O351" s="24" t="n">
        <v>0.839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BYU @ CSU</t>
        </is>
      </c>
      <c r="C352" s="17" t="inlineStr">
        <is>
          <t>2026-09-19 23:30</t>
        </is>
      </c>
      <c r="D352" s="25" t="n">
        <v>3</v>
      </c>
      <c r="E352" s="17" t="inlineStr">
        <is>
          <t>ML</t>
        </is>
      </c>
      <c r="F352" s="17" t="inlineStr">
        <is>
          <t>BYU ML</t>
        </is>
      </c>
      <c r="G352" s="26" t="n"/>
      <c r="H352" s="18" t="n">
        <v>-1000</v>
      </c>
      <c r="I352" s="20" t="n">
        <v>0.61318977860225</v>
      </c>
      <c r="J352" s="20" t="n">
        <v>0.8720930232558138</v>
      </c>
      <c r="K352" s="20" t="n">
        <v>0.9090909090909091</v>
      </c>
      <c r="L352" s="19" t="n">
        <v>-0.09463392595635392</v>
      </c>
      <c r="M352" s="19" t="n">
        <v>-0.325491243537525</v>
      </c>
      <c r="N352" s="20" t="n">
        <v>0</v>
      </c>
      <c r="O352" s="27" t="n">
        <v>0.839</v>
      </c>
      <c r="P352" s="17" t="inlineStr">
        <is>
          <t>DraftKings</t>
        </is>
      </c>
      <c r="Q352" s="17" t="inlineStr">
        <is>
          <t>price outside allowed range</t>
        </is>
      </c>
    </row>
    <row r="353">
      <c r="A353" s="12" t="inlineStr">
        <is>
          <t>PASS</t>
        </is>
      </c>
      <c r="B353" s="12" t="inlineStr">
        <is>
          <t>NEV @ MTSU</t>
        </is>
      </c>
      <c r="C353" s="12" t="inlineStr">
        <is>
          <t>2026-09-19 23:00</t>
        </is>
      </c>
      <c r="D353" s="22" t="n">
        <v>3</v>
      </c>
      <c r="E353" s="12" t="inlineStr">
        <is>
          <t>ATS</t>
        </is>
      </c>
      <c r="F353" s="12" t="inlineStr">
        <is>
          <t>NEV -3.5</t>
        </is>
      </c>
      <c r="G353" s="23" t="n">
        <v>3.5</v>
      </c>
      <c r="H353" s="13" t="n">
        <v>-112</v>
      </c>
      <c r="I353" s="15" t="n">
        <v>0.3543219121372638</v>
      </c>
      <c r="J353" s="15" t="n">
        <v>0.5043297540699688</v>
      </c>
      <c r="K353" s="15" t="n">
        <v>0.5283018867924528</v>
      </c>
      <c r="L353" s="14" t="n">
        <v>-0.09463824079587989</v>
      </c>
      <c r="M353" s="14" t="n">
        <v>-0.3293192377401792</v>
      </c>
      <c r="N353" s="15" t="n">
        <v>0</v>
      </c>
      <c r="O353" s="24" t="n">
        <v>0.839</v>
      </c>
      <c r="P353" s="12" t="inlineStr">
        <is>
          <t>DraftKings</t>
        </is>
      </c>
      <c r="Q353" s="12" t="inlineStr">
        <is>
          <t>raw model/market disagreement exceeds the safety limit</t>
        </is>
      </c>
    </row>
    <row r="354">
      <c r="A354" s="17" t="inlineStr">
        <is>
          <t>PASS</t>
        </is>
      </c>
      <c r="B354" s="17" t="inlineStr">
        <is>
          <t>BALL @ LIB</t>
        </is>
      </c>
      <c r="C354" s="17" t="inlineStr">
        <is>
          <t>2026-09-19 20:00</t>
        </is>
      </c>
      <c r="D354" s="25" t="n">
        <v>3</v>
      </c>
      <c r="E354" s="17" t="inlineStr">
        <is>
          <t>ATS</t>
        </is>
      </c>
      <c r="F354" s="17" t="inlineStr">
        <is>
          <t>LIB -14.5</t>
        </is>
      </c>
      <c r="G354" s="26" t="n">
        <v>-14.5</v>
      </c>
      <c r="H354" s="18" t="n">
        <v>-105</v>
      </c>
      <c r="I354" s="20" t="n">
        <v>0.3435133294129906</v>
      </c>
      <c r="J354" s="20" t="n">
        <v>0.4891657638136511</v>
      </c>
      <c r="K354" s="20" t="n">
        <v>0.5121951219512195</v>
      </c>
      <c r="L354" s="19" t="n">
        <v>-0.09464064099423691</v>
      </c>
      <c r="M354" s="19" t="n">
        <v>-0.3293311187651136</v>
      </c>
      <c r="N354" s="20" t="n">
        <v>0</v>
      </c>
      <c r="O354" s="27" t="n">
        <v>0.839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KENT @ OSU</t>
        </is>
      </c>
      <c r="C355" s="12" t="inlineStr">
        <is>
          <t>2026-09-19 16:00</t>
        </is>
      </c>
      <c r="D355" s="22" t="n">
        <v>3</v>
      </c>
      <c r="E355" s="12" t="inlineStr">
        <is>
          <t>TOTAL</t>
        </is>
      </c>
      <c r="F355" s="12" t="inlineStr">
        <is>
          <t>Over 59.5</t>
        </is>
      </c>
      <c r="G355" s="23" t="n">
        <v>59.5</v>
      </c>
      <c r="H355" s="13" t="n">
        <v>-110</v>
      </c>
      <c r="I355" s="15" t="n">
        <v>0.3487820250594291</v>
      </c>
      <c r="J355" s="15" t="n">
        <v>0.5</v>
      </c>
      <c r="K355" s="15" t="n">
        <v>0.5238095238095238</v>
      </c>
      <c r="L355" s="14" t="n">
        <v>-0.09467429534123355</v>
      </c>
      <c r="M355" s="14" t="n">
        <v>-0.3341434067047263</v>
      </c>
      <c r="N355" s="15" t="n">
        <v>0</v>
      </c>
      <c r="O355" s="24" t="n">
        <v>0.839</v>
      </c>
      <c r="P355" s="12" t="inlineStr">
        <is>
          <t>DraftKings</t>
        </is>
      </c>
      <c r="Q355" s="12" t="inlineStr">
        <is>
          <t>raw model/market disagreement exceeds the safety limit</t>
        </is>
      </c>
    </row>
    <row r="356">
      <c r="A356" s="17" t="inlineStr">
        <is>
          <t>PASS</t>
        </is>
      </c>
      <c r="B356" s="17" t="inlineStr">
        <is>
          <t>FIU @ FAU</t>
        </is>
      </c>
      <c r="C356" s="17" t="inlineStr">
        <is>
          <t>2026-09-19 22:00</t>
        </is>
      </c>
      <c r="D356" s="25" t="n">
        <v>3</v>
      </c>
      <c r="E356" s="17" t="inlineStr">
        <is>
          <t>TOTAL</t>
        </is>
      </c>
      <c r="F356" s="17" t="inlineStr">
        <is>
          <t>Over 62.5</t>
        </is>
      </c>
      <c r="G356" s="26" t="n">
        <v>62.5</v>
      </c>
      <c r="H356" s="18" t="n">
        <v>-110</v>
      </c>
      <c r="I356" s="20" t="n">
        <v>0.3473978489977779</v>
      </c>
      <c r="J356" s="20" t="n">
        <v>0.5</v>
      </c>
      <c r="K356" s="20" t="n">
        <v>0.5238095238095238</v>
      </c>
      <c r="L356" s="19" t="n">
        <v>-0.09469270537580907</v>
      </c>
      <c r="M356" s="19" t="n">
        <v>-0.3367859246406057</v>
      </c>
      <c r="N356" s="20" t="n">
        <v>0</v>
      </c>
      <c r="O356" s="27" t="n">
        <v>0.839</v>
      </c>
      <c r="P356" s="17" t="inlineStr">
        <is>
          <t>DraftKings</t>
        </is>
      </c>
      <c r="Q356" s="17" t="inlineStr">
        <is>
          <t>raw model/market disagreement exceeds the safety limit</t>
        </is>
      </c>
    </row>
    <row r="357">
      <c r="A357" s="12" t="inlineStr">
        <is>
          <t>PASS</t>
        </is>
      </c>
      <c r="B357" s="12" t="inlineStr">
        <is>
          <t>UNT @ TXST</t>
        </is>
      </c>
      <c r="C357" s="12" t="inlineStr">
        <is>
          <t>2026-09-19 16:00</t>
        </is>
      </c>
      <c r="D357" s="22" t="n">
        <v>3</v>
      </c>
      <c r="E357" s="12" t="inlineStr">
        <is>
          <t>TOTAL</t>
        </is>
      </c>
      <c r="F357" s="12" t="inlineStr">
        <is>
          <t>Over 63.5</t>
        </is>
      </c>
      <c r="G357" s="23" t="n">
        <v>63.5</v>
      </c>
      <c r="H357" s="13" t="n">
        <v>-110</v>
      </c>
      <c r="I357" s="15" t="n">
        <v>0.3473978478895644</v>
      </c>
      <c r="J357" s="15" t="n">
        <v>0.5</v>
      </c>
      <c r="K357" s="15" t="n">
        <v>0.5238095238095238</v>
      </c>
      <c r="L357" s="14" t="n">
        <v>-0.09469270539012475</v>
      </c>
      <c r="M357" s="14" t="n">
        <v>-0.3367859267562862</v>
      </c>
      <c r="N357" s="15" t="n">
        <v>0</v>
      </c>
      <c r="O357" s="24" t="n">
        <v>0.839</v>
      </c>
      <c r="P357" s="12" t="inlineStr">
        <is>
          <t>DraftKings</t>
        </is>
      </c>
      <c r="Q357" s="12" t="inlineStr">
        <is>
          <t>raw model/market disagreement exceeds the safety limit</t>
        </is>
      </c>
    </row>
    <row r="358">
      <c r="A358" s="17" t="inlineStr">
        <is>
          <t>PASS</t>
        </is>
      </c>
      <c r="B358" s="17" t="inlineStr">
        <is>
          <t>CLT @ APP</t>
        </is>
      </c>
      <c r="C358" s="17" t="inlineStr">
        <is>
          <t>2026-09-19 22:00</t>
        </is>
      </c>
      <c r="D358" s="25" t="n">
        <v>3</v>
      </c>
      <c r="E358" s="17" t="inlineStr">
        <is>
          <t>ATS</t>
        </is>
      </c>
      <c r="F358" s="17" t="inlineStr">
        <is>
          <t>APP -17.5</t>
        </is>
      </c>
      <c r="G358" s="26" t="n">
        <v>-17.5</v>
      </c>
      <c r="H358" s="18" t="n">
        <v>-110</v>
      </c>
      <c r="I358" s="20" t="n">
        <v>0.3461203709004106</v>
      </c>
      <c r="J358" s="20" t="n">
        <v>0.5</v>
      </c>
      <c r="K358" s="20" t="n">
        <v>0.5238095238095238</v>
      </c>
      <c r="L358" s="19" t="n">
        <v>-0.09470877297328392</v>
      </c>
      <c r="M358" s="19" t="n">
        <v>-0.3392247464628525</v>
      </c>
      <c r="N358" s="20" t="n">
        <v>0</v>
      </c>
      <c r="O358" s="27" t="n">
        <v>0.839</v>
      </c>
      <c r="P358" s="17" t="inlineStr">
        <is>
          <t>DraftKings</t>
        </is>
      </c>
      <c r="Q358" s="17" t="inlineStr">
        <is>
          <t>raw model/market disagreement exceeds the safety limit</t>
        </is>
      </c>
    </row>
    <row r="359">
      <c r="A359" s="12" t="inlineStr">
        <is>
          <t>PASS</t>
        </is>
      </c>
      <c r="B359" s="12" t="inlineStr">
        <is>
          <t>DSU @ USF</t>
        </is>
      </c>
      <c r="C359" s="12" t="inlineStr">
        <is>
          <t>2026-09-19 23:00</t>
        </is>
      </c>
      <c r="D359" s="22" t="n">
        <v>3</v>
      </c>
      <c r="E359" s="12" t="inlineStr">
        <is>
          <t>TOTAL</t>
        </is>
      </c>
      <c r="F359" s="12" t="inlineStr">
        <is>
          <t>Over 61.5</t>
        </is>
      </c>
      <c r="G359" s="23" t="n">
        <v>61.5</v>
      </c>
      <c r="H359" s="13" t="n">
        <v>-112</v>
      </c>
      <c r="I359" s="15" t="n">
        <v>0.3428204874046547</v>
      </c>
      <c r="J359" s="15" t="n">
        <v>0.5043297540699688</v>
      </c>
      <c r="K359" s="15" t="n">
        <v>0.5283018867924528</v>
      </c>
      <c r="L359" s="14" t="n">
        <v>-0.09477601209223523</v>
      </c>
      <c r="M359" s="14" t="n">
        <v>-0.3510897916983323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DSU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FRES @ SJSU</t>
        </is>
      </c>
      <c r="C360" s="17" t="inlineStr">
        <is>
          <t>2026-09-20 03:00</t>
        </is>
      </c>
      <c r="D360" s="25" t="n">
        <v>3</v>
      </c>
      <c r="E360" s="17" t="inlineStr">
        <is>
          <t>ATS</t>
        </is>
      </c>
      <c r="F360" s="17" t="inlineStr">
        <is>
          <t>FRES -6.5</t>
        </is>
      </c>
      <c r="G360" s="26" t="n">
        <v>6.5</v>
      </c>
      <c r="H360" s="18" t="n">
        <v>-118</v>
      </c>
      <c r="I360" s="20" t="n">
        <v>0.3488020863998156</v>
      </c>
      <c r="J360" s="20" t="n">
        <v>0.5173641257162701</v>
      </c>
      <c r="K360" s="20" t="n">
        <v>0.5412844036697247</v>
      </c>
      <c r="L360" s="19" t="n">
        <v>-0.09480074466219705</v>
      </c>
      <c r="M360" s="19" t="n">
        <v>-0.3556029251257644</v>
      </c>
      <c r="N360" s="20" t="n">
        <v>0</v>
      </c>
      <c r="O360" s="27" t="n">
        <v>0.839</v>
      </c>
      <c r="P360" s="17" t="inlineStr">
        <is>
          <t>DraftKings</t>
        </is>
      </c>
      <c r="Q360" s="17" t="inlineStr">
        <is>
          <t>raw model/market disagreement exceeds the safety limit</t>
        </is>
      </c>
    </row>
    <row r="361">
      <c r="A361" s="12" t="inlineStr">
        <is>
          <t>PASS</t>
        </is>
      </c>
      <c r="B361" s="12" t="inlineStr">
        <is>
          <t>WMU @ RICE</t>
        </is>
      </c>
      <c r="C361" s="12" t="inlineStr">
        <is>
          <t>2026-09-19 23:00</t>
        </is>
      </c>
      <c r="D361" s="22" t="n">
        <v>3</v>
      </c>
      <c r="E361" s="12" t="inlineStr">
        <is>
          <t>ATS</t>
        </is>
      </c>
      <c r="F361" s="12" t="inlineStr">
        <is>
          <t>WMU -9.5</t>
        </is>
      </c>
      <c r="G361" s="23" t="n">
        <v>9.5</v>
      </c>
      <c r="H361" s="13" t="n">
        <v>-115</v>
      </c>
      <c r="I361" s="15" t="n">
        <v>0.3284575881519503</v>
      </c>
      <c r="J361" s="15" t="n">
        <v>0.5108342361863488</v>
      </c>
      <c r="K361" s="15" t="n">
        <v>0.5348837209302325</v>
      </c>
      <c r="L361" s="14" t="n">
        <v>-0.09489665405231103</v>
      </c>
      <c r="M361" s="14" t="n">
        <v>-0.3859271178028757</v>
      </c>
      <c r="N361" s="15" t="n">
        <v>0</v>
      </c>
      <c r="O361" s="24" t="n">
        <v>0.839</v>
      </c>
      <c r="P361" s="12" t="inlineStr">
        <is>
          <t>DraftKings</t>
        </is>
      </c>
      <c r="Q361" s="12" t="inlineStr">
        <is>
          <t>raw model/market disagreement exceeds the safety limit</t>
        </is>
      </c>
    </row>
    <row r="362">
      <c r="A362" s="17" t="inlineStr">
        <is>
          <t>PASS</t>
        </is>
      </c>
      <c r="B362" s="17" t="inlineStr">
        <is>
          <t>FSU @ ALA</t>
        </is>
      </c>
      <c r="C362" s="17" t="inlineStr">
        <is>
          <t>2026-09-19 19:30</t>
        </is>
      </c>
      <c r="D362" s="25" t="n">
        <v>3</v>
      </c>
      <c r="E362" s="17" t="inlineStr">
        <is>
          <t>ATS</t>
        </is>
      </c>
      <c r="F362" s="17" t="inlineStr">
        <is>
          <t>ALA -19.5</t>
        </is>
      </c>
      <c r="G362" s="26" t="n">
        <v>-19.5</v>
      </c>
      <c r="H362" s="18" t="n">
        <v>-110</v>
      </c>
      <c r="I362" s="20" t="n">
        <v>0.318490856653701</v>
      </c>
      <c r="J362" s="20" t="n">
        <v>0.5</v>
      </c>
      <c r="K362" s="20" t="n">
        <v>0.5238095238095238</v>
      </c>
      <c r="L362" s="19" t="n">
        <v>-0.09490891350155506</v>
      </c>
      <c r="M362" s="19" t="n">
        <v>-0.3919720009338434</v>
      </c>
      <c r="N362" s="20" t="n">
        <v>0</v>
      </c>
      <c r="O362" s="27" t="n">
        <v>0.839</v>
      </c>
      <c r="P362" s="17" t="inlineStr">
        <is>
          <t>DraftKings</t>
        </is>
      </c>
      <c r="Q362" s="17" t="inlineStr">
        <is>
          <t>raw model/market disagreement exceeds the safety limit</t>
        </is>
      </c>
    </row>
    <row r="363">
      <c r="A363" s="12" t="inlineStr">
        <is>
          <t>PASS</t>
        </is>
      </c>
      <c r="B363" s="12" t="inlineStr">
        <is>
          <t>MONT @ ORST</t>
        </is>
      </c>
      <c r="C363" s="12" t="inlineStr">
        <is>
          <t>2026-09-20 03:00</t>
        </is>
      </c>
      <c r="D363" s="22" t="n">
        <v>3</v>
      </c>
      <c r="E363" s="12" t="inlineStr">
        <is>
          <t>ATS</t>
        </is>
      </c>
      <c r="F363" s="12" t="inlineStr">
        <is>
          <t>ORST -17.5</t>
        </is>
      </c>
      <c r="G363" s="23" t="n">
        <v>-17.5</v>
      </c>
      <c r="H363" s="13" t="n">
        <v>-108</v>
      </c>
      <c r="I363" s="15" t="n">
        <v>0.3090367583931107</v>
      </c>
      <c r="J363" s="15" t="n">
        <v>0.4956702459300312</v>
      </c>
      <c r="K363" s="15" t="n">
        <v>0.5192307692307693</v>
      </c>
      <c r="L363" s="14" t="n">
        <v>-0.0949314527429479</v>
      </c>
      <c r="M363" s="14" t="n">
        <v>-0.4048180949466015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MONT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TULN @ KSU</t>
        </is>
      </c>
      <c r="C364" s="17" t="inlineStr">
        <is>
          <t>2026-09-19 16:00</t>
        </is>
      </c>
      <c r="D364" s="25" t="n">
        <v>3</v>
      </c>
      <c r="E364" s="17" t="inlineStr">
        <is>
          <t>ATS</t>
        </is>
      </c>
      <c r="F364" s="17" t="inlineStr">
        <is>
          <t>KSU -20.5</t>
        </is>
      </c>
      <c r="G364" s="26" t="n">
        <v>-20.5</v>
      </c>
      <c r="H364" s="18" t="n">
        <v>-115</v>
      </c>
      <c r="I364" s="20" t="n">
        <v>0.3152713935057543</v>
      </c>
      <c r="J364" s="20" t="n">
        <v>0.5108342361863488</v>
      </c>
      <c r="K364" s="20" t="n">
        <v>0.5348837209302325</v>
      </c>
      <c r="L364" s="19" t="n">
        <v>-0.0949399680268644</v>
      </c>
      <c r="M364" s="19" t="n">
        <v>-0.410579568663155</v>
      </c>
      <c r="N364" s="20" t="n">
        <v>0</v>
      </c>
      <c r="O364" s="27" t="n">
        <v>0.839</v>
      </c>
      <c r="P364" s="17" t="inlineStr">
        <is>
          <t>DraftKings</t>
        </is>
      </c>
      <c r="Q364" s="17" t="inlineStr">
        <is>
          <t>raw model/market disagreement exceeds the safety limit</t>
        </is>
      </c>
    </row>
    <row r="365">
      <c r="A365" s="12" t="inlineStr">
        <is>
          <t>PASS</t>
        </is>
      </c>
      <c r="B365" s="12" t="inlineStr">
        <is>
          <t>LT @ BAY</t>
        </is>
      </c>
      <c r="C365" s="12" t="inlineStr">
        <is>
          <t>2026-09-19 20:00</t>
        </is>
      </c>
      <c r="D365" s="22" t="n">
        <v>3</v>
      </c>
      <c r="E365" s="12" t="inlineStr">
        <is>
          <t>ATS</t>
        </is>
      </c>
      <c r="F365" s="12" t="inlineStr">
        <is>
          <t>BAY -19.5</t>
        </is>
      </c>
      <c r="G365" s="23" t="n">
        <v>-19.5</v>
      </c>
      <c r="H365" s="13" t="n">
        <v>-108</v>
      </c>
      <c r="I365" s="15" t="n">
        <v>0.3051247832614956</v>
      </c>
      <c r="J365" s="15" t="n">
        <v>0.4956702459300312</v>
      </c>
      <c r="K365" s="15" t="n">
        <v>0.5192307692307693</v>
      </c>
      <c r="L365" s="14" t="n">
        <v>-0.09494194301249712</v>
      </c>
      <c r="M365" s="14" t="n">
        <v>-0.4123522692741566</v>
      </c>
      <c r="N365" s="15" t="n">
        <v>0</v>
      </c>
      <c r="O365" s="24" t="n">
        <v>0.839</v>
      </c>
      <c r="P365" s="12" t="inlineStr">
        <is>
          <t>DraftKings</t>
        </is>
      </c>
      <c r="Q365" s="12" t="inlineStr">
        <is>
          <t>raw model/market disagreement exceeds the safety limit</t>
        </is>
      </c>
    </row>
    <row r="366">
      <c r="A366" s="17" t="inlineStr">
        <is>
          <t>PASS</t>
        </is>
      </c>
      <c r="B366" s="17" t="inlineStr">
        <is>
          <t>GAST @ UCF</t>
        </is>
      </c>
      <c r="C366" s="17" t="inlineStr">
        <is>
          <t>2026-09-19 23:00</t>
        </is>
      </c>
      <c r="D366" s="25" t="n">
        <v>3</v>
      </c>
      <c r="E366" s="17" t="inlineStr">
        <is>
          <t>ATS</t>
        </is>
      </c>
      <c r="F366" s="17" t="inlineStr">
        <is>
          <t>UCF -18.5</t>
        </is>
      </c>
      <c r="G366" s="26" t="n">
        <v>-18.5</v>
      </c>
      <c r="H366" s="18" t="n">
        <v>-112</v>
      </c>
      <c r="I366" s="20" t="n">
        <v>0.3098104876623939</v>
      </c>
      <c r="J366" s="20" t="n">
        <v>0.5043297540699688</v>
      </c>
      <c r="K366" s="20" t="n">
        <v>0.5283018867924528</v>
      </c>
      <c r="L366" s="19" t="n">
        <v>-0.09494348467149377</v>
      </c>
      <c r="M366" s="19" t="n">
        <v>-0.4135730054961829</v>
      </c>
      <c r="N366" s="20" t="n">
        <v>0</v>
      </c>
      <c r="O366" s="27" t="n">
        <v>0.839</v>
      </c>
      <c r="P366" s="17" t="inlineStr">
        <is>
          <t>DraftKings</t>
        </is>
      </c>
      <c r="Q366" s="17" t="inlineStr">
        <is>
          <t>raw model/market disagreement exceeds the safety limit</t>
        </is>
      </c>
    </row>
    <row r="367">
      <c r="A367" s="12" t="inlineStr">
        <is>
          <t>PASS</t>
        </is>
      </c>
      <c r="B367" s="12" t="inlineStr">
        <is>
          <t>ARST @ TCU</t>
        </is>
      </c>
      <c r="C367" s="12" t="inlineStr">
        <is>
          <t>2026-09-20 00:00</t>
        </is>
      </c>
      <c r="D367" s="22" t="n">
        <v>3</v>
      </c>
      <c r="E367" s="12" t="inlineStr">
        <is>
          <t>ATS</t>
        </is>
      </c>
      <c r="F367" s="12" t="inlineStr">
        <is>
          <t>TCU -19.5</t>
        </is>
      </c>
      <c r="G367" s="23" t="n">
        <v>-19.5</v>
      </c>
      <c r="H367" s="13" t="n">
        <v>-115</v>
      </c>
      <c r="I367" s="15" t="n">
        <v>0.3094296559392257</v>
      </c>
      <c r="J367" s="15" t="n">
        <v>0.5108342361863488</v>
      </c>
      <c r="K367" s="15" t="n">
        <v>0.5348837209302325</v>
      </c>
      <c r="L367" s="14" t="n">
        <v>-0.09495280944699838</v>
      </c>
      <c r="M367" s="14" t="n">
        <v>-0.4215010780266651</v>
      </c>
      <c r="N367" s="15" t="n">
        <v>0</v>
      </c>
      <c r="O367" s="24" t="n">
        <v>0.839</v>
      </c>
      <c r="P367" s="12" t="inlineStr">
        <is>
          <t>DraftKings</t>
        </is>
      </c>
      <c r="Q367" s="12" t="inlineStr">
        <is>
          <t>raw model/market disagreement exceeds the safety limit</t>
        </is>
      </c>
    </row>
    <row r="368">
      <c r="A368" s="17" t="inlineStr">
        <is>
          <t>PASS</t>
        </is>
      </c>
      <c r="B368" s="17" t="inlineStr">
        <is>
          <t>NICH @ SHSU</t>
        </is>
      </c>
      <c r="C368" s="17" t="inlineStr">
        <is>
          <t>2026-09-19 23:00</t>
        </is>
      </c>
      <c r="D368" s="25" t="n">
        <v>3</v>
      </c>
      <c r="E368" s="17" t="inlineStr">
        <is>
          <t>ATS</t>
        </is>
      </c>
      <c r="F368" s="17" t="inlineStr">
        <is>
          <t>SHSU -17.5</t>
        </is>
      </c>
      <c r="G368" s="26" t="n">
        <v>-17.5</v>
      </c>
      <c r="H368" s="18" t="n">
        <v>-105</v>
      </c>
      <c r="I368" s="20" t="n">
        <v>0.295849653111614</v>
      </c>
      <c r="J368" s="20" t="n">
        <v>0.4891657638136511</v>
      </c>
      <c r="K368" s="20" t="n">
        <v>0.5121951219512195</v>
      </c>
      <c r="L368" s="19" t="n">
        <v>-0.09495372367881247</v>
      </c>
      <c r="M368" s="19" t="n">
        <v>-0.4223887724963726</v>
      </c>
      <c r="N368" s="20" t="n">
        <v>0</v>
      </c>
      <c r="O368" s="27" t="n">
        <v>0.725</v>
      </c>
      <c r="P368" s="17" t="inlineStr">
        <is>
          <t>DraftKings</t>
        </is>
      </c>
      <c r="Q368" s="17" t="inlineStr">
        <is>
          <t>NICH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PRST @ ORE</t>
        </is>
      </c>
      <c r="C369" s="12" t="inlineStr">
        <is>
          <t>2026-09-19 02:30</t>
        </is>
      </c>
      <c r="D369" s="22" t="n">
        <v>3</v>
      </c>
      <c r="E369" s="12" t="inlineStr">
        <is>
          <t>TOTAL</t>
        </is>
      </c>
      <c r="F369" s="12" t="inlineStr">
        <is>
          <t>Over 67.5</t>
        </is>
      </c>
      <c r="G369" s="23" t="n">
        <v>67.5</v>
      </c>
      <c r="H369" s="13" t="n">
        <v>-112</v>
      </c>
      <c r="I369" s="15" t="n">
        <v>0.3022542505747917</v>
      </c>
      <c r="J369" s="15" t="n">
        <v>0.5043297540699688</v>
      </c>
      <c r="K369" s="15" t="n">
        <v>0.5283018867924528</v>
      </c>
      <c r="L369" s="14" t="n">
        <v>-0.09495876998731731</v>
      </c>
      <c r="M369" s="14" t="n">
        <v>-0.4278758828405729</v>
      </c>
      <c r="N369" s="15" t="n">
        <v>0</v>
      </c>
      <c r="O369" s="24" t="n">
        <v>0.725</v>
      </c>
      <c r="P369" s="12" t="inlineStr">
        <is>
          <t>DraftKings</t>
        </is>
      </c>
      <c r="Q369" s="12" t="inlineStr">
        <is>
          <t>PRST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BGSU @ ISU</t>
        </is>
      </c>
      <c r="C370" s="17" t="inlineStr">
        <is>
          <t>2026-09-19 16:00</t>
        </is>
      </c>
      <c r="D370" s="25" t="n">
        <v>3</v>
      </c>
      <c r="E370" s="17" t="inlineStr">
        <is>
          <t>ATS</t>
        </is>
      </c>
      <c r="F370" s="17" t="inlineStr">
        <is>
          <t>ISU -23.5</t>
        </is>
      </c>
      <c r="G370" s="26" t="n">
        <v>-23.5</v>
      </c>
      <c r="H370" s="18" t="n">
        <v>-110</v>
      </c>
      <c r="I370" s="20" t="n">
        <v>0.2986820093796559</v>
      </c>
      <c r="J370" s="20" t="n">
        <v>0.5</v>
      </c>
      <c r="K370" s="20" t="n">
        <v>0.5238095238095238</v>
      </c>
      <c r="L370" s="19" t="n">
        <v>-0.09496043186579106</v>
      </c>
      <c r="M370" s="19" t="n">
        <v>-0.4297888911842933</v>
      </c>
      <c r="N370" s="20" t="n">
        <v>0</v>
      </c>
      <c r="O370" s="27" t="n">
        <v>0.839</v>
      </c>
      <c r="P370" s="17" t="inlineStr">
        <is>
          <t>DraftKings</t>
        </is>
      </c>
      <c r="Q370" s="17" t="inlineStr">
        <is>
          <t>raw model/market disagreement exceeds the safety limit</t>
        </is>
      </c>
    </row>
    <row r="371">
      <c r="A371" s="12" t="inlineStr">
        <is>
          <t>PASS</t>
        </is>
      </c>
      <c r="B371" s="12" t="inlineStr">
        <is>
          <t>UNM @ OU</t>
        </is>
      </c>
      <c r="C371" s="12" t="inlineStr">
        <is>
          <t>2026-09-19 23:30</t>
        </is>
      </c>
      <c r="D371" s="22" t="n">
        <v>3</v>
      </c>
      <c r="E371" s="12" t="inlineStr">
        <is>
          <t>ATS</t>
        </is>
      </c>
      <c r="F371" s="12" t="inlineStr">
        <is>
          <t>OU -22.5</t>
        </is>
      </c>
      <c r="G371" s="23" t="n">
        <v>-22.5</v>
      </c>
      <c r="H371" s="13" t="n">
        <v>-108</v>
      </c>
      <c r="I371" s="15" t="n">
        <v>0.2852399278409147</v>
      </c>
      <c r="J371" s="15" t="n">
        <v>0.4956702459300312</v>
      </c>
      <c r="K371" s="15" t="n">
        <v>0.5192307692307693</v>
      </c>
      <c r="L371" s="14" t="n">
        <v>-0.09497504613550684</v>
      </c>
      <c r="M371" s="14" t="n">
        <v>-0.4506490278619421</v>
      </c>
      <c r="N371" s="15" t="n">
        <v>0</v>
      </c>
      <c r="O371" s="24" t="n">
        <v>0.839</v>
      </c>
      <c r="P371" s="12" t="inlineStr">
        <is>
          <t>DraftKings</t>
        </is>
      </c>
      <c r="Q371" s="12" t="inlineStr">
        <is>
          <t>raw model/market disagreement exceeds the safety limit</t>
        </is>
      </c>
    </row>
    <row r="372">
      <c r="A372" s="17" t="inlineStr">
        <is>
          <t>PASS</t>
        </is>
      </c>
      <c r="B372" s="17" t="inlineStr">
        <is>
          <t>SDAK @ BOIS</t>
        </is>
      </c>
      <c r="C372" s="17" t="inlineStr">
        <is>
          <t>2026-09-20 02:00</t>
        </is>
      </c>
      <c r="D372" s="25" t="n">
        <v>3</v>
      </c>
      <c r="E372" s="17" t="inlineStr">
        <is>
          <t>ATS</t>
        </is>
      </c>
      <c r="F372" s="17" t="inlineStr">
        <is>
          <t>BOIS -23.5</t>
        </is>
      </c>
      <c r="G372" s="26" t="n">
        <v>-23.5</v>
      </c>
      <c r="H372" s="18" t="n">
        <v>-110</v>
      </c>
      <c r="I372" s="20" t="n">
        <v>0.2863525607485565</v>
      </c>
      <c r="J372" s="20" t="n">
        <v>0.5</v>
      </c>
      <c r="K372" s="20" t="n">
        <v>0.5238095238095238</v>
      </c>
      <c r="L372" s="19" t="n">
        <v>-0.09497645358069871</v>
      </c>
      <c r="M372" s="19" t="n">
        <v>-0.4533269294800284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SDAK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EMU @ WIS</t>
        </is>
      </c>
      <c r="C373" s="12" t="inlineStr">
        <is>
          <t>2026-09-19 16:30</t>
        </is>
      </c>
      <c r="D373" s="22" t="n">
        <v>3</v>
      </c>
      <c r="E373" s="12" t="inlineStr">
        <is>
          <t>ATS</t>
        </is>
      </c>
      <c r="F373" s="12" t="inlineStr">
        <is>
          <t>WIS -24.5</t>
        </is>
      </c>
      <c r="G373" s="23" t="n">
        <v>-24.5</v>
      </c>
      <c r="H373" s="13" t="n">
        <v>-102</v>
      </c>
      <c r="I373" s="15" t="n">
        <v>0.2736062910935775</v>
      </c>
      <c r="J373" s="15" t="n">
        <v>0.4826358742837298</v>
      </c>
      <c r="K373" s="15" t="n">
        <v>0.504950495049505</v>
      </c>
      <c r="L373" s="14" t="n">
        <v>-0.09497916205624299</v>
      </c>
      <c r="M373" s="14" t="n">
        <v>-0.458152247049974</v>
      </c>
      <c r="N373" s="15" t="n">
        <v>0</v>
      </c>
      <c r="O373" s="24" t="n">
        <v>0.839</v>
      </c>
      <c r="P373" s="12" t="inlineStr">
        <is>
          <t>DraftKings</t>
        </is>
      </c>
      <c r="Q373" s="12" t="inlineStr">
        <is>
          <t>raw model/market disagreement exceeds the safety limit</t>
        </is>
      </c>
    </row>
    <row r="374">
      <c r="A374" s="17" t="inlineStr">
        <is>
          <t>PASS</t>
        </is>
      </c>
      <c r="B374" s="17" t="inlineStr">
        <is>
          <t>UND @ NEB</t>
        </is>
      </c>
      <c r="C374" s="17" t="inlineStr">
        <is>
          <t>2026-09-19 23:15</t>
        </is>
      </c>
      <c r="D374" s="25" t="n">
        <v>3</v>
      </c>
      <c r="E374" s="17" t="inlineStr">
        <is>
          <t>ATS</t>
        </is>
      </c>
      <c r="F374" s="17" t="inlineStr">
        <is>
          <t>NEB -24.5</t>
        </is>
      </c>
      <c r="G374" s="26" t="n">
        <v>-24.5</v>
      </c>
      <c r="H374" s="18" t="n">
        <v>-105</v>
      </c>
      <c r="I374" s="20" t="n">
        <v>0.276631827105829</v>
      </c>
      <c r="J374" s="20" t="n">
        <v>0.4891657638136511</v>
      </c>
      <c r="K374" s="20" t="n">
        <v>0.5121951219512195</v>
      </c>
      <c r="L374" s="19" t="n">
        <v>-0.09497975973390495</v>
      </c>
      <c r="M374" s="19" t="n">
        <v>-0.4599092899362386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UND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TROY @ MIZ</t>
        </is>
      </c>
      <c r="C375" s="12" t="inlineStr">
        <is>
          <t>2026-09-19 23:00</t>
        </is>
      </c>
      <c r="D375" s="22" t="n">
        <v>3</v>
      </c>
      <c r="E375" s="12" t="inlineStr">
        <is>
          <t>ATS</t>
        </is>
      </c>
      <c r="F375" s="12" t="inlineStr">
        <is>
          <t>MIZ -26.5</t>
        </is>
      </c>
      <c r="G375" s="23" t="n">
        <v>-26.5</v>
      </c>
      <c r="H375" s="13" t="n">
        <v>-112</v>
      </c>
      <c r="I375" s="15" t="n">
        <v>0.2841406487403551</v>
      </c>
      <c r="J375" s="15" t="n">
        <v>0.5043297540699688</v>
      </c>
      <c r="K375" s="15" t="n">
        <v>0.5283018867924528</v>
      </c>
      <c r="L375" s="14" t="n">
        <v>-0.09498064111808167</v>
      </c>
      <c r="M375" s="14" t="n">
        <v>-0.4621623434557566</v>
      </c>
      <c r="N375" s="15" t="n">
        <v>0</v>
      </c>
      <c r="O375" s="24" t="n">
        <v>0.839</v>
      </c>
      <c r="P375" s="12" t="inlineStr">
        <is>
          <t>DraftKings</t>
        </is>
      </c>
      <c r="Q375" s="12" t="inlineStr">
        <is>
          <t>raw model/market disagreement exceeds the safety limit</t>
        </is>
      </c>
    </row>
    <row r="376">
      <c r="A376" s="17" t="inlineStr">
        <is>
          <t>PASS</t>
        </is>
      </c>
      <c r="B376" s="17" t="inlineStr">
        <is>
          <t>AKR @ MINN</t>
        </is>
      </c>
      <c r="C376" s="17" t="inlineStr">
        <is>
          <t>2026-09-19 16:00</t>
        </is>
      </c>
      <c r="D376" s="25" t="n">
        <v>3</v>
      </c>
      <c r="E376" s="17" t="inlineStr">
        <is>
          <t>ATS</t>
        </is>
      </c>
      <c r="F376" s="17" t="inlineStr">
        <is>
          <t>MINN -23.5</t>
        </is>
      </c>
      <c r="G376" s="26" t="n">
        <v>-23.5</v>
      </c>
      <c r="H376" s="18" t="n">
        <v>-110</v>
      </c>
      <c r="I376" s="20" t="n">
        <v>0.2760165107356994</v>
      </c>
      <c r="J376" s="20" t="n">
        <v>0.5</v>
      </c>
      <c r="K376" s="20" t="n">
        <v>0.5238095238095238</v>
      </c>
      <c r="L376" s="19" t="n">
        <v>-0.0949847616483101</v>
      </c>
      <c r="M376" s="19" t="n">
        <v>-0.473059388595483</v>
      </c>
      <c r="N376" s="20" t="n">
        <v>0</v>
      </c>
      <c r="O376" s="27" t="n">
        <v>0.839</v>
      </c>
      <c r="P376" s="17" t="inlineStr">
        <is>
          <t>DraftKings</t>
        </is>
      </c>
      <c r="Q376" s="17" t="inlineStr">
        <is>
          <t>raw model/market disagreement exceeds the safety limit</t>
        </is>
      </c>
    </row>
    <row r="377">
      <c r="A377" s="12" t="inlineStr">
        <is>
          <t>PASS</t>
        </is>
      </c>
      <c r="B377" s="12" t="inlineStr">
        <is>
          <t>USU @ UTAH</t>
        </is>
      </c>
      <c r="C377" s="12" t="inlineStr">
        <is>
          <t>2026-09-19 19:30</t>
        </is>
      </c>
      <c r="D377" s="22" t="n">
        <v>3</v>
      </c>
      <c r="E377" s="12" t="inlineStr">
        <is>
          <t>ATS</t>
        </is>
      </c>
      <c r="F377" s="12" t="inlineStr">
        <is>
          <t>UTAH -28.5</t>
        </is>
      </c>
      <c r="G377" s="23" t="n">
        <v>-28.5</v>
      </c>
      <c r="H377" s="13" t="n">
        <v>-102</v>
      </c>
      <c r="I377" s="15" t="n">
        <v>0.2604962652349365</v>
      </c>
      <c r="J377" s="15" t="n">
        <v>0.4826358742837298</v>
      </c>
      <c r="K377" s="15" t="n">
        <v>0.504950495049505</v>
      </c>
      <c r="L377" s="14" t="n">
        <v>-0.09498823695902066</v>
      </c>
      <c r="M377" s="14" t="n">
        <v>-0.4841152394366943</v>
      </c>
      <c r="N377" s="15" t="n">
        <v>0</v>
      </c>
      <c r="O377" s="24" t="n">
        <v>0.839</v>
      </c>
      <c r="P377" s="12" t="inlineStr">
        <is>
          <t>DraftKings</t>
        </is>
      </c>
      <c r="Q377" s="12" t="inlineStr">
        <is>
          <t>raw model/market disagreement exceeds the safety limit</t>
        </is>
      </c>
    </row>
    <row r="378">
      <c r="A378" s="17" t="inlineStr">
        <is>
          <t>PASS</t>
        </is>
      </c>
      <c r="B378" s="17" t="inlineStr">
        <is>
          <t>MSU @ ND</t>
        </is>
      </c>
      <c r="C378" s="17" t="inlineStr">
        <is>
          <t>2026-09-19 23:30</t>
        </is>
      </c>
      <c r="D378" s="25" t="n">
        <v>3</v>
      </c>
      <c r="E378" s="17" t="inlineStr">
        <is>
          <t>ATS</t>
        </is>
      </c>
      <c r="F378" s="17" t="inlineStr">
        <is>
          <t>ND -29.5</t>
        </is>
      </c>
      <c r="G378" s="26" t="n">
        <v>-29.5</v>
      </c>
      <c r="H378" s="18" t="n">
        <v>-110</v>
      </c>
      <c r="I378" s="20" t="n">
        <v>0.2674260559771634</v>
      </c>
      <c r="J378" s="20" t="n">
        <v>0.5</v>
      </c>
      <c r="K378" s="20" t="n">
        <v>0.5238095238095238</v>
      </c>
      <c r="L378" s="19" t="n">
        <v>-0.09498938639815166</v>
      </c>
      <c r="M378" s="19" t="n">
        <v>-0.4894593476799608</v>
      </c>
      <c r="N378" s="20" t="n">
        <v>0</v>
      </c>
      <c r="O378" s="27" t="n">
        <v>0.839</v>
      </c>
      <c r="P378" s="17" t="inlineStr">
        <is>
          <t>DraftKings</t>
        </is>
      </c>
      <c r="Q378" s="17" t="inlineStr">
        <is>
          <t>raw model/market disagreement exceeds the safety limit</t>
        </is>
      </c>
    </row>
    <row r="379">
      <c r="A379" s="12" t="inlineStr">
        <is>
          <t>PASS</t>
        </is>
      </c>
      <c r="B379" s="12" t="inlineStr">
        <is>
          <t>BYU @ CSU</t>
        </is>
      </c>
      <c r="C379" s="12" t="inlineStr">
        <is>
          <t>2026-09-19 23:30</t>
        </is>
      </c>
      <c r="D379" s="22" t="n">
        <v>3</v>
      </c>
      <c r="E379" s="12" t="inlineStr">
        <is>
          <t>ATS</t>
        </is>
      </c>
      <c r="F379" s="12" t="inlineStr">
        <is>
          <t>BYU -17.5</t>
        </is>
      </c>
      <c r="G379" s="23" t="n">
        <v>17.5</v>
      </c>
      <c r="H379" s="13" t="n">
        <v>-115</v>
      </c>
      <c r="I379" s="15" t="n">
        <v>0.2722467339488817</v>
      </c>
      <c r="J379" s="15" t="n">
        <v>0.5108342361863488</v>
      </c>
      <c r="K379" s="15" t="n">
        <v>0.5348837209302325</v>
      </c>
      <c r="L379" s="14" t="n">
        <v>-0.09498980399126992</v>
      </c>
      <c r="M379" s="14" t="n">
        <v>-0.4910169756607865</v>
      </c>
      <c r="N379" s="15" t="n">
        <v>0</v>
      </c>
      <c r="O379" s="24" t="n">
        <v>0.839</v>
      </c>
      <c r="P379" s="12" t="inlineStr">
        <is>
          <t>DraftKings</t>
        </is>
      </c>
      <c r="Q379" s="12" t="inlineStr">
        <is>
          <t>raw model/market disagreement exceeds the safety limit</t>
        </is>
      </c>
    </row>
    <row r="380">
      <c r="A380" s="17" t="inlineStr">
        <is>
          <t>PASS</t>
        </is>
      </c>
      <c r="B380" s="17" t="inlineStr">
        <is>
          <t>MUR @ OKST</t>
        </is>
      </c>
      <c r="C380" s="17" t="inlineStr">
        <is>
          <t>2026-09-19 23:00</t>
        </is>
      </c>
      <c r="D380" s="25" t="n">
        <v>3</v>
      </c>
      <c r="E380" s="17" t="inlineStr">
        <is>
          <t>TOTAL</t>
        </is>
      </c>
      <c r="F380" s="17" t="inlineStr">
        <is>
          <t>Over 70.5</t>
        </is>
      </c>
      <c r="G380" s="26" t="n">
        <v>70.5</v>
      </c>
      <c r="H380" s="18" t="n">
        <v>-115</v>
      </c>
      <c r="I380" s="20" t="n">
        <v>0.2718310424936183</v>
      </c>
      <c r="J380" s="20" t="n">
        <v>0.5108342361863488</v>
      </c>
      <c r="K380" s="20" t="n">
        <v>0.5348837209302325</v>
      </c>
      <c r="L380" s="19" t="n">
        <v>-0.09498997716819138</v>
      </c>
      <c r="M380" s="19" t="n">
        <v>-0.4917941379467136</v>
      </c>
      <c r="N380" s="20" t="n">
        <v>0</v>
      </c>
      <c r="O380" s="27" t="n">
        <v>0.725</v>
      </c>
      <c r="P380" s="17" t="inlineStr">
        <is>
          <t>DraftKings</t>
        </is>
      </c>
      <c r="Q380" s="17" t="inlineStr">
        <is>
          <t>MUR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MIA @ WAKE</t>
        </is>
      </c>
      <c r="C381" s="12" t="inlineStr">
        <is>
          <t>2026-09-18 23:30</t>
        </is>
      </c>
      <c r="D381" s="22" t="n">
        <v>3</v>
      </c>
      <c r="E381" s="12" t="inlineStr">
        <is>
          <t>ATS</t>
        </is>
      </c>
      <c r="F381" s="12" t="inlineStr">
        <is>
          <t>MIA -20.5</t>
        </is>
      </c>
      <c r="G381" s="23" t="n">
        <v>20.5</v>
      </c>
      <c r="H381" s="13" t="n">
        <v>-115</v>
      </c>
      <c r="I381" s="15" t="n">
        <v>0.270235977757914</v>
      </c>
      <c r="J381" s="15" t="n">
        <v>0.5108342361863488</v>
      </c>
      <c r="K381" s="15" t="n">
        <v>0.5348837209302325</v>
      </c>
      <c r="L381" s="14" t="n">
        <v>-0.0949906148109799</v>
      </c>
      <c r="M381" s="14" t="n">
        <v>-0.4947762154960739</v>
      </c>
      <c r="N381" s="15" t="n">
        <v>0</v>
      </c>
      <c r="O381" s="24" t="n">
        <v>0.839</v>
      </c>
      <c r="P381" s="12" t="inlineStr">
        <is>
          <t>DraftKings</t>
        </is>
      </c>
      <c r="Q381" s="12" t="inlineStr">
        <is>
          <t>raw model/market disagreement exceeds the safety limit</t>
        </is>
      </c>
    </row>
    <row r="382">
      <c r="A382" s="17" t="inlineStr">
        <is>
          <t>PASS</t>
        </is>
      </c>
      <c r="B382" s="17" t="inlineStr">
        <is>
          <t>STO @ MASS</t>
        </is>
      </c>
      <c r="C382" s="17" t="inlineStr">
        <is>
          <t>2026-09-19 19:30</t>
        </is>
      </c>
      <c r="D382" s="25" t="n">
        <v>3</v>
      </c>
      <c r="E382" s="17" t="inlineStr">
        <is>
          <t>ATS</t>
        </is>
      </c>
      <c r="F382" s="17" t="inlineStr">
        <is>
          <t>MASS -33.5</t>
        </is>
      </c>
      <c r="G382" s="26" t="n">
        <v>-33.5</v>
      </c>
      <c r="H382" s="18" t="n">
        <v>-108</v>
      </c>
      <c r="I382" s="20" t="n">
        <v>0.2559882380254255</v>
      </c>
      <c r="J382" s="20" t="n">
        <v>0.4956702459300312</v>
      </c>
      <c r="K382" s="20" t="n">
        <v>0.5192307692307693</v>
      </c>
      <c r="L382" s="19" t="n">
        <v>-0.0949927954456195</v>
      </c>
      <c r="M382" s="19" t="n">
        <v>-0.506985615654736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STO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UTSA @ TEX</t>
        </is>
      </c>
      <c r="C383" s="12" t="inlineStr">
        <is>
          <t>2026-09-20 00:00</t>
        </is>
      </c>
      <c r="D383" s="22" t="n">
        <v>3</v>
      </c>
      <c r="E383" s="12" t="inlineStr">
        <is>
          <t>ATS</t>
        </is>
      </c>
      <c r="F383" s="12" t="inlineStr">
        <is>
          <t>TEX -30.5</t>
        </is>
      </c>
      <c r="G383" s="23" t="n">
        <v>-30.5</v>
      </c>
      <c r="H383" s="13" t="n">
        <v>-108</v>
      </c>
      <c r="I383" s="15" t="n">
        <v>0.255754956987556</v>
      </c>
      <c r="J383" s="15" t="n">
        <v>0.4956702459300312</v>
      </c>
      <c r="K383" s="15" t="n">
        <v>0.5192307692307693</v>
      </c>
      <c r="L383" s="14" t="n">
        <v>-0.09499286647434864</v>
      </c>
      <c r="M383" s="14" t="n">
        <v>-0.5074348976535958</v>
      </c>
      <c r="N383" s="15" t="n">
        <v>0</v>
      </c>
      <c r="O383" s="24" t="n">
        <v>0.839</v>
      </c>
      <c r="P383" s="12" t="inlineStr">
        <is>
          <t>DraftKings</t>
        </is>
      </c>
      <c r="Q383" s="12" t="inlineStr">
        <is>
          <t>raw model/market disagreement exceeds the safety limit</t>
        </is>
      </c>
    </row>
    <row r="384">
      <c r="A384" s="17" t="inlineStr">
        <is>
          <t>PASS</t>
        </is>
      </c>
      <c r="B384" s="17" t="inlineStr">
        <is>
          <t>NIU @ ARIZ</t>
        </is>
      </c>
      <c r="C384" s="17" t="inlineStr">
        <is>
          <t>2026-09-20 02:30</t>
        </is>
      </c>
      <c r="D384" s="25" t="n">
        <v>3</v>
      </c>
      <c r="E384" s="17" t="inlineStr">
        <is>
          <t>ATS</t>
        </is>
      </c>
      <c r="F384" s="17" t="inlineStr">
        <is>
          <t>ARIZ -34.5</t>
        </is>
      </c>
      <c r="G384" s="26" t="n">
        <v>-34.5</v>
      </c>
      <c r="H384" s="18" t="n">
        <v>-108</v>
      </c>
      <c r="I384" s="20" t="n">
        <v>0.2557430659745411</v>
      </c>
      <c r="J384" s="20" t="n">
        <v>0.4956702459300312</v>
      </c>
      <c r="K384" s="20" t="n">
        <v>0.5192307692307693</v>
      </c>
      <c r="L384" s="19" t="n">
        <v>-0.09499287007607454</v>
      </c>
      <c r="M384" s="19" t="n">
        <v>-0.5074577988638469</v>
      </c>
      <c r="N384" s="20" t="n">
        <v>0</v>
      </c>
      <c r="O384" s="27" t="n">
        <v>0.839</v>
      </c>
      <c r="P384" s="17" t="inlineStr">
        <is>
          <t>DraftKings</t>
        </is>
      </c>
      <c r="Q384" s="17" t="inlineStr">
        <is>
          <t>raw model/market disagreement exceeds the safety limit</t>
        </is>
      </c>
    </row>
    <row r="385">
      <c r="A385" s="12" t="inlineStr">
        <is>
          <t>PASS</t>
        </is>
      </c>
      <c r="B385" s="12" t="inlineStr">
        <is>
          <t>KENN @ TENN</t>
        </is>
      </c>
      <c r="C385" s="12" t="inlineStr">
        <is>
          <t>2026-09-19 23:45</t>
        </is>
      </c>
      <c r="D385" s="22" t="n">
        <v>3</v>
      </c>
      <c r="E385" s="12" t="inlineStr">
        <is>
          <t>ATS</t>
        </is>
      </c>
      <c r="F385" s="12" t="inlineStr">
        <is>
          <t>TENN -35.5</t>
        </is>
      </c>
      <c r="G385" s="23" t="n">
        <v>-35.5</v>
      </c>
      <c r="H385" s="13" t="n">
        <v>-112</v>
      </c>
      <c r="I385" s="15" t="n">
        <v>0.2595720635000941</v>
      </c>
      <c r="J385" s="15" t="n">
        <v>0.5043297540699688</v>
      </c>
      <c r="K385" s="15" t="n">
        <v>0.5283018867924528</v>
      </c>
      <c r="L385" s="14" t="n">
        <v>-0.09499305771477373</v>
      </c>
      <c r="M385" s="14" t="n">
        <v>-0.5086671655176791</v>
      </c>
      <c r="N385" s="15" t="n">
        <v>0</v>
      </c>
      <c r="O385" s="24" t="n">
        <v>0.839</v>
      </c>
      <c r="P385" s="12" t="inlineStr">
        <is>
          <t>DraftKings</t>
        </is>
      </c>
      <c r="Q385" s="12" t="inlineStr">
        <is>
          <t>raw model/market disagreement exceeds the safety limit</t>
        </is>
      </c>
    </row>
    <row r="386">
      <c r="A386" s="17" t="inlineStr">
        <is>
          <t>PASS</t>
        </is>
      </c>
      <c r="B386" s="17" t="inlineStr">
        <is>
          <t>UGA @ ARK</t>
        </is>
      </c>
      <c r="C386" s="17" t="inlineStr">
        <is>
          <t>2026-09-19 16:00</t>
        </is>
      </c>
      <c r="D386" s="25" t="n">
        <v>3</v>
      </c>
      <c r="E386" s="17" t="inlineStr">
        <is>
          <t>ATS</t>
        </is>
      </c>
      <c r="F386" s="17" t="inlineStr">
        <is>
          <t>UGA -24.5</t>
        </is>
      </c>
      <c r="G386" s="26" t="n">
        <v>24.5</v>
      </c>
      <c r="H386" s="18" t="n">
        <v>-120</v>
      </c>
      <c r="I386" s="20" t="n">
        <v>0.2680265310267457</v>
      </c>
      <c r="J386" s="20" t="n">
        <v>0.5217391304347826</v>
      </c>
      <c r="K386" s="20" t="n">
        <v>0.5454545454545454</v>
      </c>
      <c r="L386" s="19" t="n">
        <v>-0.09499319799372272</v>
      </c>
      <c r="M386" s="19" t="n">
        <v>-0.5086180264509662</v>
      </c>
      <c r="N386" s="20" t="n">
        <v>0</v>
      </c>
      <c r="O386" s="27" t="n">
        <v>0.839</v>
      </c>
      <c r="P386" s="17" t="inlineStr">
        <is>
          <t>DraftKings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UTM @ MEM</t>
        </is>
      </c>
      <c r="C387" s="12" t="inlineStr">
        <is>
          <t>2026-09-19 23:00</t>
        </is>
      </c>
      <c r="D387" s="22" t="n">
        <v>3</v>
      </c>
      <c r="E387" s="12" t="inlineStr">
        <is>
          <t>ATS</t>
        </is>
      </c>
      <c r="F387" s="12" t="inlineStr">
        <is>
          <t>MEM -34.5</t>
        </is>
      </c>
      <c r="G387" s="23" t="n">
        <v>-34.5</v>
      </c>
      <c r="H387" s="13" t="n">
        <v>-110</v>
      </c>
      <c r="I387" s="15" t="n">
        <v>0.2568338731608855</v>
      </c>
      <c r="J387" s="15" t="n">
        <v>0.5</v>
      </c>
      <c r="K387" s="15" t="n">
        <v>0.5238095238095238</v>
      </c>
      <c r="L387" s="14" t="n">
        <v>-0.09499320511701766</v>
      </c>
      <c r="M387" s="14" t="n">
        <v>-0.5096807876019458</v>
      </c>
      <c r="N387" s="15" t="n">
        <v>0</v>
      </c>
      <c r="O387" s="24" t="n">
        <v>0.725</v>
      </c>
      <c r="P387" s="12" t="inlineStr">
        <is>
          <t>DraftKings</t>
        </is>
      </c>
      <c r="Q387" s="12" t="inlineStr">
        <is>
          <t>UTM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USC @ RUTG</t>
        </is>
      </c>
      <c r="C388" s="17" t="inlineStr">
        <is>
          <t>2026-09-19 19:30</t>
        </is>
      </c>
      <c r="D388" s="25" t="n">
        <v>3</v>
      </c>
      <c r="E388" s="17" t="inlineStr">
        <is>
          <t>ATS</t>
        </is>
      </c>
      <c r="F388" s="17" t="inlineStr">
        <is>
          <t>USC -24.5</t>
        </is>
      </c>
      <c r="G388" s="26" t="n">
        <v>24.5</v>
      </c>
      <c r="H388" s="18" t="n">
        <v>-105</v>
      </c>
      <c r="I388" s="20" t="n">
        <v>0.2505027331934013</v>
      </c>
      <c r="J388" s="20" t="n">
        <v>0.4891657638136511</v>
      </c>
      <c r="K388" s="20" t="n">
        <v>0.5121951219512195</v>
      </c>
      <c r="L388" s="19" t="n">
        <v>-0.09499342544763455</v>
      </c>
      <c r="M388" s="19" t="n">
        <v>-0.5109232351938355</v>
      </c>
      <c r="N388" s="20" t="n">
        <v>0</v>
      </c>
      <c r="O388" s="27" t="n">
        <v>0.839</v>
      </c>
      <c r="P388" s="17" t="inlineStr">
        <is>
          <t>DraftKings</t>
        </is>
      </c>
      <c r="Q388" s="17" t="inlineStr">
        <is>
          <t>raw model/market disagreement exceeds the safety limit</t>
        </is>
      </c>
    </row>
    <row r="389">
      <c r="A389" s="12" t="inlineStr">
        <is>
          <t>PASS</t>
        </is>
      </c>
      <c r="B389" s="12" t="inlineStr">
        <is>
          <t>NDSU @ SAC</t>
        </is>
      </c>
      <c r="C389" s="12" t="inlineStr">
        <is>
          <t>2026-09-20 02:30</t>
        </is>
      </c>
      <c r="D389" s="22" t="n">
        <v>3</v>
      </c>
      <c r="E389" s="12" t="inlineStr">
        <is>
          <t>ATS</t>
        </is>
      </c>
      <c r="F389" s="12" t="inlineStr">
        <is>
          <t>NDSU -27.5</t>
        </is>
      </c>
      <c r="G389" s="23" t="n">
        <v>27.5</v>
      </c>
      <c r="H389" s="13" t="n">
        <v>-112</v>
      </c>
      <c r="I389" s="15" t="n">
        <v>0.2562087888840132</v>
      </c>
      <c r="J389" s="15" t="n">
        <v>0.5043297540699688</v>
      </c>
      <c r="K389" s="15" t="n">
        <v>0.5283018867924528</v>
      </c>
      <c r="L389" s="14" t="n">
        <v>-0.09499396702662946</v>
      </c>
      <c r="M389" s="14" t="n">
        <v>-0.5150333638981179</v>
      </c>
      <c r="N389" s="15" t="n">
        <v>0</v>
      </c>
      <c r="O389" s="24" t="n">
        <v>0.926</v>
      </c>
      <c r="P389" s="12" t="inlineStr">
        <is>
          <t>DraftKings</t>
        </is>
      </c>
      <c r="Q389" s="12" t="inlineStr">
        <is>
          <t>raw model/market disagreement exceeds the safety limit</t>
        </is>
      </c>
    </row>
    <row r="390">
      <c r="A390" s="17" t="inlineStr">
        <is>
          <t>PASS</t>
        </is>
      </c>
      <c r="B390" s="17" t="inlineStr">
        <is>
          <t>DSU @ USF</t>
        </is>
      </c>
      <c r="C390" s="17" t="inlineStr">
        <is>
          <t>2026-09-19 23:00</t>
        </is>
      </c>
      <c r="D390" s="25" t="n">
        <v>3</v>
      </c>
      <c r="E390" s="17" t="inlineStr">
        <is>
          <t>ATS</t>
        </is>
      </c>
      <c r="F390" s="17" t="inlineStr">
        <is>
          <t>USF -36.5</t>
        </is>
      </c>
      <c r="G390" s="26" t="n">
        <v>-36.5</v>
      </c>
      <c r="H390" s="18" t="n">
        <v>-110</v>
      </c>
      <c r="I390" s="20" t="n">
        <v>0.2538922518828484</v>
      </c>
      <c r="J390" s="20" t="n">
        <v>0.5</v>
      </c>
      <c r="K390" s="20" t="n">
        <v>0.5238095238095238</v>
      </c>
      <c r="L390" s="19" t="n">
        <v>-0.09499399665835853</v>
      </c>
      <c r="M390" s="19" t="n">
        <v>-0.5152966100418348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DSU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UTEP @ MICH</t>
        </is>
      </c>
      <c r="C391" s="12" t="inlineStr">
        <is>
          <t>2026-09-19 19:30</t>
        </is>
      </c>
      <c r="D391" s="22" t="n">
        <v>3</v>
      </c>
      <c r="E391" s="12" t="inlineStr">
        <is>
          <t>ATS</t>
        </is>
      </c>
      <c r="F391" s="12" t="inlineStr">
        <is>
          <t>MICH -35.5</t>
        </is>
      </c>
      <c r="G391" s="23" t="n">
        <v>-35.5</v>
      </c>
      <c r="H391" s="13" t="n">
        <v>-105</v>
      </c>
      <c r="I391" s="15" t="n">
        <v>0.2481633346381509</v>
      </c>
      <c r="J391" s="15" t="n">
        <v>0.4891657638136511</v>
      </c>
      <c r="K391" s="15" t="n">
        <v>0.5121951219512195</v>
      </c>
      <c r="L391" s="14" t="n">
        <v>-0.09499405513882615</v>
      </c>
      <c r="M391" s="14" t="n">
        <v>-0.515490632373134</v>
      </c>
      <c r="N391" s="15" t="n">
        <v>0</v>
      </c>
      <c r="O391" s="24" t="n">
        <v>0.839</v>
      </c>
      <c r="P391" s="12" t="inlineStr">
        <is>
          <t>DraftKings</t>
        </is>
      </c>
      <c r="Q391" s="12" t="inlineStr">
        <is>
          <t>raw model/market disagreement exceeds the safety limit</t>
        </is>
      </c>
    </row>
    <row r="392">
      <c r="A392" s="17" t="inlineStr">
        <is>
          <t>PASS</t>
        </is>
      </c>
      <c r="B392" s="17" t="inlineStr">
        <is>
          <t>BUFF @ PSU</t>
        </is>
      </c>
      <c r="C392" s="17" t="inlineStr">
        <is>
          <t>2026-09-19 16:00</t>
        </is>
      </c>
      <c r="D392" s="25" t="n">
        <v>3</v>
      </c>
      <c r="E392" s="17" t="inlineStr">
        <is>
          <t>ATS</t>
        </is>
      </c>
      <c r="F392" s="17" t="inlineStr">
        <is>
          <t>PSU -40.5</t>
        </is>
      </c>
      <c r="G392" s="26" t="n">
        <v>-40.5</v>
      </c>
      <c r="H392" s="18" t="n">
        <v>-118</v>
      </c>
      <c r="I392" s="20" t="n">
        <v>0.2610577024424898</v>
      </c>
      <c r="J392" s="20" t="n">
        <v>0.5173641257162701</v>
      </c>
      <c r="K392" s="20" t="n">
        <v>0.5412844036697247</v>
      </c>
      <c r="L392" s="19" t="n">
        <v>-0.09499438689649072</v>
      </c>
      <c r="M392" s="19" t="n">
        <v>-0.5177069565045527</v>
      </c>
      <c r="N392" s="20" t="n">
        <v>0</v>
      </c>
      <c r="O392" s="27" t="n">
        <v>0.839</v>
      </c>
      <c r="P392" s="17" t="inlineStr">
        <is>
          <t>DraftKings</t>
        </is>
      </c>
      <c r="Q392" s="17" t="inlineStr">
        <is>
          <t>raw model/market disagreement exceeds the safety limit</t>
        </is>
      </c>
    </row>
    <row r="393">
      <c r="A393" s="12" t="inlineStr">
        <is>
          <t>PASS</t>
        </is>
      </c>
      <c r="B393" s="12" t="inlineStr">
        <is>
          <t>DUQ @ WSU</t>
        </is>
      </c>
      <c r="C393" s="12" t="inlineStr">
        <is>
          <t>2026-09-19 19:30</t>
        </is>
      </c>
      <c r="D393" s="22" t="n">
        <v>3</v>
      </c>
      <c r="E393" s="12" t="inlineStr">
        <is>
          <t>ATS</t>
        </is>
      </c>
      <c r="F393" s="12" t="inlineStr">
        <is>
          <t>WSU -37.5</t>
        </is>
      </c>
      <c r="G393" s="23" t="n">
        <v>-37.5</v>
      </c>
      <c r="H393" s="13" t="n">
        <v>-115</v>
      </c>
      <c r="I393" s="15" t="n">
        <v>0.2570527603449167</v>
      </c>
      <c r="J393" s="15" t="n">
        <v>0.5108342361863488</v>
      </c>
      <c r="K393" s="15" t="n">
        <v>0.5348837209302325</v>
      </c>
      <c r="L393" s="14" t="n">
        <v>-0.09499454875851275</v>
      </c>
      <c r="M393" s="14" t="n">
        <v>-0.5194231002247209</v>
      </c>
      <c r="N393" s="15" t="n">
        <v>0</v>
      </c>
      <c r="O393" s="24" t="n">
        <v>0.725</v>
      </c>
      <c r="P393" s="12" t="inlineStr">
        <is>
          <t>DraftKings</t>
        </is>
      </c>
      <c r="Q393" s="12" t="inlineStr">
        <is>
          <t>DUQ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UNI @ IOWA</t>
        </is>
      </c>
      <c r="C394" s="17" t="inlineStr">
        <is>
          <t>2026-09-19 20:00</t>
        </is>
      </c>
      <c r="D394" s="25" t="n">
        <v>3</v>
      </c>
      <c r="E394" s="17" t="inlineStr">
        <is>
          <t>ATS</t>
        </is>
      </c>
      <c r="F394" s="17" t="inlineStr">
        <is>
          <t>IOWA -40.5</t>
        </is>
      </c>
      <c r="G394" s="26" t="n">
        <v>-40.5</v>
      </c>
      <c r="H394" s="18" t="n">
        <v>-108</v>
      </c>
      <c r="I394" s="20" t="n">
        <v>0.2491766040005348</v>
      </c>
      <c r="J394" s="20" t="n">
        <v>0.4956702459300312</v>
      </c>
      <c r="K394" s="20" t="n">
        <v>0.5192307692307693</v>
      </c>
      <c r="L394" s="19" t="n">
        <v>-0.09499460532707463</v>
      </c>
      <c r="M394" s="19" t="n">
        <v>-0.5201043182211923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UNI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ME @ BC</t>
        </is>
      </c>
      <c r="C395" s="12" t="inlineStr">
        <is>
          <t>2026-09-19 18:00</t>
        </is>
      </c>
      <c r="D395" s="22" t="n">
        <v>3</v>
      </c>
      <c r="E395" s="12" t="inlineStr">
        <is>
          <t>ATS</t>
        </is>
      </c>
      <c r="F395" s="12" t="inlineStr">
        <is>
          <t>BC -38.5</t>
        </is>
      </c>
      <c r="G395" s="23" t="n">
        <v>-38.5</v>
      </c>
      <c r="H395" s="13" t="n">
        <v>-110</v>
      </c>
      <c r="I395" s="15" t="n">
        <v>0.2512584592258554</v>
      </c>
      <c r="J395" s="15" t="n">
        <v>0.5</v>
      </c>
      <c r="K395" s="15" t="n">
        <v>0.5238095238095238</v>
      </c>
      <c r="L395" s="14" t="n">
        <v>-0.09499462680320266</v>
      </c>
      <c r="M395" s="14" t="n">
        <v>-0.5203247596597307</v>
      </c>
      <c r="N395" s="15" t="n">
        <v>0</v>
      </c>
      <c r="O395" s="24" t="n">
        <v>0.725</v>
      </c>
      <c r="P395" s="12" t="inlineStr">
        <is>
          <t>DraftKings</t>
        </is>
      </c>
      <c r="Q395" s="12" t="inlineStr">
        <is>
          <t>ME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MER @ GT</t>
        </is>
      </c>
      <c r="C396" s="17" t="inlineStr">
        <is>
          <t>2026-09-19 16:00</t>
        </is>
      </c>
      <c r="D396" s="25" t="n">
        <v>3</v>
      </c>
      <c r="E396" s="17" t="inlineStr">
        <is>
          <t>ATS</t>
        </is>
      </c>
      <c r="F396" s="17" t="inlineStr">
        <is>
          <t>GT -38.5</t>
        </is>
      </c>
      <c r="G396" s="26" t="n">
        <v>-38.5</v>
      </c>
      <c r="H396" s="18" t="n">
        <v>-112</v>
      </c>
      <c r="I396" s="20" t="n">
        <v>0.2534114787683829</v>
      </c>
      <c r="J396" s="20" t="n">
        <v>0.5043297540699688</v>
      </c>
      <c r="K396" s="20" t="n">
        <v>0.5283018867924528</v>
      </c>
      <c r="L396" s="19" t="n">
        <v>-0.09499463190455541</v>
      </c>
      <c r="M396" s="19" t="n">
        <v>-0.5203282723312752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MER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WKU @ IU</t>
        </is>
      </c>
      <c r="C397" s="12" t="inlineStr">
        <is>
          <t>2026-09-19 20:00</t>
        </is>
      </c>
      <c r="D397" s="22" t="n">
        <v>3</v>
      </c>
      <c r="E397" s="12" t="inlineStr">
        <is>
          <t>ATS</t>
        </is>
      </c>
      <c r="F397" s="12" t="inlineStr">
        <is>
          <t>IU -44.5</t>
        </is>
      </c>
      <c r="G397" s="23" t="n">
        <v>-44.5</v>
      </c>
      <c r="H397" s="13" t="n">
        <v>-112</v>
      </c>
      <c r="I397" s="15" t="n">
        <v>0.2530693683407251</v>
      </c>
      <c r="J397" s="15" t="n">
        <v>0.5043297540699688</v>
      </c>
      <c r="K397" s="15" t="n">
        <v>0.5283018867924528</v>
      </c>
      <c r="L397" s="14" t="n">
        <v>-0.09499470801931117</v>
      </c>
      <c r="M397" s="14" t="n">
        <v>-0.5209758384979133</v>
      </c>
      <c r="N397" s="15" t="n">
        <v>0</v>
      </c>
      <c r="O397" s="24" t="n">
        <v>0.839</v>
      </c>
      <c r="P397" s="12" t="inlineStr">
        <is>
          <t>DraftKings</t>
        </is>
      </c>
      <c r="Q397" s="12" t="inlineStr">
        <is>
          <t>raw model/market disagreement exceeds the safety limit</t>
        </is>
      </c>
    </row>
    <row r="398">
      <c r="A398" s="17" t="inlineStr">
        <is>
          <t>PASS</t>
        </is>
      </c>
      <c r="B398" s="17" t="inlineStr">
        <is>
          <t>SIU @ ILL</t>
        </is>
      </c>
      <c r="C398" s="17" t="inlineStr">
        <is>
          <t>2026-09-19 18:00</t>
        </is>
      </c>
      <c r="D398" s="25" t="n">
        <v>3</v>
      </c>
      <c r="E398" s="17" t="inlineStr">
        <is>
          <t>ATS</t>
        </is>
      </c>
      <c r="F398" s="17" t="inlineStr">
        <is>
          <t>ILL -41.5</t>
        </is>
      </c>
      <c r="G398" s="26" t="n">
        <v>-41.5</v>
      </c>
      <c r="H398" s="18" t="n">
        <v>-112</v>
      </c>
      <c r="I398" s="20" t="n">
        <v>0.2530427567929612</v>
      </c>
      <c r="J398" s="20" t="n">
        <v>0.5043297540699688</v>
      </c>
      <c r="K398" s="20" t="n">
        <v>0.5283018867924528</v>
      </c>
      <c r="L398" s="19" t="n">
        <v>-0.09499471389456862</v>
      </c>
      <c r="M398" s="19" t="n">
        <v>-0.5210262103561807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SIU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EWU @ WASH</t>
        </is>
      </c>
      <c r="C399" s="12" t="inlineStr">
        <is>
          <t>2026-09-19 23:15</t>
        </is>
      </c>
      <c r="D399" s="22" t="n">
        <v>3</v>
      </c>
      <c r="E399" s="12" t="inlineStr">
        <is>
          <t>ATS</t>
        </is>
      </c>
      <c r="F399" s="12" t="inlineStr">
        <is>
          <t>WASH -42.5</t>
        </is>
      </c>
      <c r="G399" s="23" t="n">
        <v>-42.5</v>
      </c>
      <c r="H399" s="13" t="n">
        <v>-112</v>
      </c>
      <c r="I399" s="15" t="n">
        <v>0.2528688084499838</v>
      </c>
      <c r="J399" s="15" t="n">
        <v>0.5043297540699688</v>
      </c>
      <c r="K399" s="15" t="n">
        <v>0.5283018867924528</v>
      </c>
      <c r="L399" s="14" t="n">
        <v>-0.09499475213828704</v>
      </c>
      <c r="M399" s="14" t="n">
        <v>-0.5213554697196736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EWU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KENT @ OSU</t>
        </is>
      </c>
      <c r="C400" s="17" t="inlineStr">
        <is>
          <t>2026-09-19 16:00</t>
        </is>
      </c>
      <c r="D400" s="25" t="n">
        <v>3</v>
      </c>
      <c r="E400" s="17" t="inlineStr">
        <is>
          <t>ATS</t>
        </is>
      </c>
      <c r="F400" s="17" t="inlineStr">
        <is>
          <t>OSU -52.5</t>
        </is>
      </c>
      <c r="G400" s="26" t="n">
        <v>-52.5</v>
      </c>
      <c r="H400" s="18" t="n">
        <v>-112</v>
      </c>
      <c r="I400" s="20" t="n">
        <v>0.2522581115303211</v>
      </c>
      <c r="J400" s="20" t="n">
        <v>0.5043297540699688</v>
      </c>
      <c r="K400" s="20" t="n">
        <v>0.5283018867924528</v>
      </c>
      <c r="L400" s="19" t="n">
        <v>-0.09499488422656746</v>
      </c>
      <c r="M400" s="19" t="n">
        <v>-0.522511431746178</v>
      </c>
      <c r="N400" s="20" t="n">
        <v>0</v>
      </c>
      <c r="O400" s="27" t="n">
        <v>0.839</v>
      </c>
      <c r="P400" s="17" t="inlineStr">
        <is>
          <t>DraftKings</t>
        </is>
      </c>
      <c r="Q400" s="17" t="inlineStr">
        <is>
          <t>raw model/market disagreement exceeds the safety limit</t>
        </is>
      </c>
    </row>
    <row r="401">
      <c r="A401" s="12" t="inlineStr">
        <is>
          <t>PASS</t>
        </is>
      </c>
      <c r="B401" s="12" t="inlineStr">
        <is>
          <t>PRST @ ORE</t>
        </is>
      </c>
      <c r="C401" s="12" t="inlineStr">
        <is>
          <t>2026-09-19 02:30</t>
        </is>
      </c>
      <c r="D401" s="22" t="n">
        <v>3</v>
      </c>
      <c r="E401" s="12" t="inlineStr">
        <is>
          <t>ATS</t>
        </is>
      </c>
      <c r="F401" s="12" t="inlineStr">
        <is>
          <t>ORE -57.5</t>
        </is>
      </c>
      <c r="G401" s="23" t="n">
        <v>-57.5</v>
      </c>
      <c r="H401" s="13" t="n">
        <v>-108</v>
      </c>
      <c r="I401" s="15" t="n">
        <v>0.2478423710610969</v>
      </c>
      <c r="J401" s="15" t="n">
        <v>0.4956702459300312</v>
      </c>
      <c r="K401" s="15" t="n">
        <v>0.5192307692307693</v>
      </c>
      <c r="L401" s="14" t="n">
        <v>-0.09499490252876074</v>
      </c>
      <c r="M401" s="14" t="n">
        <v>-0.5226739520304802</v>
      </c>
      <c r="N401" s="15" t="n">
        <v>0</v>
      </c>
      <c r="O401" s="24" t="n">
        <v>0.725</v>
      </c>
      <c r="P401" s="12" t="inlineStr">
        <is>
          <t>DraftKings</t>
        </is>
      </c>
      <c r="Q401" s="12" t="inlineStr">
        <is>
          <t>PRST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MUR @ OKST</t>
        </is>
      </c>
      <c r="C402" s="17" t="inlineStr">
        <is>
          <t>2026-09-19 23:00</t>
        </is>
      </c>
      <c r="D402" s="25" t="n">
        <v>3</v>
      </c>
      <c r="E402" s="17" t="inlineStr">
        <is>
          <t>ATS</t>
        </is>
      </c>
      <c r="F402" s="17" t="inlineStr">
        <is>
          <t>OKST -56.5</t>
        </is>
      </c>
      <c r="G402" s="26" t="n">
        <v>-56.5</v>
      </c>
      <c r="H402" s="18" t="n">
        <v>-108</v>
      </c>
      <c r="I402" s="20" t="n">
        <v>0.2478419259505282</v>
      </c>
      <c r="J402" s="20" t="n">
        <v>0.4956702459300312</v>
      </c>
      <c r="K402" s="20" t="n">
        <v>0.5192307692307693</v>
      </c>
      <c r="L402" s="19" t="n">
        <v>-0.094994902625126</v>
      </c>
      <c r="M402" s="19" t="n">
        <v>-0.5226748092804641</v>
      </c>
      <c r="N402" s="20" t="n">
        <v>0</v>
      </c>
      <c r="O402" s="27" t="n">
        <v>0.725</v>
      </c>
      <c r="P402" s="17" t="inlineStr">
        <is>
          <t>DraftKings</t>
        </is>
      </c>
      <c r="Q402" s="17" t="inlineStr">
        <is>
          <t>MUR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2026-09-20</t>
        </is>
      </c>
      <c r="B6" s="12" t="inlineStr">
        <is>
          <t>PUR @ UCLA</t>
        </is>
      </c>
      <c r="C6" s="12" t="inlineStr">
        <is>
          <t>ML</t>
        </is>
      </c>
      <c r="D6" s="12" t="inlineStr">
        <is>
          <t>PUR ML</t>
        </is>
      </c>
      <c r="E6" s="13" t="n">
        <v>550</v>
      </c>
      <c r="F6" s="16" t="n">
        <v>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BEST BET</t>
        </is>
      </c>
      <c r="L6" s="14" t="n">
        <v>0.095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2026-09-19</t>
        </is>
      </c>
      <c r="B7" s="17" t="inlineStr">
        <is>
          <t>KENN @ TENN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7.5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0.0936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ML</t>
        </is>
      </c>
      <c r="D9" s="17" t="inlineStr">
        <is>
          <t>MISS ML</t>
        </is>
      </c>
      <c r="E9" s="18" t="n">
        <v>130</v>
      </c>
      <c r="F9" s="21" t="n">
        <v>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0.09429999999999999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TOTAL</t>
        </is>
      </c>
      <c r="D10" s="12" t="inlineStr">
        <is>
          <t>Under 57.5</t>
        </is>
      </c>
      <c r="E10" s="13" t="n">
        <v>-110</v>
      </c>
      <c r="F10" s="16" t="n">
        <v>5.5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0.08749999999999999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WVU @ UVA</t>
        </is>
      </c>
      <c r="C11" s="17" t="inlineStr">
        <is>
          <t>ML</t>
        </is>
      </c>
      <c r="D11" s="17" t="inlineStr">
        <is>
          <t>WVU ML</t>
        </is>
      </c>
      <c r="E11" s="18" t="n">
        <v>240</v>
      </c>
      <c r="F11" s="21" t="n">
        <v>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0.09279999999999999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ATS</t>
        </is>
      </c>
      <c r="D12" s="12" t="inlineStr">
        <is>
          <t>MD +1.5</t>
        </is>
      </c>
      <c r="E12" s="13" t="n">
        <v>-112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0.0887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VT @ MD</t>
        </is>
      </c>
      <c r="C13" s="17" t="inlineStr">
        <is>
          <t>ML</t>
        </is>
      </c>
      <c r="D13" s="17" t="inlineStr">
        <is>
          <t>MD ML</t>
        </is>
      </c>
      <c r="E13" s="18" t="n">
        <v>124</v>
      </c>
      <c r="F13" s="21" t="n">
        <v>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BEST BET</t>
        </is>
      </c>
      <c r="L13" s="19" t="n">
        <v>0.0946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ATS</t>
        </is>
      </c>
      <c r="D14" s="12" t="inlineStr">
        <is>
          <t>AUB +1.5</t>
        </is>
      </c>
      <c r="E14" s="13" t="n">
        <v>-115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0.0876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FLA @ AUB</t>
        </is>
      </c>
      <c r="C15" s="17" t="inlineStr">
        <is>
          <t>ML</t>
        </is>
      </c>
      <c r="D15" s="17" t="inlineStr">
        <is>
          <t>AUB ML</t>
        </is>
      </c>
      <c r="E15" s="18" t="n">
        <v>110</v>
      </c>
      <c r="F15" s="21" t="n">
        <v>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CONN @ USM</t>
        </is>
      </c>
      <c r="C16" s="12" t="inlineStr">
        <is>
          <t>ML</t>
        </is>
      </c>
      <c r="D16" s="12" t="inlineStr">
        <is>
          <t>USM ML</t>
        </is>
      </c>
      <c r="E16" s="13" t="n">
        <v>114</v>
      </c>
      <c r="F16" s="16" t="n">
        <v>6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NEV @ MTSU</t>
        </is>
      </c>
      <c r="C17" s="17" t="inlineStr">
        <is>
          <t>ATS</t>
        </is>
      </c>
      <c r="D17" s="17" t="inlineStr">
        <is>
          <t>MTSU +3.5</t>
        </is>
      </c>
      <c r="E17" s="18" t="n">
        <v>-112</v>
      </c>
      <c r="F17" s="21" t="n">
        <v>8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BEST BET</t>
        </is>
      </c>
      <c r="L17" s="19" t="n">
        <v>0.0946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MRSH @ MOST</t>
        </is>
      </c>
      <c r="C18" s="12" t="inlineStr">
        <is>
          <t>ML</t>
        </is>
      </c>
      <c r="D18" s="12" t="inlineStr">
        <is>
          <t>MOST ML</t>
        </is>
      </c>
      <c r="E18" s="13" t="n">
        <v>136</v>
      </c>
      <c r="F18" s="16" t="n">
        <v>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0.0948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2026-09-19</t>
        </is>
      </c>
      <c r="B19" s="17" t="inlineStr">
        <is>
          <t>MSST @ SC</t>
        </is>
      </c>
      <c r="C19" s="17" t="inlineStr">
        <is>
          <t>ML</t>
        </is>
      </c>
      <c r="D19" s="17" t="inlineStr">
        <is>
          <t>MSST ML</t>
        </is>
      </c>
      <c r="E19" s="18" t="n">
        <v>240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0.08450000000000001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STAN @ DUKE</t>
        </is>
      </c>
      <c r="C20" s="12" t="inlineStr">
        <is>
          <t>ML</t>
        </is>
      </c>
      <c r="D20" s="12" t="inlineStr">
        <is>
          <t>STAN ML</t>
        </is>
      </c>
      <c r="E20" s="13" t="n">
        <v>320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WKU @ IU</t>
        </is>
      </c>
      <c r="C21" s="17" t="inlineStr">
        <is>
          <t>TOTAL</t>
        </is>
      </c>
      <c r="D21" s="17" t="inlineStr">
        <is>
          <t>Under 59.5</t>
        </is>
      </c>
      <c r="E21" s="18" t="n">
        <v>-108</v>
      </c>
      <c r="F21" s="21" t="n">
        <v>6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0.093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BALL @ LIB</t>
        </is>
      </c>
      <c r="C22" s="12" t="inlineStr">
        <is>
          <t>ML</t>
        </is>
      </c>
      <c r="D22" s="12" t="inlineStr">
        <is>
          <t>BALL ML</t>
        </is>
      </c>
      <c r="E22" s="13" t="n">
        <v>575</v>
      </c>
      <c r="F22" s="16" t="n">
        <v>1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BEST BET</t>
        </is>
      </c>
      <c r="L22" s="14" t="n">
        <v>0.095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FSU @ ALA</t>
        </is>
      </c>
      <c r="C23" s="17" t="inlineStr">
        <is>
          <t>ML</t>
        </is>
      </c>
      <c r="D23" s="17" t="inlineStr">
        <is>
          <t>FSU ML</t>
        </is>
      </c>
      <c r="E23" s="18" t="n">
        <v>440</v>
      </c>
      <c r="F23" s="21" t="n">
        <v>1.5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2026-09-19</t>
        </is>
      </c>
      <c r="B24" s="12" t="inlineStr">
        <is>
          <t>UK @ TA&amp;M</t>
        </is>
      </c>
      <c r="C24" s="12" t="inlineStr">
        <is>
          <t>ML</t>
        </is>
      </c>
      <c r="D24" s="12" t="inlineStr">
        <is>
          <t>UK ML</t>
        </is>
      </c>
      <c r="E24" s="13" t="n">
        <v>525</v>
      </c>
      <c r="F24" s="16" t="n">
        <v>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0.095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2026-09-19</t>
        </is>
      </c>
      <c r="B25" s="17" t="inlineStr">
        <is>
          <t>M-OH @ CIN</t>
        </is>
      </c>
      <c r="C25" s="17" t="inlineStr">
        <is>
          <t>ML</t>
        </is>
      </c>
      <c r="D25" s="17" t="inlineStr">
        <is>
          <t>M-OH ML</t>
        </is>
      </c>
      <c r="E25" s="18" t="n">
        <v>525</v>
      </c>
      <c r="F25" s="21" t="n">
        <v>1.5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BEST BET</t>
        </is>
      </c>
      <c r="L25" s="19" t="n">
        <v>0.095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SMU @ LOU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-112</v>
      </c>
      <c r="F26" s="16" t="n">
        <v>4.5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WYO @ CMU</t>
        </is>
      </c>
      <c r="C27" s="17" t="inlineStr">
        <is>
          <t>TOTAL</t>
        </is>
      </c>
      <c r="D27" s="17" t="inlineStr">
        <is>
          <t>Over 39.5</t>
        </is>
      </c>
      <c r="E27" s="18" t="n">
        <v>-110</v>
      </c>
      <c r="F27" s="21" t="n">
        <v>7.5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0.0945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ASU @ KU</t>
        </is>
      </c>
      <c r="C28" s="12" t="inlineStr">
        <is>
          <t>ML</t>
        </is>
      </c>
      <c r="D28" s="12" t="inlineStr">
        <is>
          <t>KU ML</t>
        </is>
      </c>
      <c r="E28" s="13" t="n">
        <v>170</v>
      </c>
      <c r="F28" s="16" t="n">
        <v>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0.08890000000000001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2026-09-19</t>
        </is>
      </c>
      <c r="B29" s="17" t="inlineStr">
        <is>
          <t>ASU @ KU</t>
        </is>
      </c>
      <c r="C29" s="17" t="inlineStr">
        <is>
          <t>TOTAL</t>
        </is>
      </c>
      <c r="D29" s="17" t="inlineStr">
        <is>
          <t>Under 56.5</t>
        </is>
      </c>
      <c r="E29" s="18" t="n">
        <v>-108</v>
      </c>
      <c r="F29" s="21" t="n">
        <v>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0.0888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UNC @ CLEM</t>
        </is>
      </c>
      <c r="C30" s="12" t="inlineStr">
        <is>
          <t>ML</t>
        </is>
      </c>
      <c r="D30" s="12" t="inlineStr">
        <is>
          <t>UNC ML</t>
        </is>
      </c>
      <c r="E30" s="13" t="n">
        <v>320</v>
      </c>
      <c r="F30" s="16" t="n">
        <v>2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BEST BET</t>
        </is>
      </c>
      <c r="L30" s="14" t="n">
        <v>0.095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2026-09-19</t>
        </is>
      </c>
      <c r="B31" s="17" t="inlineStr">
        <is>
          <t>UNC @ CLEM</t>
        </is>
      </c>
      <c r="C31" s="17" t="inlineStr">
        <is>
          <t>TOTAL</t>
        </is>
      </c>
      <c r="D31" s="17" t="inlineStr">
        <is>
          <t>Over 44.5</t>
        </is>
      </c>
      <c r="E31" s="18" t="n">
        <v>-108</v>
      </c>
      <c r="F31" s="21" t="n">
        <v>6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0.09229999999999999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KENT @ OSU</t>
        </is>
      </c>
      <c r="C32" s="12" t="inlineStr">
        <is>
          <t>TOTAL</t>
        </is>
      </c>
      <c r="D32" s="12" t="inlineStr">
        <is>
          <t>Under 56.5</t>
        </is>
      </c>
      <c r="E32" s="13" t="n">
        <v>-105</v>
      </c>
      <c r="F32" s="16" t="n">
        <v>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0.09329999999999999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2026-09-19</t>
        </is>
      </c>
      <c r="B33" s="17" t="inlineStr">
        <is>
          <t>UNT @ TXST</t>
        </is>
      </c>
      <c r="C33" s="17" t="inlineStr">
        <is>
          <t>TOTAL</t>
        </is>
      </c>
      <c r="D33" s="17" t="inlineStr">
        <is>
          <t>Under 62.5</t>
        </is>
      </c>
      <c r="E33" s="18" t="n">
        <v>-108</v>
      </c>
      <c r="F33" s="21" t="n">
        <v>7.5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BEST BET</t>
        </is>
      </c>
      <c r="L33" s="19" t="n">
        <v>0.0945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2026-09-19</t>
        </is>
      </c>
      <c r="B34" s="12" t="inlineStr">
        <is>
          <t>CCU @ DEL</t>
        </is>
      </c>
      <c r="C34" s="12" t="inlineStr">
        <is>
          <t>TOTAL</t>
        </is>
      </c>
      <c r="D34" s="12" t="inlineStr">
        <is>
          <t>Under 58.5</t>
        </is>
      </c>
      <c r="E34" s="13" t="n">
        <v>-105</v>
      </c>
      <c r="F34" s="16" t="n">
        <v>7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0.0939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2026-09-19</t>
        </is>
      </c>
      <c r="B35" s="17" t="inlineStr">
        <is>
          <t>HOU @ TTU</t>
        </is>
      </c>
      <c r="C35" s="17" t="inlineStr">
        <is>
          <t>ATS</t>
        </is>
      </c>
      <c r="D35" s="17" t="inlineStr">
        <is>
          <t>HOU +13.5</t>
        </is>
      </c>
      <c r="E35" s="18" t="n">
        <v>-115</v>
      </c>
      <c r="F35" s="21" t="n">
        <v>7.5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0.09379999999999999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2026-09-17</t>
        </is>
      </c>
      <c r="B36" s="12" t="inlineStr">
        <is>
          <t>SYR @ PITT</t>
        </is>
      </c>
      <c r="C36" s="12" t="inlineStr">
        <is>
          <t>ML</t>
        </is>
      </c>
      <c r="D36" s="12" t="inlineStr">
        <is>
          <t>SYR ML</t>
        </is>
      </c>
      <c r="E36" s="13" t="n">
        <v>295</v>
      </c>
      <c r="F36" s="16" t="n">
        <v>2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0.0936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2026-09-13</t>
        </is>
      </c>
      <c r="B37" s="17" t="inlineStr">
        <is>
          <t>NMSU @ HAW</t>
        </is>
      </c>
      <c r="C37" s="17" t="inlineStr">
        <is>
          <t>ATS</t>
        </is>
      </c>
      <c r="D37" s="17" t="inlineStr">
        <is>
          <t>NMSU +11.5</t>
        </is>
      </c>
      <c r="E37" s="18" t="n">
        <v>-108</v>
      </c>
      <c r="F37" s="21" t="n">
        <v>25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0.0994</v>
      </c>
      <c r="M37" s="19" t="n">
        <v>0.1282</v>
      </c>
      <c r="N37" s="17" t="inlineStr">
        <is>
          <t>NMSU 19 - HAW 29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NMSU @ HAW</t>
        </is>
      </c>
      <c r="C38" s="12" t="inlineStr">
        <is>
          <t>ML</t>
        </is>
      </c>
      <c r="D38" s="12" t="inlineStr">
        <is>
          <t>NMSU ML</t>
        </is>
      </c>
      <c r="E38" s="13" t="n">
        <v>300</v>
      </c>
      <c r="F38" s="16" t="n">
        <v>2.5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BEST BET</t>
        </is>
      </c>
      <c r="L38" s="14" t="n">
        <v>0.0949</v>
      </c>
      <c r="M38" s="14" t="n">
        <v>0.0357</v>
      </c>
      <c r="N38" s="12" t="inlineStr">
        <is>
          <t>NMSU 19 - HAW 29</t>
        </is>
      </c>
      <c r="O38" s="12" t="inlineStr">
        <is>
          <t>DraftKings</t>
        </is>
      </c>
    </row>
    <row r="39">
      <c r="A39" s="17" t="inlineStr">
        <is>
          <t>2026-09-13</t>
        </is>
      </c>
      <c r="B39" s="17" t="inlineStr">
        <is>
          <t>UL @ USC</t>
        </is>
      </c>
      <c r="C39" s="17" t="inlineStr">
        <is>
          <t>TOTAL</t>
        </is>
      </c>
      <c r="D39" s="17" t="inlineStr">
        <is>
          <t>Under 59.5</t>
        </is>
      </c>
      <c r="E39" s="18" t="n">
        <v>-112</v>
      </c>
      <c r="F39" s="21" t="n">
        <v>18.5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0.1106</v>
      </c>
      <c r="M39" s="19" t="n">
        <v>0.0255</v>
      </c>
      <c r="N39" s="17" t="inlineStr">
        <is>
          <t>UL 30 - USC 49</t>
        </is>
      </c>
      <c r="O39" s="17" t="inlineStr">
        <is>
          <t>DraftKings</t>
        </is>
      </c>
    </row>
    <row r="40">
      <c r="A40" s="12" t="inlineStr">
        <is>
          <t>2026-09-13</t>
        </is>
      </c>
      <c r="B40" s="12" t="inlineStr">
        <is>
          <t>SAC @ FRES</t>
        </is>
      </c>
      <c r="C40" s="12" t="inlineStr">
        <is>
          <t>ML</t>
        </is>
      </c>
      <c r="D40" s="12" t="inlineStr">
        <is>
          <t>SAC ML</t>
        </is>
      </c>
      <c r="E40" s="13" t="n">
        <v>600</v>
      </c>
      <c r="F40" s="16" t="n">
        <v>1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0.095</v>
      </c>
      <c r="M40" s="14" t="n">
        <v>0</v>
      </c>
      <c r="N40" s="12" t="inlineStr">
        <is>
          <t>SAC 3 - FRES 49</t>
        </is>
      </c>
      <c r="O40" s="12" t="inlineStr">
        <is>
          <t>DraftKings</t>
        </is>
      </c>
    </row>
    <row r="41">
      <c r="A41" s="17" t="inlineStr">
        <is>
          <t>2026-09-13</t>
        </is>
      </c>
      <c r="B41" s="17" t="inlineStr">
        <is>
          <t>ARK @ UTAH</t>
        </is>
      </c>
      <c r="C41" s="17" t="inlineStr">
        <is>
          <t>ATS</t>
        </is>
      </c>
      <c r="D41" s="17" t="inlineStr">
        <is>
          <t>ARK +9.5</t>
        </is>
      </c>
      <c r="E41" s="18" t="n">
        <v>-105</v>
      </c>
      <c r="F41" s="21" t="n">
        <v>23.5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0.09180000000000001</v>
      </c>
      <c r="M41" s="19" t="n">
        <v>-0.0634</v>
      </c>
      <c r="N41" s="17" t="inlineStr">
        <is>
          <t>ARK 10 - UTAH 43</t>
        </is>
      </c>
      <c r="O41" s="17" t="inlineStr">
        <is>
          <t>Draft Kings</t>
        </is>
      </c>
    </row>
    <row r="42">
      <c r="A42" s="12" t="inlineStr">
        <is>
          <t>2026-09-13</t>
        </is>
      </c>
      <c r="B42" s="12" t="inlineStr">
        <is>
          <t>ARK @ UTAH</t>
        </is>
      </c>
      <c r="C42" s="12" t="inlineStr">
        <is>
          <t>ML</t>
        </is>
      </c>
      <c r="D42" s="12" t="inlineStr">
        <is>
          <t>ARK ML</t>
        </is>
      </c>
      <c r="E42" s="13" t="n">
        <v>380</v>
      </c>
      <c r="F42" s="16" t="n">
        <v>2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0.0948</v>
      </c>
      <c r="M42" s="14" t="n">
        <v>0</v>
      </c>
      <c r="N42" s="12" t="inlineStr">
        <is>
          <t>ARK 10 - UTAH 43</t>
        </is>
      </c>
      <c r="O42" s="12" t="inlineStr">
        <is>
          <t>DraftKings</t>
        </is>
      </c>
    </row>
    <row r="43">
      <c r="A43" s="17" t="inlineStr">
        <is>
          <t>2026-09-13</t>
        </is>
      </c>
      <c r="B43" s="17" t="inlineStr">
        <is>
          <t>NDSU @ AFA</t>
        </is>
      </c>
      <c r="C43" s="17" t="inlineStr">
        <is>
          <t>ML</t>
        </is>
      </c>
      <c r="D43" s="17" t="inlineStr">
        <is>
          <t>AFA ML</t>
        </is>
      </c>
      <c r="E43" s="18" t="n">
        <v>180</v>
      </c>
      <c r="F43" s="21" t="n">
        <v>4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0.095</v>
      </c>
      <c r="M43" s="19" t="n">
        <v>0.1307</v>
      </c>
      <c r="N43" s="17" t="inlineStr">
        <is>
          <t>NDSU 38 - AFA 32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CLT @ MISS</t>
        </is>
      </c>
      <c r="C44" s="12" t="inlineStr">
        <is>
          <t>TOTAL</t>
        </is>
      </c>
      <c r="D44" s="12" t="inlineStr">
        <is>
          <t>Under 61.5</t>
        </is>
      </c>
      <c r="E44" s="13" t="n">
        <v>-108</v>
      </c>
      <c r="F44" s="16" t="n">
        <v>18.5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0.1108</v>
      </c>
      <c r="M44" s="14" t="n">
        <v>0.06</v>
      </c>
      <c r="N44" s="12" t="inlineStr">
        <is>
          <t>CLT 9 - MISS 41</t>
        </is>
      </c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OSU @ TEX</t>
        </is>
      </c>
      <c r="C45" s="17" t="inlineStr">
        <is>
          <t>TOTAL</t>
        </is>
      </c>
      <c r="D45" s="17" t="inlineStr">
        <is>
          <t>Over 47.5</t>
        </is>
      </c>
      <c r="E45" s="18" t="n">
        <v>-110</v>
      </c>
      <c r="F45" s="21" t="n">
        <v>25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0.1189</v>
      </c>
      <c r="M45" s="19" t="n">
        <v>0.1011</v>
      </c>
      <c r="N45" s="17" t="inlineStr">
        <is>
          <t>OSU 23 - TEX 24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TTU @ ORST</t>
        </is>
      </c>
      <c r="C46" s="12" t="inlineStr">
        <is>
          <t>TOTAL</t>
        </is>
      </c>
      <c r="D46" s="12" t="inlineStr">
        <is>
          <t>Over 49.5</t>
        </is>
      </c>
      <c r="E46" s="13" t="n">
        <v>-108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0.1092</v>
      </c>
      <c r="M46" s="14" t="n">
        <v>0.09</v>
      </c>
      <c r="N46" s="12" t="inlineStr">
        <is>
          <t>TTU 35 - ORST 24</t>
        </is>
      </c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ISU @ IOWA</t>
        </is>
      </c>
      <c r="C47" s="17" t="inlineStr">
        <is>
          <t>ATS</t>
        </is>
      </c>
      <c r="D47" s="17" t="inlineStr">
        <is>
          <t>ISU +12.5</t>
        </is>
      </c>
      <c r="E47" s="18" t="n">
        <v>-110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0.1201</v>
      </c>
      <c r="M47" s="19" t="n">
        <v>-0.0491</v>
      </c>
      <c r="N47" s="17" t="inlineStr">
        <is>
          <t>ISU 13 - IOWA 16</t>
        </is>
      </c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ISU @ IOWA</t>
        </is>
      </c>
      <c r="C48" s="12" t="inlineStr">
        <is>
          <t>ML</t>
        </is>
      </c>
      <c r="D48" s="12" t="inlineStr">
        <is>
          <t>ISU ML</t>
        </is>
      </c>
      <c r="E48" s="13" t="n">
        <v>550</v>
      </c>
      <c r="F48" s="16" t="n">
        <v>19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0.128</v>
      </c>
      <c r="M48" s="14" t="n">
        <v>0.0216</v>
      </c>
      <c r="N48" s="12" t="inlineStr">
        <is>
          <t>ISU 13 - IOWA 16</t>
        </is>
      </c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GASO @ CLEM</t>
        </is>
      </c>
      <c r="C49" s="17" t="inlineStr">
        <is>
          <t>TOTAL</t>
        </is>
      </c>
      <c r="D49" s="17" t="inlineStr">
        <is>
          <t>Under 57.5</t>
        </is>
      </c>
      <c r="E49" s="18" t="n">
        <v>-108</v>
      </c>
      <c r="F49" s="21" t="n">
        <v>24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0.0882</v>
      </c>
      <c r="M49" s="19" t="n">
        <v>0.0757</v>
      </c>
      <c r="N49" s="17" t="inlineStr">
        <is>
          <t>GASO 7 - CLEM 22</t>
        </is>
      </c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NAVY @ FAU</t>
        </is>
      </c>
      <c r="C50" s="12" t="inlineStr">
        <is>
          <t>ML</t>
        </is>
      </c>
      <c r="D50" s="12" t="inlineStr">
        <is>
          <t>FAU ML</t>
        </is>
      </c>
      <c r="E50" s="13" t="n">
        <v>195</v>
      </c>
      <c r="F50" s="16" t="n">
        <v>18.5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0.1327</v>
      </c>
      <c r="M50" s="14" t="n">
        <v>0.0398</v>
      </c>
      <c r="N50" s="12" t="inlineStr">
        <is>
          <t>NAVY 30 - FAU 38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SDSU @ UCLA</t>
        </is>
      </c>
      <c r="C51" s="17" t="inlineStr">
        <is>
          <t>ML</t>
        </is>
      </c>
      <c r="D51" s="17" t="inlineStr">
        <is>
          <t>SDSU ML</t>
        </is>
      </c>
      <c r="E51" s="18" t="n">
        <v>380</v>
      </c>
      <c r="F51" s="21" t="n">
        <v>2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0.09470000000000001</v>
      </c>
      <c r="M51" s="19" t="n">
        <v>0</v>
      </c>
      <c r="N51" s="17" t="inlineStr">
        <is>
          <t>SDSU 10 - UCLA 28</t>
        </is>
      </c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SDSU @ UCLA</t>
        </is>
      </c>
      <c r="C52" s="12" t="inlineStr">
        <is>
          <t>TOTAL</t>
        </is>
      </c>
      <c r="D52" s="12" t="inlineStr">
        <is>
          <t>Over 48.5</t>
        </is>
      </c>
      <c r="E52" s="13" t="n">
        <v>-110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0.1218</v>
      </c>
      <c r="M52" s="14" t="n">
        <v>0.1754</v>
      </c>
      <c r="N52" s="12" t="inlineStr">
        <is>
          <t>SDSU 10 - UCLA 28</t>
        </is>
      </c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USA @ TULN</t>
        </is>
      </c>
      <c r="C53" s="17" t="inlineStr">
        <is>
          <t>ML</t>
        </is>
      </c>
      <c r="D53" s="17" t="inlineStr">
        <is>
          <t>USA ML</t>
        </is>
      </c>
      <c r="E53" s="18" t="n">
        <v>330</v>
      </c>
      <c r="F53" s="21" t="n">
        <v>2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0.09470000000000001</v>
      </c>
      <c r="M53" s="19" t="n">
        <v>0.0174</v>
      </c>
      <c r="N53" s="17" t="inlineStr">
        <is>
          <t>USA 24 - TULN 28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MTSU @ MRSH</t>
        </is>
      </c>
      <c r="C54" s="12" t="inlineStr">
        <is>
          <t>ML</t>
        </is>
      </c>
      <c r="D54" s="12" t="inlineStr">
        <is>
          <t>MTSU ML</t>
        </is>
      </c>
      <c r="E54" s="13" t="n">
        <v>490</v>
      </c>
      <c r="F54" s="16" t="n">
        <v>1.5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0.095</v>
      </c>
      <c r="M54" s="14" t="n">
        <v>0.0305</v>
      </c>
      <c r="N54" s="12" t="inlineStr">
        <is>
          <t>MTSU 26 - MRSH 28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MTSU @ MRSH</t>
        </is>
      </c>
      <c r="C55" s="17" t="inlineStr">
        <is>
          <t>TOTAL</t>
        </is>
      </c>
      <c r="D55" s="17" t="inlineStr">
        <is>
          <t>Under 57.5</t>
        </is>
      </c>
      <c r="E55" s="18" t="n">
        <v>-105</v>
      </c>
      <c r="F55" s="21" t="n">
        <v>14.5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0.07820000000000001</v>
      </c>
      <c r="M55" s="19" t="n">
        <v>0.0716</v>
      </c>
      <c r="N55" s="17" t="inlineStr">
        <is>
          <t>MTSU 26 - MRSH 28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MEM @ BOIS</t>
        </is>
      </c>
      <c r="C56" s="12" t="inlineStr">
        <is>
          <t>ML</t>
        </is>
      </c>
      <c r="D56" s="12" t="inlineStr">
        <is>
          <t>MEM ML</t>
        </is>
      </c>
      <c r="E56" s="13" t="n">
        <v>300</v>
      </c>
      <c r="F56" s="16" t="n">
        <v>2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0.0944</v>
      </c>
      <c r="M56" s="14" t="n">
        <v>0</v>
      </c>
      <c r="N56" s="12" t="inlineStr">
        <is>
          <t>MEM 20 - BOIS 38</t>
        </is>
      </c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BUFF @ FIU</t>
        </is>
      </c>
      <c r="C57" s="17" t="inlineStr">
        <is>
          <t>ML</t>
        </is>
      </c>
      <c r="D57" s="17" t="inlineStr">
        <is>
          <t>BUFF ML</t>
        </is>
      </c>
      <c r="E57" s="18" t="n">
        <v>340</v>
      </c>
      <c r="F57" s="21" t="n">
        <v>2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0.0946</v>
      </c>
      <c r="M57" s="19" t="n">
        <v>0.0108</v>
      </c>
      <c r="N57" s="17" t="inlineStr">
        <is>
          <t>BUFF 20 - FIU 33</t>
        </is>
      </c>
      <c r="O57" s="17" t="inlineStr">
        <is>
          <t>DraftKings</t>
        </is>
      </c>
    </row>
    <row r="58">
      <c r="A58" s="12" t="inlineStr">
        <is>
          <t>2026-09-12</t>
        </is>
      </c>
      <c r="B58" s="12" t="inlineStr">
        <is>
          <t>JVST @ OHIO</t>
        </is>
      </c>
      <c r="C58" s="12" t="inlineStr">
        <is>
          <t>TOTAL</t>
        </is>
      </c>
      <c r="D58" s="12" t="inlineStr">
        <is>
          <t>Over 48.5</t>
        </is>
      </c>
      <c r="E58" s="13" t="n">
        <v>-110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0.1159</v>
      </c>
      <c r="M58" s="14" t="n">
        <v>0.06</v>
      </c>
      <c r="N58" s="12" t="inlineStr">
        <is>
          <t>JVST 27 - OHIO 29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UNLV @ UNT</t>
        </is>
      </c>
      <c r="C59" s="17" t="inlineStr">
        <is>
          <t>ATS</t>
        </is>
      </c>
      <c r="D59" s="17" t="inlineStr">
        <is>
          <t>UNT +5.5</t>
        </is>
      </c>
      <c r="E59" s="18" t="n">
        <v>-105</v>
      </c>
      <c r="F59" s="21" t="n">
        <v>18.5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BEST BET</t>
        </is>
      </c>
      <c r="L59" s="19" t="n">
        <v>0.1238</v>
      </c>
      <c r="M59" s="19" t="n">
        <v>0.0625</v>
      </c>
      <c r="N59" s="17" t="inlineStr">
        <is>
          <t>UNLV 6 - UNT 44</t>
        </is>
      </c>
      <c r="O59" s="17" t="inlineStr">
        <is>
          <t>DraftKings</t>
        </is>
      </c>
    </row>
    <row r="60">
      <c r="A60" s="12" t="inlineStr">
        <is>
          <t>2026-09-12</t>
        </is>
      </c>
      <c r="B60" s="12" t="inlineStr">
        <is>
          <t>UNLV @ UNT</t>
        </is>
      </c>
      <c r="C60" s="12" t="inlineStr">
        <is>
          <t>ML</t>
        </is>
      </c>
      <c r="D60" s="12" t="inlineStr">
        <is>
          <t>UNT ML</t>
        </is>
      </c>
      <c r="E60" s="13" t="n">
        <v>185</v>
      </c>
      <c r="F60" s="16" t="n">
        <v>24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0.1187</v>
      </c>
      <c r="M60" s="14" t="n">
        <v>0.07290000000000001</v>
      </c>
      <c r="N60" s="12" t="inlineStr">
        <is>
          <t>UNLV 6 - UNT 44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UCF @ PITT</t>
        </is>
      </c>
      <c r="C61" s="17" t="inlineStr">
        <is>
          <t>ATS</t>
        </is>
      </c>
      <c r="D61" s="17" t="inlineStr">
        <is>
          <t>UCF +8.5</t>
        </is>
      </c>
      <c r="E61" s="18" t="n">
        <v>-110</v>
      </c>
      <c r="F61" s="21" t="n">
        <v>15.5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0.0569</v>
      </c>
      <c r="M61" s="19" t="n">
        <v>0.0259</v>
      </c>
      <c r="N61" s="17" t="inlineStr">
        <is>
          <t>UCF 7 - PITT 12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UCF @ PITT</t>
        </is>
      </c>
      <c r="C62" s="12" t="inlineStr">
        <is>
          <t>TOTAL</t>
        </is>
      </c>
      <c r="D62" s="12" t="inlineStr">
        <is>
          <t>Over 51.5</t>
        </is>
      </c>
      <c r="E62" s="13" t="n">
        <v>-108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0.1061</v>
      </c>
      <c r="M62" s="14" t="n">
        <v>0.12</v>
      </c>
      <c r="N62" s="12" t="inlineStr">
        <is>
          <t>UCF 7 - PITT 12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CAL @ SYR</t>
        </is>
      </c>
      <c r="C63" s="17" t="inlineStr">
        <is>
          <t>ATS</t>
        </is>
      </c>
      <c r="D63" s="17" t="inlineStr">
        <is>
          <t>SYR +1.5</t>
        </is>
      </c>
      <c r="E63" s="18" t="n">
        <v>-108</v>
      </c>
      <c r="F63" s="21" t="n">
        <v>23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0.0987</v>
      </c>
      <c r="M63" s="19" t="n">
        <v>0.125</v>
      </c>
      <c r="N63" s="17" t="inlineStr">
        <is>
          <t>CAL 21 - SYR 18</t>
        </is>
      </c>
      <c r="O63" s="17" t="inlineStr">
        <is>
          <t>DraftKings</t>
        </is>
      </c>
    </row>
    <row r="64">
      <c r="A64" s="12" t="inlineStr">
        <is>
          <t>2026-09-12</t>
        </is>
      </c>
      <c r="B64" s="12" t="inlineStr">
        <is>
          <t>EMU @ MSU</t>
        </is>
      </c>
      <c r="C64" s="12" t="inlineStr">
        <is>
          <t>ML</t>
        </is>
      </c>
      <c r="D64" s="12" t="inlineStr">
        <is>
          <t>EMU ML</t>
        </is>
      </c>
      <c r="E64" s="13" t="n">
        <v>550</v>
      </c>
      <c r="F64" s="16" t="n">
        <v>16.5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0.1106</v>
      </c>
      <c r="M64" s="14" t="n">
        <v>-0.011</v>
      </c>
      <c r="N64" s="12" t="inlineStr">
        <is>
          <t>EMU 7 - MSU 35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OU @ MICH</t>
        </is>
      </c>
      <c r="C65" s="17" t="inlineStr">
        <is>
          <t>ML</t>
        </is>
      </c>
      <c r="D65" s="17" t="inlineStr">
        <is>
          <t>MICH ML</t>
        </is>
      </c>
      <c r="E65" s="18" t="n">
        <v>170</v>
      </c>
      <c r="F65" s="21" t="n">
        <v>20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GOOD</t>
        </is>
      </c>
      <c r="L65" s="19" t="n">
        <v>0.1101</v>
      </c>
      <c r="M65" s="19" t="n">
        <v>0</v>
      </c>
      <c r="N65" s="17" t="inlineStr">
        <is>
          <t>OU 10 - MICH 17</t>
        </is>
      </c>
      <c r="O65" s="17" t="inlineStr">
        <is>
          <t>DraftKings</t>
        </is>
      </c>
    </row>
    <row r="66">
      <c r="A66" s="12" t="inlineStr">
        <is>
          <t>2026-09-12</t>
        </is>
      </c>
      <c r="B66" s="12" t="inlineStr">
        <is>
          <t>OU @ MICH</t>
        </is>
      </c>
      <c r="C66" s="12" t="inlineStr">
        <is>
          <t>TOTAL</t>
        </is>
      </c>
      <c r="D66" s="12" t="inlineStr">
        <is>
          <t>Over 46.5</t>
        </is>
      </c>
      <c r="E66" s="13" t="n">
        <v>-105</v>
      </c>
      <c r="F66" s="16" t="n">
        <v>23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0.0851</v>
      </c>
      <c r="M66" s="14" t="n">
        <v>-0.083</v>
      </c>
      <c r="N66" s="12" t="inlineStr">
        <is>
          <t>OU 10 - MICH 17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ASU @ TA&amp;M</t>
        </is>
      </c>
      <c r="C67" s="17" t="inlineStr">
        <is>
          <t>ATS</t>
        </is>
      </c>
      <c r="D67" s="17" t="inlineStr">
        <is>
          <t>ASU +14.5</t>
        </is>
      </c>
      <c r="E67" s="18" t="n">
        <v>-110</v>
      </c>
      <c r="F67" s="21" t="n">
        <v>26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0.1221</v>
      </c>
      <c r="M67" s="19" t="n">
        <v>0.0045</v>
      </c>
      <c r="N67" s="17" t="inlineStr">
        <is>
          <t>ASU 20 - TA&amp;M 48</t>
        </is>
      </c>
      <c r="O67" s="17" t="inlineStr">
        <is>
          <t>Draft Kings</t>
        </is>
      </c>
    </row>
    <row r="68">
      <c r="A68" s="12" t="inlineStr">
        <is>
          <t>2026-09-12</t>
        </is>
      </c>
      <c r="B68" s="12" t="inlineStr">
        <is>
          <t>ASU @ TA&amp;M</t>
        </is>
      </c>
      <c r="C68" s="12" t="inlineStr">
        <is>
          <t>ML</t>
        </is>
      </c>
      <c r="D68" s="12" t="inlineStr">
        <is>
          <t>ASU ML</t>
        </is>
      </c>
      <c r="E68" s="13" t="n">
        <v>410</v>
      </c>
      <c r="F68" s="16" t="n">
        <v>16.5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0.1061</v>
      </c>
      <c r="M68" s="14" t="n">
        <v>-0.0266</v>
      </c>
      <c r="N68" s="12" t="inlineStr">
        <is>
          <t>ASU 20 - TA&amp;M 48</t>
        </is>
      </c>
      <c r="O68" s="12" t="inlineStr">
        <is>
          <t>DraftKings</t>
        </is>
      </c>
    </row>
    <row r="69">
      <c r="A69" s="17" t="inlineStr">
        <is>
          <t>2026-09-12</t>
        </is>
      </c>
      <c r="B69" s="17" t="inlineStr">
        <is>
          <t>ASU @ TA&amp;M</t>
        </is>
      </c>
      <c r="C69" s="17" t="inlineStr">
        <is>
          <t>TOTAL</t>
        </is>
      </c>
      <c r="D69" s="17" t="inlineStr">
        <is>
          <t>Over 50.5</t>
        </is>
      </c>
      <c r="E69" s="18" t="n">
        <v>-112</v>
      </c>
      <c r="F69" s="21" t="n">
        <v>25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0.09660000000000001</v>
      </c>
      <c r="M69" s="19" t="n">
        <v>0</v>
      </c>
      <c r="N69" s="17" t="inlineStr">
        <is>
          <t>ASU 20 - TA&amp;M 48</t>
        </is>
      </c>
      <c r="O69" s="17" t="inlineStr">
        <is>
          <t>Draft Kings</t>
        </is>
      </c>
    </row>
    <row r="70">
      <c r="A70" s="12" t="inlineStr">
        <is>
          <t>2026-09-12</t>
        </is>
      </c>
      <c r="B70" s="12" t="inlineStr">
        <is>
          <t>WSU @ KSU</t>
        </is>
      </c>
      <c r="C70" s="12" t="inlineStr">
        <is>
          <t>ML</t>
        </is>
      </c>
      <c r="D70" s="12" t="inlineStr">
        <is>
          <t>WSU ML</t>
        </is>
      </c>
      <c r="E70" s="13" t="n">
        <v>575</v>
      </c>
      <c r="F70" s="16" t="n">
        <v>1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BEST BET</t>
        </is>
      </c>
      <c r="L70" s="14" t="n">
        <v>0.095</v>
      </c>
      <c r="M70" s="14" t="n">
        <v>-0.0148</v>
      </c>
      <c r="N70" s="12" t="inlineStr">
        <is>
          <t>WSU 7 - KSU 34</t>
        </is>
      </c>
      <c r="O70" s="12" t="inlineStr">
        <is>
          <t>DraftKings</t>
        </is>
      </c>
    </row>
    <row r="71">
      <c r="A71" s="17" t="inlineStr">
        <is>
          <t>2026-09-12</t>
        </is>
      </c>
      <c r="B71" s="17" t="inlineStr">
        <is>
          <t>ORE @ OKST</t>
        </is>
      </c>
      <c r="C71" s="17" t="inlineStr">
        <is>
          <t>TOTAL</t>
        </is>
      </c>
      <c r="D71" s="17" t="inlineStr">
        <is>
          <t>Under 60.5</t>
        </is>
      </c>
      <c r="E71" s="18" t="n">
        <v>-112</v>
      </c>
      <c r="F71" s="21" t="n">
        <v>26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0.1106</v>
      </c>
      <c r="M71" s="19" t="n">
        <v>0.1409</v>
      </c>
      <c r="N71" s="17" t="inlineStr">
        <is>
          <t>ORE 31 - OKST 39</t>
        </is>
      </c>
      <c r="O71" s="17" t="inlineStr">
        <is>
          <t>Draft Kings</t>
        </is>
      </c>
    </row>
    <row r="72">
      <c r="A72" s="12" t="inlineStr">
        <is>
          <t>2026-09-12</t>
        </is>
      </c>
      <c r="B72" s="12" t="inlineStr">
        <is>
          <t>ODU @ VT</t>
        </is>
      </c>
      <c r="C72" s="12" t="inlineStr">
        <is>
          <t>ML</t>
        </is>
      </c>
      <c r="D72" s="12" t="inlineStr">
        <is>
          <t>ODU ML</t>
        </is>
      </c>
      <c r="E72" s="13" t="n">
        <v>455</v>
      </c>
      <c r="F72" s="16" t="n">
        <v>15.5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0.1006</v>
      </c>
      <c r="M72" s="14" t="n">
        <v>-0.0625</v>
      </c>
      <c r="N72" s="12" t="inlineStr">
        <is>
          <t>ODU 21 - VT 44</t>
        </is>
      </c>
      <c r="O72" s="12" t="inlineStr">
        <is>
          <t>Draft Kings</t>
        </is>
      </c>
    </row>
    <row r="73">
      <c r="A73" s="17" t="inlineStr">
        <is>
          <t>2026-09-12</t>
        </is>
      </c>
      <c r="B73" s="17" t="inlineStr">
        <is>
          <t>WAKE @ PUR</t>
        </is>
      </c>
      <c r="C73" s="17" t="inlineStr">
        <is>
          <t>ATS</t>
        </is>
      </c>
      <c r="D73" s="17" t="inlineStr">
        <is>
          <t>PUR +3.5</t>
        </is>
      </c>
      <c r="E73" s="18" t="n">
        <v>-115</v>
      </c>
      <c r="F73" s="21" t="n">
        <v>26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0.0922</v>
      </c>
      <c r="M73" s="19" t="n">
        <v>0.0014</v>
      </c>
      <c r="N73" s="17" t="inlineStr">
        <is>
          <t>WAKE 38 - PUR 36</t>
        </is>
      </c>
      <c r="O73" s="17" t="inlineStr">
        <is>
          <t>Draft Kings</t>
        </is>
      </c>
    </row>
    <row r="74">
      <c r="A74" s="12" t="inlineStr">
        <is>
          <t>2026-09-12</t>
        </is>
      </c>
      <c r="B74" s="12" t="inlineStr">
        <is>
          <t>WAKE @ PUR</t>
        </is>
      </c>
      <c r="C74" s="12" t="inlineStr">
        <is>
          <t>ML</t>
        </is>
      </c>
      <c r="D74" s="12" t="inlineStr">
        <is>
          <t>PUR ML</t>
        </is>
      </c>
      <c r="E74" s="13" t="n">
        <v>164</v>
      </c>
      <c r="F74" s="16" t="n">
        <v>4.5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GOOD</t>
        </is>
      </c>
      <c r="L74" s="14" t="n">
        <v>0.0949</v>
      </c>
      <c r="M74" s="14" t="n">
        <v>0.056</v>
      </c>
      <c r="N74" s="12" t="inlineStr">
        <is>
          <t>WAKE 38 - PUR 36</t>
        </is>
      </c>
      <c r="O74" s="12" t="inlineStr">
        <is>
          <t>DraftKings</t>
        </is>
      </c>
    </row>
    <row r="75">
      <c r="A75" s="17" t="inlineStr">
        <is>
          <t>2026-09-12</t>
        </is>
      </c>
      <c r="B75" s="17" t="inlineStr">
        <is>
          <t>WAKE @ PUR</t>
        </is>
      </c>
      <c r="C75" s="17" t="inlineStr">
        <is>
          <t>TOTAL</t>
        </is>
      </c>
      <c r="D75" s="17" t="inlineStr">
        <is>
          <t>Over 49.5</t>
        </is>
      </c>
      <c r="E75" s="18" t="n">
        <v>-110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0.1129</v>
      </c>
      <c r="M75" s="19" t="n">
        <v>0.0254</v>
      </c>
      <c r="N75" s="17" t="inlineStr">
        <is>
          <t>WAKE 38 - PUR 36</t>
        </is>
      </c>
      <c r="O75" s="17" t="inlineStr">
        <is>
          <t>Draft Kings</t>
        </is>
      </c>
    </row>
    <row r="76">
      <c r="A76" s="12" t="inlineStr">
        <is>
          <t>2026-09-12</t>
        </is>
      </c>
      <c r="B76" s="12" t="inlineStr">
        <is>
          <t>PSU @ TEM</t>
        </is>
      </c>
      <c r="C76" s="12" t="inlineStr">
        <is>
          <t>TOTAL</t>
        </is>
      </c>
      <c r="D76" s="12" t="inlineStr">
        <is>
          <t>Over 51.5</t>
        </is>
      </c>
      <c r="E76" s="13" t="n">
        <v>-105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0.09859999999999999</v>
      </c>
      <c r="M76" s="14" t="n">
        <v>-0.0072</v>
      </c>
      <c r="N76" s="12" t="inlineStr">
        <is>
          <t>PSU 27 - TEM 9</t>
        </is>
      </c>
      <c r="O76" s="12" t="inlineStr">
        <is>
          <t>DraftKings</t>
        </is>
      </c>
    </row>
    <row r="77">
      <c r="A77" s="17" t="inlineStr">
        <is>
          <t>2026-09-12</t>
        </is>
      </c>
      <c r="B77" s="17" t="inlineStr">
        <is>
          <t>APP @ ECU</t>
        </is>
      </c>
      <c r="C77" s="17" t="inlineStr">
        <is>
          <t>ATS</t>
        </is>
      </c>
      <c r="D77" s="17" t="inlineStr">
        <is>
          <t>APP +10</t>
        </is>
      </c>
      <c r="E77" s="18" t="n">
        <v>-110</v>
      </c>
      <c r="F77" s="21" t="n">
        <v>22.5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GOOD</t>
        </is>
      </c>
      <c r="L77" s="19" t="n">
        <v>0.0818</v>
      </c>
      <c r="M77" s="19" t="n">
        <v>0.0829</v>
      </c>
      <c r="N77" s="17" t="inlineStr">
        <is>
          <t>APP 27 - ECU 24</t>
        </is>
      </c>
      <c r="O77" s="17" t="inlineStr">
        <is>
          <t>Draft Kings</t>
        </is>
      </c>
    </row>
    <row r="78">
      <c r="A78" s="12" t="inlineStr">
        <is>
          <t>2026-09-12</t>
        </is>
      </c>
      <c r="B78" s="12" t="inlineStr">
        <is>
          <t>MIZ @ KU</t>
        </is>
      </c>
      <c r="C78" s="12" t="inlineStr">
        <is>
          <t>ATS</t>
        </is>
      </c>
      <c r="D78" s="12" t="inlineStr">
        <is>
          <t>KU +6.5</t>
        </is>
      </c>
      <c r="E78" s="13" t="n">
        <v>-105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0.1173</v>
      </c>
      <c r="M78" s="14" t="n">
        <v>0.06610000000000001</v>
      </c>
      <c r="N78" s="12" t="inlineStr">
        <is>
          <t>MIZ 38 - KU 21</t>
        </is>
      </c>
      <c r="O78" s="12" t="inlineStr">
        <is>
          <t>Draft Kings</t>
        </is>
      </c>
    </row>
    <row r="79">
      <c r="A79" s="17" t="inlineStr">
        <is>
          <t>2026-09-12</t>
        </is>
      </c>
      <c r="B79" s="17" t="inlineStr">
        <is>
          <t>MIZ @ KU</t>
        </is>
      </c>
      <c r="C79" s="17" t="inlineStr">
        <is>
          <t>ML</t>
        </is>
      </c>
      <c r="D79" s="17" t="inlineStr">
        <is>
          <t>KU ML</t>
        </is>
      </c>
      <c r="E79" s="18" t="n">
        <v>205</v>
      </c>
      <c r="F79" s="21" t="n">
        <v>22.5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0.1213</v>
      </c>
      <c r="M79" s="19" t="n">
        <v>0.0567</v>
      </c>
      <c r="N79" s="17" t="inlineStr">
        <is>
          <t>MIZ 38 - KU 21</t>
        </is>
      </c>
      <c r="O79" s="17" t="inlineStr">
        <is>
          <t>DraftKings</t>
        </is>
      </c>
    </row>
    <row r="80">
      <c r="A80" s="12" t="inlineStr">
        <is>
          <t>2026-09-07</t>
        </is>
      </c>
      <c r="B80" s="12" t="inlineStr">
        <is>
          <t>SMU @ FSU</t>
        </is>
      </c>
      <c r="C80" s="12" t="inlineStr">
        <is>
          <t>ML</t>
        </is>
      </c>
      <c r="D80" s="12" t="inlineStr">
        <is>
          <t>FSU ML</t>
        </is>
      </c>
      <c r="E80" s="13" t="n">
        <v>130</v>
      </c>
      <c r="F80" s="16" t="n">
        <v>21.5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0.0935</v>
      </c>
      <c r="M80" s="14" t="n">
        <v>0.0116</v>
      </c>
      <c r="N80" s="12" t="inlineStr">
        <is>
          <t>SMU 27 - FSU 24</t>
        </is>
      </c>
      <c r="O80" s="12" t="inlineStr">
        <is>
          <t>Draft Kings</t>
        </is>
      </c>
    </row>
    <row r="81">
      <c r="A81" s="17" t="inlineStr">
        <is>
          <t>2026-09-06</t>
        </is>
      </c>
      <c r="B81" s="17" t="inlineStr">
        <is>
          <t>UNLV @ HAW</t>
        </is>
      </c>
      <c r="C81" s="17" t="inlineStr">
        <is>
          <t>ATS</t>
        </is>
      </c>
      <c r="D81" s="17" t="inlineStr">
        <is>
          <t>HAW +3</t>
        </is>
      </c>
      <c r="E81" s="18" t="n">
        <v>-108</v>
      </c>
      <c r="F81" s="21" t="n">
        <v>23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GOOD</t>
        </is>
      </c>
      <c r="L81" s="19" t="n">
        <v>0.08989999999999999</v>
      </c>
      <c r="M81" s="19" t="n">
        <v>0</v>
      </c>
      <c r="N81" s="17" t="inlineStr">
        <is>
          <t>UNLV 21 - HAW 6</t>
        </is>
      </c>
      <c r="O81" s="17" t="inlineStr">
        <is>
          <t>Draft Kings</t>
        </is>
      </c>
    </row>
    <row r="82">
      <c r="A82" s="12" t="inlineStr">
        <is>
          <t>2026-09-06</t>
        </is>
      </c>
      <c r="B82" s="12" t="inlineStr">
        <is>
          <t>UNLV @ HAW</t>
        </is>
      </c>
      <c r="C82" s="12" t="inlineStr">
        <is>
          <t>ML</t>
        </is>
      </c>
      <c r="D82" s="12" t="inlineStr">
        <is>
          <t>HAW ML</t>
        </is>
      </c>
      <c r="E82" s="13" t="n">
        <v>136</v>
      </c>
      <c r="F82" s="16" t="n">
        <v>24.5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0.1085</v>
      </c>
      <c r="M82" s="14" t="n">
        <v>0.0111</v>
      </c>
      <c r="N82" s="12" t="inlineStr">
        <is>
          <t>UNLV 21 - HAW 6</t>
        </is>
      </c>
      <c r="O82" s="12" t="inlineStr">
        <is>
          <t>DraftKings</t>
        </is>
      </c>
    </row>
    <row r="83">
      <c r="A83" s="17" t="inlineStr">
        <is>
          <t>2026-09-06</t>
        </is>
      </c>
      <c r="B83" s="17" t="inlineStr">
        <is>
          <t>CMU @ UNM</t>
        </is>
      </c>
      <c r="C83" s="17" t="inlineStr">
        <is>
          <t>ATS</t>
        </is>
      </c>
      <c r="D83" s="17" t="inlineStr">
        <is>
          <t>CMU +10.5</t>
        </is>
      </c>
      <c r="E83" s="18" t="n">
        <v>-112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0.0988</v>
      </c>
      <c r="M83" s="19" t="n">
        <v>-0.0045</v>
      </c>
      <c r="N83" s="17" t="inlineStr">
        <is>
          <t>CMU 7 - UNM 38</t>
        </is>
      </c>
      <c r="O83" s="17" t="inlineStr">
        <is>
          <t>Draft Kings</t>
        </is>
      </c>
    </row>
    <row r="84">
      <c r="A84" s="12" t="inlineStr">
        <is>
          <t>2026-09-05</t>
        </is>
      </c>
      <c r="B84" s="12" t="inlineStr">
        <is>
          <t>CLEM @ LSU</t>
        </is>
      </c>
      <c r="C84" s="12" t="inlineStr">
        <is>
          <t>ATS</t>
        </is>
      </c>
      <c r="D84" s="12" t="inlineStr">
        <is>
          <t>CLEM +10.5</t>
        </is>
      </c>
      <c r="E84" s="13" t="n">
        <v>-110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0.109</v>
      </c>
      <c r="M84" s="14" t="n">
        <v>0.0236</v>
      </c>
      <c r="N84" s="12" t="inlineStr">
        <is>
          <t>CLEM 10 - LSU 51</t>
        </is>
      </c>
      <c r="O84" s="12" t="inlineStr">
        <is>
          <t>Draft Kings</t>
        </is>
      </c>
    </row>
    <row r="85">
      <c r="A85" s="17" t="inlineStr">
        <is>
          <t>2026-09-05</t>
        </is>
      </c>
      <c r="B85" s="17" t="inlineStr">
        <is>
          <t>CLEM @ LSU</t>
        </is>
      </c>
      <c r="C85" s="17" t="inlineStr">
        <is>
          <t>ML</t>
        </is>
      </c>
      <c r="D85" s="17" t="inlineStr">
        <is>
          <t>CLEM ML</t>
        </is>
      </c>
      <c r="E85" s="18" t="n">
        <v>275</v>
      </c>
      <c r="F85" s="21" t="n">
        <v>15.5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0.0896</v>
      </c>
      <c r="M85" s="19" t="n">
        <v>-0.0069</v>
      </c>
      <c r="N85" s="17" t="inlineStr">
        <is>
          <t>CLEM 10 - LSU 51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CLEM @ LSU</t>
        </is>
      </c>
      <c r="C86" s="12" t="inlineStr">
        <is>
          <t>TOTAL</t>
        </is>
      </c>
      <c r="D86" s="12" t="inlineStr">
        <is>
          <t>Over 50.5</t>
        </is>
      </c>
      <c r="E86" s="13" t="n">
        <v>-112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0.0901</v>
      </c>
      <c r="M86" s="14" t="n">
        <v>-0.0345</v>
      </c>
      <c r="N86" s="12" t="inlineStr">
        <is>
          <t>CLEM 10 - LSU 51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WMU @ MICH</t>
        </is>
      </c>
      <c r="C87" s="17" t="inlineStr">
        <is>
          <t>TOTAL</t>
        </is>
      </c>
      <c r="D87" s="17" t="inlineStr">
        <is>
          <t>Over 47.5</t>
        </is>
      </c>
      <c r="E87" s="18" t="n">
        <v>-115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0.1073</v>
      </c>
      <c r="M87" s="19" t="n">
        <v>0.0443</v>
      </c>
      <c r="N87" s="17" t="inlineStr">
        <is>
          <t>WMU 12 - MICH 13</t>
        </is>
      </c>
      <c r="O87" s="17" t="inlineStr">
        <is>
          <t>Draft Kings</t>
        </is>
      </c>
    </row>
    <row r="88">
      <c r="A88" s="12" t="inlineStr">
        <is>
          <t>2026-09-05</t>
        </is>
      </c>
      <c r="B88" s="12" t="inlineStr">
        <is>
          <t>ARST @ MEM</t>
        </is>
      </c>
      <c r="C88" s="12" t="inlineStr">
        <is>
          <t>ATS</t>
        </is>
      </c>
      <c r="D88" s="12" t="inlineStr">
        <is>
          <t>ARST +11.5</t>
        </is>
      </c>
      <c r="E88" s="13" t="n">
        <v>-112</v>
      </c>
      <c r="F88" s="16" t="n">
        <v>25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0.1011</v>
      </c>
      <c r="M88" s="14" t="n">
        <v>0.0159</v>
      </c>
      <c r="N88" s="12" t="inlineStr">
        <is>
          <t>ARST 24 - MEM 42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FIU @ USF</t>
        </is>
      </c>
      <c r="C89" s="17" t="inlineStr">
        <is>
          <t>ATS</t>
        </is>
      </c>
      <c r="D89" s="17" t="inlineStr">
        <is>
          <t>FIU +14.5</t>
        </is>
      </c>
      <c r="E89" s="18" t="n">
        <v>-115</v>
      </c>
      <c r="F89" s="21" t="n">
        <v>26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0.1214</v>
      </c>
      <c r="M89" s="19" t="n">
        <v>0</v>
      </c>
      <c r="N89" s="17" t="inlineStr">
        <is>
          <t>FIU 9 - USF 19</t>
        </is>
      </c>
      <c r="O89" s="17" t="inlineStr">
        <is>
          <t>Draft Kings</t>
        </is>
      </c>
    </row>
    <row r="90">
      <c r="A90" s="12" t="inlineStr">
        <is>
          <t>2026-09-05</t>
        </is>
      </c>
      <c r="B90" s="12" t="inlineStr">
        <is>
          <t>FIU @ USF</t>
        </is>
      </c>
      <c r="C90" s="12" t="inlineStr">
        <is>
          <t>ML</t>
        </is>
      </c>
      <c r="D90" s="12" t="inlineStr">
        <is>
          <t>FIU ML</t>
        </is>
      </c>
      <c r="E90" s="13" t="n">
        <v>425</v>
      </c>
      <c r="F90" s="16" t="n">
        <v>18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0.1165</v>
      </c>
      <c r="M90" s="14" t="n">
        <v>-0.015</v>
      </c>
      <c r="N90" s="12" t="inlineStr">
        <is>
          <t>FIU 9 - USF 19</t>
        </is>
      </c>
      <c r="O90" s="12" t="inlineStr">
        <is>
          <t>Draft Kings</t>
        </is>
      </c>
    </row>
    <row r="91">
      <c r="A91" s="17" t="inlineStr">
        <is>
          <t>2026-09-05</t>
        </is>
      </c>
      <c r="B91" s="17" t="inlineStr">
        <is>
          <t>FIU @ USF</t>
        </is>
      </c>
      <c r="C91" s="17" t="inlineStr">
        <is>
          <t>TOTAL</t>
        </is>
      </c>
      <c r="D91" s="17" t="inlineStr">
        <is>
          <t>Over 53.5</t>
        </is>
      </c>
      <c r="E91" s="18" t="n">
        <v>-115</v>
      </c>
      <c r="F91" s="21" t="n">
        <v>25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0.09329999999999999</v>
      </c>
      <c r="M91" s="19" t="n">
        <v>-0.0227</v>
      </c>
      <c r="N91" s="17" t="inlineStr">
        <is>
          <t>FIU 9 - USF 19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SHSU @ TROY</t>
        </is>
      </c>
      <c r="C92" s="12" t="inlineStr">
        <is>
          <t>ML</t>
        </is>
      </c>
      <c r="D92" s="12" t="inlineStr">
        <is>
          <t>SHSU ML</t>
        </is>
      </c>
      <c r="E92" s="13" t="n">
        <v>600</v>
      </c>
      <c r="F92" s="16" t="n">
        <v>19.5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0.1337</v>
      </c>
      <c r="M92" s="14" t="n">
        <v>0.0053</v>
      </c>
      <c r="N92" s="12" t="inlineStr">
        <is>
          <t>SHSU 21 - TROY 24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WYO @ CSU</t>
        </is>
      </c>
      <c r="C93" s="17" t="inlineStr">
        <is>
          <t>TOTAL</t>
        </is>
      </c>
      <c r="D93" s="17" t="inlineStr">
        <is>
          <t>Over 47.5</t>
        </is>
      </c>
      <c r="E93" s="18" t="n">
        <v>-112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0.1091</v>
      </c>
      <c r="M93" s="19" t="n">
        <v>-0.0345</v>
      </c>
      <c r="N93" s="17" t="inlineStr">
        <is>
          <t>WYO 13 - CSU 35</t>
        </is>
      </c>
      <c r="O93" s="17" t="inlineStr">
        <is>
          <t>Draft Kings</t>
        </is>
      </c>
    </row>
    <row r="94">
      <c r="A94" s="12" t="inlineStr">
        <is>
          <t>2026-09-05</t>
        </is>
      </c>
      <c r="B94" s="12" t="inlineStr">
        <is>
          <t>OKST @ TLSA</t>
        </is>
      </c>
      <c r="C94" s="12" t="inlineStr">
        <is>
          <t>TOTAL</t>
        </is>
      </c>
      <c r="D94" s="12" t="inlineStr">
        <is>
          <t>Under 60.5</t>
        </is>
      </c>
      <c r="E94" s="13" t="n">
        <v>-102</v>
      </c>
      <c r="F94" s="16" t="n">
        <v>25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0.1091</v>
      </c>
      <c r="M94" s="14" t="n">
        <v>0.1089</v>
      </c>
      <c r="N94" s="12" t="inlineStr">
        <is>
          <t>OKST 10 - TLSA 24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BAY @ AUB</t>
        </is>
      </c>
      <c r="C95" s="17" t="inlineStr">
        <is>
          <t>ATS</t>
        </is>
      </c>
      <c r="D95" s="17" t="inlineStr">
        <is>
          <t>BAY +7</t>
        </is>
      </c>
      <c r="E95" s="18" t="n">
        <v>-105</v>
      </c>
      <c r="F95" s="21" t="n">
        <v>26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0.099</v>
      </c>
      <c r="M95" s="19" t="n">
        <v>0</v>
      </c>
      <c r="N95" s="17" t="inlineStr">
        <is>
          <t>BAY 16 - AUB 17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BAY @ AUB</t>
        </is>
      </c>
      <c r="C96" s="12" t="inlineStr">
        <is>
          <t>ML</t>
        </is>
      </c>
      <c r="D96" s="12" t="inlineStr">
        <is>
          <t>BAY ML</t>
        </is>
      </c>
      <c r="E96" s="13" t="n">
        <v>240</v>
      </c>
      <c r="F96" s="16" t="n">
        <v>18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0.0969</v>
      </c>
      <c r="M96" s="14" t="n">
        <v>0.0184</v>
      </c>
      <c r="N96" s="12" t="inlineStr">
        <is>
          <t>BAY 16 - AUB 17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BAY @ AUB</t>
        </is>
      </c>
      <c r="C97" s="17" t="inlineStr">
        <is>
          <t>TOTAL</t>
        </is>
      </c>
      <c r="D97" s="17" t="inlineStr">
        <is>
          <t>Under 59.5</t>
        </is>
      </c>
      <c r="E97" s="18" t="n">
        <v>-115</v>
      </c>
      <c r="F97" s="21" t="n">
        <v>25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0.098</v>
      </c>
      <c r="M97" s="19" t="n">
        <v>0.0373</v>
      </c>
      <c r="N97" s="17" t="inlineStr">
        <is>
          <t>BAY 16 - AUB 17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BC @ CIN</t>
        </is>
      </c>
      <c r="C98" s="12" t="inlineStr">
        <is>
          <t>TOTAL</t>
        </is>
      </c>
      <c r="D98" s="12" t="inlineStr">
        <is>
          <t>Over 49.5</t>
        </is>
      </c>
      <c r="E98" s="13" t="n">
        <v>-115</v>
      </c>
      <c r="F98" s="16" t="n">
        <v>25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0.1042</v>
      </c>
      <c r="M98" s="14" t="n">
        <v>0.0301</v>
      </c>
      <c r="N98" s="12" t="inlineStr">
        <is>
          <t>BC 15 - CIN 34</t>
        </is>
      </c>
      <c r="O98" s="12" t="inlineStr">
        <is>
          <t>DraftKings</t>
        </is>
      </c>
    </row>
    <row r="99">
      <c r="A99" s="17" t="inlineStr">
        <is>
          <t>2026-09-05</t>
        </is>
      </c>
      <c r="B99" s="17" t="inlineStr">
        <is>
          <t>TULN @ DUKE</t>
        </is>
      </c>
      <c r="C99" s="17" t="inlineStr">
        <is>
          <t>TOTAL</t>
        </is>
      </c>
      <c r="D99" s="17" t="inlineStr">
        <is>
          <t>Over 51.5</t>
        </is>
      </c>
      <c r="E99" s="18" t="n">
        <v>-108</v>
      </c>
      <c r="F99" s="21" t="n">
        <v>25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0.1029</v>
      </c>
      <c r="M99" s="19" t="n">
        <v>-0.0143</v>
      </c>
      <c r="N99" s="17" t="inlineStr">
        <is>
          <t>TULN 3 - DUKE 17</t>
        </is>
      </c>
      <c r="O99" s="17" t="inlineStr">
        <is>
          <t>DraftKings</t>
        </is>
      </c>
    </row>
    <row r="100">
      <c r="A100" s="12" t="inlineStr">
        <is>
          <t>2026-09-05</t>
        </is>
      </c>
      <c r="B100" s="12" t="inlineStr">
        <is>
          <t>BOIS @ ORE</t>
        </is>
      </c>
      <c r="C100" s="12" t="inlineStr">
        <is>
          <t>TOTAL</t>
        </is>
      </c>
      <c r="D100" s="12" t="inlineStr">
        <is>
          <t>Over 51.5</t>
        </is>
      </c>
      <c r="E100" s="13" t="n">
        <v>-108</v>
      </c>
      <c r="F100" s="16" t="n">
        <v>23.5</v>
      </c>
      <c r="G100" s="12" t="inlineStr">
        <is>
          <t>Win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0.0898</v>
      </c>
      <c r="M100" s="14" t="n">
        <v>0.0091</v>
      </c>
      <c r="N100" s="12" t="inlineStr">
        <is>
          <t>BOIS 27 - ORE 34</t>
        </is>
      </c>
      <c r="O100" s="12" t="inlineStr">
        <is>
          <t>Draft Kings</t>
        </is>
      </c>
    </row>
    <row r="101">
      <c r="A101" s="17" t="inlineStr">
        <is>
          <t>2026-09-05</t>
        </is>
      </c>
      <c r="B101" s="17" t="inlineStr">
        <is>
          <t>MRSH @ PSU</t>
        </is>
      </c>
      <c r="C101" s="17" t="inlineStr">
        <is>
          <t>TOTAL</t>
        </is>
      </c>
      <c r="D101" s="17" t="inlineStr">
        <is>
          <t>Over 52.5</t>
        </is>
      </c>
      <c r="E101" s="18" t="n">
        <v>-102</v>
      </c>
      <c r="F101" s="21" t="n">
        <v>24.5</v>
      </c>
      <c r="G101" s="17" t="inlineStr">
        <is>
          <t>Loss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0.0925</v>
      </c>
      <c r="M101" s="19" t="n">
        <v>0</v>
      </c>
      <c r="N101" s="17" t="inlineStr">
        <is>
          <t>MRSH 0 - PSU 45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M-OH @ PITT</t>
        </is>
      </c>
      <c r="C102" s="12" t="inlineStr">
        <is>
          <t>ML</t>
        </is>
      </c>
      <c r="D102" s="12" t="inlineStr">
        <is>
          <t>M-OH ML</t>
        </is>
      </c>
      <c r="E102" s="13" t="n">
        <v>550</v>
      </c>
      <c r="F102" s="16" t="n">
        <v>19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GOOD</t>
        </is>
      </c>
      <c r="L102" s="14" t="n">
        <v>0.1283</v>
      </c>
      <c r="M102" s="14" t="n">
        <v>0</v>
      </c>
      <c r="N102" s="12" t="inlineStr">
        <is>
          <t>M-OH 14 - PITT 59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BALL @ OSU</t>
        </is>
      </c>
      <c r="C103" s="17" t="inlineStr">
        <is>
          <t>TOTAL</t>
        </is>
      </c>
      <c r="D103" s="17" t="inlineStr">
        <is>
          <t>Under 56.5</t>
        </is>
      </c>
      <c r="E103" s="18" t="n">
        <v>-105</v>
      </c>
      <c r="F103" s="21" t="n">
        <v>22.5</v>
      </c>
      <c r="G103" s="17" t="inlineStr">
        <is>
          <t>Loss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0.0886</v>
      </c>
      <c r="M103" s="19" t="n">
        <v>0.0161</v>
      </c>
      <c r="N103" s="17" t="inlineStr">
        <is>
          <t>BALL 3 - OSU 56</t>
        </is>
      </c>
      <c r="O103" s="17" t="inlineStr">
        <is>
          <t>DraftKings</t>
        </is>
      </c>
    </row>
    <row r="104">
      <c r="A104" s="12" t="inlineStr">
        <is>
          <t>2026-09-05</t>
        </is>
      </c>
      <c r="B104" s="12" t="inlineStr">
        <is>
          <t>ORST @ HOU</t>
        </is>
      </c>
      <c r="C104" s="12" t="inlineStr">
        <is>
          <t>TOTAL</t>
        </is>
      </c>
      <c r="D104" s="12" t="inlineStr">
        <is>
          <t>Over 49.5</t>
        </is>
      </c>
      <c r="E104" s="13" t="n">
        <v>-110</v>
      </c>
      <c r="F104" s="16" t="n">
        <v>25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0.0973</v>
      </c>
      <c r="M104" s="14" t="n">
        <v>0.0475</v>
      </c>
      <c r="N104" s="12" t="inlineStr">
        <is>
          <t>ORST 20 - HOU 33</t>
        </is>
      </c>
      <c r="O104" s="12" t="inlineStr">
        <is>
          <t>DraftKings</t>
        </is>
      </c>
    </row>
    <row r="105">
      <c r="A105" s="17" t="inlineStr">
        <is>
          <t>2026-09-05</t>
        </is>
      </c>
      <c r="B105" s="17" t="inlineStr">
        <is>
          <t>UNT @ IU</t>
        </is>
      </c>
      <c r="C105" s="17" t="inlineStr">
        <is>
          <t>TOTAL</t>
        </is>
      </c>
      <c r="D105" s="17" t="inlineStr">
        <is>
          <t>Over 55.5</t>
        </is>
      </c>
      <c r="E105" s="18" t="n">
        <v>-108</v>
      </c>
      <c r="F105" s="21" t="n">
        <v>23.5</v>
      </c>
      <c r="G105" s="17" t="inlineStr">
        <is>
          <t>Win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0.0898</v>
      </c>
      <c r="M105" s="19" t="n">
        <v>0.03</v>
      </c>
      <c r="N105" s="17" t="inlineStr">
        <is>
          <t>UNT 16 - IU 52</t>
        </is>
      </c>
      <c r="O105" s="17" t="inlineStr">
        <is>
          <t>DraftKings</t>
        </is>
      </c>
    </row>
    <row r="106">
      <c r="A106" s="12" t="inlineStr">
        <is>
          <t>2026-09-05</t>
        </is>
      </c>
      <c r="B106" s="12" t="inlineStr">
        <is>
          <t>OHIO @ NEB</t>
        </is>
      </c>
      <c r="C106" s="12" t="inlineStr">
        <is>
          <t>TOTAL</t>
        </is>
      </c>
      <c r="D106" s="12" t="inlineStr">
        <is>
          <t>Over 47.5</t>
        </is>
      </c>
      <c r="E106" s="13" t="n">
        <v>-108</v>
      </c>
      <c r="F106" s="16" t="n">
        <v>25</v>
      </c>
      <c r="G106" s="12" t="inlineStr">
        <is>
          <t>Win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0.1092</v>
      </c>
      <c r="M106" s="14" t="n">
        <v>-0.0254</v>
      </c>
      <c r="N106" s="12" t="inlineStr">
        <is>
          <t>OHIO 21 - NEB 49</t>
        </is>
      </c>
      <c r="O106" s="12" t="inlineStr">
        <is>
          <t>DraftKings</t>
        </is>
      </c>
    </row>
    <row r="107">
      <c r="A107" s="17" t="inlineStr">
        <is>
          <t>2026-09-05</t>
        </is>
      </c>
      <c r="B107" s="17" t="inlineStr">
        <is>
          <t>LIB @ JMU</t>
        </is>
      </c>
      <c r="C107" s="17" t="inlineStr">
        <is>
          <t>TOTAL</t>
        </is>
      </c>
      <c r="D107" s="17" t="inlineStr">
        <is>
          <t>Over 50.5</t>
        </is>
      </c>
      <c r="E107" s="18" t="n">
        <v>-112</v>
      </c>
      <c r="F107" s="21" t="n">
        <v>25</v>
      </c>
      <c r="G107" s="17" t="inlineStr">
        <is>
          <t>Loss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0.0982</v>
      </c>
      <c r="M107" s="19" t="n">
        <v>0</v>
      </c>
      <c r="N107" s="17" t="inlineStr">
        <is>
          <t>LIB 13 - JMU 20</t>
        </is>
      </c>
      <c r="O107" s="17" t="inlineStr">
        <is>
          <t>DraftKings</t>
        </is>
      </c>
    </row>
    <row r="108">
      <c r="A108" s="12" t="inlineStr">
        <is>
          <t>2026-09-05</t>
        </is>
      </c>
      <c r="B108" s="12" t="inlineStr">
        <is>
          <t>MIA @ STAN</t>
        </is>
      </c>
      <c r="C108" s="12" t="inlineStr">
        <is>
          <t>TOTAL</t>
        </is>
      </c>
      <c r="D108" s="12" t="inlineStr">
        <is>
          <t>Over 48.5</t>
        </is>
      </c>
      <c r="E108" s="13" t="n">
        <v>100</v>
      </c>
      <c r="F108" s="16" t="n">
        <v>25</v>
      </c>
      <c r="G108" s="12" t="inlineStr">
        <is>
          <t>Win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0.1103</v>
      </c>
      <c r="M108" s="14" t="n">
        <v>-0.0362</v>
      </c>
      <c r="N108" s="12" t="inlineStr">
        <is>
          <t>MIA 45 - STAN 6</t>
        </is>
      </c>
      <c r="O108" s="12" t="inlineStr">
        <is>
          <t>Draft Kings</t>
        </is>
      </c>
    </row>
    <row r="109">
      <c r="A109" s="17" t="inlineStr">
        <is>
          <t>2026-09-05</t>
        </is>
      </c>
      <c r="B109" s="17" t="inlineStr">
        <is>
          <t>TOL @ MSU</t>
        </is>
      </c>
      <c r="C109" s="17" t="inlineStr">
        <is>
          <t>ATS</t>
        </is>
      </c>
      <c r="D109" s="17" t="inlineStr">
        <is>
          <t>TOL +10</t>
        </is>
      </c>
      <c r="E109" s="18" t="n">
        <v>-105</v>
      </c>
      <c r="F109" s="21" t="n">
        <v>25</v>
      </c>
      <c r="G109" s="17" t="inlineStr">
        <is>
          <t>Push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0.111</v>
      </c>
      <c r="M109" s="19" t="n">
        <v>0.0241</v>
      </c>
      <c r="N109" s="17" t="inlineStr">
        <is>
          <t>TOL 20 - MSU 30</t>
        </is>
      </c>
      <c r="O109" s="17" t="inlineStr">
        <is>
          <t>Draft Kings</t>
        </is>
      </c>
    </row>
    <row r="110">
      <c r="A110" s="12" t="inlineStr">
        <is>
          <t>2026-09-04</t>
        </is>
      </c>
      <c r="B110" s="12" t="inlineStr">
        <is>
          <t>COLO @ GT</t>
        </is>
      </c>
      <c r="C110" s="12" t="inlineStr">
        <is>
          <t>TOTAL</t>
        </is>
      </c>
      <c r="D110" s="12" t="inlineStr">
        <is>
          <t>Over 50.5</t>
        </is>
      </c>
      <c r="E110" s="13" t="n">
        <v>-115</v>
      </c>
      <c r="F110" s="16" t="n">
        <v>21</v>
      </c>
      <c r="G110" s="12" t="inlineStr">
        <is>
          <t>Loss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0.0784</v>
      </c>
      <c r="M110" s="14" t="n">
        <v>0.0189</v>
      </c>
      <c r="N110" s="12" t="inlineStr">
        <is>
          <t>COLO 14 - GT 13</t>
        </is>
      </c>
      <c r="O110" s="12" t="inlineStr">
        <is>
          <t>DraftKings</t>
        </is>
      </c>
    </row>
    <row r="111">
      <c r="A111" s="17" t="inlineStr">
        <is>
          <t>2026-09-03</t>
        </is>
      </c>
      <c r="B111" s="17" t="inlineStr">
        <is>
          <t>AKR @ WAKE</t>
        </is>
      </c>
      <c r="C111" s="17" t="inlineStr">
        <is>
          <t>TOTAL</t>
        </is>
      </c>
      <c r="D111" s="17" t="inlineStr">
        <is>
          <t>Over 48.5</t>
        </is>
      </c>
      <c r="E111" s="18" t="n">
        <v>-112</v>
      </c>
      <c r="F111" s="21" t="n">
        <v>24.5</v>
      </c>
      <c r="G111" s="17" t="inlineStr">
        <is>
          <t>Win</t>
        </is>
      </c>
      <c r="H111" s="21">
        <f>IF(OR($G111="",$G111="Pending"),"",ROUND(IF($G111="Win",IF($E111&gt;0,$F111*$E111/100,$F111*100/-$E111),IF($G111="Loss",-$F111,0)),2))</f>
        <v/>
      </c>
      <c r="I111" s="21">
        <f>Settings!$B$5+SUM($H$6:$H111)</f>
        <v/>
      </c>
      <c r="J111" s="19">
        <f>IFERROR(SUM($H$6:$H111)/SUMIF($G$6:$G111,"&lt;&gt;Pending",$F$6:$F111),"")</f>
        <v/>
      </c>
      <c r="K111" s="17" t="inlineStr">
        <is>
          <t>LEAN</t>
        </is>
      </c>
      <c r="L111" s="19" t="n">
        <v>0.0917</v>
      </c>
      <c r="M111" s="19" t="n">
        <v>0.0509</v>
      </c>
      <c r="N111" s="17" t="inlineStr">
        <is>
          <t>AKR 16 - WAKE 38</t>
        </is>
      </c>
      <c r="O111" s="17" t="inlineStr">
        <is>
          <t>DraftKings</t>
        </is>
      </c>
    </row>
    <row r="112">
      <c r="A112" s="12" t="inlineStr">
        <is>
          <t>2026-08-29</t>
        </is>
      </c>
      <c r="B112" s="12" t="inlineStr">
        <is>
          <t>HAW @ STAN</t>
        </is>
      </c>
      <c r="C112" s="12" t="inlineStr">
        <is>
          <t>TOTAL</t>
        </is>
      </c>
      <c r="D112" s="12" t="inlineStr">
        <is>
          <t>Over 49.5</t>
        </is>
      </c>
      <c r="E112" s="13" t="n">
        <v>-105</v>
      </c>
      <c r="F112" s="16" t="n">
        <v>21.5</v>
      </c>
      <c r="G112" s="12" t="inlineStr">
        <is>
          <t>Win</t>
        </is>
      </c>
      <c r="H112" s="16">
        <f>IF(OR($G112="",$G112="Pending"),"",ROUND(IF($G112="Win",IF($E112&gt;0,$F112*$E112/100,$F112*100/-$E112),IF($G112="Loss",-$F112,0)),2))</f>
        <v/>
      </c>
      <c r="I112" s="16">
        <f>Settings!$B$5+SUM($H$6:$H112)</f>
        <v/>
      </c>
      <c r="J112" s="14">
        <f>IFERROR(SUM($H$6:$H112)/SUMIF($G$6:$G112,"&lt;&gt;Pending",$F$6:$F112),"")</f>
        <v/>
      </c>
      <c r="K112" s="12" t="inlineStr">
        <is>
          <t>LEAN</t>
        </is>
      </c>
      <c r="L112" s="14" t="n">
        <v>0.0834</v>
      </c>
      <c r="M112" s="14" t="n">
        <v>-0.0139</v>
      </c>
      <c r="N112" s="12" t="inlineStr">
        <is>
          <t>HAW 27 - STAN 37</t>
        </is>
      </c>
      <c r="O112" s="12" t="inlineStr">
        <is>
          <t>Draft Kings</t>
        </is>
      </c>
    </row>
    <row r="113">
      <c r="A113" s="17" t="inlineStr">
        <is>
          <t>2026-08-29</t>
        </is>
      </c>
      <c r="B113" s="17" t="inlineStr">
        <is>
          <t>SAC @ EMU</t>
        </is>
      </c>
      <c r="C113" s="17" t="inlineStr">
        <is>
          <t>ATS</t>
        </is>
      </c>
      <c r="D113" s="17" t="inlineStr">
        <is>
          <t>SAC +8.5</t>
        </is>
      </c>
      <c r="E113" s="18" t="n">
        <v>-108</v>
      </c>
      <c r="F113" s="21" t="n">
        <v>25</v>
      </c>
      <c r="G113" s="17" t="inlineStr">
        <is>
          <t>Loss</t>
        </is>
      </c>
      <c r="H113" s="21">
        <f>IF(OR($G113="",$G113="Pending"),"",ROUND(IF($G113="Win",IF($E113&gt;0,$F113*$E113/100,$F113*100/-$E113),IF($G113="Loss",-$F113,0)),2))</f>
        <v/>
      </c>
      <c r="I113" s="21">
        <f>Settings!$B$5+SUM($H$6:$H113)</f>
        <v/>
      </c>
      <c r="J113" s="19">
        <f>IFERROR(SUM($H$6:$H113)/SUMIF($G$6:$G113,"&lt;&gt;Pending",$F$6:$F113),"")</f>
        <v/>
      </c>
      <c r="K113" s="17" t="inlineStr">
        <is>
          <t>LEAN</t>
        </is>
      </c>
      <c r="L113" s="19" t="n">
        <v>0.1065</v>
      </c>
      <c r="M113" s="19" t="n">
        <v>0.0046</v>
      </c>
      <c r="N113" s="17" t="inlineStr">
        <is>
          <t>SAC 17 - EMU 28</t>
        </is>
      </c>
      <c r="O113" s="17" t="inlineStr">
        <is>
          <t>DraftKings</t>
        </is>
      </c>
    </row>
    <row r="114">
      <c r="A114" s="12" t="inlineStr">
        <is>
          <t>2026-08-29</t>
        </is>
      </c>
      <c r="B114" s="12" t="inlineStr">
        <is>
          <t>SAC @ EMU</t>
        </is>
      </c>
      <c r="C114" s="12" t="inlineStr">
        <is>
          <t>ML</t>
        </is>
      </c>
      <c r="D114" s="12" t="inlineStr">
        <is>
          <t>SAC ML</t>
        </is>
      </c>
      <c r="E114" s="13" t="n">
        <v>280</v>
      </c>
      <c r="F114" s="16" t="n">
        <v>18</v>
      </c>
      <c r="G114" s="12" t="inlineStr">
        <is>
          <t>Loss</t>
        </is>
      </c>
      <c r="H114" s="16">
        <f>IF(OR($G114="",$G114="Pending"),"",ROUND(IF($G114="Win",IF($E114&gt;0,$F114*$E114/100,$F114*100/-$E114),IF($G114="Loss",-$F114,0)),2))</f>
        <v/>
      </c>
      <c r="I114" s="16">
        <f>Settings!$B$5+SUM($H$6:$H114)</f>
        <v/>
      </c>
      <c r="J114" s="14">
        <f>IFERROR(SUM($H$6:$H114)/SUMIF($G$6:$G114,"&lt;&gt;Pending",$F$6:$F114),"")</f>
        <v/>
      </c>
      <c r="K114" s="12" t="inlineStr">
        <is>
          <t>LEAN</t>
        </is>
      </c>
      <c r="L114" s="14" t="n">
        <v>0.1055</v>
      </c>
      <c r="M114" s="14" t="n">
        <v>0</v>
      </c>
      <c r="N114" s="12" t="inlineStr">
        <is>
          <t>SAC 17 - EMU 28</t>
        </is>
      </c>
      <c r="O114" s="12" t="inlineStr">
        <is>
          <t>Draft Kings</t>
        </is>
      </c>
    </row>
    <row r="115">
      <c r="A115" s="17" t="inlineStr">
        <is>
          <t>2026-08-29</t>
        </is>
      </c>
      <c r="B115" s="17" t="inlineStr">
        <is>
          <t>UNC @ TCU</t>
        </is>
      </c>
      <c r="C115" s="17" t="inlineStr">
        <is>
          <t>ATS</t>
        </is>
      </c>
      <c r="D115" s="17" t="inlineStr">
        <is>
          <t>UNC +7.5</t>
        </is>
      </c>
      <c r="E115" s="18" t="n">
        <v>-108</v>
      </c>
      <c r="F115" s="21" t="n">
        <v>21</v>
      </c>
      <c r="G115" s="17" t="inlineStr">
        <is>
          <t>Win</t>
        </is>
      </c>
      <c r="H115" s="21">
        <f>IF(OR($G115="",$G115="Pending"),"",ROUND(IF($G115="Win",IF($E115&gt;0,$F115*$E115/100,$F115*100/-$E115),IF($G115="Loss",-$F115,0)),2))</f>
        <v/>
      </c>
      <c r="I115" s="21">
        <f>Settings!$B$5+SUM($H$6:$H115)</f>
        <v/>
      </c>
      <c r="J115" s="19">
        <f>IFERROR(SUM($H$6:$H115)/SUMIF($G$6:$G115,"&lt;&gt;Pending",$F$6:$F115),"")</f>
        <v/>
      </c>
      <c r="K115" s="17" t="inlineStr">
        <is>
          <t>LEAN</t>
        </is>
      </c>
      <c r="L115" s="19" t="n">
        <v>0.0801</v>
      </c>
      <c r="M115" s="19" t="n">
        <v>-0.009299999999999999</v>
      </c>
      <c r="N115" s="17" t="inlineStr">
        <is>
          <t>UNC 15 - TCU 10</t>
        </is>
      </c>
      <c r="O11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51.5</v>
      </c>
      <c r="K190" s="18" t="n">
        <v>330</v>
      </c>
      <c r="L190" s="18" t="n">
        <v>-425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56.5</v>
      </c>
      <c r="K191" s="13" t="n">
        <v>-1350</v>
      </c>
      <c r="L191" s="13" t="n">
        <v>800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-7.5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>
        <v>-57.5</v>
      </c>
      <c r="J193" s="29" t="n">
        <v>67.5</v>
      </c>
      <c r="K193" s="13" t="n"/>
      <c r="L193" s="13" t="n"/>
      <c r="M193" s="12" t="inlineStr">
        <is>
          <t>DraftKings</t>
        </is>
      </c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-4.5</v>
      </c>
      <c r="J194" s="30" t="n">
        <v>57.5</v>
      </c>
      <c r="K194" s="18" t="n">
        <v>180</v>
      </c>
      <c r="L194" s="18" t="n">
        <v>-218</v>
      </c>
      <c r="M194" s="17" t="inlineStr">
        <is>
          <t>DraftKings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24.5</v>
      </c>
      <c r="J195" s="29" t="n">
        <v>54.5</v>
      </c>
      <c r="K195" s="13" t="n">
        <v>-3200</v>
      </c>
      <c r="L195" s="13" t="n">
        <v>1400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-20.5</v>
      </c>
      <c r="J196" s="30" t="n">
        <v>49.5</v>
      </c>
      <c r="K196" s="18" t="n">
        <v>1000</v>
      </c>
      <c r="L196" s="18" t="n">
        <v>-1800</v>
      </c>
      <c r="M196" s="17" t="inlineStr">
        <is>
          <t>DraftKings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-23.5</v>
      </c>
      <c r="J197" s="29" t="n">
        <v>44.5</v>
      </c>
      <c r="K197" s="13" t="n">
        <v>1200</v>
      </c>
      <c r="L197" s="13" t="n">
        <v>-2400</v>
      </c>
      <c r="M197" s="12" t="inlineStr">
        <is>
          <t>DraftKings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50.5</v>
      </c>
      <c r="K198" s="18" t="n">
        <v>-225</v>
      </c>
      <c r="L198" s="18" t="n">
        <v>180</v>
      </c>
      <c r="M198" s="17" t="inlineStr">
        <is>
          <t>DraftKings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>
        <v>-38.5</v>
      </c>
      <c r="J199" s="29" t="n">
        <v>58.5</v>
      </c>
      <c r="K199" s="13" t="n"/>
      <c r="L199" s="13" t="n"/>
      <c r="M199" s="12" t="inlineStr">
        <is>
          <t>DraftKings</t>
        </is>
      </c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-3.5</v>
      </c>
      <c r="J200" s="30" t="n">
        <v>43.5</v>
      </c>
      <c r="K200" s="18" t="n">
        <v>145</v>
      </c>
      <c r="L200" s="18" t="n">
        <v>-175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-23.5</v>
      </c>
      <c r="J201" s="29" t="n">
        <v>48.5</v>
      </c>
      <c r="K201" s="13" t="n">
        <v>1200</v>
      </c>
      <c r="L201" s="13" t="n">
        <v>-2400</v>
      </c>
      <c r="M201" s="12" t="inlineStr">
        <is>
          <t>DraftKings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59.5</v>
      </c>
      <c r="K202" s="18" t="n"/>
      <c r="L202" s="18" t="n"/>
      <c r="M202" s="17" t="inlineStr">
        <is>
          <t>DraftKings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-40.5</v>
      </c>
      <c r="J203" s="29" t="n">
        <v>50.5</v>
      </c>
      <c r="K203" s="13" t="n"/>
      <c r="L203" s="13" t="n"/>
      <c r="M203" s="12" t="inlineStr">
        <is>
          <t>DraftKings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63.5</v>
      </c>
      <c r="K204" s="18" t="n">
        <v>124</v>
      </c>
      <c r="L204" s="18" t="n">
        <v>-148</v>
      </c>
      <c r="M204" s="17" t="inlineStr">
        <is>
          <t>DraftKings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-24.5</v>
      </c>
      <c r="J205" s="29" t="n">
        <v>45.5</v>
      </c>
      <c r="K205" s="13" t="n">
        <v>1200</v>
      </c>
      <c r="L205" s="13" t="n">
        <v>-2400</v>
      </c>
      <c r="M205" s="12" t="inlineStr">
        <is>
          <t>DraftKings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-3.5</v>
      </c>
      <c r="J206" s="30" t="n">
        <v>50.5</v>
      </c>
      <c r="K206" s="18" t="n">
        <v>140</v>
      </c>
      <c r="L206" s="18" t="n">
        <v>-166</v>
      </c>
      <c r="M206" s="17" t="inlineStr">
        <is>
          <t>DraftKings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>
        <v>-1.5</v>
      </c>
      <c r="J207" s="29" t="n">
        <v>39.5</v>
      </c>
      <c r="K207" s="13" t="n">
        <v>100</v>
      </c>
      <c r="L207" s="13" t="n">
        <v>-120</v>
      </c>
      <c r="M207" s="12" t="inlineStr">
        <is>
          <t>DraftKings</t>
        </is>
      </c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>
        <v>-38.5</v>
      </c>
      <c r="J208" s="30" t="n">
        <v>53.5</v>
      </c>
      <c r="K208" s="18" t="n"/>
      <c r="L208" s="18" t="n"/>
      <c r="M208" s="17" t="inlineStr">
        <is>
          <t>DraftKings</t>
        </is>
      </c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>
        <v>-41.5</v>
      </c>
      <c r="J209" s="29" t="n">
        <v>54.5</v>
      </c>
      <c r="K209" s="13" t="n"/>
      <c r="L209" s="13" t="n"/>
      <c r="M209" s="12" t="inlineStr">
        <is>
          <t>DraftKings</t>
        </is>
      </c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>
        <v>-5.5</v>
      </c>
      <c r="J210" s="30" t="n">
        <v>50.5</v>
      </c>
      <c r="K210" s="18" t="n">
        <v>180</v>
      </c>
      <c r="L210" s="18" t="n">
        <v>-218</v>
      </c>
      <c r="M210" s="17" t="inlineStr">
        <is>
          <t>DraftKings</t>
        </is>
      </c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-19.5</v>
      </c>
      <c r="J211" s="29" t="n">
        <v>48.5</v>
      </c>
      <c r="K211" s="13" t="n">
        <v>800</v>
      </c>
      <c r="L211" s="13" t="n">
        <v>-1350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-16.5</v>
      </c>
      <c r="J212" s="30" t="n">
        <v>49.5</v>
      </c>
      <c r="K212" s="18" t="n">
        <v>550</v>
      </c>
      <c r="L212" s="18" t="n">
        <v>-800</v>
      </c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-14.5</v>
      </c>
      <c r="J213" s="29" t="n">
        <v>49.5</v>
      </c>
      <c r="K213" s="13" t="n">
        <v>500</v>
      </c>
      <c r="L213" s="13" t="n">
        <v>-700</v>
      </c>
      <c r="M213" s="12" t="inlineStr">
        <is>
          <t>DraftKings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-28.5</v>
      </c>
      <c r="J214" s="30" t="n">
        <v>56.5</v>
      </c>
      <c r="K214" s="18" t="n">
        <v>2000</v>
      </c>
      <c r="L214" s="18" t="n">
        <v>-6500</v>
      </c>
      <c r="M214" s="17" t="inlineStr">
        <is>
          <t>DraftKings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100</v>
      </c>
      <c r="L215" s="13" t="n">
        <v>-120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>
        <v>-35.5</v>
      </c>
      <c r="J217" s="29" t="n">
        <v>49.5</v>
      </c>
      <c r="K217" s="13" t="n"/>
      <c r="L217" s="13" t="n"/>
      <c r="M217" s="12" t="inlineStr">
        <is>
          <t>DraftKings</t>
        </is>
      </c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>
        <v>24.5</v>
      </c>
      <c r="J218" s="30" t="n">
        <v>59.5</v>
      </c>
      <c r="K218" s="18" t="n">
        <v>-1800</v>
      </c>
      <c r="L218" s="18" t="n">
        <v>1000</v>
      </c>
      <c r="M218" s="17" t="inlineStr">
        <is>
          <t>DraftKings</t>
        </is>
      </c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>
        <v>-37.5</v>
      </c>
      <c r="J219" s="29" t="n">
        <v>53.5</v>
      </c>
      <c r="K219" s="13" t="n"/>
      <c r="L219" s="13" t="n"/>
      <c r="M219" s="12" t="inlineStr">
        <is>
          <t>DraftKings</t>
        </is>
      </c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>
        <v>-33.5</v>
      </c>
      <c r="J220" s="30" t="n">
        <v>49.5</v>
      </c>
      <c r="K220" s="18" t="n"/>
      <c r="L220" s="18" t="n"/>
      <c r="M220" s="17" t="inlineStr">
        <is>
          <t>DraftKings</t>
        </is>
      </c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-9.5</v>
      </c>
      <c r="J221" s="29" t="n">
        <v>50.5</v>
      </c>
      <c r="K221" s="13" t="n">
        <v>295</v>
      </c>
      <c r="L221" s="13" t="n">
        <v>-375</v>
      </c>
      <c r="M221" s="12" t="inlineStr">
        <is>
          <t>DraftKings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60.5</v>
      </c>
      <c r="K222" s="18" t="n"/>
      <c r="L222" s="18" t="n"/>
      <c r="M222" s="17" t="inlineStr">
        <is>
          <t>DraftKings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>
        <v>-40.5</v>
      </c>
      <c r="J223" s="29" t="n">
        <v>49.5</v>
      </c>
      <c r="K223" s="13" t="n"/>
      <c r="L223" s="13" t="n"/>
      <c r="M223" s="12" t="inlineStr">
        <is>
          <t>DraftKings</t>
        </is>
      </c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-14.5</v>
      </c>
      <c r="J224" s="30" t="n">
        <v>49.5</v>
      </c>
      <c r="K224" s="18" t="n">
        <v>440</v>
      </c>
      <c r="L224" s="18" t="n">
        <v>-600</v>
      </c>
      <c r="M224" s="17" t="inlineStr">
        <is>
          <t>DraftKings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-19.5</v>
      </c>
      <c r="J225" s="29" t="n">
        <v>53.5</v>
      </c>
      <c r="K225" s="13" t="n">
        <v>800</v>
      </c>
      <c r="L225" s="13" t="n">
        <v>-1350</v>
      </c>
      <c r="M225" s="12" t="inlineStr">
        <is>
          <t>DraftKings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-4</v>
      </c>
      <c r="J226" s="30" t="n">
        <v>58.5</v>
      </c>
      <c r="K226" s="18" t="n">
        <v>150</v>
      </c>
      <c r="L226" s="18" t="n">
        <v>-180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>
        <v>-10.5</v>
      </c>
      <c r="J227" s="29" t="n">
        <v>48.5</v>
      </c>
      <c r="K227" s="13" t="n"/>
      <c r="L227" s="13" t="n"/>
      <c r="M227" s="12" t="inlineStr">
        <is>
          <t>DraftKings</t>
        </is>
      </c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>
        <v>-3</v>
      </c>
      <c r="J228" s="30" t="n">
        <v>49.5</v>
      </c>
      <c r="K228" s="18" t="n">
        <v>124</v>
      </c>
      <c r="L228" s="18" t="n">
        <v>-148</v>
      </c>
      <c r="M228" s="17" t="inlineStr">
        <is>
          <t>DraftKings</t>
        </is>
      </c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-7</v>
      </c>
      <c r="J229" s="29" t="n">
        <v>62.5</v>
      </c>
      <c r="K229" s="13" t="n">
        <v>225</v>
      </c>
      <c r="L229" s="13" t="n">
        <v>-278</v>
      </c>
      <c r="M229" s="12" t="inlineStr">
        <is>
          <t>DraftKings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>
        <v>-17.5</v>
      </c>
      <c r="J230" s="30" t="n">
        <v>51.5</v>
      </c>
      <c r="K230" s="18" t="n">
        <v>650</v>
      </c>
      <c r="L230" s="18" t="n">
        <v>-1000</v>
      </c>
      <c r="M230" s="17" t="inlineStr">
        <is>
          <t>DraftKings</t>
        </is>
      </c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>
        <v>3.5</v>
      </c>
      <c r="J231" s="29" t="n">
        <v>51.5</v>
      </c>
      <c r="K231" s="13" t="n">
        <v>-166</v>
      </c>
      <c r="L231" s="13" t="n">
        <v>140</v>
      </c>
      <c r="M231" s="12" t="inlineStr">
        <is>
          <t>DraftKings</t>
        </is>
      </c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53.5</v>
      </c>
      <c r="K232" s="18" t="n">
        <v>-130</v>
      </c>
      <c r="L232" s="18" t="n">
        <v>110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-26.5</v>
      </c>
      <c r="J233" s="29" t="n">
        <v>50.5</v>
      </c>
      <c r="K233" s="13" t="n">
        <v>2000</v>
      </c>
      <c r="L233" s="13" t="n">
        <v>-6500</v>
      </c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-18.5</v>
      </c>
      <c r="J234" s="30" t="n">
        <v>50.5</v>
      </c>
      <c r="K234" s="18" t="n">
        <v>750</v>
      </c>
      <c r="L234" s="18" t="n">
        <v>-1200</v>
      </c>
      <c r="M234" s="17" t="inlineStr">
        <is>
          <t>DraftKings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>
        <v>-56.5</v>
      </c>
      <c r="J235" s="29" t="n">
        <v>70.5</v>
      </c>
      <c r="K235" s="13" t="n"/>
      <c r="L235" s="13" t="n"/>
      <c r="M235" s="12" t="inlineStr">
        <is>
          <t>DraftKings</t>
        </is>
      </c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3</v>
      </c>
      <c r="J236" s="30" t="n">
        <v>54.5</v>
      </c>
      <c r="K236" s="18" t="n">
        <v>-155</v>
      </c>
      <c r="L236" s="18" t="n">
        <v>130</v>
      </c>
      <c r="M236" s="17" t="inlineStr">
        <is>
          <t>DraftKings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>
        <v>-34.5</v>
      </c>
      <c r="J237" s="29" t="n">
        <v>57.5</v>
      </c>
      <c r="K237" s="13" t="n">
        <v>4000</v>
      </c>
      <c r="L237" s="13" t="n">
        <v>-50000</v>
      </c>
      <c r="M237" s="12" t="inlineStr">
        <is>
          <t>DraftKings</t>
        </is>
      </c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9.5</v>
      </c>
      <c r="J238" s="30" t="n">
        <v>43.5</v>
      </c>
      <c r="K238" s="18" t="n">
        <v>-375</v>
      </c>
      <c r="L238" s="18" t="n">
        <v>295</v>
      </c>
      <c r="M238" s="17" t="inlineStr">
        <is>
          <t>DraftKings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>
        <v>-36.5</v>
      </c>
      <c r="J239" s="29" t="n">
        <v>61.5</v>
      </c>
      <c r="K239" s="13" t="n"/>
      <c r="L239" s="13" t="n"/>
      <c r="M239" s="12" t="inlineStr">
        <is>
          <t>DraftKings</t>
        </is>
      </c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>
        <v>3.5</v>
      </c>
      <c r="J240" s="30" t="n">
        <v>50.5</v>
      </c>
      <c r="K240" s="18" t="n">
        <v>-180</v>
      </c>
      <c r="L240" s="18" t="n">
        <v>150</v>
      </c>
      <c r="M240" s="17" t="inlineStr">
        <is>
          <t>DraftKings</t>
        </is>
      </c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>
        <v>-5.5</v>
      </c>
      <c r="J241" s="29" t="n">
        <v>51.5</v>
      </c>
      <c r="K241" s="13" t="n">
        <v>185</v>
      </c>
      <c r="L241" s="13" t="n">
        <v>-225</v>
      </c>
      <c r="M241" s="12" t="inlineStr">
        <is>
          <t>DraftKings</t>
        </is>
      </c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>
        <v>-3</v>
      </c>
      <c r="J242" s="30" t="n">
        <v>52.5</v>
      </c>
      <c r="K242" s="18" t="n">
        <v>150</v>
      </c>
      <c r="L242" s="18" t="n">
        <v>-180</v>
      </c>
      <c r="M242" s="17" t="inlineStr">
        <is>
          <t>DraftKings</t>
        </is>
      </c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>
        <v>-17.5</v>
      </c>
      <c r="J243" s="29" t="n">
        <v>49.5</v>
      </c>
      <c r="K243" s="13" t="n"/>
      <c r="L243" s="13" t="n"/>
      <c r="M243" s="12" t="inlineStr">
        <is>
          <t>DraftKings</t>
        </is>
      </c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>
        <v>-24.5</v>
      </c>
      <c r="J244" s="30" t="n">
        <v>51.5</v>
      </c>
      <c r="K244" s="18" t="n">
        <v>1400</v>
      </c>
      <c r="L244" s="18" t="n">
        <v>-3200</v>
      </c>
      <c r="M244" s="17" t="inlineStr">
        <is>
          <t>DraftKings</t>
        </is>
      </c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>
        <v>-42.5</v>
      </c>
      <c r="J245" s="29" t="n">
        <v>56.5</v>
      </c>
      <c r="K245" s="13" t="n"/>
      <c r="L245" s="13" t="n"/>
      <c r="M245" s="12" t="inlineStr">
        <is>
          <t>DraftKings</t>
        </is>
      </c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3</v>
      </c>
      <c r="J246" s="30" t="n">
        <v>59.5</v>
      </c>
      <c r="K246" s="18" t="n">
        <v>-155</v>
      </c>
      <c r="L246" s="18" t="n">
        <v>130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-22.5</v>
      </c>
      <c r="J247" s="29" t="n">
        <v>46.5</v>
      </c>
      <c r="K247" s="13" t="n">
        <v>1100</v>
      </c>
      <c r="L247" s="13" t="n">
        <v>-2100</v>
      </c>
      <c r="M247" s="12" t="inlineStr">
        <is>
          <t>DraftKings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17.5</v>
      </c>
      <c r="J248" s="30" t="n">
        <v>52.5</v>
      </c>
      <c r="K248" s="18" t="n">
        <v>-1000</v>
      </c>
      <c r="L248" s="18" t="n">
        <v>650</v>
      </c>
      <c r="M248" s="17" t="inlineStr">
        <is>
          <t>DraftKings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-3.5</v>
      </c>
      <c r="J249" s="29" t="n">
        <v>48.5</v>
      </c>
      <c r="K249" s="13" t="n">
        <v>145</v>
      </c>
      <c r="L249" s="13" t="n">
        <v>-175</v>
      </c>
      <c r="M249" s="12" t="inlineStr">
        <is>
          <t>DraftKings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-10</v>
      </c>
      <c r="J250" s="30" t="n">
        <v>53.5</v>
      </c>
      <c r="K250" s="18" t="n">
        <v>310</v>
      </c>
      <c r="L250" s="18" t="n">
        <v>-395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54.5</v>
      </c>
      <c r="K251" s="13" t="n">
        <v>-142</v>
      </c>
      <c r="L251" s="13" t="n">
        <v>120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52.5</v>
      </c>
      <c r="K252" s="18" t="n">
        <v>1700</v>
      </c>
      <c r="L252" s="18" t="n">
        <v>-4500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-35.5</v>
      </c>
      <c r="J253" s="29" t="n">
        <v>59.5</v>
      </c>
      <c r="K253" s="13" t="n">
        <v>5000</v>
      </c>
      <c r="L253" s="13" t="n">
        <v>-100000</v>
      </c>
      <c r="M253" s="12" t="inlineStr">
        <is>
          <t>DraftKings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-30.5</v>
      </c>
      <c r="J254" s="30" t="n">
        <v>58.5</v>
      </c>
      <c r="K254" s="18" t="n">
        <v>2200</v>
      </c>
      <c r="L254" s="18" t="n">
        <v>-8000</v>
      </c>
      <c r="M254" s="17" t="inlineStr">
        <is>
          <t>DraftKings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-19.5</v>
      </c>
      <c r="J255" s="29" t="n">
        <v>56.5</v>
      </c>
      <c r="K255" s="13" t="n">
        <v>800</v>
      </c>
      <c r="L255" s="13" t="n">
        <v>-1350</v>
      </c>
      <c r="M255" s="12" t="inlineStr">
        <is>
          <t>DraftKings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-7.5</v>
      </c>
      <c r="J257" s="29" t="n">
        <v>56.5</v>
      </c>
      <c r="K257" s="13" t="n">
        <v>250</v>
      </c>
      <c r="L257" s="13" t="n">
        <v>-310</v>
      </c>
      <c r="M257" s="12" t="inlineStr">
        <is>
          <t>DraftKings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>
        <v>-23.5</v>
      </c>
      <c r="J258" s="30" t="n">
        <v>54.5</v>
      </c>
      <c r="K258" s="18" t="n"/>
      <c r="L258" s="18" t="n"/>
      <c r="M258" s="17" t="inlineStr">
        <is>
          <t>DraftKings</t>
        </is>
      </c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-2.5</v>
      </c>
      <c r="J259" s="29" t="n">
        <v>46.5</v>
      </c>
      <c r="K259" s="13" t="n">
        <v>114</v>
      </c>
      <c r="L259" s="13" t="n">
        <v>-135</v>
      </c>
      <c r="M259" s="12" t="inlineStr">
        <is>
          <t>DraftKings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-34.5</v>
      </c>
      <c r="J260" s="30" t="n">
        <v>49.5</v>
      </c>
      <c r="K260" s="18" t="n">
        <v>5000</v>
      </c>
      <c r="L260" s="18" t="n">
        <v>-100000</v>
      </c>
      <c r="M260" s="17" t="inlineStr">
        <is>
          <t>DraftKings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>
        <v>27.5</v>
      </c>
      <c r="J261" s="29" t="n">
        <v>51.5</v>
      </c>
      <c r="K261" s="13" t="n">
        <v>-8000</v>
      </c>
      <c r="L261" s="13" t="n">
        <v>2200</v>
      </c>
      <c r="M261" s="12" t="inlineStr">
        <is>
          <t>DraftKings</t>
        </is>
      </c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>
        <v>-14</v>
      </c>
      <c r="J262" s="30" t="n">
        <v>52.5</v>
      </c>
      <c r="K262" s="18" t="n">
        <v>470</v>
      </c>
      <c r="L262" s="18" t="n">
        <v>-650</v>
      </c>
      <c r="M262" s="17" t="inlineStr">
        <is>
          <t>DraftKings</t>
        </is>
      </c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>
        <v>-17.5</v>
      </c>
      <c r="J263" s="29" t="n">
        <v>52.5</v>
      </c>
      <c r="K263" s="13" t="n">
        <v>525</v>
      </c>
      <c r="L263" s="13" t="n"/>
      <c r="M263" s="12" t="inlineStr">
        <is>
          <t>DraftKings</t>
        </is>
      </c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>
        <v>6.5</v>
      </c>
      <c r="J264" s="30" t="n">
        <v>50.5</v>
      </c>
      <c r="K264" s="18" t="n">
        <v>-250</v>
      </c>
      <c r="L264" s="18" t="n">
        <v>205</v>
      </c>
      <c r="M264" s="17" t="inlineStr">
        <is>
          <t>DraftKings</t>
        </is>
      </c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793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221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2026-09-15T21:08:15Z</dcterms:created>
  <dcterms:modified xsi:type="dcterms:W3CDTF">2026-09-15T21:08:16Z</dcterms:modified>
</cp:coreProperties>
</file>
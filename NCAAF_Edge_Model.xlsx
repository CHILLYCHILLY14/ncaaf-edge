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54" headerRowCount="1">
  <autoFilter ref="A4:Q5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54" headerRowCount="1">
  <autoFilter ref="A4:G54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2026-09-05T17:07:12+00:00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Ledger'!$G$6:$G$56,"&lt;&gt;Pending",'Bet Ledger'!$H$6:$H$56)</f>
        <v/>
      </c>
    </row>
    <row r="6">
      <c r="A6" s="3" t="inlineStr">
        <is>
          <t>Total Staked</t>
        </is>
      </c>
      <c r="B6" s="5">
        <f>SUMIF('Bet Ledger'!$G$6:$G$56,"&lt;&gt;Pending",'Bet Ledger'!$F$6:$F$56)</f>
        <v/>
      </c>
    </row>
    <row r="7">
      <c r="A7" s="3" t="inlineStr">
        <is>
          <t>Profit / Loss</t>
        </is>
      </c>
      <c r="B7" s="5">
        <f>SUMIF('Bet Ledger'!$G$6:$G$56,"&lt;&gt;Pending",'Bet Ledger'!$H$6:$H$56)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Ledger'!$G$6:$G$56,"&lt;&gt;Pending",'Bet Ledger'!$G$6:$G$56,"&lt;&gt;")</f>
        <v/>
      </c>
    </row>
    <row r="10">
      <c r="A10" s="3" t="inlineStr">
        <is>
          <t>Wins</t>
        </is>
      </c>
      <c r="B10" s="7">
        <f>COUNTIF('Bet Ledger'!$G$6:$G$56,"Win")</f>
        <v/>
      </c>
    </row>
    <row r="11">
      <c r="A11" s="3" t="inlineStr">
        <is>
          <t>Losses</t>
        </is>
      </c>
      <c r="B11" s="7">
        <f>COUNTIF('Bet Ledger'!$G$6:$G$56,"Loss")</f>
        <v/>
      </c>
    </row>
    <row r="12">
      <c r="A12" s="3" t="inlineStr">
        <is>
          <t>Pushes</t>
        </is>
      </c>
      <c r="B12" s="7">
        <f>COUNTIF('Bet Ledger'!$G$6:$G$56,"Push")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Ledger'!$G$6:$G$56,"Pending")</f>
        <v/>
      </c>
    </row>
    <row r="15">
      <c r="A15" s="3" t="inlineStr">
        <is>
          <t>Live Plays On The Board</t>
        </is>
      </c>
      <c r="B15" s="7" t="n">
        <v>20</v>
      </c>
    </row>
    <row r="16">
      <c r="A16" s="3" t="inlineStr">
        <is>
          <t>Solved Home Field (pts)</t>
        </is>
      </c>
      <c r="B16" s="9" t="n">
        <v>4.39</v>
      </c>
    </row>
    <row r="17">
      <c r="A17" s="3" t="inlineStr">
        <is>
          <t>Brier Score</t>
        </is>
      </c>
      <c r="B17" s="10" t="n">
        <v>0.2177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MIZ @ KU</t>
        </is>
      </c>
      <c r="C21" s="12" t="inlineStr">
        <is>
          <t>ATS</t>
        </is>
      </c>
      <c r="D21" s="12" t="inlineStr">
        <is>
          <t>KU +6.5</t>
        </is>
      </c>
      <c r="E21" s="13" t="n">
        <v>-110</v>
      </c>
      <c r="F21" s="14" t="n">
        <v>0.1226620918231085</v>
      </c>
      <c r="G21" s="15" t="n">
        <v>0.6464716156326323</v>
      </c>
      <c r="H21" s="16" t="n"/>
      <c r="I21" s="12" t="inlineStr">
        <is>
          <t>2026-09-12 00:00</t>
        </is>
      </c>
    </row>
    <row r="22">
      <c r="A22" s="17" t="inlineStr">
        <is>
          <t>BEST BET</t>
        </is>
      </c>
      <c r="B22" s="17" t="inlineStr">
        <is>
          <t>WAKE @ PUR</t>
        </is>
      </c>
      <c r="C22" s="17" t="inlineStr">
        <is>
          <t>TOTAL</t>
        </is>
      </c>
      <c r="D22" s="17" t="inlineStr">
        <is>
          <t>Over 49.5</t>
        </is>
      </c>
      <c r="E22" s="18" t="n">
        <v>-110</v>
      </c>
      <c r="F22" s="19" t="n">
        <v>0.1217539601589891</v>
      </c>
      <c r="G22" s="20" t="n">
        <v>0.6455634839685129</v>
      </c>
      <c r="H22" s="21" t="n"/>
      <c r="I22" s="17" t="inlineStr">
        <is>
          <t>2026-09-12 16:00</t>
        </is>
      </c>
    </row>
    <row r="23">
      <c r="A23" s="12" t="inlineStr">
        <is>
          <t>GOOD</t>
        </is>
      </c>
      <c r="B23" s="12" t="inlineStr">
        <is>
          <t>UNLV @ HAW</t>
        </is>
      </c>
      <c r="C23" s="12" t="inlineStr">
        <is>
          <t>ML</t>
        </is>
      </c>
      <c r="D23" s="12" t="inlineStr">
        <is>
          <t>HAW ML</t>
        </is>
      </c>
      <c r="E23" s="13" t="n">
        <v>130</v>
      </c>
      <c r="F23" s="14" t="n">
        <v>0.1068562482007754</v>
      </c>
      <c r="G23" s="15" t="n">
        <v>0.5416388568964275</v>
      </c>
      <c r="H23" s="16" t="n"/>
      <c r="I23" s="12" t="inlineStr">
        <is>
          <t>2026-09-06 02:00</t>
        </is>
      </c>
    </row>
    <row r="24">
      <c r="A24" s="17" t="inlineStr">
        <is>
          <t>GOOD</t>
        </is>
      </c>
      <c r="B24" s="17" t="inlineStr">
        <is>
          <t>EMU @ MSU</t>
        </is>
      </c>
      <c r="C24" s="17" t="inlineStr">
        <is>
          <t>ML</t>
        </is>
      </c>
      <c r="D24" s="17" t="inlineStr">
        <is>
          <t>EMU ML</t>
        </is>
      </c>
      <c r="E24" s="18" t="n">
        <v>600</v>
      </c>
      <c r="F24" s="19" t="n">
        <v>0.1052123689638979</v>
      </c>
      <c r="G24" s="20" t="n">
        <v>0.2480695118210408</v>
      </c>
      <c r="H24" s="21" t="n"/>
      <c r="I24" s="17" t="inlineStr">
        <is>
          <t>2026-09-12 19:30</t>
        </is>
      </c>
    </row>
    <row r="25">
      <c r="A25" s="12" t="inlineStr">
        <is>
          <t>GOOD</t>
        </is>
      </c>
      <c r="B25" s="12" t="inlineStr">
        <is>
          <t>NMSU @ HAW</t>
        </is>
      </c>
      <c r="C25" s="12" t="inlineStr">
        <is>
          <t>ATS</t>
        </is>
      </c>
      <c r="D25" s="12" t="inlineStr">
        <is>
          <t>NMSU +11.5</t>
        </is>
      </c>
      <c r="E25" s="13" t="n">
        <v>-108</v>
      </c>
      <c r="F25" s="14" t="n">
        <v>0.09739665043345347</v>
      </c>
      <c r="G25" s="15" t="n">
        <v>0.6166274196642227</v>
      </c>
      <c r="H25" s="16" t="n"/>
      <c r="I25" s="12" t="inlineStr">
        <is>
          <t>2026-09-13 03:59</t>
        </is>
      </c>
    </row>
    <row r="26">
      <c r="A26" s="17" t="inlineStr">
        <is>
          <t>LEAN</t>
        </is>
      </c>
      <c r="B26" s="17" t="inlineStr">
        <is>
          <t>JVST @ OHIO</t>
        </is>
      </c>
      <c r="C26" s="17" t="inlineStr">
        <is>
          <t>TOTAL</t>
        </is>
      </c>
      <c r="D26" s="17" t="inlineStr">
        <is>
          <t>Over 48.5</t>
        </is>
      </c>
      <c r="E26" s="18" t="n">
        <v>-110</v>
      </c>
      <c r="F26" s="19" t="n">
        <v>0.1203110944200888</v>
      </c>
      <c r="G26" s="20" t="n">
        <v>0.6441206182296126</v>
      </c>
      <c r="H26" s="21" t="n"/>
      <c r="I26" s="17" t="inlineStr">
        <is>
          <t>2026-09-12 22:00</t>
        </is>
      </c>
    </row>
    <row r="27">
      <c r="A27" s="12" t="inlineStr">
        <is>
          <t>LEAN</t>
        </is>
      </c>
      <c r="B27" s="12" t="inlineStr">
        <is>
          <t>TTU @ ORST</t>
        </is>
      </c>
      <c r="C27" s="12" t="inlineStr">
        <is>
          <t>TOTAL</t>
        </is>
      </c>
      <c r="D27" s="12" t="inlineStr">
        <is>
          <t>Over 49.5</t>
        </is>
      </c>
      <c r="E27" s="13" t="n">
        <v>-108</v>
      </c>
      <c r="F27" s="14" t="n">
        <v>0.1153377654576481</v>
      </c>
      <c r="G27" s="15" t="n">
        <v>0.6345685346884173</v>
      </c>
      <c r="H27" s="16" t="n"/>
      <c r="I27" s="12" t="inlineStr">
        <is>
          <t>2026-09-12 23:30</t>
        </is>
      </c>
    </row>
    <row r="28">
      <c r="A28" s="17" t="inlineStr">
        <is>
          <t>LEAN</t>
        </is>
      </c>
      <c r="B28" s="17" t="inlineStr">
        <is>
          <t>TULN @ DUKE</t>
        </is>
      </c>
      <c r="C28" s="17" t="inlineStr">
        <is>
          <t>TOTAL</t>
        </is>
      </c>
      <c r="D28" s="17" t="inlineStr">
        <is>
          <t>Over 50.5</t>
        </is>
      </c>
      <c r="E28" s="18" t="n">
        <v>-115</v>
      </c>
      <c r="F28" s="19" t="n">
        <v>0.1146540137699295</v>
      </c>
      <c r="G28" s="20" t="n">
        <v>0.649537734700162</v>
      </c>
      <c r="H28" s="21" t="n"/>
      <c r="I28" s="17" t="inlineStr">
        <is>
          <t>2026-09-05 19:30</t>
        </is>
      </c>
    </row>
    <row r="29">
      <c r="A29" s="12" t="inlineStr">
        <is>
          <t>LEAN</t>
        </is>
      </c>
      <c r="B29" s="12" t="inlineStr">
        <is>
          <t>UCF @ PITT</t>
        </is>
      </c>
      <c r="C29" s="12" t="inlineStr">
        <is>
          <t>TOTAL</t>
        </is>
      </c>
      <c r="D29" s="12" t="inlineStr">
        <is>
          <t>Over 51.5</t>
        </is>
      </c>
      <c r="E29" s="13" t="n">
        <v>-108</v>
      </c>
      <c r="F29" s="14" t="n">
        <v>0.1107693165989081</v>
      </c>
      <c r="G29" s="15" t="n">
        <v>0.6300000858296774</v>
      </c>
      <c r="H29" s="16" t="n"/>
      <c r="I29" s="12" t="inlineStr">
        <is>
          <t>2026-09-12 19:30</t>
        </is>
      </c>
    </row>
    <row r="30">
      <c r="A30" s="17" t="inlineStr">
        <is>
          <t>LEAN</t>
        </is>
      </c>
      <c r="B30" s="17" t="inlineStr">
        <is>
          <t>BC @ CIN</t>
        </is>
      </c>
      <c r="C30" s="17" t="inlineStr">
        <is>
          <t>TOTAL</t>
        </is>
      </c>
      <c r="D30" s="17" t="inlineStr">
        <is>
          <t>Over 51.5</t>
        </is>
      </c>
      <c r="E30" s="18" t="n">
        <v>-102</v>
      </c>
      <c r="F30" s="19" t="n">
        <v>0.1106975188813228</v>
      </c>
      <c r="G30" s="20" t="n">
        <v>0.6156480139308278</v>
      </c>
      <c r="H30" s="21" t="n"/>
      <c r="I30" s="17" t="inlineStr">
        <is>
          <t>2026-09-05 19:30</t>
        </is>
      </c>
    </row>
    <row r="31">
      <c r="A31" s="12" t="inlineStr">
        <is>
          <t>LEAN</t>
        </is>
      </c>
      <c r="B31" s="12" t="inlineStr">
        <is>
          <t>SHSU @ TROY</t>
        </is>
      </c>
      <c r="C31" s="12" t="inlineStr">
        <is>
          <t>ML</t>
        </is>
      </c>
      <c r="D31" s="12" t="inlineStr">
        <is>
          <t>SHSU ML</t>
        </is>
      </c>
      <c r="E31" s="13" t="n">
        <v>575</v>
      </c>
      <c r="F31" s="14" t="n">
        <v>0.1106424671207803</v>
      </c>
      <c r="G31" s="15" t="n">
        <v>0.2587906152689284</v>
      </c>
      <c r="H31" s="16" t="n"/>
      <c r="I31" s="12" t="inlineStr">
        <is>
          <t>2026-09-05 23:00</t>
        </is>
      </c>
    </row>
    <row r="32">
      <c r="A32" s="17" t="inlineStr">
        <is>
          <t>LEAN</t>
        </is>
      </c>
      <c r="B32" s="17" t="inlineStr">
        <is>
          <t>WMU @ MICH</t>
        </is>
      </c>
      <c r="C32" s="17" t="inlineStr">
        <is>
          <t>TOTAL</t>
        </is>
      </c>
      <c r="D32" s="17" t="inlineStr">
        <is>
          <t>Over 49.5</t>
        </is>
      </c>
      <c r="E32" s="18" t="n">
        <v>-108</v>
      </c>
      <c r="F32" s="19" t="n">
        <v>0.1092242183163358</v>
      </c>
      <c r="G32" s="20" t="n">
        <v>0.628454987547105</v>
      </c>
      <c r="H32" s="21" t="n"/>
      <c r="I32" s="17" t="inlineStr">
        <is>
          <t>2026-09-05 23:30</t>
        </is>
      </c>
    </row>
    <row r="33">
      <c r="A33" s="12" t="inlineStr">
        <is>
          <t>LEAN</t>
        </is>
      </c>
      <c r="B33" s="12" t="inlineStr">
        <is>
          <t>ISU @ IOWA</t>
        </is>
      </c>
      <c r="C33" s="12" t="inlineStr">
        <is>
          <t>ATS</t>
        </is>
      </c>
      <c r="D33" s="12" t="inlineStr">
        <is>
          <t>ISU +12.5</t>
        </is>
      </c>
      <c r="E33" s="13" t="n">
        <v>-110</v>
      </c>
      <c r="F33" s="14" t="n">
        <v>0.1074178570848449</v>
      </c>
      <c r="G33" s="15" t="n">
        <v>0.6312273808943687</v>
      </c>
      <c r="H33" s="16" t="n"/>
      <c r="I33" s="12" t="inlineStr">
        <is>
          <t>2026-09-12 23:30</t>
        </is>
      </c>
    </row>
    <row r="34">
      <c r="A34" s="17" t="inlineStr">
        <is>
          <t>LEAN</t>
        </is>
      </c>
      <c r="B34" s="17" t="inlineStr">
        <is>
          <t>ASU @ TA&amp;M</t>
        </is>
      </c>
      <c r="C34" s="17" t="inlineStr">
        <is>
          <t>TOTAL</t>
        </is>
      </c>
      <c r="D34" s="17" t="inlineStr">
        <is>
          <t>Over 50.5</t>
        </is>
      </c>
      <c r="E34" s="18" t="n">
        <v>-112</v>
      </c>
      <c r="F34" s="19" t="n">
        <v>0.1029267357749915</v>
      </c>
      <c r="G34" s="20" t="n">
        <v>0.6312286225674443</v>
      </c>
      <c r="H34" s="21" t="n"/>
      <c r="I34" s="17" t="inlineStr">
        <is>
          <t>2026-09-12 16:00</t>
        </is>
      </c>
    </row>
    <row r="35">
      <c r="A35" s="12" t="inlineStr">
        <is>
          <t>LEAN</t>
        </is>
      </c>
      <c r="B35" s="12" t="inlineStr">
        <is>
          <t>PSU @ TEM</t>
        </is>
      </c>
      <c r="C35" s="12" t="inlineStr">
        <is>
          <t>TOTAL</t>
        </is>
      </c>
      <c r="D35" s="12" t="inlineStr">
        <is>
          <t>Over 51.5</t>
        </is>
      </c>
      <c r="E35" s="13" t="n">
        <v>-105</v>
      </c>
      <c r="F35" s="14" t="n">
        <v>0.1018879854777873</v>
      </c>
      <c r="G35" s="15" t="n">
        <v>0.6140831074290068</v>
      </c>
      <c r="H35" s="16" t="n"/>
      <c r="I35" s="12" t="inlineStr">
        <is>
          <t>2026-09-12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MIZ @ KU</t>
        </is>
      </c>
      <c r="C5" s="12" t="inlineStr">
        <is>
          <t>2026-09-12 00:00</t>
        </is>
      </c>
      <c r="D5" s="22" t="n">
        <v>2</v>
      </c>
      <c r="E5" s="12" t="inlineStr">
        <is>
          <t>ATS</t>
        </is>
      </c>
      <c r="F5" s="12" t="inlineStr">
        <is>
          <t>KU +6.5</t>
        </is>
      </c>
      <c r="G5" s="23" t="n">
        <v>6.5</v>
      </c>
      <c r="H5" s="13" t="n">
        <v>-110</v>
      </c>
      <c r="I5" s="15" t="n">
        <v>0.6464716156326323</v>
      </c>
      <c r="J5" s="15" t="n">
        <v>0.5</v>
      </c>
      <c r="K5" s="15" t="n">
        <v>0.5238095238095238</v>
      </c>
      <c r="L5" s="14" t="n">
        <v>0.1226620918231085</v>
      </c>
      <c r="M5" s="14" t="n">
        <v>0.2341730843895709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WAKE @ PUR</t>
        </is>
      </c>
      <c r="C6" s="17" t="inlineStr">
        <is>
          <t>2026-09-12 16:00</t>
        </is>
      </c>
      <c r="D6" s="25" t="n">
        <v>2</v>
      </c>
      <c r="E6" s="17" t="inlineStr">
        <is>
          <t>TOTAL</t>
        </is>
      </c>
      <c r="F6" s="17" t="inlineStr">
        <is>
          <t>Over 49.5</t>
        </is>
      </c>
      <c r="G6" s="26" t="n">
        <v>49.5</v>
      </c>
      <c r="H6" s="18" t="n">
        <v>-110</v>
      </c>
      <c r="I6" s="20" t="n">
        <v>0.6455634839685129</v>
      </c>
      <c r="J6" s="20" t="n">
        <v>0.5</v>
      </c>
      <c r="K6" s="20" t="n">
        <v>0.5238095238095238</v>
      </c>
      <c r="L6" s="19" t="n">
        <v>0.1217539601589891</v>
      </c>
      <c r="M6" s="19" t="n">
        <v>0.2324393784853429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GOOD</t>
        </is>
      </c>
      <c r="B7" s="12" t="inlineStr">
        <is>
          <t>UNLV @ HAW</t>
        </is>
      </c>
      <c r="C7" s="12" t="inlineStr">
        <is>
          <t>2026-09-06 02:00</t>
        </is>
      </c>
      <c r="D7" s="22" t="n">
        <v>1</v>
      </c>
      <c r="E7" s="12" t="inlineStr">
        <is>
          <t>ML</t>
        </is>
      </c>
      <c r="F7" s="12" t="inlineStr">
        <is>
          <t>HAW ML</t>
        </is>
      </c>
      <c r="G7" s="23" t="n"/>
      <c r="H7" s="13" t="n">
        <v>130</v>
      </c>
      <c r="I7" s="15" t="n">
        <v>0.5416388568964275</v>
      </c>
      <c r="J7" s="15" t="n">
        <v>0.4170073589533933</v>
      </c>
      <c r="K7" s="15" t="n">
        <v>0.4347826086956522</v>
      </c>
      <c r="L7" s="14" t="n">
        <v>0.1068562482007754</v>
      </c>
      <c r="M7" s="14" t="n">
        <v>0.2457693708617833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GOOD</t>
        </is>
      </c>
      <c r="B8" s="17" t="inlineStr">
        <is>
          <t>EMU @ MSU</t>
        </is>
      </c>
      <c r="C8" s="17" t="inlineStr">
        <is>
          <t>2026-09-12 19:30</t>
        </is>
      </c>
      <c r="D8" s="25" t="n">
        <v>2</v>
      </c>
      <c r="E8" s="17" t="inlineStr">
        <is>
          <t>ML</t>
        </is>
      </c>
      <c r="F8" s="17" t="inlineStr">
        <is>
          <t>EMU ML</t>
        </is>
      </c>
      <c r="G8" s="26" t="n"/>
      <c r="H8" s="18" t="n">
        <v>600</v>
      </c>
      <c r="I8" s="20" t="n">
        <v>0.2480695118210408</v>
      </c>
      <c r="J8" s="20" t="n">
        <v>0.136986301369863</v>
      </c>
      <c r="K8" s="20" t="n">
        <v>0.1428571428571428</v>
      </c>
      <c r="L8" s="19" t="n">
        <v>0.1052123689638979</v>
      </c>
      <c r="M8" s="19" t="n">
        <v>0.7364865827472853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NMSU @ HAW</t>
        </is>
      </c>
      <c r="C9" s="12" t="inlineStr">
        <is>
          <t>2026-09-13 03:59</t>
        </is>
      </c>
      <c r="D9" s="22" t="n">
        <v>2</v>
      </c>
      <c r="E9" s="12" t="inlineStr">
        <is>
          <t>ATS</t>
        </is>
      </c>
      <c r="F9" s="12" t="inlineStr">
        <is>
          <t>NMSU +11.5</t>
        </is>
      </c>
      <c r="G9" s="23" t="n">
        <v>-11.5</v>
      </c>
      <c r="H9" s="13" t="n">
        <v>-108</v>
      </c>
      <c r="I9" s="15" t="n">
        <v>0.6166274196642227</v>
      </c>
      <c r="J9" s="15" t="n">
        <v>0.4956702459300312</v>
      </c>
      <c r="K9" s="15" t="n">
        <v>0.5192307692307693</v>
      </c>
      <c r="L9" s="14" t="n">
        <v>0.09739665043345347</v>
      </c>
      <c r="M9" s="14" t="n">
        <v>0.1875787341681328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JVST @ OHIO</t>
        </is>
      </c>
      <c r="C10" s="17" t="inlineStr">
        <is>
          <t>2026-09-12 22:00</t>
        </is>
      </c>
      <c r="D10" s="25" t="n">
        <v>2</v>
      </c>
      <c r="E10" s="17" t="inlineStr">
        <is>
          <t>TOTAL</t>
        </is>
      </c>
      <c r="F10" s="17" t="inlineStr">
        <is>
          <t>Over 48.5</t>
        </is>
      </c>
      <c r="G10" s="26" t="n">
        <v>48.5</v>
      </c>
      <c r="H10" s="18" t="n">
        <v>-110</v>
      </c>
      <c r="I10" s="20" t="n">
        <v>0.6441206182296126</v>
      </c>
      <c r="J10" s="20" t="n">
        <v>0.5</v>
      </c>
      <c r="K10" s="20" t="n">
        <v>0.5238095238095238</v>
      </c>
      <c r="L10" s="19" t="n">
        <v>0.1203110944200888</v>
      </c>
      <c r="M10" s="19" t="n">
        <v>0.2296848166201696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TTU @ ORST</t>
        </is>
      </c>
      <c r="C11" s="12" t="inlineStr">
        <is>
          <t>2026-09-12 23:30</t>
        </is>
      </c>
      <c r="D11" s="22" t="n">
        <v>2</v>
      </c>
      <c r="E11" s="12" t="inlineStr">
        <is>
          <t>TOTAL</t>
        </is>
      </c>
      <c r="F11" s="12" t="inlineStr">
        <is>
          <t>Over 49.5</t>
        </is>
      </c>
      <c r="G11" s="23" t="n">
        <v>49.5</v>
      </c>
      <c r="H11" s="13" t="n">
        <v>-108</v>
      </c>
      <c r="I11" s="15" t="n">
        <v>0.6345685346884173</v>
      </c>
      <c r="J11" s="15" t="n">
        <v>0.4956702459300312</v>
      </c>
      <c r="K11" s="15" t="n">
        <v>0.5192307692307693</v>
      </c>
      <c r="L11" s="14" t="n">
        <v>0.1153377654576481</v>
      </c>
      <c r="M11" s="14" t="n">
        <v>0.2221319927332482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TULN @ DUKE</t>
        </is>
      </c>
      <c r="C12" s="17" t="inlineStr">
        <is>
          <t>2026-09-05 19:30</t>
        </is>
      </c>
      <c r="D12" s="25" t="n">
        <v>1</v>
      </c>
      <c r="E12" s="17" t="inlineStr">
        <is>
          <t>TOTAL</t>
        </is>
      </c>
      <c r="F12" s="17" t="inlineStr">
        <is>
          <t>Over 50.5</t>
        </is>
      </c>
      <c r="G12" s="26" t="n">
        <v>50.5</v>
      </c>
      <c r="H12" s="18" t="n">
        <v>-115</v>
      </c>
      <c r="I12" s="20" t="n">
        <v>0.649537734700162</v>
      </c>
      <c r="J12" s="20" t="n">
        <v>0.5108342361863488</v>
      </c>
      <c r="K12" s="20" t="n">
        <v>0.5348837209302325</v>
      </c>
      <c r="L12" s="19" t="n">
        <v>0.1146540137699295</v>
      </c>
      <c r="M12" s="19" t="n">
        <v>0.2143531561785635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UCF @ PITT</t>
        </is>
      </c>
      <c r="C13" s="12" t="inlineStr">
        <is>
          <t>2026-09-12 19:30</t>
        </is>
      </c>
      <c r="D13" s="22" t="n">
        <v>2</v>
      </c>
      <c r="E13" s="12" t="inlineStr">
        <is>
          <t>TOTAL</t>
        </is>
      </c>
      <c r="F13" s="12" t="inlineStr">
        <is>
          <t>Over 51.5</t>
        </is>
      </c>
      <c r="G13" s="23" t="n">
        <v>51.5</v>
      </c>
      <c r="H13" s="13" t="n">
        <v>-108</v>
      </c>
      <c r="I13" s="15" t="n">
        <v>0.6300000858296774</v>
      </c>
      <c r="J13" s="15" t="n">
        <v>0.4956702459300312</v>
      </c>
      <c r="K13" s="15" t="n">
        <v>0.5192307692307693</v>
      </c>
      <c r="L13" s="14" t="n">
        <v>0.1107693165989081</v>
      </c>
      <c r="M13" s="14" t="n">
        <v>0.2133334986349342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BC @ CIN</t>
        </is>
      </c>
      <c r="C14" s="17" t="inlineStr">
        <is>
          <t>2026-09-05 19:30</t>
        </is>
      </c>
      <c r="D14" s="25" t="n">
        <v>1</v>
      </c>
      <c r="E14" s="17" t="inlineStr">
        <is>
          <t>TOTAL</t>
        </is>
      </c>
      <c r="F14" s="17" t="inlineStr">
        <is>
          <t>Over 51.5</t>
        </is>
      </c>
      <c r="G14" s="26" t="n">
        <v>51.5</v>
      </c>
      <c r="H14" s="18" t="n">
        <v>-102</v>
      </c>
      <c r="I14" s="20" t="n">
        <v>0.6156480139308278</v>
      </c>
      <c r="J14" s="20" t="n">
        <v>0.4826358742837298</v>
      </c>
      <c r="K14" s="20" t="n">
        <v>0.504950495049505</v>
      </c>
      <c r="L14" s="19" t="n">
        <v>0.1106975188813228</v>
      </c>
      <c r="M14" s="19" t="n">
        <v>0.2192244981767374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SHSU @ TROY</t>
        </is>
      </c>
      <c r="C15" s="12" t="inlineStr">
        <is>
          <t>2026-09-05 23:00</t>
        </is>
      </c>
      <c r="D15" s="22" t="n">
        <v>1</v>
      </c>
      <c r="E15" s="12" t="inlineStr">
        <is>
          <t>ML</t>
        </is>
      </c>
      <c r="F15" s="12" t="inlineStr">
        <is>
          <t>SHSU ML</t>
        </is>
      </c>
      <c r="G15" s="23" t="n"/>
      <c r="H15" s="13" t="n">
        <v>575</v>
      </c>
      <c r="I15" s="15" t="n">
        <v>0.2587906152689284</v>
      </c>
      <c r="J15" s="15" t="n">
        <v>0.1420560747663552</v>
      </c>
      <c r="K15" s="15" t="n">
        <v>0.1481481481481481</v>
      </c>
      <c r="L15" s="14" t="n">
        <v>0.1106424671207803</v>
      </c>
      <c r="M15" s="14" t="n">
        <v>0.7468366530652669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LEAN</t>
        </is>
      </c>
      <c r="B16" s="17" t="inlineStr">
        <is>
          <t>WMU @ MICH</t>
        </is>
      </c>
      <c r="C16" s="17" t="inlineStr">
        <is>
          <t>2026-09-05 23:30</t>
        </is>
      </c>
      <c r="D16" s="25" t="n">
        <v>1</v>
      </c>
      <c r="E16" s="17" t="inlineStr">
        <is>
          <t>TOTAL</t>
        </is>
      </c>
      <c r="F16" s="17" t="inlineStr">
        <is>
          <t>Over 49.5</t>
        </is>
      </c>
      <c r="G16" s="26" t="n">
        <v>49.5</v>
      </c>
      <c r="H16" s="18" t="n">
        <v>-108</v>
      </c>
      <c r="I16" s="20" t="n">
        <v>0.628454987547105</v>
      </c>
      <c r="J16" s="20" t="n">
        <v>0.4956702459300312</v>
      </c>
      <c r="K16" s="20" t="n">
        <v>0.5192307692307693</v>
      </c>
      <c r="L16" s="19" t="n">
        <v>0.1092242183163358</v>
      </c>
      <c r="M16" s="19" t="n">
        <v>0.2103577537944246</v>
      </c>
      <c r="N16" s="20" t="n">
        <v>0</v>
      </c>
      <c r="O16" s="27" t="n">
        <v>0.4</v>
      </c>
      <c r="P16" s="17" t="inlineStr">
        <is>
          <t>DraftKings</t>
        </is>
      </c>
      <c r="Q16" s="17" t="n"/>
    </row>
    <row r="17">
      <c r="A17" s="12" t="inlineStr">
        <is>
          <t>LEAN</t>
        </is>
      </c>
      <c r="B17" s="12" t="inlineStr">
        <is>
          <t>ISU @ IOWA</t>
        </is>
      </c>
      <c r="C17" s="12" t="inlineStr">
        <is>
          <t>2026-09-12 23:30</t>
        </is>
      </c>
      <c r="D17" s="22" t="n">
        <v>2</v>
      </c>
      <c r="E17" s="12" t="inlineStr">
        <is>
          <t>ATS</t>
        </is>
      </c>
      <c r="F17" s="12" t="inlineStr">
        <is>
          <t>ISU +12.5</t>
        </is>
      </c>
      <c r="G17" s="23" t="n">
        <v>-12.5</v>
      </c>
      <c r="H17" s="13" t="n">
        <v>-110</v>
      </c>
      <c r="I17" s="15" t="n">
        <v>0.6312273808943687</v>
      </c>
      <c r="J17" s="15" t="n">
        <v>0.5</v>
      </c>
      <c r="K17" s="15" t="n">
        <v>0.5238095238095238</v>
      </c>
      <c r="L17" s="14" t="n">
        <v>0.1074178570848449</v>
      </c>
      <c r="M17" s="14" t="n">
        <v>0.205070454434704</v>
      </c>
      <c r="N17" s="15" t="n">
        <v>0</v>
      </c>
      <c r="O17" s="24" t="n">
        <v>0.4</v>
      </c>
      <c r="P17" s="12" t="inlineStr">
        <is>
          <t>DraftKings</t>
        </is>
      </c>
      <c r="Q17" s="12" t="n"/>
    </row>
    <row r="18">
      <c r="A18" s="17" t="inlineStr">
        <is>
          <t>LEAN</t>
        </is>
      </c>
      <c r="B18" s="17" t="inlineStr">
        <is>
          <t>ASU @ TA&amp;M</t>
        </is>
      </c>
      <c r="C18" s="17" t="inlineStr">
        <is>
          <t>2026-09-12 16:00</t>
        </is>
      </c>
      <c r="D18" s="25" t="n">
        <v>2</v>
      </c>
      <c r="E18" s="17" t="inlineStr">
        <is>
          <t>TOTAL</t>
        </is>
      </c>
      <c r="F18" s="17" t="inlineStr">
        <is>
          <t>Over 50.5</t>
        </is>
      </c>
      <c r="G18" s="26" t="n">
        <v>50.5</v>
      </c>
      <c r="H18" s="18" t="n">
        <v>-112</v>
      </c>
      <c r="I18" s="20" t="n">
        <v>0.6312286225674443</v>
      </c>
      <c r="J18" s="20" t="n">
        <v>0.5043297540699688</v>
      </c>
      <c r="K18" s="20" t="n">
        <v>0.5283018867924528</v>
      </c>
      <c r="L18" s="19" t="n">
        <v>0.1029267357749915</v>
      </c>
      <c r="M18" s="19" t="n">
        <v>0.1948256070026624</v>
      </c>
      <c r="N18" s="20" t="n">
        <v>0</v>
      </c>
      <c r="O18" s="27" t="n">
        <v>0.4</v>
      </c>
      <c r="P18" s="17" t="inlineStr">
        <is>
          <t>DraftKings</t>
        </is>
      </c>
      <c r="Q18" s="17" t="n"/>
    </row>
    <row r="19">
      <c r="A19" s="12" t="inlineStr">
        <is>
          <t>LEAN</t>
        </is>
      </c>
      <c r="B19" s="12" t="inlineStr">
        <is>
          <t>PSU @ TEM</t>
        </is>
      </c>
      <c r="C19" s="12" t="inlineStr">
        <is>
          <t>2026-09-12 16:00</t>
        </is>
      </c>
      <c r="D19" s="22" t="n">
        <v>2</v>
      </c>
      <c r="E19" s="12" t="inlineStr">
        <is>
          <t>TOTAL</t>
        </is>
      </c>
      <c r="F19" s="12" t="inlineStr">
        <is>
          <t>Over 51.5</t>
        </is>
      </c>
      <c r="G19" s="23" t="n">
        <v>51.5</v>
      </c>
      <c r="H19" s="13" t="n">
        <v>-105</v>
      </c>
      <c r="I19" s="15" t="n">
        <v>0.6140831074290068</v>
      </c>
      <c r="J19" s="15" t="n">
        <v>0.4891657638136511</v>
      </c>
      <c r="K19" s="15" t="n">
        <v>0.5121951219512195</v>
      </c>
      <c r="L19" s="14" t="n">
        <v>0.1018879854777873</v>
      </c>
      <c r="M19" s="14" t="n">
        <v>0.198924162123299</v>
      </c>
      <c r="N19" s="15" t="n">
        <v>0</v>
      </c>
      <c r="O19" s="24" t="n">
        <v>0.4</v>
      </c>
      <c r="P19" s="12" t="inlineStr">
        <is>
          <t>DraftKings</t>
        </is>
      </c>
      <c r="Q19" s="12" t="n"/>
    </row>
    <row r="20">
      <c r="A20" s="17" t="inlineStr">
        <is>
          <t>LEAN</t>
        </is>
      </c>
      <c r="B20" s="17" t="inlineStr">
        <is>
          <t>FIU @ USF</t>
        </is>
      </c>
      <c r="C20" s="17" t="inlineStr">
        <is>
          <t>2026-09-05 23:00</t>
        </is>
      </c>
      <c r="D20" s="25" t="n">
        <v>1</v>
      </c>
      <c r="E20" s="17" t="inlineStr">
        <is>
          <t>ML</t>
        </is>
      </c>
      <c r="F20" s="17" t="inlineStr">
        <is>
          <t>FIU ML</t>
        </is>
      </c>
      <c r="G20" s="26" t="n"/>
      <c r="H20" s="18" t="n">
        <v>490</v>
      </c>
      <c r="I20" s="20" t="n">
        <v>0.2692129194516995</v>
      </c>
      <c r="J20" s="20" t="n">
        <v>0.162900683131897</v>
      </c>
      <c r="K20" s="20" t="n">
        <v>0.1694915254237288</v>
      </c>
      <c r="L20" s="19" t="n">
        <v>0.09972139402797064</v>
      </c>
      <c r="M20" s="19" t="n">
        <v>0.5883562247650269</v>
      </c>
      <c r="N20" s="20" t="n">
        <v>0</v>
      </c>
      <c r="O20" s="27" t="n">
        <v>0.4</v>
      </c>
      <c r="P20" s="17" t="inlineStr">
        <is>
          <t>DraftKings</t>
        </is>
      </c>
      <c r="Q20" s="17" t="n"/>
    </row>
    <row r="21">
      <c r="A21" s="12" t="inlineStr">
        <is>
          <t>LEAN</t>
        </is>
      </c>
      <c r="B21" s="12" t="inlineStr">
        <is>
          <t>BAY @ AUB</t>
        </is>
      </c>
      <c r="C21" s="12" t="inlineStr">
        <is>
          <t>2026-09-05 19:30</t>
        </is>
      </c>
      <c r="D21" s="22" t="n">
        <v>1</v>
      </c>
      <c r="E21" s="12" t="inlineStr">
        <is>
          <t>ATS</t>
        </is>
      </c>
      <c r="F21" s="12" t="inlineStr">
        <is>
          <t>BAY +7</t>
        </is>
      </c>
      <c r="G21" s="23" t="n">
        <v>-7</v>
      </c>
      <c r="H21" s="13" t="n">
        <v>-105</v>
      </c>
      <c r="I21" s="15" t="n">
        <v>0.6111947002155863</v>
      </c>
      <c r="J21" s="15" t="n">
        <v>0.4891657638136511</v>
      </c>
      <c r="K21" s="15" t="n">
        <v>0.5121951219512195</v>
      </c>
      <c r="L21" s="14" t="n">
        <v>0.09899957826436678</v>
      </c>
      <c r="M21" s="14" t="n">
        <v>0.1848359291423228</v>
      </c>
      <c r="N21" s="15" t="n">
        <v>0.0437</v>
      </c>
      <c r="O21" s="24" t="n">
        <v>0.4</v>
      </c>
      <c r="P21" s="12" t="inlineStr">
        <is>
          <t>DraftKings</t>
        </is>
      </c>
      <c r="Q21" s="12" t="n"/>
    </row>
    <row r="22">
      <c r="A22" s="17" t="inlineStr">
        <is>
          <t>LEAN</t>
        </is>
      </c>
      <c r="B22" s="17" t="inlineStr">
        <is>
          <t>MRSH @ PSU</t>
        </is>
      </c>
      <c r="C22" s="17" t="inlineStr">
        <is>
          <t>2026-09-05 19:30</t>
        </is>
      </c>
      <c r="D22" s="25" t="n">
        <v>1</v>
      </c>
      <c r="E22" s="17" t="inlineStr">
        <is>
          <t>TOTAL</t>
        </is>
      </c>
      <c r="F22" s="17" t="inlineStr">
        <is>
          <t>Over 52.5</t>
        </is>
      </c>
      <c r="G22" s="26" t="n">
        <v>52.5</v>
      </c>
      <c r="H22" s="18" t="n">
        <v>-102</v>
      </c>
      <c r="I22" s="20" t="n">
        <v>0.597487898417319</v>
      </c>
      <c r="J22" s="20" t="n">
        <v>0.4826358742837298</v>
      </c>
      <c r="K22" s="20" t="n">
        <v>0.504950495049505</v>
      </c>
      <c r="L22" s="19" t="n">
        <v>0.09253740336781402</v>
      </c>
      <c r="M22" s="19" t="n">
        <v>0.1832603478460632</v>
      </c>
      <c r="N22" s="20" t="n">
        <v>0</v>
      </c>
      <c r="O22" s="27" t="n">
        <v>0.4</v>
      </c>
      <c r="P22" s="17" t="inlineStr">
        <is>
          <t>DraftKings</t>
        </is>
      </c>
      <c r="Q22" s="17" t="n"/>
    </row>
    <row r="23">
      <c r="A23" s="12" t="inlineStr">
        <is>
          <t>LEAN</t>
        </is>
      </c>
      <c r="B23" s="12" t="inlineStr">
        <is>
          <t>BOIS @ ORE</t>
        </is>
      </c>
      <c r="C23" s="12" t="inlineStr">
        <is>
          <t>2026-09-05 19:30</t>
        </is>
      </c>
      <c r="D23" s="22" t="n">
        <v>1</v>
      </c>
      <c r="E23" s="12" t="inlineStr">
        <is>
          <t>TOTAL</t>
        </is>
      </c>
      <c r="F23" s="12" t="inlineStr">
        <is>
          <t>Over 51.5</t>
        </is>
      </c>
      <c r="G23" s="23" t="n">
        <v>51.5</v>
      </c>
      <c r="H23" s="13" t="n">
        <v>-112</v>
      </c>
      <c r="I23" s="15" t="n">
        <v>0.6200342008208912</v>
      </c>
      <c r="J23" s="15" t="n">
        <v>0.5043297540699688</v>
      </c>
      <c r="K23" s="15" t="n">
        <v>0.5283018867924528</v>
      </c>
      <c r="L23" s="14" t="n">
        <v>0.0917323140284384</v>
      </c>
      <c r="M23" s="14" t="n">
        <v>0.1736361658395441</v>
      </c>
      <c r="N23" s="15" t="n">
        <v>0</v>
      </c>
      <c r="O23" s="24" t="n">
        <v>0.4</v>
      </c>
      <c r="P23" s="12" t="inlineStr">
        <is>
          <t>DraftKings</t>
        </is>
      </c>
      <c r="Q23" s="12" t="n"/>
    </row>
    <row r="24">
      <c r="A24" s="17" t="inlineStr">
        <is>
          <t>LEAN</t>
        </is>
      </c>
      <c r="B24" s="17" t="inlineStr">
        <is>
          <t>CLEM @ LSU</t>
        </is>
      </c>
      <c r="C24" s="17" t="inlineStr">
        <is>
          <t>2026-09-05 23:30</t>
        </is>
      </c>
      <c r="D24" s="25" t="n">
        <v>1</v>
      </c>
      <c r="E24" s="17" t="inlineStr">
        <is>
          <t>TOTAL</t>
        </is>
      </c>
      <c r="F24" s="17" t="inlineStr">
        <is>
          <t>Over 50.5</t>
        </is>
      </c>
      <c r="G24" s="26" t="n">
        <v>50.5</v>
      </c>
      <c r="H24" s="18" t="n">
        <v>-112</v>
      </c>
      <c r="I24" s="20" t="n">
        <v>0.6183929842933839</v>
      </c>
      <c r="J24" s="20" t="n">
        <v>0.5043297540699688</v>
      </c>
      <c r="K24" s="20" t="n">
        <v>0.5283018867924528</v>
      </c>
      <c r="L24" s="19" t="n">
        <v>0.09009109750093103</v>
      </c>
      <c r="M24" s="19" t="n">
        <v>0.1705295774124765</v>
      </c>
      <c r="N24" s="20" t="n">
        <v>0</v>
      </c>
      <c r="O24" s="27" t="n">
        <v>0.4</v>
      </c>
      <c r="P24" s="17" t="inlineStr">
        <is>
          <t>DraftKings</t>
        </is>
      </c>
      <c r="Q24" s="17" t="n"/>
    </row>
    <row r="25">
      <c r="A25" s="12" t="inlineStr">
        <is>
          <t>PASS</t>
        </is>
      </c>
      <c r="B25" s="12" t="inlineStr">
        <is>
          <t>TTU @ ORST</t>
        </is>
      </c>
      <c r="C25" s="12" t="inlineStr">
        <is>
          <t>2026-09-12 23:30</t>
        </is>
      </c>
      <c r="D25" s="22" t="n">
        <v>2</v>
      </c>
      <c r="E25" s="12" t="inlineStr">
        <is>
          <t>ML</t>
        </is>
      </c>
      <c r="F25" s="12" t="inlineStr">
        <is>
          <t>ORST ML</t>
        </is>
      </c>
      <c r="G25" s="23" t="n"/>
      <c r="H25" s="13" t="n">
        <v>1800</v>
      </c>
      <c r="I25" s="15" t="n">
        <v>0.3377119475887745</v>
      </c>
      <c r="J25" s="15" t="n">
        <v>0.05094905094905094</v>
      </c>
      <c r="K25" s="15" t="n">
        <v>0.05263157894736842</v>
      </c>
      <c r="L25" s="14" t="n">
        <v>0.2850803686414061</v>
      </c>
      <c r="M25" s="14" t="n">
        <v>5.416527004186716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PSU @ TEM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TEM ML</t>
        </is>
      </c>
      <c r="G26" s="26" t="n"/>
      <c r="H26" s="18" t="n">
        <v>1100</v>
      </c>
      <c r="I26" s="20" t="n">
        <v>0.352383407515709</v>
      </c>
      <c r="J26" s="20" t="n">
        <v>0.08029197080291971</v>
      </c>
      <c r="K26" s="20" t="n">
        <v>0.08333333333333333</v>
      </c>
      <c r="L26" s="19" t="n">
        <v>0.2690500741823756</v>
      </c>
      <c r="M26" s="19" t="n">
        <v>3.228600890188507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ORE @ OKST</t>
        </is>
      </c>
      <c r="C27" s="12" t="inlineStr">
        <is>
          <t>2026-09-12 16:00</t>
        </is>
      </c>
      <c r="D27" s="22" t="n">
        <v>2</v>
      </c>
      <c r="E27" s="12" t="inlineStr">
        <is>
          <t>ML</t>
        </is>
      </c>
      <c r="F27" s="12" t="inlineStr">
        <is>
          <t>OKST ML</t>
        </is>
      </c>
      <c r="G27" s="23" t="n"/>
      <c r="H27" s="13" t="n">
        <v>750</v>
      </c>
      <c r="I27" s="15" t="n">
        <v>0.3687591612446839</v>
      </c>
      <c r="J27" s="15" t="n">
        <v>0.1130434782608696</v>
      </c>
      <c r="K27" s="15" t="n">
        <v>0.1176470588235294</v>
      </c>
      <c r="L27" s="14" t="n">
        <v>0.2511121024211544</v>
      </c>
      <c r="M27" s="14" t="n">
        <v>2.134452870579813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TNST @ UGA</t>
        </is>
      </c>
      <c r="C28" s="17" t="inlineStr">
        <is>
          <t>2026-09-05 19:00</t>
        </is>
      </c>
      <c r="D28" s="25" t="n">
        <v>1</v>
      </c>
      <c r="E28" s="17" t="inlineStr">
        <is>
          <t>ATS</t>
        </is>
      </c>
      <c r="F28" s="17" t="inlineStr">
        <is>
          <t>TNST +48.5</t>
        </is>
      </c>
      <c r="G28" s="26" t="n">
        <v>-48.5</v>
      </c>
      <c r="H28" s="18" t="n">
        <v>-102</v>
      </c>
      <c r="I28" s="20" t="n">
        <v>0.7411716802023806</v>
      </c>
      <c r="J28" s="20" t="n">
        <v>0.4826358742837298</v>
      </c>
      <c r="K28" s="20" t="n">
        <v>0.504950495049505</v>
      </c>
      <c r="L28" s="19" t="n">
        <v>0.2362211851528756</v>
      </c>
      <c r="M28" s="19" t="n">
        <v>0.4678105823615772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TNST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FUR @ TENN</t>
        </is>
      </c>
      <c r="C29" s="12" t="inlineStr">
        <is>
          <t>2026-09-05 19:30</t>
        </is>
      </c>
      <c r="D29" s="22" t="n">
        <v>1</v>
      </c>
      <c r="E29" s="12" t="inlineStr">
        <is>
          <t>ATS</t>
        </is>
      </c>
      <c r="F29" s="12" t="inlineStr">
        <is>
          <t>FUR +48.5</t>
        </is>
      </c>
      <c r="G29" s="23" t="n">
        <v>-48.5</v>
      </c>
      <c r="H29" s="13" t="n">
        <v>-102</v>
      </c>
      <c r="I29" s="15" t="n">
        <v>0.7411716802023806</v>
      </c>
      <c r="J29" s="15" t="n">
        <v>0.4826358742837298</v>
      </c>
      <c r="K29" s="15" t="n">
        <v>0.504950495049505</v>
      </c>
      <c r="L29" s="14" t="n">
        <v>0.2362211851528756</v>
      </c>
      <c r="M29" s="14" t="n">
        <v>0.4678105823615772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FUR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NWST @ LT</t>
        </is>
      </c>
      <c r="C30" s="17" t="inlineStr">
        <is>
          <t>2026-09-05 23:30</t>
        </is>
      </c>
      <c r="D30" s="25" t="n">
        <v>1</v>
      </c>
      <c r="E30" s="17" t="inlineStr">
        <is>
          <t>ATS</t>
        </is>
      </c>
      <c r="F30" s="17" t="inlineStr">
        <is>
          <t>NWST +44.5</t>
        </is>
      </c>
      <c r="G30" s="26" t="n">
        <v>-44.5</v>
      </c>
      <c r="H30" s="18" t="n">
        <v>-105</v>
      </c>
      <c r="I30" s="20" t="n">
        <v>0.7441523129277638</v>
      </c>
      <c r="J30" s="20" t="n">
        <v>0.4891657638136511</v>
      </c>
      <c r="K30" s="20" t="n">
        <v>0.5121951219512195</v>
      </c>
      <c r="L30" s="19" t="n">
        <v>0.2319571909765443</v>
      </c>
      <c r="M30" s="19" t="n">
        <v>0.4528688014303961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NWST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MORG @ ASU</t>
        </is>
      </c>
      <c r="C31" s="12" t="inlineStr">
        <is>
          <t>2026-09-06 02:00</t>
        </is>
      </c>
      <c r="D31" s="22" t="n">
        <v>1</v>
      </c>
      <c r="E31" s="12" t="inlineStr">
        <is>
          <t>ATS</t>
        </is>
      </c>
      <c r="F31" s="12" t="inlineStr">
        <is>
          <t>MORG +43.5</t>
        </is>
      </c>
      <c r="G31" s="23" t="n">
        <v>-43.5</v>
      </c>
      <c r="H31" s="13" t="n">
        <v>-105</v>
      </c>
      <c r="I31" s="15" t="n">
        <v>0.7440266590404084</v>
      </c>
      <c r="J31" s="15" t="n">
        <v>0.4891657638136511</v>
      </c>
      <c r="K31" s="15" t="n">
        <v>0.5121951219512195</v>
      </c>
      <c r="L31" s="14" t="n">
        <v>0.2318315370891889</v>
      </c>
      <c r="M31" s="14" t="n">
        <v>0.4526234771741308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MORG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VMI @ VT</t>
        </is>
      </c>
      <c r="C32" s="17" t="inlineStr">
        <is>
          <t>2026-09-05 23:30</t>
        </is>
      </c>
      <c r="D32" s="25" t="n">
        <v>1</v>
      </c>
      <c r="E32" s="17" t="inlineStr">
        <is>
          <t>ATS</t>
        </is>
      </c>
      <c r="F32" s="17" t="inlineStr">
        <is>
          <t>VMI +54.5</t>
        </is>
      </c>
      <c r="G32" s="26" t="n">
        <v>-54.5</v>
      </c>
      <c r="H32" s="18" t="n">
        <v>-108</v>
      </c>
      <c r="I32" s="20" t="n">
        <v>0.7478106782316996</v>
      </c>
      <c r="J32" s="20" t="n">
        <v>0.4956702459300312</v>
      </c>
      <c r="K32" s="20" t="n">
        <v>0.5192307692307693</v>
      </c>
      <c r="L32" s="19" t="n">
        <v>0.2285799090009303</v>
      </c>
      <c r="M32" s="19" t="n">
        <v>0.4402279728906807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VMI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MVSU @ SAC</t>
        </is>
      </c>
      <c r="C33" s="12" t="inlineStr">
        <is>
          <t>2026-09-06 02:00</t>
        </is>
      </c>
      <c r="D33" s="22" t="n">
        <v>1</v>
      </c>
      <c r="E33" s="12" t="inlineStr">
        <is>
          <t>ATS</t>
        </is>
      </c>
      <c r="F33" s="12" t="inlineStr">
        <is>
          <t>MVSU +37.5</t>
        </is>
      </c>
      <c r="G33" s="23" t="n">
        <v>-37.5</v>
      </c>
      <c r="H33" s="13" t="n">
        <v>-108</v>
      </c>
      <c r="I33" s="15" t="n">
        <v>0.7454262882574325</v>
      </c>
      <c r="J33" s="15" t="n">
        <v>0.4956702459300312</v>
      </c>
      <c r="K33" s="15" t="n">
        <v>0.5192307692307693</v>
      </c>
      <c r="L33" s="14" t="n">
        <v>0.2261955190266632</v>
      </c>
      <c r="M33" s="14" t="n">
        <v>0.4356358144217219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MVSU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ACU @ TTU</t>
        </is>
      </c>
      <c r="C34" s="17" t="inlineStr">
        <is>
          <t>2026-09-05 23:00</t>
        </is>
      </c>
      <c r="D34" s="25" t="n">
        <v>1</v>
      </c>
      <c r="E34" s="17" t="inlineStr">
        <is>
          <t>ATS</t>
        </is>
      </c>
      <c r="F34" s="17" t="inlineStr">
        <is>
          <t>ACU +43.5</t>
        </is>
      </c>
      <c r="G34" s="26" t="n">
        <v>-43.5</v>
      </c>
      <c r="H34" s="18" t="n">
        <v>-110</v>
      </c>
      <c r="I34" s="20" t="n">
        <v>0.7494437771335829</v>
      </c>
      <c r="J34" s="20" t="n">
        <v>0.5</v>
      </c>
      <c r="K34" s="20" t="n">
        <v>0.5238095238095238</v>
      </c>
      <c r="L34" s="19" t="n">
        <v>0.2256342533240591</v>
      </c>
      <c r="M34" s="19" t="n">
        <v>0.4307563018004765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ACU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TTU @ ORST</t>
        </is>
      </c>
      <c r="C35" s="12" t="inlineStr">
        <is>
          <t>2026-09-12 23:30</t>
        </is>
      </c>
      <c r="D35" s="22" t="n">
        <v>2</v>
      </c>
      <c r="E35" s="12" t="inlineStr">
        <is>
          <t>ATS</t>
        </is>
      </c>
      <c r="F35" s="12" t="inlineStr">
        <is>
          <t>ORST +27.5</t>
        </is>
      </c>
      <c r="G35" s="23" t="n">
        <v>27.5</v>
      </c>
      <c r="H35" s="13" t="n">
        <v>-108</v>
      </c>
      <c r="I35" s="15" t="n">
        <v>0.7447282321964028</v>
      </c>
      <c r="J35" s="15" t="n">
        <v>0.4956702459300312</v>
      </c>
      <c r="K35" s="15" t="n">
        <v>0.5192307692307693</v>
      </c>
      <c r="L35" s="14" t="n">
        <v>0.2254974629656336</v>
      </c>
      <c r="M35" s="14" t="n">
        <v>0.4342914101560351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UNA @ ARK</t>
        </is>
      </c>
      <c r="C36" s="17" t="inlineStr">
        <is>
          <t>2026-09-05 20:15</t>
        </is>
      </c>
      <c r="D36" s="25" t="n">
        <v>1</v>
      </c>
      <c r="E36" s="17" t="inlineStr">
        <is>
          <t>ATS</t>
        </is>
      </c>
      <c r="F36" s="17" t="inlineStr">
        <is>
          <t>UNA +40.5</t>
        </is>
      </c>
      <c r="G36" s="26" t="n">
        <v>-40.5</v>
      </c>
      <c r="H36" s="18" t="n">
        <v>-110</v>
      </c>
      <c r="I36" s="20" t="n">
        <v>0.7488398098199025</v>
      </c>
      <c r="J36" s="20" t="n">
        <v>0.5</v>
      </c>
      <c r="K36" s="20" t="n">
        <v>0.5238095238095238</v>
      </c>
      <c r="L36" s="19" t="n">
        <v>0.2250302860103787</v>
      </c>
      <c r="M36" s="19" t="n">
        <v>0.4296032732925412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UNA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MOST @ TA&amp;M</t>
        </is>
      </c>
      <c r="C37" s="12" t="inlineStr">
        <is>
          <t>2026-09-05 23:00</t>
        </is>
      </c>
      <c r="D37" s="22" t="n">
        <v>1</v>
      </c>
      <c r="E37" s="12" t="inlineStr">
        <is>
          <t>ATS</t>
        </is>
      </c>
      <c r="F37" s="12" t="inlineStr">
        <is>
          <t>MOST +40.5</t>
        </is>
      </c>
      <c r="G37" s="23" t="n">
        <v>-40.5</v>
      </c>
      <c r="H37" s="13" t="n">
        <v>-110</v>
      </c>
      <c r="I37" s="15" t="n">
        <v>0.7488398098199025</v>
      </c>
      <c r="J37" s="15" t="n">
        <v>0.5</v>
      </c>
      <c r="K37" s="15" t="n">
        <v>0.5238095238095238</v>
      </c>
      <c r="L37" s="14" t="n">
        <v>0.2250302860103787</v>
      </c>
      <c r="M37" s="14" t="n">
        <v>0.4296032732925412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UTU @ BYU</t>
        </is>
      </c>
      <c r="C38" s="17" t="inlineStr">
        <is>
          <t>2026-09-06 00:00</t>
        </is>
      </c>
      <c r="D38" s="25" t="n">
        <v>1</v>
      </c>
      <c r="E38" s="17" t="inlineStr">
        <is>
          <t>ATS</t>
        </is>
      </c>
      <c r="F38" s="17" t="inlineStr">
        <is>
          <t>UTU +49.5</t>
        </is>
      </c>
      <c r="G38" s="26" t="n">
        <v>-49.5</v>
      </c>
      <c r="H38" s="18" t="n">
        <v>-112</v>
      </c>
      <c r="I38" s="20" t="n">
        <v>0.7520547699604694</v>
      </c>
      <c r="J38" s="20" t="n">
        <v>0.5043297540699688</v>
      </c>
      <c r="K38" s="20" t="n">
        <v>0.5283018867924528</v>
      </c>
      <c r="L38" s="19" t="n">
        <v>0.2237528831680166</v>
      </c>
      <c r="M38" s="19" t="n">
        <v>0.4235322431394598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UTU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HAMP @ MD</t>
        </is>
      </c>
      <c r="C39" s="12" t="inlineStr">
        <is>
          <t>2026-09-06 00:00</t>
        </is>
      </c>
      <c r="D39" s="22" t="n">
        <v>1</v>
      </c>
      <c r="E39" s="12" t="inlineStr">
        <is>
          <t>ATS</t>
        </is>
      </c>
      <c r="F39" s="12" t="inlineStr">
        <is>
          <t>HAMP +45.5</t>
        </is>
      </c>
      <c r="G39" s="23" t="n">
        <v>-45.5</v>
      </c>
      <c r="H39" s="13" t="n">
        <v>-112</v>
      </c>
      <c r="I39" s="15" t="n">
        <v>0.7518334144462981</v>
      </c>
      <c r="J39" s="15" t="n">
        <v>0.5043297540699688</v>
      </c>
      <c r="K39" s="15" t="n">
        <v>0.5283018867924528</v>
      </c>
      <c r="L39" s="14" t="n">
        <v>0.2235315276538453</v>
      </c>
      <c r="M39" s="14" t="n">
        <v>0.42311324877335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HAMP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RICE @ ND</t>
        </is>
      </c>
      <c r="C40" s="17" t="inlineStr">
        <is>
          <t>2026-09-12 19:30</t>
        </is>
      </c>
      <c r="D40" s="25" t="n">
        <v>2</v>
      </c>
      <c r="E40" s="17" t="inlineStr">
        <is>
          <t>ATS</t>
        </is>
      </c>
      <c r="F40" s="17" t="inlineStr">
        <is>
          <t>RICE +44.5</t>
        </is>
      </c>
      <c r="G40" s="26" t="n">
        <v>-44.5</v>
      </c>
      <c r="H40" s="18" t="n">
        <v>-112</v>
      </c>
      <c r="I40" s="20" t="n">
        <v>0.7517343080559226</v>
      </c>
      <c r="J40" s="20" t="n">
        <v>0.5043297540699688</v>
      </c>
      <c r="K40" s="20" t="n">
        <v>0.5283018867924528</v>
      </c>
      <c r="L40" s="19" t="n">
        <v>0.2234324212634697</v>
      </c>
      <c r="M40" s="19" t="n">
        <v>0.4229256545344248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PRST @ SDSU</t>
        </is>
      </c>
      <c r="C41" s="12" t="inlineStr">
        <is>
          <t>2026-09-06 01:30</t>
        </is>
      </c>
      <c r="D41" s="22" t="n">
        <v>1</v>
      </c>
      <c r="E41" s="12" t="inlineStr">
        <is>
          <t>ATS</t>
        </is>
      </c>
      <c r="F41" s="12" t="inlineStr">
        <is>
          <t>PRST +40.5</t>
        </is>
      </c>
      <c r="G41" s="23" t="n">
        <v>-40.5</v>
      </c>
      <c r="H41" s="13" t="n">
        <v>-112</v>
      </c>
      <c r="I41" s="15" t="n">
        <v>0.751004686854887</v>
      </c>
      <c r="J41" s="15" t="n">
        <v>0.5043297540699688</v>
      </c>
      <c r="K41" s="15" t="n">
        <v>0.5283018867924528</v>
      </c>
      <c r="L41" s="14" t="n">
        <v>0.2227028000624341</v>
      </c>
      <c r="M41" s="14" t="n">
        <v>0.4215445858324646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PRST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WKU @ UGA</t>
        </is>
      </c>
      <c r="C42" s="17" t="inlineStr">
        <is>
          <t>2026-09-12 16:45</t>
        </is>
      </c>
      <c r="D42" s="25" t="n">
        <v>2</v>
      </c>
      <c r="E42" s="17" t="inlineStr">
        <is>
          <t>ATS</t>
        </is>
      </c>
      <c r="F42" s="17" t="inlineStr">
        <is>
          <t>WKU +35.5</t>
        </is>
      </c>
      <c r="G42" s="26" t="n">
        <v>-35.5</v>
      </c>
      <c r="H42" s="18" t="n">
        <v>-110</v>
      </c>
      <c r="I42" s="20" t="n">
        <v>0.7464573574912492</v>
      </c>
      <c r="J42" s="20" t="n">
        <v>0.5</v>
      </c>
      <c r="K42" s="20" t="n">
        <v>0.5238095238095238</v>
      </c>
      <c r="L42" s="19" t="n">
        <v>0.2226478336817254</v>
      </c>
      <c r="M42" s="19" t="n">
        <v>0.4250549552105667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NIU @ IOWA</t>
        </is>
      </c>
      <c r="C43" s="12" t="inlineStr">
        <is>
          <t>2026-09-05 20:15</t>
        </is>
      </c>
      <c r="D43" s="22" t="n">
        <v>1</v>
      </c>
      <c r="E43" s="12" t="inlineStr">
        <is>
          <t>ATS</t>
        </is>
      </c>
      <c r="F43" s="12" t="inlineStr">
        <is>
          <t>NIU +31.5</t>
        </is>
      </c>
      <c r="G43" s="23" t="n">
        <v>-31.5</v>
      </c>
      <c r="H43" s="13" t="n">
        <v>-108</v>
      </c>
      <c r="I43" s="15" t="n">
        <v>0.7399796599782623</v>
      </c>
      <c r="J43" s="15" t="n">
        <v>0.4956702459300312</v>
      </c>
      <c r="K43" s="15" t="n">
        <v>0.5192307692307693</v>
      </c>
      <c r="L43" s="14" t="n">
        <v>0.220748890747493</v>
      </c>
      <c r="M43" s="14" t="n">
        <v>0.4251460118099868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FOR @ NDSU</t>
        </is>
      </c>
      <c r="C44" s="17" t="inlineStr">
        <is>
          <t>2026-09-05 19:30</t>
        </is>
      </c>
      <c r="D44" s="25" t="n">
        <v>1</v>
      </c>
      <c r="E44" s="17" t="inlineStr">
        <is>
          <t>ATS</t>
        </is>
      </c>
      <c r="F44" s="17" t="inlineStr">
        <is>
          <t>FOR +41.5</t>
        </is>
      </c>
      <c r="G44" s="26" t="n">
        <v>-41.5</v>
      </c>
      <c r="H44" s="18" t="n">
        <v>-115</v>
      </c>
      <c r="I44" s="20" t="n">
        <v>0.7543782221273465</v>
      </c>
      <c r="J44" s="20" t="n">
        <v>0.5108342361863488</v>
      </c>
      <c r="K44" s="20" t="n">
        <v>0.5348837209302325</v>
      </c>
      <c r="L44" s="19" t="n">
        <v>0.219494501197114</v>
      </c>
      <c r="M44" s="19" t="n">
        <v>0.4103592848467782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FOR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DUQ @ AFA</t>
        </is>
      </c>
      <c r="C45" s="12" t="inlineStr">
        <is>
          <t>2026-09-05 17:00</t>
        </is>
      </c>
      <c r="D45" s="22" t="n">
        <v>1</v>
      </c>
      <c r="E45" s="12" t="inlineStr">
        <is>
          <t>ATS</t>
        </is>
      </c>
      <c r="F45" s="12" t="inlineStr">
        <is>
          <t>DUQ +31.5</t>
        </is>
      </c>
      <c r="G45" s="23" t="n">
        <v>-31.5</v>
      </c>
      <c r="H45" s="13" t="n">
        <v>-110</v>
      </c>
      <c r="I45" s="15" t="n">
        <v>0.7421445370132467</v>
      </c>
      <c r="J45" s="15" t="n">
        <v>0.5</v>
      </c>
      <c r="K45" s="15" t="n">
        <v>0.5238095238095238</v>
      </c>
      <c r="L45" s="14" t="n">
        <v>0.2183350132037228</v>
      </c>
      <c r="M45" s="14" t="n">
        <v>0.416821388843471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DUQ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SEMO @ ISU</t>
        </is>
      </c>
      <c r="C46" s="17" t="inlineStr">
        <is>
          <t>2026-09-05 17:00</t>
        </is>
      </c>
      <c r="D46" s="25" t="n">
        <v>1</v>
      </c>
      <c r="E46" s="17" t="inlineStr">
        <is>
          <t>ATS</t>
        </is>
      </c>
      <c r="F46" s="17" t="inlineStr">
        <is>
          <t>SEMO +29.5</t>
        </is>
      </c>
      <c r="G46" s="26" t="n">
        <v>-29.5</v>
      </c>
      <c r="H46" s="18" t="n">
        <v>-108</v>
      </c>
      <c r="I46" s="20" t="n">
        <v>0.7364227724382248</v>
      </c>
      <c r="J46" s="20" t="n">
        <v>0.4956702459300312</v>
      </c>
      <c r="K46" s="20" t="n">
        <v>0.5192307692307693</v>
      </c>
      <c r="L46" s="19" t="n">
        <v>0.2171920032074556</v>
      </c>
      <c r="M46" s="19" t="n">
        <v>0.4182957098810257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SEMO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NORF @ ODU</t>
        </is>
      </c>
      <c r="C47" s="12" t="inlineStr">
        <is>
          <t>2026-09-05 22:00</t>
        </is>
      </c>
      <c r="D47" s="22" t="n">
        <v>1</v>
      </c>
      <c r="E47" s="12" t="inlineStr">
        <is>
          <t>ATS</t>
        </is>
      </c>
      <c r="F47" s="12" t="inlineStr">
        <is>
          <t>NORF +41.5</t>
        </is>
      </c>
      <c r="G47" s="23" t="n">
        <v>-41.5</v>
      </c>
      <c r="H47" s="13" t="n">
        <v>-118</v>
      </c>
      <c r="I47" s="15" t="n">
        <v>0.7577690337104328</v>
      </c>
      <c r="J47" s="15" t="n">
        <v>0.5173641257162701</v>
      </c>
      <c r="K47" s="15" t="n">
        <v>0.5412844036697247</v>
      </c>
      <c r="L47" s="14" t="n">
        <v>0.2164846300407081</v>
      </c>
      <c r="M47" s="14" t="n">
        <v>0.399946180922664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NORF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NICH @ KSU</t>
        </is>
      </c>
      <c r="C48" s="17" t="inlineStr">
        <is>
          <t>2026-09-05 23:00</t>
        </is>
      </c>
      <c r="D48" s="25" t="n">
        <v>1</v>
      </c>
      <c r="E48" s="17" t="inlineStr">
        <is>
          <t>ATS</t>
        </is>
      </c>
      <c r="F48" s="17" t="inlineStr">
        <is>
          <t>NICH +41.5</t>
        </is>
      </c>
      <c r="G48" s="26" t="n">
        <v>-41.5</v>
      </c>
      <c r="H48" s="18" t="n">
        <v>-118</v>
      </c>
      <c r="I48" s="20" t="n">
        <v>0.7577690337104328</v>
      </c>
      <c r="J48" s="20" t="n">
        <v>0.5173641257162701</v>
      </c>
      <c r="K48" s="20" t="n">
        <v>0.5412844036697247</v>
      </c>
      <c r="L48" s="19" t="n">
        <v>0.2164846300407081</v>
      </c>
      <c r="M48" s="19" t="n">
        <v>0.399946180922664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NICH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NAU @ ARIZ</t>
        </is>
      </c>
      <c r="C49" s="12" t="inlineStr">
        <is>
          <t>2026-09-06 01:30</t>
        </is>
      </c>
      <c r="D49" s="22" t="n">
        <v>1</v>
      </c>
      <c r="E49" s="12" t="inlineStr">
        <is>
          <t>ATS</t>
        </is>
      </c>
      <c r="F49" s="12" t="inlineStr">
        <is>
          <t>NAU +31.5</t>
        </is>
      </c>
      <c r="G49" s="23" t="n">
        <v>-31.5</v>
      </c>
      <c r="H49" s="13" t="n">
        <v>-112</v>
      </c>
      <c r="I49" s="15" t="n">
        <v>0.7443094140482311</v>
      </c>
      <c r="J49" s="15" t="n">
        <v>0.5043297540699688</v>
      </c>
      <c r="K49" s="15" t="n">
        <v>0.5283018867924528</v>
      </c>
      <c r="L49" s="14" t="n">
        <v>0.2160075272557783</v>
      </c>
      <c r="M49" s="14" t="n">
        <v>0.4088713908770089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NAU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WMU @ MICH</t>
        </is>
      </c>
      <c r="C50" s="17" t="inlineStr">
        <is>
          <t>2026-09-05 23:30</t>
        </is>
      </c>
      <c r="D50" s="25" t="n">
        <v>1</v>
      </c>
      <c r="E50" s="17" t="inlineStr">
        <is>
          <t>ATS</t>
        </is>
      </c>
      <c r="F50" s="17" t="inlineStr">
        <is>
          <t>WMU +27.5</t>
        </is>
      </c>
      <c r="G50" s="26" t="n">
        <v>-27.5</v>
      </c>
      <c r="H50" s="18" t="n">
        <v>-105</v>
      </c>
      <c r="I50" s="20" t="n">
        <v>0.7281170725028425</v>
      </c>
      <c r="J50" s="20" t="n">
        <v>0.4891657638136511</v>
      </c>
      <c r="K50" s="20" t="n">
        <v>0.5121951219512195</v>
      </c>
      <c r="L50" s="19" t="n">
        <v>0.215921950551623</v>
      </c>
      <c r="M50" s="19" t="n">
        <v>0.4215619034579307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MERC @ NMSU</t>
        </is>
      </c>
      <c r="C51" s="12" t="inlineStr">
        <is>
          <t>2026-09-06 01:00</t>
        </is>
      </c>
      <c r="D51" s="22" t="n">
        <v>1</v>
      </c>
      <c r="E51" s="12" t="inlineStr">
        <is>
          <t>ATS</t>
        </is>
      </c>
      <c r="F51" s="12" t="inlineStr">
        <is>
          <t>MERC +29.5</t>
        </is>
      </c>
      <c r="G51" s="23" t="n">
        <v>-29.5</v>
      </c>
      <c r="H51" s="13" t="n">
        <v>-110</v>
      </c>
      <c r="I51" s="15" t="n">
        <v>0.7387310888237097</v>
      </c>
      <c r="J51" s="15" t="n">
        <v>0.5</v>
      </c>
      <c r="K51" s="15" t="n">
        <v>0.5238095238095238</v>
      </c>
      <c r="L51" s="14" t="n">
        <v>0.2149215650141859</v>
      </c>
      <c r="M51" s="14" t="n">
        <v>0.4103048059361732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MERC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TXST @ TEX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TXST +29.5</t>
        </is>
      </c>
      <c r="G52" s="26" t="n">
        <v>-29.5</v>
      </c>
      <c r="H52" s="18" t="n">
        <v>-110</v>
      </c>
      <c r="I52" s="20" t="n">
        <v>0.7385876494732092</v>
      </c>
      <c r="J52" s="20" t="n">
        <v>0.5</v>
      </c>
      <c r="K52" s="20" t="n">
        <v>0.5238095238095238</v>
      </c>
      <c r="L52" s="19" t="n">
        <v>0.2147781256636854</v>
      </c>
      <c r="M52" s="19" t="n">
        <v>0.4100309671761267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PSU @ TEM</t>
        </is>
      </c>
      <c r="C53" s="12" t="inlineStr">
        <is>
          <t>2026-09-12 16:00</t>
        </is>
      </c>
      <c r="D53" s="22" t="n">
        <v>2</v>
      </c>
      <c r="E53" s="12" t="inlineStr">
        <is>
          <t>ATS</t>
        </is>
      </c>
      <c r="F53" s="12" t="inlineStr">
        <is>
          <t>TEM +21.5</t>
        </is>
      </c>
      <c r="G53" s="23" t="n">
        <v>21.5</v>
      </c>
      <c r="H53" s="13" t="n">
        <v>-112</v>
      </c>
      <c r="I53" s="15" t="n">
        <v>0.7426819849837946</v>
      </c>
      <c r="J53" s="15" t="n">
        <v>0.5043297540699688</v>
      </c>
      <c r="K53" s="15" t="n">
        <v>0.5283018867924528</v>
      </c>
      <c r="L53" s="14" t="n">
        <v>0.2143800981913417</v>
      </c>
      <c r="M53" s="14" t="n">
        <v>0.4057909001478968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TOW @ NAVY</t>
        </is>
      </c>
      <c r="C54" s="17" t="inlineStr">
        <is>
          <t>2026-09-05 19:30</t>
        </is>
      </c>
      <c r="D54" s="25" t="n">
        <v>1</v>
      </c>
      <c r="E54" s="17" t="inlineStr">
        <is>
          <t>ATS</t>
        </is>
      </c>
      <c r="F54" s="17" t="inlineStr">
        <is>
          <t>TOW +31.5</t>
        </is>
      </c>
      <c r="G54" s="26" t="n">
        <v>-31.5</v>
      </c>
      <c r="H54" s="18" t="n">
        <v>-115</v>
      </c>
      <c r="I54" s="20" t="n">
        <v>0.7475616551064213</v>
      </c>
      <c r="J54" s="20" t="n">
        <v>0.5108342361863488</v>
      </c>
      <c r="K54" s="20" t="n">
        <v>0.5348837209302325</v>
      </c>
      <c r="L54" s="19" t="n">
        <v>0.2126779341761887</v>
      </c>
      <c r="M54" s="19" t="n">
        <v>0.3976152682424396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TOW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UL @ USC</t>
        </is>
      </c>
      <c r="C55" s="12" t="inlineStr">
        <is>
          <t>2026-09-13 03:00</t>
        </is>
      </c>
      <c r="D55" s="22" t="n">
        <v>2</v>
      </c>
      <c r="E55" s="12" t="inlineStr">
        <is>
          <t>ATS</t>
        </is>
      </c>
      <c r="F55" s="12" t="inlineStr">
        <is>
          <t>UL +28.5</t>
        </is>
      </c>
      <c r="G55" s="23" t="n">
        <v>-28.5</v>
      </c>
      <c r="H55" s="13" t="n">
        <v>-110</v>
      </c>
      <c r="I55" s="15" t="n">
        <v>0.7347899064624708</v>
      </c>
      <c r="J55" s="15" t="n">
        <v>0.5</v>
      </c>
      <c r="K55" s="15" t="n">
        <v>0.5238095238095238</v>
      </c>
      <c r="L55" s="14" t="n">
        <v>0.2109803826529469</v>
      </c>
      <c r="M55" s="14" t="n">
        <v>0.4027807305192624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CHSO @ GASO</t>
        </is>
      </c>
      <c r="C56" s="17" t="inlineStr">
        <is>
          <t>2026-09-05 23:00</t>
        </is>
      </c>
      <c r="D56" s="25" t="n">
        <v>1</v>
      </c>
      <c r="E56" s="17" t="inlineStr">
        <is>
          <t>ATS</t>
        </is>
      </c>
      <c r="F56" s="17" t="inlineStr">
        <is>
          <t>CHSO +28.5</t>
        </is>
      </c>
      <c r="G56" s="26" t="n">
        <v>-28.5</v>
      </c>
      <c r="H56" s="18" t="n">
        <v>-112</v>
      </c>
      <c r="I56" s="20" t="n">
        <v>0.7385802495161753</v>
      </c>
      <c r="J56" s="20" t="n">
        <v>0.5043297540699688</v>
      </c>
      <c r="K56" s="20" t="n">
        <v>0.5283018867924528</v>
      </c>
      <c r="L56" s="19" t="n">
        <v>0.2102783627237225</v>
      </c>
      <c r="M56" s="19" t="n">
        <v>0.3980269008699032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CHSO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ULM @ MSST</t>
        </is>
      </c>
      <c r="C57" s="12" t="inlineStr">
        <is>
          <t>2026-09-05 23:30</t>
        </is>
      </c>
      <c r="D57" s="22" t="n">
        <v>1</v>
      </c>
      <c r="E57" s="12" t="inlineStr">
        <is>
          <t>ATS</t>
        </is>
      </c>
      <c r="F57" s="12" t="inlineStr">
        <is>
          <t>ULM +28.5</t>
        </is>
      </c>
      <c r="G57" s="23" t="n">
        <v>-28.5</v>
      </c>
      <c r="H57" s="13" t="n">
        <v>-112</v>
      </c>
      <c r="I57" s="15" t="n">
        <v>0.7385802495161753</v>
      </c>
      <c r="J57" s="15" t="n">
        <v>0.5043297540699688</v>
      </c>
      <c r="K57" s="15" t="n">
        <v>0.5283018867924528</v>
      </c>
      <c r="L57" s="14" t="n">
        <v>0.2102783627237225</v>
      </c>
      <c r="M57" s="14" t="n">
        <v>0.3980269008699032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OKST @ TLSA</t>
        </is>
      </c>
      <c r="C58" s="17" t="inlineStr">
        <is>
          <t>2026-09-05 19:45</t>
        </is>
      </c>
      <c r="D58" s="25" t="n">
        <v>1</v>
      </c>
      <c r="E58" s="17" t="inlineStr">
        <is>
          <t>ML</t>
        </is>
      </c>
      <c r="F58" s="17" t="inlineStr">
        <is>
          <t>TLSA ML</t>
        </is>
      </c>
      <c r="G58" s="26" t="n"/>
      <c r="H58" s="18" t="n">
        <v>410</v>
      </c>
      <c r="I58" s="20" t="n">
        <v>0.4063039923023822</v>
      </c>
      <c r="J58" s="20" t="n">
        <v>0.1881331403762663</v>
      </c>
      <c r="K58" s="20" t="n">
        <v>0.196078431372549</v>
      </c>
      <c r="L58" s="19" t="n">
        <v>0.2102255609298332</v>
      </c>
      <c r="M58" s="19" t="n">
        <v>1.072150360742149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APSU @ VAN</t>
        </is>
      </c>
      <c r="C59" s="12" t="inlineStr">
        <is>
          <t>2026-09-05 23:00</t>
        </is>
      </c>
      <c r="D59" s="22" t="n">
        <v>1</v>
      </c>
      <c r="E59" s="12" t="inlineStr">
        <is>
          <t>ATS</t>
        </is>
      </c>
      <c r="F59" s="12" t="inlineStr">
        <is>
          <t>APSU +29.5</t>
        </is>
      </c>
      <c r="G59" s="23" t="n">
        <v>-29.5</v>
      </c>
      <c r="H59" s="13" t="n">
        <v>-115</v>
      </c>
      <c r="I59" s="15" t="n">
        <v>0.7440047675663837</v>
      </c>
      <c r="J59" s="15" t="n">
        <v>0.5108342361863488</v>
      </c>
      <c r="K59" s="15" t="n">
        <v>0.5348837209302325</v>
      </c>
      <c r="L59" s="14" t="n">
        <v>0.2091210466361512</v>
      </c>
      <c r="M59" s="14" t="n">
        <v>0.3909654350154128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APSU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WIS @ ND</t>
        </is>
      </c>
      <c r="C60" s="17" t="inlineStr">
        <is>
          <t>2026-09-06 23:30</t>
        </is>
      </c>
      <c r="D60" s="25" t="n">
        <v>1</v>
      </c>
      <c r="E60" s="17" t="inlineStr">
        <is>
          <t>ATS</t>
        </is>
      </c>
      <c r="F60" s="17" t="inlineStr">
        <is>
          <t>WIS +20.5</t>
        </is>
      </c>
      <c r="G60" s="26" t="n">
        <v>-20.5</v>
      </c>
      <c r="H60" s="18" t="n">
        <v>-105</v>
      </c>
      <c r="I60" s="20" t="n">
        <v>0.7198027099861445</v>
      </c>
      <c r="J60" s="20" t="n">
        <v>0.4891657638136511</v>
      </c>
      <c r="K60" s="20" t="n">
        <v>0.5121951219512195</v>
      </c>
      <c r="L60" s="19" t="n">
        <v>0.207607588034925</v>
      </c>
      <c r="M60" s="19" t="n">
        <v>0.4053291004491392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BOIS @ ORE</t>
        </is>
      </c>
      <c r="C61" s="12" t="inlineStr">
        <is>
          <t>2026-09-05 19:30</t>
        </is>
      </c>
      <c r="D61" s="22" t="n">
        <v>1</v>
      </c>
      <c r="E61" s="12" t="inlineStr">
        <is>
          <t>ATS</t>
        </is>
      </c>
      <c r="F61" s="12" t="inlineStr">
        <is>
          <t>BOIS +24.5</t>
        </is>
      </c>
      <c r="G61" s="23" t="n">
        <v>-24.5</v>
      </c>
      <c r="H61" s="13" t="n">
        <v>-105</v>
      </c>
      <c r="I61" s="15" t="n">
        <v>0.7189610336890704</v>
      </c>
      <c r="J61" s="15" t="n">
        <v>0.4891657638136511</v>
      </c>
      <c r="K61" s="15" t="n">
        <v>0.5121951219512195</v>
      </c>
      <c r="L61" s="14" t="n">
        <v>0.2067659117378509</v>
      </c>
      <c r="M61" s="14" t="n">
        <v>0.4036858276786612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ORE @ OKST</t>
        </is>
      </c>
      <c r="C62" s="17" t="inlineStr">
        <is>
          <t>2026-09-12 16:00</t>
        </is>
      </c>
      <c r="D62" s="25" t="n">
        <v>2</v>
      </c>
      <c r="E62" s="17" t="inlineStr">
        <is>
          <t>ATS</t>
        </is>
      </c>
      <c r="F62" s="17" t="inlineStr">
        <is>
          <t>OKST +19.5</t>
        </is>
      </c>
      <c r="G62" s="26" t="n">
        <v>19.5</v>
      </c>
      <c r="H62" s="18" t="n">
        <v>-115</v>
      </c>
      <c r="I62" s="20" t="n">
        <v>0.7411906927223009</v>
      </c>
      <c r="J62" s="20" t="n">
        <v>0.5108342361863488</v>
      </c>
      <c r="K62" s="20" t="n">
        <v>0.5348837209302325</v>
      </c>
      <c r="L62" s="19" t="n">
        <v>0.2063069717920684</v>
      </c>
      <c r="M62" s="19" t="n">
        <v>0.3857043385677797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FAU @ FLA</t>
        </is>
      </c>
      <c r="C63" s="12" t="inlineStr">
        <is>
          <t>2026-09-05 23:45</t>
        </is>
      </c>
      <c r="D63" s="22" t="n">
        <v>1</v>
      </c>
      <c r="E63" s="12" t="inlineStr">
        <is>
          <t>ATS</t>
        </is>
      </c>
      <c r="F63" s="12" t="inlineStr">
        <is>
          <t>FAU +26.5</t>
        </is>
      </c>
      <c r="G63" s="23" t="n">
        <v>-26.5</v>
      </c>
      <c r="H63" s="13" t="n">
        <v>-112</v>
      </c>
      <c r="I63" s="15" t="n">
        <v>0.7329701886037872</v>
      </c>
      <c r="J63" s="15" t="n">
        <v>0.5043297540699688</v>
      </c>
      <c r="K63" s="15" t="n">
        <v>0.5283018867924528</v>
      </c>
      <c r="L63" s="14" t="n">
        <v>0.2046683018113343</v>
      </c>
      <c r="M63" s="14" t="n">
        <v>0.3874078570000257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GASO @ CLEM</t>
        </is>
      </c>
      <c r="C64" s="17" t="inlineStr">
        <is>
          <t>2026-09-12 23:30</t>
        </is>
      </c>
      <c r="D64" s="25" t="n">
        <v>2</v>
      </c>
      <c r="E64" s="17" t="inlineStr">
        <is>
          <t>ATS</t>
        </is>
      </c>
      <c r="F64" s="17" t="inlineStr">
        <is>
          <t>GASO +26.5</t>
        </is>
      </c>
      <c r="G64" s="26" t="n">
        <v>-26.5</v>
      </c>
      <c r="H64" s="18" t="n">
        <v>-112</v>
      </c>
      <c r="I64" s="20" t="n">
        <v>0.7329701886037872</v>
      </c>
      <c r="J64" s="20" t="n">
        <v>0.5043297540699688</v>
      </c>
      <c r="K64" s="20" t="n">
        <v>0.5283018867924528</v>
      </c>
      <c r="L64" s="19" t="n">
        <v>0.2046683018113343</v>
      </c>
      <c r="M64" s="19" t="n">
        <v>0.3874078570000257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RGV @ UTSA</t>
        </is>
      </c>
      <c r="C65" s="12" t="inlineStr">
        <is>
          <t>2026-09-05 19:30</t>
        </is>
      </c>
      <c r="D65" s="22" t="n">
        <v>1</v>
      </c>
      <c r="E65" s="12" t="inlineStr">
        <is>
          <t>ATS</t>
        </is>
      </c>
      <c r="F65" s="12" t="inlineStr">
        <is>
          <t>RGV +28.5</t>
        </is>
      </c>
      <c r="G65" s="23" t="n">
        <v>-28.5</v>
      </c>
      <c r="H65" s="13" t="n">
        <v>-118</v>
      </c>
      <c r="I65" s="15" t="n">
        <v>0.745097435339326</v>
      </c>
      <c r="J65" s="15" t="n">
        <v>0.5173641257162701</v>
      </c>
      <c r="K65" s="15" t="n">
        <v>0.5412844036697247</v>
      </c>
      <c r="L65" s="14" t="n">
        <v>0.2038130316696013</v>
      </c>
      <c r="M65" s="14" t="n">
        <v>0.3765359398641785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RGV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USU @ WASH</t>
        </is>
      </c>
      <c r="C66" s="17" t="inlineStr">
        <is>
          <t>2026-09-12 19:30</t>
        </is>
      </c>
      <c r="D66" s="25" t="n">
        <v>2</v>
      </c>
      <c r="E66" s="17" t="inlineStr">
        <is>
          <t>ATS</t>
        </is>
      </c>
      <c r="F66" s="17" t="inlineStr">
        <is>
          <t>USU +24.5</t>
        </is>
      </c>
      <c r="G66" s="26" t="n">
        <v>-24.5</v>
      </c>
      <c r="H66" s="18" t="n">
        <v>-108</v>
      </c>
      <c r="I66" s="20" t="n">
        <v>0.7222132747472603</v>
      </c>
      <c r="J66" s="20" t="n">
        <v>0.4956702459300312</v>
      </c>
      <c r="K66" s="20" t="n">
        <v>0.5192307692307693</v>
      </c>
      <c r="L66" s="19" t="n">
        <v>0.202982505516491</v>
      </c>
      <c r="M66" s="19" t="n">
        <v>0.3909292698836124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BGSU @ NEB</t>
        </is>
      </c>
      <c r="C67" s="12" t="inlineStr">
        <is>
          <t>2026-09-12 23:00</t>
        </is>
      </c>
      <c r="D67" s="22" t="n">
        <v>2</v>
      </c>
      <c r="E67" s="12" t="inlineStr">
        <is>
          <t>ATS</t>
        </is>
      </c>
      <c r="F67" s="12" t="inlineStr">
        <is>
          <t>BGSU +25.5</t>
        </is>
      </c>
      <c r="G67" s="23" t="n">
        <v>-25.5</v>
      </c>
      <c r="H67" s="13" t="n">
        <v>-112</v>
      </c>
      <c r="I67" s="15" t="n">
        <v>0.7296961881783774</v>
      </c>
      <c r="J67" s="15" t="n">
        <v>0.5043297540699688</v>
      </c>
      <c r="K67" s="15" t="n">
        <v>0.5283018867924528</v>
      </c>
      <c r="L67" s="14" t="n">
        <v>0.2013943013859246</v>
      </c>
      <c r="M67" s="14" t="n">
        <v>0.3812106419090715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WIS @ ND</t>
        </is>
      </c>
      <c r="C68" s="17" t="inlineStr">
        <is>
          <t>2026-09-06 23:30</t>
        </is>
      </c>
      <c r="D68" s="25" t="n">
        <v>1</v>
      </c>
      <c r="E68" s="17" t="inlineStr">
        <is>
          <t>ML</t>
        </is>
      </c>
      <c r="F68" s="17" t="inlineStr">
        <is>
          <t>WIS ML</t>
        </is>
      </c>
      <c r="G68" s="26" t="n"/>
      <c r="H68" s="18" t="n">
        <v>850</v>
      </c>
      <c r="I68" s="20" t="n">
        <v>0.3005709624796085</v>
      </c>
      <c r="J68" s="20" t="n">
        <v>0.101141924959217</v>
      </c>
      <c r="K68" s="20" t="n">
        <v>0.1052631578947368</v>
      </c>
      <c r="L68" s="19" t="n">
        <v>0.1953078045848716</v>
      </c>
      <c r="M68" s="19" t="n">
        <v>1.85542414355628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price outside allowed range</t>
        </is>
      </c>
    </row>
    <row r="69">
      <c r="A69" s="12" t="inlineStr">
        <is>
          <t>PASS</t>
        </is>
      </c>
      <c r="B69" s="12" t="inlineStr">
        <is>
          <t>WSU @ WASH</t>
        </is>
      </c>
      <c r="C69" s="12" t="inlineStr">
        <is>
          <t>2026-09-06 20:00</t>
        </is>
      </c>
      <c r="D69" s="22" t="n">
        <v>1</v>
      </c>
      <c r="E69" s="12" t="inlineStr">
        <is>
          <t>ATS</t>
        </is>
      </c>
      <c r="F69" s="12" t="inlineStr">
        <is>
          <t>WSU +23.5</t>
        </is>
      </c>
      <c r="G69" s="23" t="n">
        <v>-23.5</v>
      </c>
      <c r="H69" s="13" t="n">
        <v>-112</v>
      </c>
      <c r="I69" s="15" t="n">
        <v>0.7217379190972543</v>
      </c>
      <c r="J69" s="15" t="n">
        <v>0.5043297540699688</v>
      </c>
      <c r="K69" s="15" t="n">
        <v>0.5283018867924528</v>
      </c>
      <c r="L69" s="14" t="n">
        <v>0.1934360323048014</v>
      </c>
      <c r="M69" s="14" t="n">
        <v>0.3661467754340884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ISU @ IOWA</t>
        </is>
      </c>
      <c r="C70" s="17" t="inlineStr">
        <is>
          <t>2026-09-12 23:30</t>
        </is>
      </c>
      <c r="D70" s="25" t="n">
        <v>2</v>
      </c>
      <c r="E70" s="17" t="inlineStr">
        <is>
          <t>TOTAL</t>
        </is>
      </c>
      <c r="F70" s="17" t="inlineStr">
        <is>
          <t>Over 41.5</t>
        </is>
      </c>
      <c r="G70" s="26" t="n">
        <v>41.5</v>
      </c>
      <c r="H70" s="18" t="n">
        <v>-112</v>
      </c>
      <c r="I70" s="20" t="n">
        <v>0.7213139004028045</v>
      </c>
      <c r="J70" s="20" t="n">
        <v>0.5043297540699688</v>
      </c>
      <c r="K70" s="20" t="n">
        <v>0.5283018867924528</v>
      </c>
      <c r="L70" s="19" t="n">
        <v>0.1930120136103517</v>
      </c>
      <c r="M70" s="19" t="n">
        <v>0.3653441686195942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HCU @ RICE</t>
        </is>
      </c>
      <c r="C71" s="12" t="inlineStr">
        <is>
          <t>2026-09-05 23:00</t>
        </is>
      </c>
      <c r="D71" s="22" t="n">
        <v>1</v>
      </c>
      <c r="E71" s="12" t="inlineStr">
        <is>
          <t>ATS</t>
        </is>
      </c>
      <c r="F71" s="12" t="inlineStr">
        <is>
          <t>HCU +22.5</t>
        </is>
      </c>
      <c r="G71" s="23" t="n">
        <v>-22.5</v>
      </c>
      <c r="H71" s="13" t="n">
        <v>-110</v>
      </c>
      <c r="I71" s="15" t="n">
        <v>0.7155962482179168</v>
      </c>
      <c r="J71" s="15" t="n">
        <v>0.5</v>
      </c>
      <c r="K71" s="15" t="n">
        <v>0.5238095238095238</v>
      </c>
      <c r="L71" s="14" t="n">
        <v>0.191786724408393</v>
      </c>
      <c r="M71" s="14" t="n">
        <v>0.3661382920523867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HCU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EKU @ JVST</t>
        </is>
      </c>
      <c r="C72" s="17" t="inlineStr">
        <is>
          <t>2026-09-05 23:00</t>
        </is>
      </c>
      <c r="D72" s="25" t="n">
        <v>1</v>
      </c>
      <c r="E72" s="17" t="inlineStr">
        <is>
          <t>ATS</t>
        </is>
      </c>
      <c r="F72" s="17" t="inlineStr">
        <is>
          <t>EKU +22.5</t>
        </is>
      </c>
      <c r="G72" s="26" t="n">
        <v>-22.5</v>
      </c>
      <c r="H72" s="18" t="n">
        <v>-112</v>
      </c>
      <c r="I72" s="20" t="n">
        <v>0.7200504659049622</v>
      </c>
      <c r="J72" s="20" t="n">
        <v>0.5043297540699688</v>
      </c>
      <c r="K72" s="20" t="n">
        <v>0.5283018867924528</v>
      </c>
      <c r="L72" s="19" t="n">
        <v>0.1917485791125094</v>
      </c>
      <c r="M72" s="19" t="n">
        <v>0.3629526676058213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EKU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TLSA @ SHSU</t>
        </is>
      </c>
      <c r="C73" s="12" t="inlineStr">
        <is>
          <t>2026-09-12 23:00</t>
        </is>
      </c>
      <c r="D73" s="22" t="n">
        <v>2</v>
      </c>
      <c r="E73" s="12" t="inlineStr">
        <is>
          <t>ML</t>
        </is>
      </c>
      <c r="F73" s="12" t="inlineStr">
        <is>
          <t>SHSU ML</t>
        </is>
      </c>
      <c r="G73" s="23" t="n"/>
      <c r="H73" s="13" t="n">
        <v>330</v>
      </c>
      <c r="I73" s="15" t="n">
        <v>0.4238208440058538</v>
      </c>
      <c r="J73" s="15" t="n">
        <v>0.2231668437832094</v>
      </c>
      <c r="K73" s="15" t="n">
        <v>0.2325581395348837</v>
      </c>
      <c r="L73" s="14" t="n">
        <v>0.1912627044709701</v>
      </c>
      <c r="M73" s="14" t="n">
        <v>0.8224296292251712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DEL @ VAN</t>
        </is>
      </c>
      <c r="C74" s="17" t="inlineStr">
        <is>
          <t>2026-09-12 20:15</t>
        </is>
      </c>
      <c r="D74" s="25" t="n">
        <v>2</v>
      </c>
      <c r="E74" s="17" t="inlineStr">
        <is>
          <t>ATS</t>
        </is>
      </c>
      <c r="F74" s="17" t="inlineStr">
        <is>
          <t>DEL +21.5</t>
        </is>
      </c>
      <c r="G74" s="26" t="n">
        <v>-21.5</v>
      </c>
      <c r="H74" s="18" t="n">
        <v>-110</v>
      </c>
      <c r="I74" s="20" t="n">
        <v>0.7142466973166987</v>
      </c>
      <c r="J74" s="20" t="n">
        <v>0.5</v>
      </c>
      <c r="K74" s="20" t="n">
        <v>0.5238095238095238</v>
      </c>
      <c r="L74" s="19" t="n">
        <v>0.1904371735071748</v>
      </c>
      <c r="M74" s="19" t="n">
        <v>0.3635618766955157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MRSH @ PSU</t>
        </is>
      </c>
      <c r="C75" s="12" t="inlineStr">
        <is>
          <t>2026-09-05 19:30</t>
        </is>
      </c>
      <c r="D75" s="22" t="n">
        <v>1</v>
      </c>
      <c r="E75" s="12" t="inlineStr">
        <is>
          <t>ATS</t>
        </is>
      </c>
      <c r="F75" s="12" t="inlineStr">
        <is>
          <t>MRSH +23.5</t>
        </is>
      </c>
      <c r="G75" s="23" t="n">
        <v>-23.5</v>
      </c>
      <c r="H75" s="13" t="n">
        <v>-115</v>
      </c>
      <c r="I75" s="15" t="n">
        <v>0.7249901601554443</v>
      </c>
      <c r="J75" s="15" t="n">
        <v>0.5108342361863488</v>
      </c>
      <c r="K75" s="15" t="n">
        <v>0.5348837209302325</v>
      </c>
      <c r="L75" s="14" t="n">
        <v>0.1901064392252118</v>
      </c>
      <c r="M75" s="14" t="n">
        <v>0.3554163863775696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ALA @ UK</t>
        </is>
      </c>
      <c r="C76" s="17" t="inlineStr">
        <is>
          <t>2026-09-12 19:30</t>
        </is>
      </c>
      <c r="D76" s="25" t="n">
        <v>2</v>
      </c>
      <c r="E76" s="17" t="inlineStr">
        <is>
          <t>ML</t>
        </is>
      </c>
      <c r="F76" s="17" t="inlineStr">
        <is>
          <t>UK ML</t>
        </is>
      </c>
      <c r="G76" s="26" t="n"/>
      <c r="H76" s="18" t="n">
        <v>320</v>
      </c>
      <c r="I76" s="20" t="n">
        <v>0.4264847339422061</v>
      </c>
      <c r="J76" s="20" t="n">
        <v>0.2284946236559139</v>
      </c>
      <c r="K76" s="20" t="n">
        <v>0.2380952380952381</v>
      </c>
      <c r="L76" s="19" t="n">
        <v>0.188389495846968</v>
      </c>
      <c r="M76" s="19" t="n">
        <v>0.7912358825572657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MD @ CONN</t>
        </is>
      </c>
      <c r="C77" s="12" t="inlineStr">
        <is>
          <t>2026-09-12 19:30</t>
        </is>
      </c>
      <c r="D77" s="22" t="n">
        <v>2</v>
      </c>
      <c r="E77" s="12" t="inlineStr">
        <is>
          <t>ML</t>
        </is>
      </c>
      <c r="F77" s="12" t="inlineStr">
        <is>
          <t>CONN ML</t>
        </is>
      </c>
      <c r="G77" s="23" t="n"/>
      <c r="H77" s="13" t="n">
        <v>320</v>
      </c>
      <c r="I77" s="15" t="n">
        <v>0.4264847339422061</v>
      </c>
      <c r="J77" s="15" t="n">
        <v>0.2284946236559139</v>
      </c>
      <c r="K77" s="15" t="n">
        <v>0.2380952380952381</v>
      </c>
      <c r="L77" s="14" t="n">
        <v>0.188389495846968</v>
      </c>
      <c r="M77" s="14" t="n">
        <v>0.7912358825572657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MUR @ MTSU</t>
        </is>
      </c>
      <c r="C78" s="17" t="inlineStr">
        <is>
          <t>2026-09-05 23:00</t>
        </is>
      </c>
      <c r="D78" s="25" t="n">
        <v>1</v>
      </c>
      <c r="E78" s="17" t="inlineStr">
        <is>
          <t>ATS</t>
        </is>
      </c>
      <c r="F78" s="17" t="inlineStr">
        <is>
          <t>MUR +22.5</t>
        </is>
      </c>
      <c r="G78" s="26" t="n">
        <v>-22.5</v>
      </c>
      <c r="H78" s="18" t="n">
        <v>-115</v>
      </c>
      <c r="I78" s="20" t="n">
        <v>0.7210133663110911</v>
      </c>
      <c r="J78" s="20" t="n">
        <v>0.5108342361863488</v>
      </c>
      <c r="K78" s="20" t="n">
        <v>0.5348837209302325</v>
      </c>
      <c r="L78" s="19" t="n">
        <v>0.1861296453808586</v>
      </c>
      <c r="M78" s="19" t="n">
        <v>0.3479815109294312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MUR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ME @ APP</t>
        </is>
      </c>
      <c r="C79" s="12" t="inlineStr">
        <is>
          <t>2026-09-05 19:30</t>
        </is>
      </c>
      <c r="D79" s="22" t="n">
        <v>1</v>
      </c>
      <c r="E79" s="12" t="inlineStr">
        <is>
          <t>ATS</t>
        </is>
      </c>
      <c r="F79" s="12" t="inlineStr">
        <is>
          <t>ME +20.5</t>
        </is>
      </c>
      <c r="G79" s="23" t="n">
        <v>-20.5</v>
      </c>
      <c r="H79" s="13" t="n">
        <v>-105</v>
      </c>
      <c r="I79" s="15" t="n">
        <v>0.6979729370432882</v>
      </c>
      <c r="J79" s="15" t="n">
        <v>0.4891657638136511</v>
      </c>
      <c r="K79" s="15" t="n">
        <v>0.5121951219512195</v>
      </c>
      <c r="L79" s="14" t="n">
        <v>0.1857778150920687</v>
      </c>
      <c r="M79" s="14" t="n">
        <v>0.3627090675607055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ME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TENN @ GT</t>
        </is>
      </c>
      <c r="C80" s="17" t="inlineStr">
        <is>
          <t>2026-09-12 23:00</t>
        </is>
      </c>
      <c r="D80" s="25" t="n">
        <v>2</v>
      </c>
      <c r="E80" s="17" t="inlineStr">
        <is>
          <t>ML</t>
        </is>
      </c>
      <c r="F80" s="17" t="inlineStr">
        <is>
          <t>GT ML</t>
        </is>
      </c>
      <c r="G80" s="26" t="n"/>
      <c r="H80" s="18" t="n">
        <v>350</v>
      </c>
      <c r="I80" s="20" t="n">
        <v>0.4076476206336438</v>
      </c>
      <c r="J80" s="20" t="n">
        <v>0.2132564841498559</v>
      </c>
      <c r="K80" s="20" t="n">
        <v>0.2222222222222222</v>
      </c>
      <c r="L80" s="19" t="n">
        <v>0.1854253984114216</v>
      </c>
      <c r="M80" s="19" t="n">
        <v>0.834414292851397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OKST @ TLSA</t>
        </is>
      </c>
      <c r="C81" s="12" t="inlineStr">
        <is>
          <t>2026-09-05 19:45</t>
        </is>
      </c>
      <c r="D81" s="22" t="n">
        <v>1</v>
      </c>
      <c r="E81" s="12" t="inlineStr">
        <is>
          <t>ATS</t>
        </is>
      </c>
      <c r="F81" s="12" t="inlineStr">
        <is>
          <t>TLSA +13.5</t>
        </is>
      </c>
      <c r="G81" s="23" t="n">
        <v>13.5</v>
      </c>
      <c r="H81" s="13" t="n">
        <v>-115</v>
      </c>
      <c r="I81" s="15" t="n">
        <v>0.7166869921871389</v>
      </c>
      <c r="J81" s="15" t="n">
        <v>0.5108342361863488</v>
      </c>
      <c r="K81" s="15" t="n">
        <v>0.5348837209302325</v>
      </c>
      <c r="L81" s="14" t="n">
        <v>0.1818032712569064</v>
      </c>
      <c r="M81" s="14" t="n">
        <v>0.3398930723498683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MD @ CONN</t>
        </is>
      </c>
      <c r="C82" s="17" t="inlineStr">
        <is>
          <t>2026-09-12 19:30</t>
        </is>
      </c>
      <c r="D82" s="25" t="n">
        <v>2</v>
      </c>
      <c r="E82" s="17" t="inlineStr">
        <is>
          <t>ATS</t>
        </is>
      </c>
      <c r="F82" s="17" t="inlineStr">
        <is>
          <t>CONN +12.5</t>
        </is>
      </c>
      <c r="G82" s="26" t="n">
        <v>12.5</v>
      </c>
      <c r="H82" s="18" t="n">
        <v>-112</v>
      </c>
      <c r="I82" s="20" t="n">
        <v>0.7083733548412426</v>
      </c>
      <c r="J82" s="20" t="n">
        <v>0.5043297540699688</v>
      </c>
      <c r="K82" s="20" t="n">
        <v>0.5283018867924528</v>
      </c>
      <c r="L82" s="19" t="n">
        <v>0.1800714680487898</v>
      </c>
      <c r="M82" s="19" t="n">
        <v>0.3408495645209235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TOW @ NAVY</t>
        </is>
      </c>
      <c r="C83" s="12" t="inlineStr">
        <is>
          <t>2026-09-05 19:30</t>
        </is>
      </c>
      <c r="D83" s="22" t="n">
        <v>1</v>
      </c>
      <c r="E83" s="12" t="inlineStr">
        <is>
          <t>ML</t>
        </is>
      </c>
      <c r="F83" s="12" t="inlineStr">
        <is>
          <t>TOW ML</t>
        </is>
      </c>
      <c r="G83" s="23" t="n"/>
      <c r="H83" s="13" t="n">
        <v>5000</v>
      </c>
      <c r="I83" s="15" t="n">
        <v>0.1973873927931565</v>
      </c>
      <c r="J83" s="15" t="n">
        <v>0.01924962981481125</v>
      </c>
      <c r="K83" s="15" t="n">
        <v>0.0196078431372549</v>
      </c>
      <c r="L83" s="14" t="n">
        <v>0.1777795496559016</v>
      </c>
      <c r="M83" s="14" t="n">
        <v>9.066757032450983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TOW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CIT @ CLT</t>
        </is>
      </c>
      <c r="C84" s="17" t="inlineStr">
        <is>
          <t>2026-09-05 19:30</t>
        </is>
      </c>
      <c r="D84" s="25" t="n">
        <v>1</v>
      </c>
      <c r="E84" s="17" t="inlineStr">
        <is>
          <t>ATS</t>
        </is>
      </c>
      <c r="F84" s="17" t="inlineStr">
        <is>
          <t>CIT +20.5</t>
        </is>
      </c>
      <c r="G84" s="26" t="n">
        <v>-20.5</v>
      </c>
      <c r="H84" s="18" t="n">
        <v>-112</v>
      </c>
      <c r="I84" s="20" t="n">
        <v>0.705554932171447</v>
      </c>
      <c r="J84" s="20" t="n">
        <v>0.5043297540699688</v>
      </c>
      <c r="K84" s="20" t="n">
        <v>0.5283018867924528</v>
      </c>
      <c r="L84" s="19" t="n">
        <v>0.1772530453789942</v>
      </c>
      <c r="M84" s="19" t="n">
        <v>0.3355146930388104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CIT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LAM @ UL</t>
        </is>
      </c>
      <c r="C85" s="12" t="inlineStr">
        <is>
          <t>2026-09-06 00:00</t>
        </is>
      </c>
      <c r="D85" s="22" t="n">
        <v>1</v>
      </c>
      <c r="E85" s="12" t="inlineStr">
        <is>
          <t>ATS</t>
        </is>
      </c>
      <c r="F85" s="12" t="inlineStr">
        <is>
          <t>LAM +20.5</t>
        </is>
      </c>
      <c r="G85" s="23" t="n">
        <v>-20.5</v>
      </c>
      <c r="H85" s="13" t="n">
        <v>-112</v>
      </c>
      <c r="I85" s="15" t="n">
        <v>0.705554932171447</v>
      </c>
      <c r="J85" s="15" t="n">
        <v>0.5043297540699688</v>
      </c>
      <c r="K85" s="15" t="n">
        <v>0.5283018867924528</v>
      </c>
      <c r="L85" s="14" t="n">
        <v>0.1772530453789942</v>
      </c>
      <c r="M85" s="14" t="n">
        <v>0.3355146930388104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LAM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ALCN @ USM</t>
        </is>
      </c>
      <c r="C86" s="17" t="inlineStr">
        <is>
          <t>2026-09-05 21:00</t>
        </is>
      </c>
      <c r="D86" s="25" t="n">
        <v>1</v>
      </c>
      <c r="E86" s="17" t="inlineStr">
        <is>
          <t>ATS</t>
        </is>
      </c>
      <c r="F86" s="17" t="inlineStr">
        <is>
          <t>ALCN +19.5</t>
        </is>
      </c>
      <c r="G86" s="26" t="n">
        <v>-19.5</v>
      </c>
      <c r="H86" s="18" t="n">
        <v>-108</v>
      </c>
      <c r="I86" s="20" t="n">
        <v>0.6952031182207657</v>
      </c>
      <c r="J86" s="20" t="n">
        <v>0.4956702459300312</v>
      </c>
      <c r="K86" s="20" t="n">
        <v>0.5192307692307693</v>
      </c>
      <c r="L86" s="19" t="n">
        <v>0.1759723489899965</v>
      </c>
      <c r="M86" s="19" t="n">
        <v>0.3389097091659193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ALCN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NIU @ IOWA</t>
        </is>
      </c>
      <c r="C87" s="12" t="inlineStr">
        <is>
          <t>2026-09-05 20:15</t>
        </is>
      </c>
      <c r="D87" s="22" t="n">
        <v>1</v>
      </c>
      <c r="E87" s="12" t="inlineStr">
        <is>
          <t>ML</t>
        </is>
      </c>
      <c r="F87" s="12" t="inlineStr">
        <is>
          <t>NIU ML</t>
        </is>
      </c>
      <c r="G87" s="23" t="n"/>
      <c r="H87" s="13" t="n">
        <v>4000</v>
      </c>
      <c r="I87" s="15" t="n">
        <v>0.1996905813141591</v>
      </c>
      <c r="J87" s="15" t="n">
        <v>0.02385600685681634</v>
      </c>
      <c r="K87" s="15" t="n">
        <v>0.02439024390243903</v>
      </c>
      <c r="L87" s="14" t="n">
        <v>0.17530033741172</v>
      </c>
      <c r="M87" s="14" t="n">
        <v>7.187313833880522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price outside allowed range</t>
        </is>
      </c>
    </row>
    <row r="88">
      <c r="A88" s="17" t="inlineStr">
        <is>
          <t>PASS</t>
        </is>
      </c>
      <c r="B88" s="17" t="inlineStr">
        <is>
          <t>NIU @ IOWA</t>
        </is>
      </c>
      <c r="C88" s="17" t="inlineStr">
        <is>
          <t>2026-09-05 20:15</t>
        </is>
      </c>
      <c r="D88" s="25" t="n">
        <v>1</v>
      </c>
      <c r="E88" s="17" t="inlineStr">
        <is>
          <t>TOTAL</t>
        </is>
      </c>
      <c r="F88" s="17" t="inlineStr">
        <is>
          <t>Over 44.5</t>
        </is>
      </c>
      <c r="G88" s="26" t="n">
        <v>44.5</v>
      </c>
      <c r="H88" s="18" t="n">
        <v>-110</v>
      </c>
      <c r="I88" s="20" t="n">
        <v>0.6944319804113978</v>
      </c>
      <c r="J88" s="20" t="n">
        <v>0.5</v>
      </c>
      <c r="K88" s="20" t="n">
        <v>0.5238095238095238</v>
      </c>
      <c r="L88" s="19" t="n">
        <v>0.1706224566018739</v>
      </c>
      <c r="M88" s="19" t="n">
        <v>0.3257337807853957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ALA @ UK</t>
        </is>
      </c>
      <c r="C89" s="12" t="inlineStr">
        <is>
          <t>2026-09-12 19:30</t>
        </is>
      </c>
      <c r="D89" s="22" t="n">
        <v>2</v>
      </c>
      <c r="E89" s="12" t="inlineStr">
        <is>
          <t>ATS</t>
        </is>
      </c>
      <c r="F89" s="12" t="inlineStr">
        <is>
          <t>UK +10.5</t>
        </is>
      </c>
      <c r="G89" s="23" t="n">
        <v>10.5</v>
      </c>
      <c r="H89" s="13" t="n">
        <v>-110</v>
      </c>
      <c r="I89" s="15" t="n">
        <v>0.694088840821772</v>
      </c>
      <c r="J89" s="15" t="n">
        <v>0.5</v>
      </c>
      <c r="K89" s="15" t="n">
        <v>0.5238095238095238</v>
      </c>
      <c r="L89" s="14" t="n">
        <v>0.1702793170122482</v>
      </c>
      <c r="M89" s="14" t="n">
        <v>0.3250786961142921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SEMO @ ISU</t>
        </is>
      </c>
      <c r="C90" s="17" t="inlineStr">
        <is>
          <t>2026-09-05 17:00</t>
        </is>
      </c>
      <c r="D90" s="25" t="n">
        <v>1</v>
      </c>
      <c r="E90" s="17" t="inlineStr">
        <is>
          <t>ML</t>
        </is>
      </c>
      <c r="F90" s="17" t="inlineStr">
        <is>
          <t>SEMO ML</t>
        </is>
      </c>
      <c r="G90" s="26" t="n"/>
      <c r="H90" s="18" t="n">
        <v>2500</v>
      </c>
      <c r="I90" s="20" t="n">
        <v>0.2064791554258578</v>
      </c>
      <c r="J90" s="20" t="n">
        <v>0.0374331550802139</v>
      </c>
      <c r="K90" s="20" t="n">
        <v>0.03846153846153846</v>
      </c>
      <c r="L90" s="19" t="n">
        <v>0.1680176169643194</v>
      </c>
      <c r="M90" s="19" t="n">
        <v>4.368458041072303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SEMO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TXST @ TEX</t>
        </is>
      </c>
      <c r="C91" s="12" t="inlineStr">
        <is>
          <t>2026-09-05 19:30</t>
        </is>
      </c>
      <c r="D91" s="22" t="n">
        <v>1</v>
      </c>
      <c r="E91" s="12" t="inlineStr">
        <is>
          <t>ML</t>
        </is>
      </c>
      <c r="F91" s="12" t="inlineStr">
        <is>
          <t>TXST ML</t>
        </is>
      </c>
      <c r="G91" s="23" t="n"/>
      <c r="H91" s="13" t="n">
        <v>2500</v>
      </c>
      <c r="I91" s="15" t="n">
        <v>0.2064791554258578</v>
      </c>
      <c r="J91" s="15" t="n">
        <v>0.0374331550802139</v>
      </c>
      <c r="K91" s="15" t="n">
        <v>0.03846153846153846</v>
      </c>
      <c r="L91" s="14" t="n">
        <v>0.1680176169643194</v>
      </c>
      <c r="M91" s="14" t="n">
        <v>4.368458041072303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price outside allowed range</t>
        </is>
      </c>
    </row>
    <row r="92">
      <c r="A92" s="17" t="inlineStr">
        <is>
          <t>PASS</t>
        </is>
      </c>
      <c r="B92" s="17" t="inlineStr">
        <is>
          <t>MERC @ NMSU</t>
        </is>
      </c>
      <c r="C92" s="17" t="inlineStr">
        <is>
          <t>2026-09-06 01:00</t>
        </is>
      </c>
      <c r="D92" s="25" t="n">
        <v>1</v>
      </c>
      <c r="E92" s="17" t="inlineStr">
        <is>
          <t>ML</t>
        </is>
      </c>
      <c r="F92" s="17" t="inlineStr">
        <is>
          <t>MERC ML</t>
        </is>
      </c>
      <c r="G92" s="26" t="n"/>
      <c r="H92" s="18" t="n">
        <v>2200</v>
      </c>
      <c r="I92" s="20" t="n">
        <v>0.2098076091452215</v>
      </c>
      <c r="J92" s="20" t="n">
        <v>0.04216553878188443</v>
      </c>
      <c r="K92" s="20" t="n">
        <v>0.04347826086956522</v>
      </c>
      <c r="L92" s="19" t="n">
        <v>0.1663293482756562</v>
      </c>
      <c r="M92" s="19" t="n">
        <v>3.825575010340093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MERC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TLSA @ SHSU</t>
        </is>
      </c>
      <c r="C93" s="12" t="inlineStr">
        <is>
          <t>2026-09-12 23:00</t>
        </is>
      </c>
      <c r="D93" s="22" t="n">
        <v>2</v>
      </c>
      <c r="E93" s="12" t="inlineStr">
        <is>
          <t>ATS</t>
        </is>
      </c>
      <c r="F93" s="12" t="inlineStr">
        <is>
          <t>SHSU +10.5</t>
        </is>
      </c>
      <c r="G93" s="23" t="n">
        <v>10.5</v>
      </c>
      <c r="H93" s="13" t="n">
        <v>-115</v>
      </c>
      <c r="I93" s="15" t="n">
        <v>0.6995059589149465</v>
      </c>
      <c r="J93" s="15" t="n">
        <v>0.5108342361863488</v>
      </c>
      <c r="K93" s="15" t="n">
        <v>0.5348837209302325</v>
      </c>
      <c r="L93" s="14" t="n">
        <v>0.164622237984714</v>
      </c>
      <c r="M93" s="14" t="n">
        <v>0.3077720101453346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raw model/market disagreement exceeds the safety limit</t>
        </is>
      </c>
    </row>
    <row r="94">
      <c r="A94" s="17" t="inlineStr">
        <is>
          <t>PASS</t>
        </is>
      </c>
      <c r="B94" s="17" t="inlineStr">
        <is>
          <t>TENN @ GT</t>
        </is>
      </c>
      <c r="C94" s="17" t="inlineStr">
        <is>
          <t>2026-09-12 23:00</t>
        </is>
      </c>
      <c r="D94" s="25" t="n">
        <v>2</v>
      </c>
      <c r="E94" s="17" t="inlineStr">
        <is>
          <t>ATS</t>
        </is>
      </c>
      <c r="F94" s="17" t="inlineStr">
        <is>
          <t>GT +10.5</t>
        </is>
      </c>
      <c r="G94" s="26" t="n">
        <v>10.5</v>
      </c>
      <c r="H94" s="18" t="n">
        <v>-110</v>
      </c>
      <c r="I94" s="20" t="n">
        <v>0.688313186271611</v>
      </c>
      <c r="J94" s="20" t="n">
        <v>0.5</v>
      </c>
      <c r="K94" s="20" t="n">
        <v>0.5238095238095238</v>
      </c>
      <c r="L94" s="19" t="n">
        <v>0.1645036624620871</v>
      </c>
      <c r="M94" s="19" t="n">
        <v>0.3140524465185301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raw model/market disagreement exceeds the safety limit</t>
        </is>
      </c>
    </row>
    <row r="95">
      <c r="A95" s="12" t="inlineStr">
        <is>
          <t>PASS</t>
        </is>
      </c>
      <c r="B95" s="12" t="inlineStr">
        <is>
          <t>DUQ @ AFA</t>
        </is>
      </c>
      <c r="C95" s="12" t="inlineStr">
        <is>
          <t>2026-09-05 17:00</t>
        </is>
      </c>
      <c r="D95" s="22" t="n">
        <v>1</v>
      </c>
      <c r="E95" s="12" t="inlineStr">
        <is>
          <t>ML</t>
        </is>
      </c>
      <c r="F95" s="12" t="inlineStr">
        <is>
          <t>DUQ ML</t>
        </is>
      </c>
      <c r="G95" s="23" t="n"/>
      <c r="H95" s="13" t="n">
        <v>2000</v>
      </c>
      <c r="I95" s="15" t="n">
        <v>0.2108233745314532</v>
      </c>
      <c r="J95" s="15" t="n">
        <v>0.0461215932914046</v>
      </c>
      <c r="K95" s="15" t="n">
        <v>0.04761904761904762</v>
      </c>
      <c r="L95" s="14" t="n">
        <v>0.1632043269124056</v>
      </c>
      <c r="M95" s="14" t="n">
        <v>3.427290865160517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DUQ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RGV @ UTSA</t>
        </is>
      </c>
      <c r="C96" s="17" t="inlineStr">
        <is>
          <t>2026-09-05 19:30</t>
        </is>
      </c>
      <c r="D96" s="25" t="n">
        <v>1</v>
      </c>
      <c r="E96" s="17" t="inlineStr">
        <is>
          <t>ML</t>
        </is>
      </c>
      <c r="F96" s="17" t="inlineStr">
        <is>
          <t>RGV ML</t>
        </is>
      </c>
      <c r="G96" s="26" t="n"/>
      <c r="H96" s="18" t="n">
        <v>2000</v>
      </c>
      <c r="I96" s="20" t="n">
        <v>0.2108233745314532</v>
      </c>
      <c r="J96" s="20" t="n">
        <v>0.0461215932914046</v>
      </c>
      <c r="K96" s="20" t="n">
        <v>0.04761904761904762</v>
      </c>
      <c r="L96" s="19" t="n">
        <v>0.1632043269124056</v>
      </c>
      <c r="M96" s="19" t="n">
        <v>3.427290865160517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RGV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APSU @ VAN</t>
        </is>
      </c>
      <c r="C97" s="12" t="inlineStr">
        <is>
          <t>2026-09-05 23:00</t>
        </is>
      </c>
      <c r="D97" s="22" t="n">
        <v>1</v>
      </c>
      <c r="E97" s="12" t="inlineStr">
        <is>
          <t>ML</t>
        </is>
      </c>
      <c r="F97" s="12" t="inlineStr">
        <is>
          <t>APSU ML</t>
        </is>
      </c>
      <c r="G97" s="23" t="n"/>
      <c r="H97" s="13" t="n">
        <v>2000</v>
      </c>
      <c r="I97" s="15" t="n">
        <v>0.2108233745314532</v>
      </c>
      <c r="J97" s="15" t="n">
        <v>0.0461215932914046</v>
      </c>
      <c r="K97" s="15" t="n">
        <v>0.04761904761904762</v>
      </c>
      <c r="L97" s="14" t="n">
        <v>0.1632043269124056</v>
      </c>
      <c r="M97" s="14" t="n">
        <v>3.427290865160517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APSU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WMU @ MICH</t>
        </is>
      </c>
      <c r="C98" s="17" t="inlineStr">
        <is>
          <t>2026-09-05 23:30</t>
        </is>
      </c>
      <c r="D98" s="25" t="n">
        <v>1</v>
      </c>
      <c r="E98" s="17" t="inlineStr">
        <is>
          <t>ML</t>
        </is>
      </c>
      <c r="F98" s="17" t="inlineStr">
        <is>
          <t>WMU ML</t>
        </is>
      </c>
      <c r="G98" s="26" t="n"/>
      <c r="H98" s="18" t="n">
        <v>2000</v>
      </c>
      <c r="I98" s="20" t="n">
        <v>0.2108233745314532</v>
      </c>
      <c r="J98" s="20" t="n">
        <v>0.0461215932914046</v>
      </c>
      <c r="K98" s="20" t="n">
        <v>0.04761904761904762</v>
      </c>
      <c r="L98" s="19" t="n">
        <v>0.1632043269124056</v>
      </c>
      <c r="M98" s="19" t="n">
        <v>3.427290865160517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price outside allowed range</t>
        </is>
      </c>
    </row>
    <row r="99">
      <c r="A99" s="12" t="inlineStr">
        <is>
          <t>PASS</t>
        </is>
      </c>
      <c r="B99" s="12" t="inlineStr">
        <is>
          <t>NAU @ ARIZ</t>
        </is>
      </c>
      <c r="C99" s="12" t="inlineStr">
        <is>
          <t>2026-09-06 01:30</t>
        </is>
      </c>
      <c r="D99" s="22" t="n">
        <v>1</v>
      </c>
      <c r="E99" s="12" t="inlineStr">
        <is>
          <t>ML</t>
        </is>
      </c>
      <c r="F99" s="12" t="inlineStr">
        <is>
          <t>NAU ML</t>
        </is>
      </c>
      <c r="G99" s="23" t="n"/>
      <c r="H99" s="13" t="n">
        <v>2000</v>
      </c>
      <c r="I99" s="15" t="n">
        <v>0.2108233745314532</v>
      </c>
      <c r="J99" s="15" t="n">
        <v>0.0461215932914046</v>
      </c>
      <c r="K99" s="15" t="n">
        <v>0.04761904761904762</v>
      </c>
      <c r="L99" s="14" t="n">
        <v>0.1632043269124056</v>
      </c>
      <c r="M99" s="14" t="n">
        <v>3.427290865160517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NAU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MTSU @ MRSH</t>
        </is>
      </c>
      <c r="C100" s="17" t="inlineStr">
        <is>
          <t>2026-09-12 23:00</t>
        </is>
      </c>
      <c r="D100" s="25" t="n">
        <v>2</v>
      </c>
      <c r="E100" s="17" t="inlineStr">
        <is>
          <t>ATS</t>
        </is>
      </c>
      <c r="F100" s="17" t="inlineStr">
        <is>
          <t>MTSU +17.5</t>
        </is>
      </c>
      <c r="G100" s="26" t="n">
        <v>-17.5</v>
      </c>
      <c r="H100" s="18" t="n">
        <v>-110</v>
      </c>
      <c r="I100" s="20" t="n">
        <v>0.6846939689911201</v>
      </c>
      <c r="J100" s="20" t="n">
        <v>0.5</v>
      </c>
      <c r="K100" s="20" t="n">
        <v>0.5238095238095238</v>
      </c>
      <c r="L100" s="19" t="n">
        <v>0.1608844451815963</v>
      </c>
      <c r="M100" s="19" t="n">
        <v>0.3071430317103203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raw model/market disagreement exceeds the safety limit</t>
        </is>
      </c>
    </row>
    <row r="101">
      <c r="A101" s="12" t="inlineStr">
        <is>
          <t>PASS</t>
        </is>
      </c>
      <c r="B101" s="12" t="inlineStr">
        <is>
          <t>CHSO @ GASO</t>
        </is>
      </c>
      <c r="C101" s="12" t="inlineStr">
        <is>
          <t>2026-09-05 23:00</t>
        </is>
      </c>
      <c r="D101" s="22" t="n">
        <v>1</v>
      </c>
      <c r="E101" s="12" t="inlineStr">
        <is>
          <t>ML</t>
        </is>
      </c>
      <c r="F101" s="12" t="inlineStr">
        <is>
          <t>CHSO ML</t>
        </is>
      </c>
      <c r="G101" s="23" t="n"/>
      <c r="H101" s="13" t="n">
        <v>1800</v>
      </c>
      <c r="I101" s="15" t="n">
        <v>0.2132371033602765</v>
      </c>
      <c r="J101" s="15" t="n">
        <v>0.05094905094905094</v>
      </c>
      <c r="K101" s="15" t="n">
        <v>0.05263157894736842</v>
      </c>
      <c r="L101" s="14" t="n">
        <v>0.160605524412908</v>
      </c>
      <c r="M101" s="14" t="n">
        <v>3.051504963845253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CHSO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BGSU @ NEB</t>
        </is>
      </c>
      <c r="C102" s="17" t="inlineStr">
        <is>
          <t>2026-09-12 23:00</t>
        </is>
      </c>
      <c r="D102" s="25" t="n">
        <v>2</v>
      </c>
      <c r="E102" s="17" t="inlineStr">
        <is>
          <t>ML</t>
        </is>
      </c>
      <c r="F102" s="17" t="inlineStr">
        <is>
          <t>BGSU ML</t>
        </is>
      </c>
      <c r="G102" s="26" t="n"/>
      <c r="H102" s="18" t="n">
        <v>1700</v>
      </c>
      <c r="I102" s="20" t="n">
        <v>0.2146317367642555</v>
      </c>
      <c r="J102" s="20" t="n">
        <v>0.05373831775700934</v>
      </c>
      <c r="K102" s="20" t="n">
        <v>0.05555555555555555</v>
      </c>
      <c r="L102" s="19" t="n">
        <v>0.1590761812087</v>
      </c>
      <c r="M102" s="19" t="n">
        <v>2.863371261756599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GASO @ CLEM</t>
        </is>
      </c>
      <c r="C103" s="12" t="inlineStr">
        <is>
          <t>2026-09-12 23:30</t>
        </is>
      </c>
      <c r="D103" s="22" t="n">
        <v>2</v>
      </c>
      <c r="E103" s="12" t="inlineStr">
        <is>
          <t>ML</t>
        </is>
      </c>
      <c r="F103" s="12" t="inlineStr">
        <is>
          <t>GASO ML</t>
        </is>
      </c>
      <c r="G103" s="23" t="n"/>
      <c r="H103" s="13" t="n">
        <v>1700</v>
      </c>
      <c r="I103" s="15" t="n">
        <v>0.2146317367642555</v>
      </c>
      <c r="J103" s="15" t="n">
        <v>0.05373831775700934</v>
      </c>
      <c r="K103" s="15" t="n">
        <v>0.05555555555555555</v>
      </c>
      <c r="L103" s="14" t="n">
        <v>0.1590761812087</v>
      </c>
      <c r="M103" s="14" t="n">
        <v>2.863371261756599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price outside allowed range</t>
        </is>
      </c>
    </row>
    <row r="104">
      <c r="A104" s="17" t="inlineStr">
        <is>
          <t>PASS</t>
        </is>
      </c>
      <c r="B104" s="17" t="inlineStr">
        <is>
          <t>ULM @ MSST</t>
        </is>
      </c>
      <c r="C104" s="17" t="inlineStr">
        <is>
          <t>2026-09-05 23:30</t>
        </is>
      </c>
      <c r="D104" s="25" t="n">
        <v>1</v>
      </c>
      <c r="E104" s="17" t="inlineStr">
        <is>
          <t>ML</t>
        </is>
      </c>
      <c r="F104" s="17" t="inlineStr">
        <is>
          <t>ULM ML</t>
        </is>
      </c>
      <c r="G104" s="26" t="n"/>
      <c r="H104" s="18" t="n">
        <v>1600</v>
      </c>
      <c r="I104" s="20" t="n">
        <v>0.2161953102019784</v>
      </c>
      <c r="J104" s="20" t="n">
        <v>0.05686546463245493</v>
      </c>
      <c r="K104" s="20" t="n">
        <v>0.05882352941176471</v>
      </c>
      <c r="L104" s="19" t="n">
        <v>0.1573717807902136</v>
      </c>
      <c r="M104" s="19" t="n">
        <v>2.675320273433632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price outside allowed range</t>
        </is>
      </c>
    </row>
    <row r="105">
      <c r="A105" s="12" t="inlineStr">
        <is>
          <t>PASS</t>
        </is>
      </c>
      <c r="B105" s="12" t="inlineStr">
        <is>
          <t>UL @ USC</t>
        </is>
      </c>
      <c r="C105" s="12" t="inlineStr">
        <is>
          <t>2026-09-13 03:00</t>
        </is>
      </c>
      <c r="D105" s="22" t="n">
        <v>2</v>
      </c>
      <c r="E105" s="12" t="inlineStr">
        <is>
          <t>ML</t>
        </is>
      </c>
      <c r="F105" s="12" t="inlineStr">
        <is>
          <t>UL ML</t>
        </is>
      </c>
      <c r="G105" s="23" t="n"/>
      <c r="H105" s="13" t="n">
        <v>2200</v>
      </c>
      <c r="I105" s="15" t="n">
        <v>0.1999821746000927</v>
      </c>
      <c r="J105" s="15" t="n">
        <v>0.04216553878188443</v>
      </c>
      <c r="K105" s="15" t="n">
        <v>0.04347826086956522</v>
      </c>
      <c r="L105" s="14" t="n">
        <v>0.1565039137305275</v>
      </c>
      <c r="M105" s="14" t="n">
        <v>3.599590015802132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price outside allowed range</t>
        </is>
      </c>
    </row>
    <row r="106">
      <c r="A106" s="17" t="inlineStr">
        <is>
          <t>PASS</t>
        </is>
      </c>
      <c r="B106" s="17" t="inlineStr">
        <is>
          <t>HCU @ RICE</t>
        </is>
      </c>
      <c r="C106" s="17" t="inlineStr">
        <is>
          <t>2026-09-05 23:00</t>
        </is>
      </c>
      <c r="D106" s="25" t="n">
        <v>1</v>
      </c>
      <c r="E106" s="17" t="inlineStr">
        <is>
          <t>ML</t>
        </is>
      </c>
      <c r="F106" s="17" t="inlineStr">
        <is>
          <t>HCU ML</t>
        </is>
      </c>
      <c r="G106" s="26" t="n"/>
      <c r="H106" s="18" t="n">
        <v>1500</v>
      </c>
      <c r="I106" s="20" t="n">
        <v>0.217942023236485</v>
      </c>
      <c r="J106" s="20" t="n">
        <v>0.06035889070146819</v>
      </c>
      <c r="K106" s="20" t="n">
        <v>0.0625</v>
      </c>
      <c r="L106" s="19" t="n">
        <v>0.155442023236485</v>
      </c>
      <c r="M106" s="19" t="n">
        <v>2.487072371783761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HCU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OU @ MICH</t>
        </is>
      </c>
      <c r="C107" s="12" t="inlineStr">
        <is>
          <t>2026-09-12 16:00</t>
        </is>
      </c>
      <c r="D107" s="22" t="n">
        <v>2</v>
      </c>
      <c r="E107" s="12" t="inlineStr">
        <is>
          <t>TOTAL</t>
        </is>
      </c>
      <c r="F107" s="12" t="inlineStr">
        <is>
          <t>Over 46.5</t>
        </is>
      </c>
      <c r="G107" s="23" t="n">
        <v>46.5</v>
      </c>
      <c r="H107" s="13" t="n">
        <v>-105</v>
      </c>
      <c r="I107" s="15" t="n">
        <v>0.6640897900089547</v>
      </c>
      <c r="J107" s="15" t="n">
        <v>0.4891657638136511</v>
      </c>
      <c r="K107" s="15" t="n">
        <v>0.5121951219512195</v>
      </c>
      <c r="L107" s="14" t="n">
        <v>0.1518946680577352</v>
      </c>
      <c r="M107" s="14" t="n">
        <v>0.2965562566841496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HCU @ RICE</t>
        </is>
      </c>
      <c r="C108" s="17" t="inlineStr">
        <is>
          <t>2026-09-05 23:00</t>
        </is>
      </c>
      <c r="D108" s="25" t="n">
        <v>1</v>
      </c>
      <c r="E108" s="17" t="inlineStr">
        <is>
          <t>TOTAL</t>
        </is>
      </c>
      <c r="F108" s="17" t="inlineStr">
        <is>
          <t>Over 47.5</t>
        </is>
      </c>
      <c r="G108" s="26" t="n">
        <v>47.5</v>
      </c>
      <c r="H108" s="18" t="n">
        <v>-112</v>
      </c>
      <c r="I108" s="20" t="n">
        <v>0.6799289885667714</v>
      </c>
      <c r="J108" s="20" t="n">
        <v>0.5043297540699688</v>
      </c>
      <c r="K108" s="20" t="n">
        <v>0.5283018867924528</v>
      </c>
      <c r="L108" s="19" t="n">
        <v>0.1516271017743186</v>
      </c>
      <c r="M108" s="19" t="n">
        <v>0.2870084426442459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HCU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WSU @ KSU</t>
        </is>
      </c>
      <c r="C109" s="12" t="inlineStr">
        <is>
          <t>2026-09-12 16:00</t>
        </is>
      </c>
      <c r="D109" s="22" t="n">
        <v>2</v>
      </c>
      <c r="E109" s="12" t="inlineStr">
        <is>
          <t>ATS</t>
        </is>
      </c>
      <c r="F109" s="12" t="inlineStr">
        <is>
          <t>WSU +16.5</t>
        </is>
      </c>
      <c r="G109" s="23" t="n">
        <v>-16.5</v>
      </c>
      <c r="H109" s="13" t="n">
        <v>-108</v>
      </c>
      <c r="I109" s="15" t="n">
        <v>0.6707213006085984</v>
      </c>
      <c r="J109" s="15" t="n">
        <v>0.4956702459300312</v>
      </c>
      <c r="K109" s="15" t="n">
        <v>0.5192307692307693</v>
      </c>
      <c r="L109" s="14" t="n">
        <v>0.1514905313778291</v>
      </c>
      <c r="M109" s="14" t="n">
        <v>0.2917595419128561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raw model/market disagreement exceeds the safety limit</t>
        </is>
      </c>
    </row>
    <row r="110">
      <c r="A110" s="17" t="inlineStr">
        <is>
          <t>PASS</t>
        </is>
      </c>
      <c r="B110" s="17" t="inlineStr">
        <is>
          <t>EKU @ JVST</t>
        </is>
      </c>
      <c r="C110" s="17" t="inlineStr">
        <is>
          <t>2026-09-05 23:00</t>
        </is>
      </c>
      <c r="D110" s="25" t="n">
        <v>1</v>
      </c>
      <c r="E110" s="17" t="inlineStr">
        <is>
          <t>ML</t>
        </is>
      </c>
      <c r="F110" s="17" t="inlineStr">
        <is>
          <t>EKU ML</t>
        </is>
      </c>
      <c r="G110" s="26" t="n"/>
      <c r="H110" s="18" t="n">
        <v>1100</v>
      </c>
      <c r="I110" s="20" t="n">
        <v>0.2343962637748556</v>
      </c>
      <c r="J110" s="20" t="n">
        <v>0.08029197080291971</v>
      </c>
      <c r="K110" s="20" t="n">
        <v>0.08333333333333333</v>
      </c>
      <c r="L110" s="19" t="n">
        <v>0.1510629304415222</v>
      </c>
      <c r="M110" s="19" t="n">
        <v>1.812755165298267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EKU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BOIS @ ORE</t>
        </is>
      </c>
      <c r="C111" s="12" t="inlineStr">
        <is>
          <t>2026-09-05 19:30</t>
        </is>
      </c>
      <c r="D111" s="22" t="n">
        <v>1</v>
      </c>
      <c r="E111" s="12" t="inlineStr">
        <is>
          <t>ML</t>
        </is>
      </c>
      <c r="F111" s="12" t="inlineStr">
        <is>
          <t>BOIS ML</t>
        </is>
      </c>
      <c r="G111" s="23" t="n"/>
      <c r="H111" s="13" t="n">
        <v>1300</v>
      </c>
      <c r="I111" s="15" t="n">
        <v>0.2222043831114042</v>
      </c>
      <c r="J111" s="15" t="n">
        <v>0.06888361045130641</v>
      </c>
      <c r="K111" s="15" t="n">
        <v>0.07142857142857142</v>
      </c>
      <c r="L111" s="14" t="n">
        <v>0.1507758116828328</v>
      </c>
      <c r="M111" s="14" t="n">
        <v>2.11086136355966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price outside allowed range</t>
        </is>
      </c>
    </row>
    <row r="112">
      <c r="A112" s="17" t="inlineStr">
        <is>
          <t>PASS</t>
        </is>
      </c>
      <c r="B112" s="17" t="inlineStr">
        <is>
          <t>FAU @ FLA</t>
        </is>
      </c>
      <c r="C112" s="17" t="inlineStr">
        <is>
          <t>2026-09-05 23:45</t>
        </is>
      </c>
      <c r="D112" s="25" t="n">
        <v>1</v>
      </c>
      <c r="E112" s="17" t="inlineStr">
        <is>
          <t>ML</t>
        </is>
      </c>
      <c r="F112" s="17" t="inlineStr">
        <is>
          <t>FAU ML</t>
        </is>
      </c>
      <c r="G112" s="26" t="n"/>
      <c r="H112" s="18" t="n">
        <v>1300</v>
      </c>
      <c r="I112" s="20" t="n">
        <v>0.2222043831114042</v>
      </c>
      <c r="J112" s="20" t="n">
        <v>0.06888361045130641</v>
      </c>
      <c r="K112" s="20" t="n">
        <v>0.07142857142857142</v>
      </c>
      <c r="L112" s="19" t="n">
        <v>0.1507758116828328</v>
      </c>
      <c r="M112" s="19" t="n">
        <v>2.11086136355966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price outside allowed range</t>
        </is>
      </c>
    </row>
    <row r="113">
      <c r="A113" s="12" t="inlineStr">
        <is>
          <t>PASS</t>
        </is>
      </c>
      <c r="B113" s="12" t="inlineStr">
        <is>
          <t>SHSU @ TROY</t>
        </is>
      </c>
      <c r="C113" s="12" t="inlineStr">
        <is>
          <t>2026-09-05 23:00</t>
        </is>
      </c>
      <c r="D113" s="22" t="n">
        <v>1</v>
      </c>
      <c r="E113" s="12" t="inlineStr">
        <is>
          <t>ATS</t>
        </is>
      </c>
      <c r="F113" s="12" t="inlineStr">
        <is>
          <t>SHSU +16.5</t>
        </is>
      </c>
      <c r="G113" s="23" t="n">
        <v>-16.5</v>
      </c>
      <c r="H113" s="13" t="n">
        <v>-110</v>
      </c>
      <c r="I113" s="15" t="n">
        <v>0.6728861776435827</v>
      </c>
      <c r="J113" s="15" t="n">
        <v>0.5</v>
      </c>
      <c r="K113" s="15" t="n">
        <v>0.5238095238095238</v>
      </c>
      <c r="L113" s="14" t="n">
        <v>0.1490766538340589</v>
      </c>
      <c r="M113" s="14" t="n">
        <v>0.2846008845922944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raw model/market disagreement exceeds the safety limit</t>
        </is>
      </c>
    </row>
    <row r="114">
      <c r="A114" s="17" t="inlineStr">
        <is>
          <t>PASS</t>
        </is>
      </c>
      <c r="B114" s="17" t="inlineStr">
        <is>
          <t>DEL @ VAN</t>
        </is>
      </c>
      <c r="C114" s="17" t="inlineStr">
        <is>
          <t>2026-09-12 20:15</t>
        </is>
      </c>
      <c r="D114" s="25" t="n">
        <v>2</v>
      </c>
      <c r="E114" s="17" t="inlineStr">
        <is>
          <t>ML</t>
        </is>
      </c>
      <c r="F114" s="17" t="inlineStr">
        <is>
          <t>DEL ML</t>
        </is>
      </c>
      <c r="G114" s="26" t="n"/>
      <c r="H114" s="18" t="n">
        <v>1000</v>
      </c>
      <c r="I114" s="20" t="n">
        <v>0.2395562314299025</v>
      </c>
      <c r="J114" s="20" t="n">
        <v>0.08755760368663595</v>
      </c>
      <c r="K114" s="20" t="n">
        <v>0.09090909090909091</v>
      </c>
      <c r="L114" s="19" t="n">
        <v>0.1486471405208115</v>
      </c>
      <c r="M114" s="19" t="n">
        <v>1.635118545728927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WSU @ WASH</t>
        </is>
      </c>
      <c r="C115" s="12" t="inlineStr">
        <is>
          <t>2026-09-06 20:00</t>
        </is>
      </c>
      <c r="D115" s="22" t="n">
        <v>1</v>
      </c>
      <c r="E115" s="12" t="inlineStr">
        <is>
          <t>ML</t>
        </is>
      </c>
      <c r="F115" s="12" t="inlineStr">
        <is>
          <t>WSU ML</t>
        </is>
      </c>
      <c r="G115" s="23" t="n"/>
      <c r="H115" s="13" t="n">
        <v>1200</v>
      </c>
      <c r="I115" s="15" t="n">
        <v>0.2248545660163147</v>
      </c>
      <c r="J115" s="15" t="n">
        <v>0.0741839762611276</v>
      </c>
      <c r="K115" s="15" t="n">
        <v>0.07692307692307693</v>
      </c>
      <c r="L115" s="14" t="n">
        <v>0.1479314890932378</v>
      </c>
      <c r="M115" s="14" t="n">
        <v>1.923109358212091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USU @ WASH</t>
        </is>
      </c>
      <c r="C116" s="17" t="inlineStr">
        <is>
          <t>2026-09-12 19:30</t>
        </is>
      </c>
      <c r="D116" s="25" t="n">
        <v>2</v>
      </c>
      <c r="E116" s="17" t="inlineStr">
        <is>
          <t>ML</t>
        </is>
      </c>
      <c r="F116" s="17" t="inlineStr">
        <is>
          <t>USU ML</t>
        </is>
      </c>
      <c r="G116" s="26" t="n"/>
      <c r="H116" s="18" t="n">
        <v>1200</v>
      </c>
      <c r="I116" s="20" t="n">
        <v>0.2248545660163147</v>
      </c>
      <c r="J116" s="20" t="n">
        <v>0.0741839762611276</v>
      </c>
      <c r="K116" s="20" t="n">
        <v>0.07692307692307693</v>
      </c>
      <c r="L116" s="19" t="n">
        <v>0.1479314890932378</v>
      </c>
      <c r="M116" s="19" t="n">
        <v>1.923109358212091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WYO @ CSU</t>
        </is>
      </c>
      <c r="C117" s="12" t="inlineStr">
        <is>
          <t>2026-09-05 22:00</t>
        </is>
      </c>
      <c r="D117" s="22" t="n">
        <v>1</v>
      </c>
      <c r="E117" s="12" t="inlineStr">
        <is>
          <t>TOTAL</t>
        </is>
      </c>
      <c r="F117" s="12" t="inlineStr">
        <is>
          <t>Over 46.5</t>
        </is>
      </c>
      <c r="G117" s="23" t="n">
        <v>46.5</v>
      </c>
      <c r="H117" s="13" t="n">
        <v>-110</v>
      </c>
      <c r="I117" s="15" t="n">
        <v>0.6707228155167815</v>
      </c>
      <c r="J117" s="15" t="n">
        <v>0.5</v>
      </c>
      <c r="K117" s="15" t="n">
        <v>0.5238095238095238</v>
      </c>
      <c r="L117" s="14" t="n">
        <v>0.1469132917072576</v>
      </c>
      <c r="M117" s="14" t="n">
        <v>0.2804708296229466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MUR @ MTSU</t>
        </is>
      </c>
      <c r="C118" s="17" t="inlineStr">
        <is>
          <t>2026-09-05 23:00</t>
        </is>
      </c>
      <c r="D118" s="25" t="n">
        <v>1</v>
      </c>
      <c r="E118" s="17" t="inlineStr">
        <is>
          <t>ML</t>
        </is>
      </c>
      <c r="F118" s="17" t="inlineStr">
        <is>
          <t>MUR ML</t>
        </is>
      </c>
      <c r="G118" s="26" t="n"/>
      <c r="H118" s="18" t="n">
        <v>1100</v>
      </c>
      <c r="I118" s="20" t="n">
        <v>0.2279085632872107</v>
      </c>
      <c r="J118" s="20" t="n">
        <v>0.08029197080291971</v>
      </c>
      <c r="K118" s="20" t="n">
        <v>0.08333333333333333</v>
      </c>
      <c r="L118" s="19" t="n">
        <v>0.1445752299538773</v>
      </c>
      <c r="M118" s="19" t="n">
        <v>1.734902759446528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MUR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CMU @ UNM</t>
        </is>
      </c>
      <c r="C119" s="12" t="inlineStr">
        <is>
          <t>2026-09-06 02:00</t>
        </is>
      </c>
      <c r="D119" s="22" t="n">
        <v>1</v>
      </c>
      <c r="E119" s="12" t="inlineStr">
        <is>
          <t>TOTAL</t>
        </is>
      </c>
      <c r="F119" s="12" t="inlineStr">
        <is>
          <t>Over 47.5</t>
        </is>
      </c>
      <c r="G119" s="23" t="n">
        <v>47.5</v>
      </c>
      <c r="H119" s="13" t="n">
        <v>-105</v>
      </c>
      <c r="I119" s="15" t="n">
        <v>0.6565403021926424</v>
      </c>
      <c r="J119" s="15" t="n">
        <v>0.4891657638136511</v>
      </c>
      <c r="K119" s="15" t="n">
        <v>0.5121951219512195</v>
      </c>
      <c r="L119" s="14" t="n">
        <v>0.1443451802414228</v>
      </c>
      <c r="M119" s="14" t="n">
        <v>0.2818167804713494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UNLV @ UNT</t>
        </is>
      </c>
      <c r="C120" s="17" t="inlineStr">
        <is>
          <t>2026-09-12 19:45</t>
        </is>
      </c>
      <c r="D120" s="25" t="n">
        <v>2</v>
      </c>
      <c r="E120" s="17" t="inlineStr">
        <is>
          <t>ML</t>
        </is>
      </c>
      <c r="F120" s="17" t="inlineStr">
        <is>
          <t>UNT ML</t>
        </is>
      </c>
      <c r="G120" s="26" t="n"/>
      <c r="H120" s="18" t="n">
        <v>185</v>
      </c>
      <c r="I120" s="20" t="n">
        <v>0.4942594270684527</v>
      </c>
      <c r="J120" s="20" t="n">
        <v>0.3363518758085381</v>
      </c>
      <c r="K120" s="20" t="n">
        <v>0.3508771929824561</v>
      </c>
      <c r="L120" s="19" t="n">
        <v>0.1433822340859966</v>
      </c>
      <c r="M120" s="19" t="n">
        <v>0.4086393671450903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LAM @ UL</t>
        </is>
      </c>
      <c r="C121" s="12" t="inlineStr">
        <is>
          <t>2026-09-06 00:00</t>
        </is>
      </c>
      <c r="D121" s="22" t="n">
        <v>1</v>
      </c>
      <c r="E121" s="12" t="inlineStr">
        <is>
          <t>TOTAL</t>
        </is>
      </c>
      <c r="F121" s="12" t="inlineStr">
        <is>
          <t>Over 48.5</t>
        </is>
      </c>
      <c r="G121" s="23" t="n">
        <v>48.5</v>
      </c>
      <c r="H121" s="13" t="n">
        <v>-110</v>
      </c>
      <c r="I121" s="15" t="n">
        <v>0.6670387728911054</v>
      </c>
      <c r="J121" s="15" t="n">
        <v>0.5</v>
      </c>
      <c r="K121" s="15" t="n">
        <v>0.5238095238095238</v>
      </c>
      <c r="L121" s="14" t="n">
        <v>0.1432292490815815</v>
      </c>
      <c r="M121" s="14" t="n">
        <v>0.2734376573375649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LAM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MRSH @ PSU</t>
        </is>
      </c>
      <c r="C122" s="17" t="inlineStr">
        <is>
          <t>2026-09-05 19:30</t>
        </is>
      </c>
      <c r="D122" s="25" t="n">
        <v>1</v>
      </c>
      <c r="E122" s="17" t="inlineStr">
        <is>
          <t>ML</t>
        </is>
      </c>
      <c r="F122" s="17" t="inlineStr">
        <is>
          <t>MRSH ML</t>
        </is>
      </c>
      <c r="G122" s="26" t="n"/>
      <c r="H122" s="18" t="n">
        <v>1000</v>
      </c>
      <c r="I122" s="20" t="n">
        <v>0.2315413797290689</v>
      </c>
      <c r="J122" s="20" t="n">
        <v>0.08755760368663595</v>
      </c>
      <c r="K122" s="20" t="n">
        <v>0.09090909090909091</v>
      </c>
      <c r="L122" s="19" t="n">
        <v>0.1406322888199779</v>
      </c>
      <c r="M122" s="19" t="n">
        <v>1.546955177019757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price outside allowed range</t>
        </is>
      </c>
    </row>
    <row r="123">
      <c r="A123" s="12" t="inlineStr">
        <is>
          <t>PASS</t>
        </is>
      </c>
      <c r="B123" s="12" t="inlineStr">
        <is>
          <t>OSU @ TEX</t>
        </is>
      </c>
      <c r="C123" s="12" t="inlineStr">
        <is>
          <t>2026-09-12 23:30</t>
        </is>
      </c>
      <c r="D123" s="22" t="n">
        <v>2</v>
      </c>
      <c r="E123" s="12" t="inlineStr">
        <is>
          <t>TOTAL</t>
        </is>
      </c>
      <c r="F123" s="12" t="inlineStr">
        <is>
          <t>Over 47.5</t>
        </is>
      </c>
      <c r="G123" s="23" t="n">
        <v>47.5</v>
      </c>
      <c r="H123" s="13" t="n">
        <v>-110</v>
      </c>
      <c r="I123" s="15" t="n">
        <v>0.6632458684182989</v>
      </c>
      <c r="J123" s="15" t="n">
        <v>0.5</v>
      </c>
      <c r="K123" s="15" t="n">
        <v>0.5238095238095238</v>
      </c>
      <c r="L123" s="14" t="n">
        <v>0.1394363446087751</v>
      </c>
      <c r="M123" s="14" t="n">
        <v>0.2661966578894798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raw model/market disagreement exceeds the safety limit</t>
        </is>
      </c>
    </row>
    <row r="124">
      <c r="A124" s="17" t="inlineStr">
        <is>
          <t>PASS</t>
        </is>
      </c>
      <c r="B124" s="17" t="inlineStr">
        <is>
          <t>IDST @ USU</t>
        </is>
      </c>
      <c r="C124" s="17" t="inlineStr">
        <is>
          <t>2026-09-05 23:00</t>
        </is>
      </c>
      <c r="D124" s="25" t="n">
        <v>1</v>
      </c>
      <c r="E124" s="17" t="inlineStr">
        <is>
          <t>ATS</t>
        </is>
      </c>
      <c r="F124" s="17" t="inlineStr">
        <is>
          <t>IDST +15.5</t>
        </is>
      </c>
      <c r="G124" s="26" t="n">
        <v>-15.5</v>
      </c>
      <c r="H124" s="18" t="n">
        <v>-112</v>
      </c>
      <c r="I124" s="20" t="n">
        <v>0.6676150483861161</v>
      </c>
      <c r="J124" s="20" t="n">
        <v>0.5043297540699688</v>
      </c>
      <c r="K124" s="20" t="n">
        <v>0.5283018867924528</v>
      </c>
      <c r="L124" s="19" t="n">
        <v>0.1393131615936632</v>
      </c>
      <c r="M124" s="19" t="n">
        <v>0.2636999130165768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IDST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CIT @ CLT</t>
        </is>
      </c>
      <c r="C125" s="12" t="inlineStr">
        <is>
          <t>2026-09-05 19:30</t>
        </is>
      </c>
      <c r="D125" s="22" t="n">
        <v>1</v>
      </c>
      <c r="E125" s="12" t="inlineStr">
        <is>
          <t>ML</t>
        </is>
      </c>
      <c r="F125" s="12" t="inlineStr">
        <is>
          <t>CIT ML</t>
        </is>
      </c>
      <c r="G125" s="23" t="n"/>
      <c r="H125" s="13" t="n">
        <v>950</v>
      </c>
      <c r="I125" s="15" t="n">
        <v>0.2336341375187784</v>
      </c>
      <c r="J125" s="15" t="n">
        <v>0.09174311926605505</v>
      </c>
      <c r="K125" s="15" t="n">
        <v>0.09523809523809523</v>
      </c>
      <c r="L125" s="14" t="n">
        <v>0.1383960422806831</v>
      </c>
      <c r="M125" s="14" t="n">
        <v>1.453158443947173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CIT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EMU @ MSU</t>
        </is>
      </c>
      <c r="C126" s="17" t="inlineStr">
        <is>
          <t>2026-09-12 19:30</t>
        </is>
      </c>
      <c r="D126" s="25" t="n">
        <v>2</v>
      </c>
      <c r="E126" s="17" t="inlineStr">
        <is>
          <t>ATS</t>
        </is>
      </c>
      <c r="F126" s="17" t="inlineStr">
        <is>
          <t>EMU +16.5</t>
        </is>
      </c>
      <c r="G126" s="26" t="n">
        <v>-16.5</v>
      </c>
      <c r="H126" s="18" t="n">
        <v>-115</v>
      </c>
      <c r="I126" s="20" t="n">
        <v>0.6728743005596013</v>
      </c>
      <c r="J126" s="20" t="n">
        <v>0.5108342361863488</v>
      </c>
      <c r="K126" s="20" t="n">
        <v>0.5348837209302325</v>
      </c>
      <c r="L126" s="19" t="n">
        <v>0.1379905796293688</v>
      </c>
      <c r="M126" s="19" t="n">
        <v>0.2579823880027328</v>
      </c>
      <c r="N126" s="20" t="n">
        <v>0</v>
      </c>
      <c r="O126" s="27" t="n">
        <v>0.725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UNLV @ UNT</t>
        </is>
      </c>
      <c r="C127" s="12" t="inlineStr">
        <is>
          <t>2026-09-12 19:45</t>
        </is>
      </c>
      <c r="D127" s="22" t="n">
        <v>2</v>
      </c>
      <c r="E127" s="12" t="inlineStr">
        <is>
          <t>ATS</t>
        </is>
      </c>
      <c r="F127" s="12" t="inlineStr">
        <is>
          <t>UNT +6.5</t>
        </is>
      </c>
      <c r="G127" s="23" t="n">
        <v>6.5</v>
      </c>
      <c r="H127" s="13" t="n">
        <v>-110</v>
      </c>
      <c r="I127" s="15" t="n">
        <v>0.660163048510206</v>
      </c>
      <c r="J127" s="15" t="n">
        <v>0.5</v>
      </c>
      <c r="K127" s="15" t="n">
        <v>0.5238095238095238</v>
      </c>
      <c r="L127" s="14" t="n">
        <v>0.1363535247006822</v>
      </c>
      <c r="M127" s="14" t="n">
        <v>0.2603112744285752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raw model/market disagreement exceeds the safety limit</t>
        </is>
      </c>
    </row>
    <row r="128">
      <c r="A128" s="17" t="inlineStr">
        <is>
          <t>PASS</t>
        </is>
      </c>
      <c r="B128" s="17" t="inlineStr">
        <is>
          <t>ALCN @ USM</t>
        </is>
      </c>
      <c r="C128" s="17" t="inlineStr">
        <is>
          <t>2026-09-05 21:00</t>
        </is>
      </c>
      <c r="D128" s="25" t="n">
        <v>1</v>
      </c>
      <c r="E128" s="17" t="inlineStr">
        <is>
          <t>ML</t>
        </is>
      </c>
      <c r="F128" s="17" t="inlineStr">
        <is>
          <t>ALCN ML</t>
        </is>
      </c>
      <c r="G128" s="26" t="n"/>
      <c r="H128" s="18" t="n">
        <v>900</v>
      </c>
      <c r="I128" s="20" t="n">
        <v>0.2357851767558075</v>
      </c>
      <c r="J128" s="20" t="n">
        <v>0.096045197740113</v>
      </c>
      <c r="K128" s="20" t="n">
        <v>0.1</v>
      </c>
      <c r="L128" s="19" t="n">
        <v>0.1357851767558075</v>
      </c>
      <c r="M128" s="19" t="n">
        <v>1.357851767558074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ALCN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ODU @ VT</t>
        </is>
      </c>
      <c r="C129" s="12" t="inlineStr">
        <is>
          <t>2026-09-12 16:00</t>
        </is>
      </c>
      <c r="D129" s="22" t="n">
        <v>2</v>
      </c>
      <c r="E129" s="12" t="inlineStr">
        <is>
          <t>ATS</t>
        </is>
      </c>
      <c r="F129" s="12" t="inlineStr">
        <is>
          <t>ODU +14.5</t>
        </is>
      </c>
      <c r="G129" s="23" t="n">
        <v>-14.5</v>
      </c>
      <c r="H129" s="13" t="n">
        <v>-108</v>
      </c>
      <c r="I129" s="15" t="n">
        <v>0.6548768878525963</v>
      </c>
      <c r="J129" s="15" t="n">
        <v>0.4956702459300312</v>
      </c>
      <c r="K129" s="15" t="n">
        <v>0.5192307692307693</v>
      </c>
      <c r="L129" s="14" t="n">
        <v>0.1356461186218271</v>
      </c>
      <c r="M129" s="14" t="n">
        <v>0.2612443766050004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raw model/market disagreement exceeds the safety limit</t>
        </is>
      </c>
    </row>
    <row r="130">
      <c r="A130" s="17" t="inlineStr">
        <is>
          <t>PASS</t>
        </is>
      </c>
      <c r="B130" s="17" t="inlineStr">
        <is>
          <t>URI @ TEM</t>
        </is>
      </c>
      <c r="C130" s="17" t="inlineStr">
        <is>
          <t>2026-09-05 18:00</t>
        </is>
      </c>
      <c r="D130" s="25" t="n">
        <v>1</v>
      </c>
      <c r="E130" s="17" t="inlineStr">
        <is>
          <t>ATS</t>
        </is>
      </c>
      <c r="F130" s="17" t="inlineStr">
        <is>
          <t>URI +14.5</t>
        </is>
      </c>
      <c r="G130" s="26" t="n">
        <v>-14.5</v>
      </c>
      <c r="H130" s="18" t="n">
        <v>-110</v>
      </c>
      <c r="I130" s="20" t="n">
        <v>0.6570417648875808</v>
      </c>
      <c r="J130" s="20" t="n">
        <v>0.5</v>
      </c>
      <c r="K130" s="20" t="n">
        <v>0.5238095238095238</v>
      </c>
      <c r="L130" s="19" t="n">
        <v>0.133232241078057</v>
      </c>
      <c r="M130" s="19" t="n">
        <v>0.2543524602399271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URI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ASU @ TA&amp;M</t>
        </is>
      </c>
      <c r="C131" s="12" t="inlineStr">
        <is>
          <t>2026-09-12 16:00</t>
        </is>
      </c>
      <c r="D131" s="22" t="n">
        <v>2</v>
      </c>
      <c r="E131" s="12" t="inlineStr">
        <is>
          <t>ATS</t>
        </is>
      </c>
      <c r="F131" s="12" t="inlineStr">
        <is>
          <t>ASU +14.5</t>
        </is>
      </c>
      <c r="G131" s="23" t="n">
        <v>-14.5</v>
      </c>
      <c r="H131" s="13" t="n">
        <v>-110</v>
      </c>
      <c r="I131" s="15" t="n">
        <v>0.6570417648875808</v>
      </c>
      <c r="J131" s="15" t="n">
        <v>0.5</v>
      </c>
      <c r="K131" s="15" t="n">
        <v>0.5238095238095238</v>
      </c>
      <c r="L131" s="14" t="n">
        <v>0.133232241078057</v>
      </c>
      <c r="M131" s="14" t="n">
        <v>0.2543524602399271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ME @ APP</t>
        </is>
      </c>
      <c r="C132" s="17" t="inlineStr">
        <is>
          <t>2026-09-05 19:30</t>
        </is>
      </c>
      <c r="D132" s="25" t="n">
        <v>1</v>
      </c>
      <c r="E132" s="17" t="inlineStr">
        <is>
          <t>ML</t>
        </is>
      </c>
      <c r="F132" s="17" t="inlineStr">
        <is>
          <t>ME ML</t>
        </is>
      </c>
      <c r="G132" s="26" t="n"/>
      <c r="H132" s="18" t="n">
        <v>850</v>
      </c>
      <c r="I132" s="20" t="n">
        <v>0.2383335403653594</v>
      </c>
      <c r="J132" s="20" t="n">
        <v>0.101141924959217</v>
      </c>
      <c r="K132" s="20" t="n">
        <v>0.1052631578947368</v>
      </c>
      <c r="L132" s="19" t="n">
        <v>0.1330703824706225</v>
      </c>
      <c r="M132" s="19" t="n">
        <v>1.264168633470914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ME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SDST @ NU</t>
        </is>
      </c>
      <c r="C133" s="12" t="inlineStr">
        <is>
          <t>2026-09-06 00:00</t>
        </is>
      </c>
      <c r="D133" s="22" t="n">
        <v>1</v>
      </c>
      <c r="E133" s="12" t="inlineStr">
        <is>
          <t>TOTAL</t>
        </is>
      </c>
      <c r="F133" s="12" t="inlineStr">
        <is>
          <t>Over 48.5</t>
        </is>
      </c>
      <c r="G133" s="23" t="n">
        <v>48.5</v>
      </c>
      <c r="H133" s="13" t="n">
        <v>-108</v>
      </c>
      <c r="I133" s="15" t="n">
        <v>0.6518095814767682</v>
      </c>
      <c r="J133" s="15" t="n">
        <v>0.4956702459300312</v>
      </c>
      <c r="K133" s="15" t="n">
        <v>0.5192307692307693</v>
      </c>
      <c r="L133" s="14" t="n">
        <v>0.1325788122459989</v>
      </c>
      <c r="M133" s="14" t="n">
        <v>0.255336971733035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SDST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CIT @ CLT</t>
        </is>
      </c>
      <c r="C134" s="17" t="inlineStr">
        <is>
          <t>2026-09-05 19:30</t>
        </is>
      </c>
      <c r="D134" s="25" t="n">
        <v>1</v>
      </c>
      <c r="E134" s="17" t="inlineStr">
        <is>
          <t>TOTAL</t>
        </is>
      </c>
      <c r="F134" s="17" t="inlineStr">
        <is>
          <t>Over 48.5</t>
        </is>
      </c>
      <c r="G134" s="26" t="n">
        <v>48.5</v>
      </c>
      <c r="H134" s="18" t="n">
        <v>-115</v>
      </c>
      <c r="I134" s="20" t="n">
        <v>0.6673745374643969</v>
      </c>
      <c r="J134" s="20" t="n">
        <v>0.5108342361863488</v>
      </c>
      <c r="K134" s="20" t="n">
        <v>0.5348837209302325</v>
      </c>
      <c r="L134" s="19" t="n">
        <v>0.1324908165341644</v>
      </c>
      <c r="M134" s="19" t="n">
        <v>0.2477002222160463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CIT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FIU @ USF</t>
        </is>
      </c>
      <c r="C135" s="12" t="inlineStr">
        <is>
          <t>2026-09-05 23:00</t>
        </is>
      </c>
      <c r="D135" s="22" t="n">
        <v>1</v>
      </c>
      <c r="E135" s="12" t="inlineStr">
        <is>
          <t>ATS</t>
        </is>
      </c>
      <c r="F135" s="12" t="inlineStr">
        <is>
          <t>FIU +14.5</t>
        </is>
      </c>
      <c r="G135" s="23" t="n">
        <v>-14.5</v>
      </c>
      <c r="H135" s="13" t="n">
        <v>-112</v>
      </c>
      <c r="I135" s="15" t="n">
        <v>0.6592066419225653</v>
      </c>
      <c r="J135" s="15" t="n">
        <v>0.5043297540699688</v>
      </c>
      <c r="K135" s="15" t="n">
        <v>0.5283018867924528</v>
      </c>
      <c r="L135" s="14" t="n">
        <v>0.1309047551301125</v>
      </c>
      <c r="M135" s="14" t="n">
        <v>0.2477840007819986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ALA @ UK</t>
        </is>
      </c>
      <c r="C136" s="17" t="inlineStr">
        <is>
          <t>2026-09-12 19:30</t>
        </is>
      </c>
      <c r="D136" s="25" t="n">
        <v>2</v>
      </c>
      <c r="E136" s="17" t="inlineStr">
        <is>
          <t>TOTAL</t>
        </is>
      </c>
      <c r="F136" s="17" t="inlineStr">
        <is>
          <t>Over 48.5</t>
        </is>
      </c>
      <c r="G136" s="26" t="n">
        <v>48.5</v>
      </c>
      <c r="H136" s="18" t="n">
        <v>-108</v>
      </c>
      <c r="I136" s="20" t="n">
        <v>0.6490531123902192</v>
      </c>
      <c r="J136" s="20" t="n">
        <v>0.4956702459300312</v>
      </c>
      <c r="K136" s="20" t="n">
        <v>0.5192307692307693</v>
      </c>
      <c r="L136" s="19" t="n">
        <v>0.12982234315945</v>
      </c>
      <c r="M136" s="19" t="n">
        <v>0.2500282164552371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raw model/market disagreement exceeds the safety limit</t>
        </is>
      </c>
    </row>
    <row r="137">
      <c r="A137" s="12" t="inlineStr">
        <is>
          <t>PASS</t>
        </is>
      </c>
      <c r="B137" s="12" t="inlineStr">
        <is>
          <t>BGSU @ NEB</t>
        </is>
      </c>
      <c r="C137" s="12" t="inlineStr">
        <is>
          <t>2026-09-12 23:00</t>
        </is>
      </c>
      <c r="D137" s="22" t="n">
        <v>2</v>
      </c>
      <c r="E137" s="12" t="inlineStr">
        <is>
          <t>TOTAL</t>
        </is>
      </c>
      <c r="F137" s="12" t="inlineStr">
        <is>
          <t>Over 48.5</t>
        </is>
      </c>
      <c r="G137" s="23" t="n">
        <v>48.5</v>
      </c>
      <c r="H137" s="13" t="n">
        <v>-112</v>
      </c>
      <c r="I137" s="15" t="n">
        <v>0.6574997417988386</v>
      </c>
      <c r="J137" s="15" t="n">
        <v>0.5043297540699688</v>
      </c>
      <c r="K137" s="15" t="n">
        <v>0.5283018867924528</v>
      </c>
      <c r="L137" s="14" t="n">
        <v>0.1291978550063858</v>
      </c>
      <c r="M137" s="14" t="n">
        <v>0.2445530826906588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raw model/market disagreement exceeds the safety limit</t>
        </is>
      </c>
    </row>
    <row r="138">
      <c r="A138" s="17" t="inlineStr">
        <is>
          <t>PASS</t>
        </is>
      </c>
      <c r="B138" s="17" t="inlineStr">
        <is>
          <t>SDSU @ UCLA</t>
        </is>
      </c>
      <c r="C138" s="17" t="inlineStr">
        <is>
          <t>2026-09-12 23:15</t>
        </is>
      </c>
      <c r="D138" s="25" t="n">
        <v>2</v>
      </c>
      <c r="E138" s="17" t="inlineStr">
        <is>
          <t>TOTAL</t>
        </is>
      </c>
      <c r="F138" s="17" t="inlineStr">
        <is>
          <t>Over 48.5</t>
        </is>
      </c>
      <c r="G138" s="26" t="n">
        <v>48.5</v>
      </c>
      <c r="H138" s="18" t="n">
        <v>-110</v>
      </c>
      <c r="I138" s="20" t="n">
        <v>0.6512179894252037</v>
      </c>
      <c r="J138" s="20" t="n">
        <v>0.5</v>
      </c>
      <c r="K138" s="20" t="n">
        <v>0.5238095238095238</v>
      </c>
      <c r="L138" s="19" t="n">
        <v>0.1274084656156799</v>
      </c>
      <c r="M138" s="19" t="n">
        <v>0.2432343434481162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raw model/market disagreement exceeds the safety limit</t>
        </is>
      </c>
    </row>
    <row r="139">
      <c r="A139" s="12" t="inlineStr">
        <is>
          <t>PASS</t>
        </is>
      </c>
      <c r="B139" s="12" t="inlineStr">
        <is>
          <t>LAM @ UL</t>
        </is>
      </c>
      <c r="C139" s="12" t="inlineStr">
        <is>
          <t>2026-09-06 00:00</t>
        </is>
      </c>
      <c r="D139" s="22" t="n">
        <v>1</v>
      </c>
      <c r="E139" s="12" t="inlineStr">
        <is>
          <t>ML</t>
        </is>
      </c>
      <c r="F139" s="12" t="inlineStr">
        <is>
          <t>LAM ML</t>
        </is>
      </c>
      <c r="G139" s="23" t="n"/>
      <c r="H139" s="13" t="n">
        <v>750</v>
      </c>
      <c r="I139" s="15" t="n">
        <v>0.2442843170161857</v>
      </c>
      <c r="J139" s="15" t="n">
        <v>0.1130434782608696</v>
      </c>
      <c r="K139" s="15" t="n">
        <v>0.1176470588235294</v>
      </c>
      <c r="L139" s="14" t="n">
        <v>0.1266372581926563</v>
      </c>
      <c r="M139" s="14" t="n">
        <v>1.076416694637578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LAM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MIZ @ KU</t>
        </is>
      </c>
      <c r="C140" s="17" t="inlineStr">
        <is>
          <t>2026-09-12 00:00</t>
        </is>
      </c>
      <c r="D140" s="25" t="n">
        <v>2</v>
      </c>
      <c r="E140" s="17" t="inlineStr">
        <is>
          <t>ML</t>
        </is>
      </c>
      <c r="F140" s="17" t="inlineStr">
        <is>
          <t>KU ML</t>
        </is>
      </c>
      <c r="G140" s="26" t="n"/>
      <c r="H140" s="18" t="n">
        <v>180</v>
      </c>
      <c r="I140" s="20" t="n">
        <v>0.4783976285338567</v>
      </c>
      <c r="J140" s="20" t="n">
        <v>0.3425247738043947</v>
      </c>
      <c r="K140" s="20" t="n">
        <v>0.3571428571428572</v>
      </c>
      <c r="L140" s="19" t="n">
        <v>0.1212547713909995</v>
      </c>
      <c r="M140" s="19" t="n">
        <v>0.3395133598947987</v>
      </c>
      <c r="N140" s="20" t="n">
        <v>0</v>
      </c>
      <c r="O140" s="27" t="n">
        <v>0.725</v>
      </c>
      <c r="P140" s="17" t="inlineStr">
        <is>
          <t>DraftKings</t>
        </is>
      </c>
      <c r="Q140" s="17" t="inlineStr">
        <is>
          <t>correlated with a stronger play on the same game</t>
        </is>
      </c>
    </row>
    <row r="141">
      <c r="A141" s="12" t="inlineStr">
        <is>
          <t>PASS</t>
        </is>
      </c>
      <c r="B141" s="12" t="inlineStr">
        <is>
          <t>FUR @ TENN</t>
        </is>
      </c>
      <c r="C141" s="12" t="inlineStr">
        <is>
          <t>2026-09-05 19:30</t>
        </is>
      </c>
      <c r="D141" s="22" t="n">
        <v>1</v>
      </c>
      <c r="E141" s="12" t="inlineStr">
        <is>
          <t>TOTAL</t>
        </is>
      </c>
      <c r="F141" s="12" t="inlineStr">
        <is>
          <t>Under 66.5</t>
        </is>
      </c>
      <c r="G141" s="23" t="n">
        <v>66.5</v>
      </c>
      <c r="H141" s="13" t="n">
        <v>-105</v>
      </c>
      <c r="I141" s="15" t="n">
        <v>0.6313162917795796</v>
      </c>
      <c r="J141" s="15" t="n">
        <v>0.4891657638136511</v>
      </c>
      <c r="K141" s="15" t="n">
        <v>0.5121951219512195</v>
      </c>
      <c r="L141" s="14" t="n">
        <v>0.1191211698283601</v>
      </c>
      <c r="M141" s="14" t="n">
        <v>0.2325699029982268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FUR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WSU @ KSU</t>
        </is>
      </c>
      <c r="C142" s="17" t="inlineStr">
        <is>
          <t>2026-09-12 16:00</t>
        </is>
      </c>
      <c r="D142" s="25" t="n">
        <v>2</v>
      </c>
      <c r="E142" s="17" t="inlineStr">
        <is>
          <t>ML</t>
        </is>
      </c>
      <c r="F142" s="17" t="inlineStr">
        <is>
          <t>WSU ML</t>
        </is>
      </c>
      <c r="G142" s="26" t="n"/>
      <c r="H142" s="18" t="n">
        <v>650</v>
      </c>
      <c r="I142" s="20" t="n">
        <v>0.2517160662578439</v>
      </c>
      <c r="J142" s="20" t="n">
        <v>0.1279069767441861</v>
      </c>
      <c r="K142" s="20" t="n">
        <v>0.1333333333333333</v>
      </c>
      <c r="L142" s="19" t="n">
        <v>0.1183827329245106</v>
      </c>
      <c r="M142" s="19" t="n">
        <v>0.8878704969338294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price outside allowed range</t>
        </is>
      </c>
    </row>
    <row r="143">
      <c r="A143" s="12" t="inlineStr">
        <is>
          <t>PASS</t>
        </is>
      </c>
      <c r="B143" s="12" t="inlineStr">
        <is>
          <t>MTSU @ MRSH</t>
        </is>
      </c>
      <c r="C143" s="12" t="inlineStr">
        <is>
          <t>2026-09-12 23:00</t>
        </is>
      </c>
      <c r="D143" s="22" t="n">
        <v>2</v>
      </c>
      <c r="E143" s="12" t="inlineStr">
        <is>
          <t>ML</t>
        </is>
      </c>
      <c r="F143" s="12" t="inlineStr">
        <is>
          <t>MTSU ML</t>
        </is>
      </c>
      <c r="G143" s="23" t="n"/>
      <c r="H143" s="13" t="n">
        <v>650</v>
      </c>
      <c r="I143" s="15" t="n">
        <v>0.2517160662578439</v>
      </c>
      <c r="J143" s="15" t="n">
        <v>0.1279069767441861</v>
      </c>
      <c r="K143" s="15" t="n">
        <v>0.1333333333333333</v>
      </c>
      <c r="L143" s="14" t="n">
        <v>0.1183827329245106</v>
      </c>
      <c r="M143" s="14" t="n">
        <v>0.8878704969338294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price outside allowed range</t>
        </is>
      </c>
    </row>
    <row r="144">
      <c r="A144" s="17" t="inlineStr">
        <is>
          <t>PASS</t>
        </is>
      </c>
      <c r="B144" s="17" t="inlineStr">
        <is>
          <t>SELA @ USA</t>
        </is>
      </c>
      <c r="C144" s="17" t="inlineStr">
        <is>
          <t>2026-09-05 23:00</t>
        </is>
      </c>
      <c r="D144" s="25" t="n">
        <v>1</v>
      </c>
      <c r="E144" s="17" t="inlineStr">
        <is>
          <t>ATS</t>
        </is>
      </c>
      <c r="F144" s="17" t="inlineStr">
        <is>
          <t>SELA +13.5</t>
        </is>
      </c>
      <c r="G144" s="26" t="n">
        <v>-13.5</v>
      </c>
      <c r="H144" s="18" t="n">
        <v>-110</v>
      </c>
      <c r="I144" s="20" t="n">
        <v>0.6411719542083142</v>
      </c>
      <c r="J144" s="20" t="n">
        <v>0.5</v>
      </c>
      <c r="K144" s="20" t="n">
        <v>0.5238095238095238</v>
      </c>
      <c r="L144" s="19" t="n">
        <v>0.1173624303987904</v>
      </c>
      <c r="M144" s="19" t="n">
        <v>0.2240555489431453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SELA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TOW @ NAVY</t>
        </is>
      </c>
      <c r="C145" s="12" t="inlineStr">
        <is>
          <t>2026-09-05 19:30</t>
        </is>
      </c>
      <c r="D145" s="22" t="n">
        <v>1</v>
      </c>
      <c r="E145" s="12" t="inlineStr">
        <is>
          <t>TOTAL</t>
        </is>
      </c>
      <c r="F145" s="12" t="inlineStr">
        <is>
          <t>Over 50.5</t>
        </is>
      </c>
      <c r="G145" s="23" t="n">
        <v>50.5</v>
      </c>
      <c r="H145" s="13" t="n">
        <v>-112</v>
      </c>
      <c r="I145" s="15" t="n">
        <v>0.6418875168804974</v>
      </c>
      <c r="J145" s="15" t="n">
        <v>0.5043297540699688</v>
      </c>
      <c r="K145" s="15" t="n">
        <v>0.5283018867924528</v>
      </c>
      <c r="L145" s="14" t="n">
        <v>0.1135856300880446</v>
      </c>
      <c r="M145" s="14" t="n">
        <v>0.2150013712380843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TOW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ALCN @ USM</t>
        </is>
      </c>
      <c r="C146" s="17" t="inlineStr">
        <is>
          <t>2026-09-05 21:00</t>
        </is>
      </c>
      <c r="D146" s="25" t="n">
        <v>1</v>
      </c>
      <c r="E146" s="17" t="inlineStr">
        <is>
          <t>TOTAL</t>
        </is>
      </c>
      <c r="F146" s="17" t="inlineStr">
        <is>
          <t>Over 50.5</t>
        </is>
      </c>
      <c r="G146" s="26" t="n">
        <v>50.5</v>
      </c>
      <c r="H146" s="18" t="n">
        <v>-115</v>
      </c>
      <c r="I146" s="20" t="n">
        <v>0.6466172580525211</v>
      </c>
      <c r="J146" s="20" t="n">
        <v>0.5108342361863488</v>
      </c>
      <c r="K146" s="20" t="n">
        <v>0.5348837209302325</v>
      </c>
      <c r="L146" s="19" t="n">
        <v>0.1117335371222886</v>
      </c>
      <c r="M146" s="19" t="n">
        <v>0.2088931346199308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ALCN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URI @ TEM</t>
        </is>
      </c>
      <c r="C147" s="12" t="inlineStr">
        <is>
          <t>2026-09-05 18:00</t>
        </is>
      </c>
      <c r="D147" s="22" t="n">
        <v>1</v>
      </c>
      <c r="E147" s="12" t="inlineStr">
        <is>
          <t>TOTAL</t>
        </is>
      </c>
      <c r="F147" s="12" t="inlineStr">
        <is>
          <t>Over 51.5</t>
        </is>
      </c>
      <c r="G147" s="23" t="n">
        <v>51.5</v>
      </c>
      <c r="H147" s="13" t="n">
        <v>-105</v>
      </c>
      <c r="I147" s="15" t="n">
        <v>0.6220795686480183</v>
      </c>
      <c r="J147" s="15" t="n">
        <v>0.4891657638136511</v>
      </c>
      <c r="K147" s="15" t="n">
        <v>0.5121951219512195</v>
      </c>
      <c r="L147" s="14" t="n">
        <v>0.1098844466967988</v>
      </c>
      <c r="M147" s="14" t="n">
        <v>0.21453630069375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URI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SDST @ NU</t>
        </is>
      </c>
      <c r="C148" s="17" t="inlineStr">
        <is>
          <t>2026-09-06 00:00</t>
        </is>
      </c>
      <c r="D148" s="25" t="n">
        <v>1</v>
      </c>
      <c r="E148" s="17" t="inlineStr">
        <is>
          <t>ATS</t>
        </is>
      </c>
      <c r="F148" s="17" t="inlineStr">
        <is>
          <t>SDST +12.5</t>
        </is>
      </c>
      <c r="G148" s="26" t="n">
        <v>-12.5</v>
      </c>
      <c r="H148" s="18" t="n">
        <v>-108</v>
      </c>
      <c r="I148" s="20" t="n">
        <v>0.6290625038593842</v>
      </c>
      <c r="J148" s="20" t="n">
        <v>0.4956702459300312</v>
      </c>
      <c r="K148" s="20" t="n">
        <v>0.5192307692307693</v>
      </c>
      <c r="L148" s="19" t="n">
        <v>0.109831734628615</v>
      </c>
      <c r="M148" s="19" t="n">
        <v>0.211527785210666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SDST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UNLV @ HAW</t>
        </is>
      </c>
      <c r="C149" s="12" t="inlineStr">
        <is>
          <t>2026-09-06 02:00</t>
        </is>
      </c>
      <c r="D149" s="22" t="n">
        <v>1</v>
      </c>
      <c r="E149" s="12" t="inlineStr">
        <is>
          <t>ATS</t>
        </is>
      </c>
      <c r="F149" s="12" t="inlineStr">
        <is>
          <t>HAW +3</t>
        </is>
      </c>
      <c r="G149" s="23" t="n">
        <v>3</v>
      </c>
      <c r="H149" s="13" t="n">
        <v>-110</v>
      </c>
      <c r="I149" s="15" t="n">
        <v>0.6292891912106103</v>
      </c>
      <c r="J149" s="15" t="n">
        <v>0.5</v>
      </c>
      <c r="K149" s="15" t="n">
        <v>0.5238095238095238</v>
      </c>
      <c r="L149" s="14" t="n">
        <v>0.1054796674010865</v>
      </c>
      <c r="M149" s="14" t="n">
        <v>0.1915838990584373</v>
      </c>
      <c r="N149" s="15" t="n">
        <v>0.0486</v>
      </c>
      <c r="O149" s="24" t="n">
        <v>0.725</v>
      </c>
      <c r="P149" s="12" t="inlineStr">
        <is>
          <t>DraftKings</t>
        </is>
      </c>
      <c r="Q149" s="12" t="inlineStr">
        <is>
          <t>correlated with a stronger play on the same game</t>
        </is>
      </c>
    </row>
    <row r="150">
      <c r="A150" s="17" t="inlineStr">
        <is>
          <t>PASS</t>
        </is>
      </c>
      <c r="B150" s="17" t="inlineStr">
        <is>
          <t>URI @ TEM</t>
        </is>
      </c>
      <c r="C150" s="17" t="inlineStr">
        <is>
          <t>2026-09-05 18:00</t>
        </is>
      </c>
      <c r="D150" s="25" t="n">
        <v>1</v>
      </c>
      <c r="E150" s="17" t="inlineStr">
        <is>
          <t>ML</t>
        </is>
      </c>
      <c r="F150" s="17" t="inlineStr">
        <is>
          <t>URI ML</t>
        </is>
      </c>
      <c r="G150" s="26" t="n"/>
      <c r="H150" s="18" t="n">
        <v>500</v>
      </c>
      <c r="I150" s="20" t="n">
        <v>0.2677625778857509</v>
      </c>
      <c r="J150" s="20" t="n">
        <v>0.16</v>
      </c>
      <c r="K150" s="20" t="n">
        <v>0.1666666666666667</v>
      </c>
      <c r="L150" s="19" t="n">
        <v>0.1010959112190842</v>
      </c>
      <c r="M150" s="19" t="n">
        <v>0.6065754673145052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URI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IDST @ USU</t>
        </is>
      </c>
      <c r="C151" s="12" t="inlineStr">
        <is>
          <t>2026-09-05 23:00</t>
        </is>
      </c>
      <c r="D151" s="22" t="n">
        <v>1</v>
      </c>
      <c r="E151" s="12" t="inlineStr">
        <is>
          <t>ML</t>
        </is>
      </c>
      <c r="F151" s="12" t="inlineStr">
        <is>
          <t>IDST ML</t>
        </is>
      </c>
      <c r="G151" s="23" t="n"/>
      <c r="H151" s="13" t="n">
        <v>470</v>
      </c>
      <c r="I151" s="15" t="n">
        <v>0.2719376620608351</v>
      </c>
      <c r="J151" s="15" t="n">
        <v>0.1683501683501683</v>
      </c>
      <c r="K151" s="15" t="n">
        <v>0.1754385964912281</v>
      </c>
      <c r="L151" s="14" t="n">
        <v>0.09649906556960708</v>
      </c>
      <c r="M151" s="14" t="n">
        <v>0.5500446737467604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IDST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FIU @ USF</t>
        </is>
      </c>
      <c r="C152" s="17" t="inlineStr">
        <is>
          <t>2026-09-05 23:00</t>
        </is>
      </c>
      <c r="D152" s="25" t="n">
        <v>1</v>
      </c>
      <c r="E152" s="17" t="inlineStr">
        <is>
          <t>TOTAL</t>
        </is>
      </c>
      <c r="F152" s="17" t="inlineStr">
        <is>
          <t>Over 52.5</t>
        </is>
      </c>
      <c r="G152" s="26" t="n">
        <v>52.5</v>
      </c>
      <c r="H152" s="18" t="n">
        <v>-112</v>
      </c>
      <c r="I152" s="20" t="n">
        <v>0.6232855908786283</v>
      </c>
      <c r="J152" s="20" t="n">
        <v>0.5043297540699688</v>
      </c>
      <c r="K152" s="20" t="n">
        <v>0.5283018867924528</v>
      </c>
      <c r="L152" s="19" t="n">
        <v>0.09498370408617551</v>
      </c>
      <c r="M152" s="19" t="n">
        <v>0.1797905827345465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CHSO @ GASO</t>
        </is>
      </c>
      <c r="C153" s="12" t="inlineStr">
        <is>
          <t>2026-09-05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-115</v>
      </c>
      <c r="I153" s="15" t="n">
        <v>0.6297471948821374</v>
      </c>
      <c r="J153" s="15" t="n">
        <v>0.5108342361863488</v>
      </c>
      <c r="K153" s="15" t="n">
        <v>0.5348837209302325</v>
      </c>
      <c r="L153" s="14" t="n">
        <v>0.09486347395190486</v>
      </c>
      <c r="M153" s="14" t="n">
        <v>0.1773534513013871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CHSO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ODU @ VT</t>
        </is>
      </c>
      <c r="C154" s="17" t="inlineStr">
        <is>
          <t>2026-09-12 16:00</t>
        </is>
      </c>
      <c r="D154" s="25" t="n">
        <v>2</v>
      </c>
      <c r="E154" s="17" t="inlineStr">
        <is>
          <t>ML</t>
        </is>
      </c>
      <c r="F154" s="17" t="inlineStr">
        <is>
          <t>ODU ML</t>
        </is>
      </c>
      <c r="G154" s="26" t="n"/>
      <c r="H154" s="18" t="n">
        <v>455</v>
      </c>
      <c r="I154" s="20" t="n">
        <v>0.2742007298976734</v>
      </c>
      <c r="J154" s="20" t="n">
        <v>0.172876304023845</v>
      </c>
      <c r="K154" s="20" t="n">
        <v>0.1801801801801802</v>
      </c>
      <c r="L154" s="19" t="n">
        <v>0.09402054971749324</v>
      </c>
      <c r="M154" s="19" t="n">
        <v>0.5218140509320874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ISU @ IOWA</t>
        </is>
      </c>
      <c r="C155" s="12" t="inlineStr">
        <is>
          <t>2026-09-12 23:30</t>
        </is>
      </c>
      <c r="D155" s="22" t="n">
        <v>2</v>
      </c>
      <c r="E155" s="12" t="inlineStr">
        <is>
          <t>ML</t>
        </is>
      </c>
      <c r="F155" s="12" t="inlineStr">
        <is>
          <t>ISU ML</t>
        </is>
      </c>
      <c r="G155" s="23" t="n"/>
      <c r="H155" s="13" t="n">
        <v>455</v>
      </c>
      <c r="I155" s="15" t="n">
        <v>0.2742007298976734</v>
      </c>
      <c r="J155" s="15" t="n">
        <v>0.172876304023845</v>
      </c>
      <c r="K155" s="15" t="n">
        <v>0.1801801801801802</v>
      </c>
      <c r="L155" s="14" t="n">
        <v>0.09402054971749324</v>
      </c>
      <c r="M155" s="14" t="n">
        <v>0.5218140509320874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correlated with a stronger play on the same game</t>
        </is>
      </c>
    </row>
    <row r="156">
      <c r="A156" s="17" t="inlineStr">
        <is>
          <t>PASS</t>
        </is>
      </c>
      <c r="B156" s="17" t="inlineStr">
        <is>
          <t>MIZ @ KU</t>
        </is>
      </c>
      <c r="C156" s="17" t="inlineStr">
        <is>
          <t>2026-09-12 00:00</t>
        </is>
      </c>
      <c r="D156" s="25" t="n">
        <v>2</v>
      </c>
      <c r="E156" s="17" t="inlineStr">
        <is>
          <t>TOTAL</t>
        </is>
      </c>
      <c r="F156" s="17" t="inlineStr">
        <is>
          <t>Over 51.5</t>
        </is>
      </c>
      <c r="G156" s="26" t="n">
        <v>51.5</v>
      </c>
      <c r="H156" s="18" t="n">
        <v>-112</v>
      </c>
      <c r="I156" s="20" t="n">
        <v>0.6200342008208912</v>
      </c>
      <c r="J156" s="20" t="n">
        <v>0.5043297540699688</v>
      </c>
      <c r="K156" s="20" t="n">
        <v>0.5283018867924528</v>
      </c>
      <c r="L156" s="19" t="n">
        <v>0.0917323140284384</v>
      </c>
      <c r="M156" s="19" t="n">
        <v>0.1736361658395441</v>
      </c>
      <c r="N156" s="20" t="n">
        <v>0</v>
      </c>
      <c r="O156" s="27" t="n">
        <v>0.725</v>
      </c>
      <c r="P156" s="17" t="inlineStr">
        <is>
          <t>DraftKings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NMSU @ HAW</t>
        </is>
      </c>
      <c r="C157" s="12" t="inlineStr">
        <is>
          <t>2026-09-13 03:59</t>
        </is>
      </c>
      <c r="D157" s="22" t="n">
        <v>2</v>
      </c>
      <c r="E157" s="12" t="inlineStr">
        <is>
          <t>TOTAL</t>
        </is>
      </c>
      <c r="F157" s="12" t="inlineStr">
        <is>
          <t>Over 51.5</t>
        </is>
      </c>
      <c r="G157" s="23" t="n">
        <v>51.5</v>
      </c>
      <c r="H157" s="13" t="n">
        <v>-112</v>
      </c>
      <c r="I157" s="15" t="n">
        <v>0.6167415504307268</v>
      </c>
      <c r="J157" s="15" t="n">
        <v>0.5043297540699688</v>
      </c>
      <c r="K157" s="15" t="n">
        <v>0.5283018867924528</v>
      </c>
      <c r="L157" s="14" t="n">
        <v>0.08843966363827394</v>
      </c>
      <c r="M157" s="14" t="n">
        <v>0.1674036490295899</v>
      </c>
      <c r="N157" s="15" t="n">
        <v>0</v>
      </c>
      <c r="O157" s="24" t="n">
        <v>0.725</v>
      </c>
      <c r="P157" s="12" t="inlineStr">
        <is>
          <t>DraftKings</t>
        </is>
      </c>
      <c r="Q157" s="12" t="inlineStr">
        <is>
          <t>correlated with a stronger play on the same game</t>
        </is>
      </c>
    </row>
    <row r="158">
      <c r="A158" s="17" t="inlineStr">
        <is>
          <t>PASS</t>
        </is>
      </c>
      <c r="B158" s="17" t="inlineStr">
        <is>
          <t>ARIZ @ BYU</t>
        </is>
      </c>
      <c r="C158" s="17" t="inlineStr">
        <is>
          <t>2026-09-12 19:30</t>
        </is>
      </c>
      <c r="D158" s="25" t="n">
        <v>2</v>
      </c>
      <c r="E158" s="17" t="inlineStr">
        <is>
          <t>TOTAL</t>
        </is>
      </c>
      <c r="F158" s="17" t="inlineStr">
        <is>
          <t>Over 51.5</t>
        </is>
      </c>
      <c r="G158" s="26" t="n">
        <v>51.5</v>
      </c>
      <c r="H158" s="18" t="n">
        <v>-108</v>
      </c>
      <c r="I158" s="20" t="n">
        <v>0.607397244105254</v>
      </c>
      <c r="J158" s="20" t="n">
        <v>0.4956702459300312</v>
      </c>
      <c r="K158" s="20" t="n">
        <v>0.5192307692307693</v>
      </c>
      <c r="L158" s="19" t="n">
        <v>0.0881664748744847</v>
      </c>
      <c r="M158" s="19" t="n">
        <v>0.169802099758267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outside the top 10 plays for this week</t>
        </is>
      </c>
    </row>
    <row r="159">
      <c r="A159" s="12" t="inlineStr">
        <is>
          <t>PASS</t>
        </is>
      </c>
      <c r="B159" s="12" t="inlineStr">
        <is>
          <t>SELA @ USA</t>
        </is>
      </c>
      <c r="C159" s="12" t="inlineStr">
        <is>
          <t>2026-09-05 23:00</t>
        </is>
      </c>
      <c r="D159" s="22" t="n">
        <v>1</v>
      </c>
      <c r="E159" s="12" t="inlineStr">
        <is>
          <t>TOTAL</t>
        </is>
      </c>
      <c r="F159" s="12" t="inlineStr">
        <is>
          <t>Over 52.5</t>
        </is>
      </c>
      <c r="G159" s="23" t="n">
        <v>52.5</v>
      </c>
      <c r="H159" s="13" t="n">
        <v>-108</v>
      </c>
      <c r="I159" s="15" t="n">
        <v>0.607397243508059</v>
      </c>
      <c r="J159" s="15" t="n">
        <v>0.4956702459300312</v>
      </c>
      <c r="K159" s="15" t="n">
        <v>0.5192307692307693</v>
      </c>
      <c r="L159" s="14" t="n">
        <v>0.08816647427728974</v>
      </c>
      <c r="M159" s="14" t="n">
        <v>0.1698020986081137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SELA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BAY @ AUB</t>
        </is>
      </c>
      <c r="C160" s="17" t="inlineStr">
        <is>
          <t>2026-09-05 19:30</t>
        </is>
      </c>
      <c r="D160" s="25" t="n">
        <v>1</v>
      </c>
      <c r="E160" s="17" t="inlineStr">
        <is>
          <t>ML</t>
        </is>
      </c>
      <c r="F160" s="17" t="inlineStr">
        <is>
          <t>BAY ML</t>
        </is>
      </c>
      <c r="G160" s="26" t="n"/>
      <c r="H160" s="18" t="n">
        <v>220</v>
      </c>
      <c r="I160" s="20" t="n">
        <v>0.3999189627228525</v>
      </c>
      <c r="J160" s="20" t="n">
        <v>0.299837925445705</v>
      </c>
      <c r="K160" s="20" t="n">
        <v>0.3125</v>
      </c>
      <c r="L160" s="19" t="n">
        <v>0.08741896272285254</v>
      </c>
      <c r="M160" s="19" t="n">
        <v>0.2797406807131282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CAL @ SYR</t>
        </is>
      </c>
      <c r="C161" s="12" t="inlineStr">
        <is>
          <t>2026-09-12 19:30</t>
        </is>
      </c>
      <c r="D161" s="22" t="n">
        <v>2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-105</v>
      </c>
      <c r="I161" s="15" t="n">
        <v>0.599042365974392</v>
      </c>
      <c r="J161" s="15" t="n">
        <v>0.4891657638136511</v>
      </c>
      <c r="K161" s="15" t="n">
        <v>0.5121951219512195</v>
      </c>
      <c r="L161" s="14" t="n">
        <v>0.08684724402317245</v>
      </c>
      <c r="M161" s="14" t="n">
        <v>0.1695589049976224</v>
      </c>
      <c r="N161" s="15" t="n">
        <v>0</v>
      </c>
      <c r="O161" s="24" t="n">
        <v>0.4</v>
      </c>
      <c r="P161" s="12" t="inlineStr">
        <is>
          <t>DraftKings</t>
        </is>
      </c>
      <c r="Q161" s="12" t="inlineStr">
        <is>
          <t>outside the top 10 plays for this week</t>
        </is>
      </c>
    </row>
    <row r="162">
      <c r="A162" s="17" t="inlineStr">
        <is>
          <t>PASS</t>
        </is>
      </c>
      <c r="B162" s="17" t="inlineStr">
        <is>
          <t>SMU @ FSU</t>
        </is>
      </c>
      <c r="C162" s="17" t="inlineStr">
        <is>
          <t>2026-09-07 23:30</t>
        </is>
      </c>
      <c r="D162" s="25" t="n">
        <v>1</v>
      </c>
      <c r="E162" s="17" t="inlineStr">
        <is>
          <t>ML</t>
        </is>
      </c>
      <c r="F162" s="17" t="inlineStr">
        <is>
          <t>FSU ML</t>
        </is>
      </c>
      <c r="G162" s="26" t="n"/>
      <c r="H162" s="18" t="n">
        <v>130</v>
      </c>
      <c r="I162" s="20" t="n">
        <v>0.521564742598572</v>
      </c>
      <c r="J162" s="20" t="n">
        <v>0.4170073589533933</v>
      </c>
      <c r="K162" s="20" t="n">
        <v>0.4347826086956522</v>
      </c>
      <c r="L162" s="19" t="n">
        <v>0.08678213390291983</v>
      </c>
      <c r="M162" s="19" t="n">
        <v>0.1995989079767155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outside the top 10 plays for this week</t>
        </is>
      </c>
    </row>
    <row r="163">
      <c r="A163" s="12" t="inlineStr">
        <is>
          <t>PASS</t>
        </is>
      </c>
      <c r="B163" s="12" t="inlineStr">
        <is>
          <t>UL @ USC</t>
        </is>
      </c>
      <c r="C163" s="12" t="inlineStr">
        <is>
          <t>2026-09-13 03:00</t>
        </is>
      </c>
      <c r="D163" s="22" t="n">
        <v>2</v>
      </c>
      <c r="E163" s="12" t="inlineStr">
        <is>
          <t>TOTAL</t>
        </is>
      </c>
      <c r="F163" s="12" t="inlineStr">
        <is>
          <t>Under 63.5</t>
        </is>
      </c>
      <c r="G163" s="23" t="n">
        <v>63.5</v>
      </c>
      <c r="H163" s="13" t="n">
        <v>-108</v>
      </c>
      <c r="I163" s="15" t="n">
        <v>0.6057060005236907</v>
      </c>
      <c r="J163" s="15" t="n">
        <v>0.4956702459300312</v>
      </c>
      <c r="K163" s="15" t="n">
        <v>0.5192307692307693</v>
      </c>
      <c r="L163" s="14" t="n">
        <v>0.08647523129292145</v>
      </c>
      <c r="M163" s="14" t="n">
        <v>0.1665448898974785</v>
      </c>
      <c r="N163" s="15" t="n">
        <v>0</v>
      </c>
      <c r="O163" s="24" t="n">
        <v>0.4</v>
      </c>
      <c r="P163" s="12" t="inlineStr">
        <is>
          <t>DraftKings</t>
        </is>
      </c>
      <c r="Q163" s="12" t="inlineStr">
        <is>
          <t>outside the top 10 plays for this week</t>
        </is>
      </c>
    </row>
    <row r="164">
      <c r="A164" s="17" t="inlineStr">
        <is>
          <t>PASS</t>
        </is>
      </c>
      <c r="B164" s="17" t="inlineStr">
        <is>
          <t>ASU @ TA&amp;M</t>
        </is>
      </c>
      <c r="C164" s="17" t="inlineStr">
        <is>
          <t>2026-09-12 16:00</t>
        </is>
      </c>
      <c r="D164" s="25" t="n">
        <v>2</v>
      </c>
      <c r="E164" s="17" t="inlineStr">
        <is>
          <t>ML</t>
        </is>
      </c>
      <c r="F164" s="17" t="inlineStr">
        <is>
          <t>ASU ML</t>
        </is>
      </c>
      <c r="G164" s="26" t="n"/>
      <c r="H164" s="18" t="n">
        <v>410</v>
      </c>
      <c r="I164" s="20" t="n">
        <v>0.2818291480738842</v>
      </c>
      <c r="J164" s="20" t="n">
        <v>0.1881331403762663</v>
      </c>
      <c r="K164" s="20" t="n">
        <v>0.196078431372549</v>
      </c>
      <c r="L164" s="19" t="n">
        <v>0.08575071670133513</v>
      </c>
      <c r="M164" s="19" t="n">
        <v>0.437328655176809</v>
      </c>
      <c r="N164" s="20" t="n">
        <v>0</v>
      </c>
      <c r="O164" s="27" t="n">
        <v>0.4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CMU @ UNM</t>
        </is>
      </c>
      <c r="C165" s="12" t="inlineStr">
        <is>
          <t>2026-09-06 02:00</t>
        </is>
      </c>
      <c r="D165" s="22" t="n">
        <v>1</v>
      </c>
      <c r="E165" s="12" t="inlineStr">
        <is>
          <t>ATS</t>
        </is>
      </c>
      <c r="F165" s="12" t="inlineStr">
        <is>
          <t>CMU +10.5</t>
        </is>
      </c>
      <c r="G165" s="23" t="n">
        <v>-10.5</v>
      </c>
      <c r="H165" s="13" t="n">
        <v>-110</v>
      </c>
      <c r="I165" s="15" t="n">
        <v>0.6092922959974167</v>
      </c>
      <c r="J165" s="15" t="n">
        <v>0.5</v>
      </c>
      <c r="K165" s="15" t="n">
        <v>0.5238095238095238</v>
      </c>
      <c r="L165" s="14" t="n">
        <v>0.08548277218789291</v>
      </c>
      <c r="M165" s="14" t="n">
        <v>0.1631943832677957</v>
      </c>
      <c r="N165" s="15" t="n">
        <v>0</v>
      </c>
      <c r="O165" s="24" t="n">
        <v>0.4</v>
      </c>
      <c r="P165" s="12" t="inlineStr">
        <is>
          <t>DraftKings</t>
        </is>
      </c>
      <c r="Q165" s="12" t="inlineStr">
        <is>
          <t>outside the top 10 plays for this week</t>
        </is>
      </c>
    </row>
    <row r="166">
      <c r="A166" s="17" t="inlineStr">
        <is>
          <t>PASS</t>
        </is>
      </c>
      <c r="B166" s="17" t="inlineStr">
        <is>
          <t>WAKE @ PUR</t>
        </is>
      </c>
      <c r="C166" s="17" t="inlineStr">
        <is>
          <t>2026-09-12 16:00</t>
        </is>
      </c>
      <c r="D166" s="25" t="n">
        <v>2</v>
      </c>
      <c r="E166" s="17" t="inlineStr">
        <is>
          <t>ATS</t>
        </is>
      </c>
      <c r="F166" s="17" t="inlineStr">
        <is>
          <t>PUR +3.5</t>
        </is>
      </c>
      <c r="G166" s="26" t="n">
        <v>3.5</v>
      </c>
      <c r="H166" s="18" t="n">
        <v>-115</v>
      </c>
      <c r="I166" s="20" t="n">
        <v>0.6200315656979705</v>
      </c>
      <c r="J166" s="20" t="n">
        <v>0.5108342361863488</v>
      </c>
      <c r="K166" s="20" t="n">
        <v>0.5348837209302325</v>
      </c>
      <c r="L166" s="19" t="n">
        <v>0.08514784476773796</v>
      </c>
      <c r="M166" s="19" t="n">
        <v>0.1591894489135969</v>
      </c>
      <c r="N166" s="20" t="n">
        <v>0</v>
      </c>
      <c r="O166" s="27" t="n">
        <v>0.725</v>
      </c>
      <c r="P166" s="17" t="inlineStr">
        <is>
          <t>DraftKings</t>
        </is>
      </c>
      <c r="Q166" s="17" t="inlineStr">
        <is>
          <t>correlated with a stronger play on the same game</t>
        </is>
      </c>
    </row>
    <row r="167">
      <c r="A167" s="12" t="inlineStr">
        <is>
          <t>PASS</t>
        </is>
      </c>
      <c r="B167" s="12" t="inlineStr">
        <is>
          <t>LOU @ MISS</t>
        </is>
      </c>
      <c r="C167" s="12" t="inlineStr">
        <is>
          <t>2026-09-06 23:30</t>
        </is>
      </c>
      <c r="D167" s="22" t="n">
        <v>1</v>
      </c>
      <c r="E167" s="12" t="inlineStr">
        <is>
          <t>ML</t>
        </is>
      </c>
      <c r="F167" s="12" t="inlineStr">
        <is>
          <t>LOU ML</t>
        </is>
      </c>
      <c r="G167" s="23" t="n"/>
      <c r="H167" s="13" t="n">
        <v>215</v>
      </c>
      <c r="I167" s="15" t="n">
        <v>0.4021150239633257</v>
      </c>
      <c r="J167" s="15" t="n">
        <v>0.3042300479266514</v>
      </c>
      <c r="K167" s="15" t="n">
        <v>0.3174603174603174</v>
      </c>
      <c r="L167" s="14" t="n">
        <v>0.08465470650300821</v>
      </c>
      <c r="M167" s="14" t="n">
        <v>0.2666623254844758</v>
      </c>
      <c r="N167" s="15" t="n">
        <v>0</v>
      </c>
      <c r="O167" s="24" t="n">
        <v>0.4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RICE @ ND</t>
        </is>
      </c>
      <c r="C168" s="17" t="inlineStr">
        <is>
          <t>2026-09-12 19:30</t>
        </is>
      </c>
      <c r="D168" s="25" t="n">
        <v>2</v>
      </c>
      <c r="E168" s="17" t="inlineStr">
        <is>
          <t>TOTAL</t>
        </is>
      </c>
      <c r="F168" s="17" t="inlineStr">
        <is>
          <t>Over 52.5</t>
        </is>
      </c>
      <c r="G168" s="26" t="n">
        <v>52.5</v>
      </c>
      <c r="H168" s="18" t="n">
        <v>-110</v>
      </c>
      <c r="I168" s="20" t="n">
        <v>0.6078708787150767</v>
      </c>
      <c r="J168" s="20" t="n">
        <v>0.5</v>
      </c>
      <c r="K168" s="20" t="n">
        <v>0.5238095238095238</v>
      </c>
      <c r="L168" s="19" t="n">
        <v>0.08406135490555289</v>
      </c>
      <c r="M168" s="19" t="n">
        <v>0.1604807684560556</v>
      </c>
      <c r="N168" s="20" t="n">
        <v>0</v>
      </c>
      <c r="O168" s="27" t="n">
        <v>0.4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SELA @ USA</t>
        </is>
      </c>
      <c r="C169" s="12" t="inlineStr">
        <is>
          <t>2026-09-05 23:00</t>
        </is>
      </c>
      <c r="D169" s="22" t="n">
        <v>1</v>
      </c>
      <c r="E169" s="12" t="inlineStr">
        <is>
          <t>ML</t>
        </is>
      </c>
      <c r="F169" s="12" t="inlineStr">
        <is>
          <t>SELA ML</t>
        </is>
      </c>
      <c r="G169" s="23" t="n"/>
      <c r="H169" s="13" t="n">
        <v>400</v>
      </c>
      <c r="I169" s="15" t="n">
        <v>0.2836840280368083</v>
      </c>
      <c r="J169" s="15" t="n">
        <v>0.1918429003021148</v>
      </c>
      <c r="K169" s="15" t="n">
        <v>0.2</v>
      </c>
      <c r="L169" s="14" t="n">
        <v>0.08368402803680824</v>
      </c>
      <c r="M169" s="14" t="n">
        <v>0.4184201401840413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SELA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MORG @ ASU</t>
        </is>
      </c>
      <c r="C170" s="17" t="inlineStr">
        <is>
          <t>2026-09-06 02:00</t>
        </is>
      </c>
      <c r="D170" s="25" t="n">
        <v>1</v>
      </c>
      <c r="E170" s="17" t="inlineStr">
        <is>
          <t>TOTAL</t>
        </is>
      </c>
      <c r="F170" s="17" t="inlineStr">
        <is>
          <t>Over 52.5</t>
        </is>
      </c>
      <c r="G170" s="26" t="n">
        <v>52.5</v>
      </c>
      <c r="H170" s="18" t="n">
        <v>-108</v>
      </c>
      <c r="I170" s="20" t="n">
        <v>0.6022946070325821</v>
      </c>
      <c r="J170" s="20" t="n">
        <v>0.4956702459300312</v>
      </c>
      <c r="K170" s="20" t="n">
        <v>0.5192307692307693</v>
      </c>
      <c r="L170" s="19" t="n">
        <v>0.08306383780181281</v>
      </c>
      <c r="M170" s="19" t="n">
        <v>0.1599747987294174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MORG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LOU @ MISS</t>
        </is>
      </c>
      <c r="C171" s="12" t="inlineStr">
        <is>
          <t>2026-09-06 23:30</t>
        </is>
      </c>
      <c r="D171" s="22" t="n">
        <v>1</v>
      </c>
      <c r="E171" s="12" t="inlineStr">
        <is>
          <t>ATS</t>
        </is>
      </c>
      <c r="F171" s="12" t="inlineStr">
        <is>
          <t>LOU +6.5</t>
        </is>
      </c>
      <c r="G171" s="23" t="n">
        <v>-6.5</v>
      </c>
      <c r="H171" s="13" t="n">
        <v>-105</v>
      </c>
      <c r="I171" s="15" t="n">
        <v>0.5951691887678856</v>
      </c>
      <c r="J171" s="15" t="n">
        <v>0.4891657638136511</v>
      </c>
      <c r="K171" s="15" t="n">
        <v>0.5121951219512195</v>
      </c>
      <c r="L171" s="14" t="n">
        <v>0.08297406681666608</v>
      </c>
      <c r="M171" s="14" t="n">
        <v>0.1619969875944433</v>
      </c>
      <c r="N171" s="15" t="n">
        <v>0</v>
      </c>
      <c r="O171" s="24" t="n">
        <v>0.4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WAKE @ PUR</t>
        </is>
      </c>
      <c r="C172" s="17" t="inlineStr">
        <is>
          <t>2026-09-12 16:00</t>
        </is>
      </c>
      <c r="D172" s="25" t="n">
        <v>2</v>
      </c>
      <c r="E172" s="17" t="inlineStr">
        <is>
          <t>ML</t>
        </is>
      </c>
      <c r="F172" s="17" t="inlineStr">
        <is>
          <t>PUR ML</t>
        </is>
      </c>
      <c r="G172" s="26" t="n"/>
      <c r="H172" s="18" t="n">
        <v>130</v>
      </c>
      <c r="I172" s="20" t="n">
        <v>0.5172979339037023</v>
      </c>
      <c r="J172" s="20" t="n">
        <v>0.4170073589533933</v>
      </c>
      <c r="K172" s="20" t="n">
        <v>0.4347826086956522</v>
      </c>
      <c r="L172" s="19" t="n">
        <v>0.08251532520805011</v>
      </c>
      <c r="M172" s="19" t="n">
        <v>0.1897852479785151</v>
      </c>
      <c r="N172" s="20" t="n">
        <v>0</v>
      </c>
      <c r="O172" s="27" t="n">
        <v>0.725</v>
      </c>
      <c r="P172" s="17" t="inlineStr">
        <is>
          <t>DraftKings</t>
        </is>
      </c>
      <c r="Q172" s="17" t="inlineStr">
        <is>
          <t>correlated with a stronger play on the same game</t>
        </is>
      </c>
    </row>
    <row r="173">
      <c r="A173" s="12" t="inlineStr">
        <is>
          <t>PASS</t>
        </is>
      </c>
      <c r="B173" s="12" t="inlineStr">
        <is>
          <t>ODU @ VT</t>
        </is>
      </c>
      <c r="C173" s="12" t="inlineStr">
        <is>
          <t>2026-09-12 16:00</t>
        </is>
      </c>
      <c r="D173" s="22" t="n">
        <v>2</v>
      </c>
      <c r="E173" s="12" t="inlineStr">
        <is>
          <t>TOTAL</t>
        </is>
      </c>
      <c r="F173" s="12" t="inlineStr">
        <is>
          <t>Over 51.5</t>
        </is>
      </c>
      <c r="G173" s="23" t="n">
        <v>51.5</v>
      </c>
      <c r="H173" s="13" t="n">
        <v>-115</v>
      </c>
      <c r="I173" s="15" t="n">
        <v>0.6166606921652158</v>
      </c>
      <c r="J173" s="15" t="n">
        <v>0.5108342361863488</v>
      </c>
      <c r="K173" s="15" t="n">
        <v>0.5348837209302325</v>
      </c>
      <c r="L173" s="14" t="n">
        <v>0.08177697123498329</v>
      </c>
      <c r="M173" s="14" t="n">
        <v>0.1528873810045338</v>
      </c>
      <c r="N173" s="15" t="n">
        <v>0</v>
      </c>
      <c r="O173" s="24" t="n">
        <v>0.4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WKU @ NEV</t>
        </is>
      </c>
      <c r="C174" s="17" t="inlineStr">
        <is>
          <t>2026-09-06 02:30</t>
        </is>
      </c>
      <c r="D174" s="25" t="n">
        <v>1</v>
      </c>
      <c r="E174" s="17" t="inlineStr">
        <is>
          <t>TOTAL</t>
        </is>
      </c>
      <c r="F174" s="17" t="inlineStr">
        <is>
          <t>Over 51.5</t>
        </is>
      </c>
      <c r="G174" s="26" t="n">
        <v>51.5</v>
      </c>
      <c r="H174" s="18" t="n">
        <v>-112</v>
      </c>
      <c r="I174" s="20" t="n">
        <v>0.610035756380094</v>
      </c>
      <c r="J174" s="20" t="n">
        <v>0.5043297540699688</v>
      </c>
      <c r="K174" s="20" t="n">
        <v>0.5283018867924528</v>
      </c>
      <c r="L174" s="19" t="n">
        <v>0.08173386958764117</v>
      </c>
      <c r="M174" s="19" t="n">
        <v>0.1547105388623208</v>
      </c>
      <c r="N174" s="20" t="n">
        <v>0</v>
      </c>
      <c r="O174" s="27" t="n">
        <v>0.4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WSU @ KSU</t>
        </is>
      </c>
      <c r="C175" s="12" t="inlineStr">
        <is>
          <t>2026-09-12 16:00</t>
        </is>
      </c>
      <c r="D175" s="22" t="n">
        <v>2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-112</v>
      </c>
      <c r="I175" s="15" t="n">
        <v>0.610035756380094</v>
      </c>
      <c r="J175" s="15" t="n">
        <v>0.5043297540699688</v>
      </c>
      <c r="K175" s="15" t="n">
        <v>0.5283018867924528</v>
      </c>
      <c r="L175" s="14" t="n">
        <v>0.08173386958764117</v>
      </c>
      <c r="M175" s="14" t="n">
        <v>0.1547105388623208</v>
      </c>
      <c r="N175" s="15" t="n">
        <v>0</v>
      </c>
      <c r="O175" s="24" t="n">
        <v>0.4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MERC @ NMSU</t>
        </is>
      </c>
      <c r="C176" s="17" t="inlineStr">
        <is>
          <t>2026-09-06 01:00</t>
        </is>
      </c>
      <c r="D176" s="25" t="n">
        <v>1</v>
      </c>
      <c r="E176" s="17" t="inlineStr">
        <is>
          <t>TOTAL</t>
        </is>
      </c>
      <c r="F176" s="17" t="inlineStr">
        <is>
          <t>Over 52.5</t>
        </is>
      </c>
      <c r="G176" s="26" t="n">
        <v>52.5</v>
      </c>
      <c r="H176" s="18" t="n">
        <v>-105</v>
      </c>
      <c r="I176" s="20" t="n">
        <v>0.5938547725944204</v>
      </c>
      <c r="J176" s="20" t="n">
        <v>0.4891657638136511</v>
      </c>
      <c r="K176" s="20" t="n">
        <v>0.5121951219512195</v>
      </c>
      <c r="L176" s="19" t="n">
        <v>0.08165965064320091</v>
      </c>
      <c r="M176" s="19" t="n">
        <v>0.1594307464938685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MERC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SMU @ FSU</t>
        </is>
      </c>
      <c r="C177" s="12" t="inlineStr">
        <is>
          <t>2026-09-07 23:30</t>
        </is>
      </c>
      <c r="D177" s="22" t="n">
        <v>1</v>
      </c>
      <c r="E177" s="12" t="inlineStr">
        <is>
          <t>ATS</t>
        </is>
      </c>
      <c r="F177" s="12" t="inlineStr">
        <is>
          <t>FSU +3</t>
        </is>
      </c>
      <c r="G177" s="23" t="n">
        <v>3</v>
      </c>
      <c r="H177" s="13" t="n">
        <v>-115</v>
      </c>
      <c r="I177" s="15" t="n">
        <v>0.6164677798844511</v>
      </c>
      <c r="J177" s="15" t="n">
        <v>0.5108342361863488</v>
      </c>
      <c r="K177" s="15" t="n">
        <v>0.5348837209302325</v>
      </c>
      <c r="L177" s="14" t="n">
        <v>0.08158405895421861</v>
      </c>
      <c r="M177" s="14" t="n">
        <v>0.1445959708978829</v>
      </c>
      <c r="N177" s="15" t="n">
        <v>0.052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WSU @ WASH</t>
        </is>
      </c>
      <c r="C178" s="17" t="inlineStr">
        <is>
          <t>2026-09-06 20:00</t>
        </is>
      </c>
      <c r="D178" s="25" t="n">
        <v>1</v>
      </c>
      <c r="E178" s="17" t="inlineStr">
        <is>
          <t>TOTAL</t>
        </is>
      </c>
      <c r="F178" s="17" t="inlineStr">
        <is>
          <t>Over 51.5</t>
        </is>
      </c>
      <c r="G178" s="26" t="n">
        <v>51.5</v>
      </c>
      <c r="H178" s="18" t="n">
        <v>-108</v>
      </c>
      <c r="I178" s="20" t="n">
        <v>0.6005746892088442</v>
      </c>
      <c r="J178" s="20" t="n">
        <v>0.4956702459300312</v>
      </c>
      <c r="K178" s="20" t="n">
        <v>0.5192307692307693</v>
      </c>
      <c r="L178" s="19" t="n">
        <v>0.08134391997807489</v>
      </c>
      <c r="M178" s="19" t="n">
        <v>0.1566623644022185</v>
      </c>
      <c r="N178" s="20" t="n">
        <v>0</v>
      </c>
      <c r="O178" s="27" t="n">
        <v>0.4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APP @ ECU</t>
        </is>
      </c>
      <c r="C179" s="12" t="inlineStr">
        <is>
          <t>2026-09-12 16:00</t>
        </is>
      </c>
      <c r="D179" s="22" t="n">
        <v>2</v>
      </c>
      <c r="E179" s="12" t="inlineStr">
        <is>
          <t>ATS</t>
        </is>
      </c>
      <c r="F179" s="12" t="inlineStr">
        <is>
          <t>APP +10</t>
        </is>
      </c>
      <c r="G179" s="23" t="n">
        <v>-10</v>
      </c>
      <c r="H179" s="13" t="n">
        <v>-110</v>
      </c>
      <c r="I179" s="15" t="n">
        <v>0.6039139774079374</v>
      </c>
      <c r="J179" s="15" t="n">
        <v>0.5</v>
      </c>
      <c r="K179" s="15" t="n">
        <v>0.5238095238095238</v>
      </c>
      <c r="L179" s="14" t="n">
        <v>0.08010445359841356</v>
      </c>
      <c r="M179" s="14" t="n">
        <v>0.1472965190276744</v>
      </c>
      <c r="N179" s="15" t="n">
        <v>0.0368</v>
      </c>
      <c r="O179" s="24" t="n">
        <v>0.4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SDSU @ UCLA</t>
        </is>
      </c>
      <c r="C180" s="17" t="inlineStr">
        <is>
          <t>2026-09-12 23:15</t>
        </is>
      </c>
      <c r="D180" s="25" t="n">
        <v>2</v>
      </c>
      <c r="E180" s="17" t="inlineStr">
        <is>
          <t>ATS</t>
        </is>
      </c>
      <c r="F180" s="17" t="inlineStr">
        <is>
          <t>SDSU +10</t>
        </is>
      </c>
      <c r="G180" s="26" t="n">
        <v>-10</v>
      </c>
      <c r="H180" s="18" t="n">
        <v>-110</v>
      </c>
      <c r="I180" s="20" t="n">
        <v>0.6039139774079374</v>
      </c>
      <c r="J180" s="20" t="n">
        <v>0.5</v>
      </c>
      <c r="K180" s="20" t="n">
        <v>0.5238095238095238</v>
      </c>
      <c r="L180" s="19" t="n">
        <v>0.08010445359841356</v>
      </c>
      <c r="M180" s="19" t="n">
        <v>0.1472965190276744</v>
      </c>
      <c r="N180" s="20" t="n">
        <v>0.0368</v>
      </c>
      <c r="O180" s="27" t="n">
        <v>0.4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USF @ ARMY</t>
        </is>
      </c>
      <c r="C181" s="12" t="inlineStr">
        <is>
          <t>2026-09-12 16:00</t>
        </is>
      </c>
      <c r="D181" s="22" t="n">
        <v>2</v>
      </c>
      <c r="E181" s="12" t="inlineStr">
        <is>
          <t>TOTAL</t>
        </is>
      </c>
      <c r="F181" s="12" t="inlineStr">
        <is>
          <t>Over 52.5</t>
        </is>
      </c>
      <c r="G181" s="23" t="n">
        <v>52.5</v>
      </c>
      <c r="H181" s="13" t="n">
        <v>-108</v>
      </c>
      <c r="I181" s="15" t="n">
        <v>0.5988454495137487</v>
      </c>
      <c r="J181" s="15" t="n">
        <v>0.4956702459300312</v>
      </c>
      <c r="K181" s="15" t="n">
        <v>0.5192307692307693</v>
      </c>
      <c r="L181" s="14" t="n">
        <v>0.07961468028297947</v>
      </c>
      <c r="M181" s="14" t="n">
        <v>0.153331976841294</v>
      </c>
      <c r="N181" s="15" t="n">
        <v>0</v>
      </c>
      <c r="O181" s="24" t="n">
        <v>0.4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USA @ TULN</t>
        </is>
      </c>
      <c r="C182" s="17" t="inlineStr">
        <is>
          <t>2026-09-12 23:00</t>
        </is>
      </c>
      <c r="D182" s="25" t="n">
        <v>2</v>
      </c>
      <c r="E182" s="17" t="inlineStr">
        <is>
          <t>ATS</t>
        </is>
      </c>
      <c r="F182" s="17" t="inlineStr">
        <is>
          <t>USA +10</t>
        </is>
      </c>
      <c r="G182" s="26" t="n">
        <v>-10</v>
      </c>
      <c r="H182" s="18" t="n">
        <v>-112</v>
      </c>
      <c r="I182" s="20" t="n">
        <v>0.6060788544429219</v>
      </c>
      <c r="J182" s="20" t="n">
        <v>0.5043297540699688</v>
      </c>
      <c r="K182" s="20" t="n">
        <v>0.5283018867924528</v>
      </c>
      <c r="L182" s="19" t="n">
        <v>0.07777696765046904</v>
      </c>
      <c r="M182" s="19" t="n">
        <v>0.1418005961865598</v>
      </c>
      <c r="N182" s="20" t="n">
        <v>0.0368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SDST @ NU</t>
        </is>
      </c>
      <c r="C183" s="12" t="inlineStr">
        <is>
          <t>2026-09-06 00:00</t>
        </is>
      </c>
      <c r="D183" s="22" t="n">
        <v>1</v>
      </c>
      <c r="E183" s="12" t="inlineStr">
        <is>
          <t>ML</t>
        </is>
      </c>
      <c r="F183" s="12" t="inlineStr">
        <is>
          <t>SDST ML</t>
        </is>
      </c>
      <c r="G183" s="23" t="n"/>
      <c r="H183" s="13" t="n">
        <v>370</v>
      </c>
      <c r="I183" s="15" t="n">
        <v>0.2898746393275382</v>
      </c>
      <c r="J183" s="15" t="n">
        <v>0.2042241228835748</v>
      </c>
      <c r="K183" s="15" t="n">
        <v>0.2127659574468085</v>
      </c>
      <c r="L183" s="14" t="n">
        <v>0.0771086818807297</v>
      </c>
      <c r="M183" s="14" t="n">
        <v>0.3624108048394297</v>
      </c>
      <c r="N183" s="15" t="n">
        <v>0</v>
      </c>
      <c r="O183" s="24" t="n">
        <v>0.4</v>
      </c>
      <c r="P183" s="12" t="inlineStr">
        <is>
          <t>DraftKings</t>
        </is>
      </c>
      <c r="Q183" s="12" t="inlineStr">
        <is>
          <t>SDST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SEMO @ ISU</t>
        </is>
      </c>
      <c r="C184" s="17" t="inlineStr">
        <is>
          <t>2026-09-05 17:00</t>
        </is>
      </c>
      <c r="D184" s="25" t="n">
        <v>1</v>
      </c>
      <c r="E184" s="17" t="inlineStr">
        <is>
          <t>TOTAL</t>
        </is>
      </c>
      <c r="F184" s="17" t="inlineStr">
        <is>
          <t>Over 52.5</t>
        </is>
      </c>
      <c r="G184" s="26" t="n">
        <v>52.5</v>
      </c>
      <c r="H184" s="18" t="n">
        <v>-112</v>
      </c>
      <c r="I184" s="20" t="n">
        <v>0.6031752035837175</v>
      </c>
      <c r="J184" s="20" t="n">
        <v>0.5043297540699688</v>
      </c>
      <c r="K184" s="20" t="n">
        <v>0.5283018867924528</v>
      </c>
      <c r="L184" s="19" t="n">
        <v>0.07487331679126463</v>
      </c>
      <c r="M184" s="19" t="n">
        <v>0.1417244924977509</v>
      </c>
      <c r="N184" s="20" t="n">
        <v>0</v>
      </c>
      <c r="O184" s="27" t="n">
        <v>0.4</v>
      </c>
      <c r="P184" s="17" t="inlineStr">
        <is>
          <t>DraftKings</t>
        </is>
      </c>
      <c r="Q184" s="17" t="inlineStr">
        <is>
          <t>SEMO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NORF @ ODU</t>
        </is>
      </c>
      <c r="C185" s="12" t="inlineStr">
        <is>
          <t>2026-09-05 22:00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-112</v>
      </c>
      <c r="I185" s="15" t="n">
        <v>0.6031752035837175</v>
      </c>
      <c r="J185" s="15" t="n">
        <v>0.5043297540699688</v>
      </c>
      <c r="K185" s="15" t="n">
        <v>0.5283018867924528</v>
      </c>
      <c r="L185" s="14" t="n">
        <v>0.07487331679126463</v>
      </c>
      <c r="M185" s="14" t="n">
        <v>0.1417244924977509</v>
      </c>
      <c r="N185" s="15" t="n">
        <v>0</v>
      </c>
      <c r="O185" s="24" t="n">
        <v>0.4</v>
      </c>
      <c r="P185" s="12" t="inlineStr">
        <is>
          <t>DraftKings</t>
        </is>
      </c>
      <c r="Q185" s="12" t="inlineStr">
        <is>
          <t>NORF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BAY @ AUB</t>
        </is>
      </c>
      <c r="C186" s="17" t="inlineStr">
        <is>
          <t>2026-09-05 19:30</t>
        </is>
      </c>
      <c r="D186" s="25" t="n">
        <v>1</v>
      </c>
      <c r="E186" s="17" t="inlineStr">
        <is>
          <t>TOTAL</t>
        </is>
      </c>
      <c r="F186" s="17" t="inlineStr">
        <is>
          <t>Under 57.5</t>
        </is>
      </c>
      <c r="G186" s="26" t="n">
        <v>57.5</v>
      </c>
      <c r="H186" s="18" t="n">
        <v>-105</v>
      </c>
      <c r="I186" s="20" t="n">
        <v>0.5868116075696502</v>
      </c>
      <c r="J186" s="20" t="n">
        <v>0.4891657638136511</v>
      </c>
      <c r="K186" s="20" t="n">
        <v>0.5121951219512195</v>
      </c>
      <c r="L186" s="19" t="n">
        <v>0.07461648561843071</v>
      </c>
      <c r="M186" s="19" t="n">
        <v>0.1456798052550313</v>
      </c>
      <c r="N186" s="20" t="n">
        <v>0</v>
      </c>
      <c r="O186" s="27" t="n">
        <v>0.4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ARST @ MEM</t>
        </is>
      </c>
      <c r="C187" s="12" t="inlineStr">
        <is>
          <t>2026-09-05 23:00</t>
        </is>
      </c>
      <c r="D187" s="22" t="n">
        <v>1</v>
      </c>
      <c r="E187" s="12" t="inlineStr">
        <is>
          <t>ATS</t>
        </is>
      </c>
      <c r="F187" s="12" t="inlineStr">
        <is>
          <t>ARST +10.5</t>
        </is>
      </c>
      <c r="G187" s="23" t="n">
        <v>-10.5</v>
      </c>
      <c r="H187" s="13" t="n">
        <v>-108</v>
      </c>
      <c r="I187" s="15" t="n">
        <v>0.5938368324000109</v>
      </c>
      <c r="J187" s="15" t="n">
        <v>0.4956702459300312</v>
      </c>
      <c r="K187" s="15" t="n">
        <v>0.5192307692307693</v>
      </c>
      <c r="L187" s="14" t="n">
        <v>0.07460606316924168</v>
      </c>
      <c r="M187" s="14" t="n">
        <v>0.14368575128891</v>
      </c>
      <c r="N187" s="15" t="n">
        <v>0</v>
      </c>
      <c r="O187" s="24" t="n">
        <v>0.4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CLEM @ LSU</t>
        </is>
      </c>
      <c r="C188" s="17" t="inlineStr">
        <is>
          <t>2026-09-05 23:30</t>
        </is>
      </c>
      <c r="D188" s="25" t="n">
        <v>1</v>
      </c>
      <c r="E188" s="17" t="inlineStr">
        <is>
          <t>ATS</t>
        </is>
      </c>
      <c r="F188" s="17" t="inlineStr">
        <is>
          <t>CLEM +10</t>
        </is>
      </c>
      <c r="G188" s="26" t="n">
        <v>-10</v>
      </c>
      <c r="H188" s="18" t="n">
        <v>-115</v>
      </c>
      <c r="I188" s="20" t="n">
        <v>0.6093310955011119</v>
      </c>
      <c r="J188" s="20" t="n">
        <v>0.5108342361863488</v>
      </c>
      <c r="K188" s="20" t="n">
        <v>0.5348837209302325</v>
      </c>
      <c r="L188" s="19" t="n">
        <v>0.07444737457087935</v>
      </c>
      <c r="M188" s="19" t="n">
        <v>0.1340600008602142</v>
      </c>
      <c r="N188" s="20" t="n">
        <v>0.0368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WIS @ ND</t>
        </is>
      </c>
      <c r="C189" s="12" t="inlineStr">
        <is>
          <t>2026-09-06 23:30</t>
        </is>
      </c>
      <c r="D189" s="22" t="n">
        <v>1</v>
      </c>
      <c r="E189" s="12" t="inlineStr">
        <is>
          <t>TOTAL</t>
        </is>
      </c>
      <c r="F189" s="12" t="inlineStr">
        <is>
          <t>Over 46.5</t>
        </is>
      </c>
      <c r="G189" s="23" t="n">
        <v>46.5</v>
      </c>
      <c r="H189" s="13" t="n">
        <v>-110</v>
      </c>
      <c r="I189" s="15" t="n">
        <v>0.5957679676141703</v>
      </c>
      <c r="J189" s="15" t="n">
        <v>0.5</v>
      </c>
      <c r="K189" s="15" t="n">
        <v>0.5238095238095238</v>
      </c>
      <c r="L189" s="14" t="n">
        <v>0.07195844380464644</v>
      </c>
      <c r="M189" s="14" t="n">
        <v>0.1373752108997797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UTSA @ TXST</t>
        </is>
      </c>
      <c r="C190" s="17" t="inlineStr">
        <is>
          <t>2026-09-12 19:30</t>
        </is>
      </c>
      <c r="D190" s="25" t="n">
        <v>2</v>
      </c>
      <c r="E190" s="17" t="inlineStr">
        <is>
          <t>TOTAL</t>
        </is>
      </c>
      <c r="F190" s="17" t="inlineStr">
        <is>
          <t>Under 64.5</t>
        </is>
      </c>
      <c r="G190" s="26" t="n">
        <v>64.5</v>
      </c>
      <c r="H190" s="18" t="n">
        <v>-112</v>
      </c>
      <c r="I190" s="20" t="n">
        <v>0.5996892597196246</v>
      </c>
      <c r="J190" s="20" t="n">
        <v>0.5043297540699688</v>
      </c>
      <c r="K190" s="20" t="n">
        <v>0.5283018867924528</v>
      </c>
      <c r="L190" s="19" t="n">
        <v>0.07138737292717179</v>
      </c>
      <c r="M190" s="19" t="n">
        <v>0.1351260987550037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UCLA @ CAL</t>
        </is>
      </c>
      <c r="C191" s="12" t="inlineStr">
        <is>
          <t>2026-09-06 02:30</t>
        </is>
      </c>
      <c r="D191" s="22" t="n">
        <v>1</v>
      </c>
      <c r="E191" s="12" t="inlineStr">
        <is>
          <t>ATS</t>
        </is>
      </c>
      <c r="F191" s="12" t="inlineStr">
        <is>
          <t>CAL +2.5</t>
        </is>
      </c>
      <c r="G191" s="23" t="n">
        <v>2.5</v>
      </c>
      <c r="H191" s="13" t="n">
        <v>-108</v>
      </c>
      <c r="I191" s="15" t="n">
        <v>0.5893436373748479</v>
      </c>
      <c r="J191" s="15" t="n">
        <v>0.4956702459300312</v>
      </c>
      <c r="K191" s="15" t="n">
        <v>0.5192307692307693</v>
      </c>
      <c r="L191" s="14" t="n">
        <v>0.07011286814407858</v>
      </c>
      <c r="M191" s="14" t="n">
        <v>0.135032190499707</v>
      </c>
      <c r="N191" s="15" t="n">
        <v>0</v>
      </c>
      <c r="O191" s="24" t="n">
        <v>0.4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EMU @ MSU</t>
        </is>
      </c>
      <c r="C192" s="17" t="inlineStr">
        <is>
          <t>2026-09-12 19:30</t>
        </is>
      </c>
      <c r="D192" s="25" t="n">
        <v>2</v>
      </c>
      <c r="E192" s="17" t="inlineStr">
        <is>
          <t>TOTAL</t>
        </is>
      </c>
      <c r="F192" s="17" t="inlineStr">
        <is>
          <t>Over 51.5</t>
        </is>
      </c>
      <c r="G192" s="26" t="n">
        <v>51.5</v>
      </c>
      <c r="H192" s="18" t="n">
        <v>-112</v>
      </c>
      <c r="I192" s="20" t="n">
        <v>0.5979328126368354</v>
      </c>
      <c r="J192" s="20" t="n">
        <v>0.5043297540699688</v>
      </c>
      <c r="K192" s="20" t="n">
        <v>0.5283018867924528</v>
      </c>
      <c r="L192" s="19" t="n">
        <v>0.06963092584438257</v>
      </c>
      <c r="M192" s="19" t="n">
        <v>0.1318013953482955</v>
      </c>
      <c r="N192" s="20" t="n">
        <v>0</v>
      </c>
      <c r="O192" s="27" t="n">
        <v>0.725</v>
      </c>
      <c r="P192" s="17" t="inlineStr">
        <is>
          <t>DraftKings</t>
        </is>
      </c>
      <c r="Q192" s="17" t="inlineStr">
        <is>
          <t>correlated with a stronger play on the same game</t>
        </is>
      </c>
    </row>
    <row r="193">
      <c r="A193" s="12" t="inlineStr">
        <is>
          <t>PASS</t>
        </is>
      </c>
      <c r="B193" s="12" t="inlineStr">
        <is>
          <t>CMU @ UNM</t>
        </is>
      </c>
      <c r="C193" s="12" t="inlineStr">
        <is>
          <t>2026-09-06 02:00</t>
        </is>
      </c>
      <c r="D193" s="22" t="n">
        <v>1</v>
      </c>
      <c r="E193" s="12" t="inlineStr">
        <is>
          <t>ML</t>
        </is>
      </c>
      <c r="F193" s="12" t="inlineStr">
        <is>
          <t>CMU ML</t>
        </is>
      </c>
      <c r="G193" s="23" t="n"/>
      <c r="H193" s="13" t="n">
        <v>340</v>
      </c>
      <c r="I193" s="15" t="n">
        <v>0.2968094276434246</v>
      </c>
      <c r="J193" s="15" t="n">
        <v>0.2180936995153474</v>
      </c>
      <c r="K193" s="15" t="n">
        <v>0.2272727272727273</v>
      </c>
      <c r="L193" s="14" t="n">
        <v>0.06953670037069729</v>
      </c>
      <c r="M193" s="14" t="n">
        <v>0.3059614816310681</v>
      </c>
      <c r="N193" s="15" t="n">
        <v>0</v>
      </c>
      <c r="O193" s="24" t="n">
        <v>0.4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UCLA @ CAL</t>
        </is>
      </c>
      <c r="C194" s="17" t="inlineStr">
        <is>
          <t>2026-09-06 02:30</t>
        </is>
      </c>
      <c r="D194" s="25" t="n">
        <v>1</v>
      </c>
      <c r="E194" s="17" t="inlineStr">
        <is>
          <t>ML</t>
        </is>
      </c>
      <c r="F194" s="17" t="inlineStr">
        <is>
          <t>CAL ML</t>
        </is>
      </c>
      <c r="G194" s="26" t="n"/>
      <c r="H194" s="18" t="n">
        <v>114</v>
      </c>
      <c r="I194" s="20" t="n">
        <v>0.5365168647559746</v>
      </c>
      <c r="J194" s="20" t="n">
        <v>0.448558885283451</v>
      </c>
      <c r="K194" s="20" t="n">
        <v>0.4672897196261682</v>
      </c>
      <c r="L194" s="19" t="n">
        <v>0.06922714512980638</v>
      </c>
      <c r="M194" s="19" t="n">
        <v>0.1481460905777855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MSST @ MINN</t>
        </is>
      </c>
      <c r="C195" s="12" t="inlineStr">
        <is>
          <t>2026-09-12 19:30</t>
        </is>
      </c>
      <c r="D195" s="22" t="n">
        <v>2</v>
      </c>
      <c r="E195" s="12" t="inlineStr">
        <is>
          <t>TOTAL</t>
        </is>
      </c>
      <c r="F195" s="12" t="inlineStr">
        <is>
          <t>Over 53.5</t>
        </is>
      </c>
      <c r="G195" s="23" t="n">
        <v>53.5</v>
      </c>
      <c r="H195" s="13" t="n">
        <v>-108</v>
      </c>
      <c r="I195" s="15" t="n">
        <v>0.5882813760047222</v>
      </c>
      <c r="J195" s="15" t="n">
        <v>0.4956702459300312</v>
      </c>
      <c r="K195" s="15" t="n">
        <v>0.5192307692307693</v>
      </c>
      <c r="L195" s="14" t="n">
        <v>0.06905060677395292</v>
      </c>
      <c r="M195" s="14" t="n">
        <v>0.1329863537868724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MEM @ BOIS</t>
        </is>
      </c>
      <c r="C196" s="17" t="inlineStr">
        <is>
          <t>2026-09-12 22:00</t>
        </is>
      </c>
      <c r="D196" s="25" t="n">
        <v>2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-112</v>
      </c>
      <c r="I196" s="20" t="n">
        <v>0.596167550975242</v>
      </c>
      <c r="J196" s="20" t="n">
        <v>0.5043297540699688</v>
      </c>
      <c r="K196" s="20" t="n">
        <v>0.5283018867924528</v>
      </c>
      <c r="L196" s="19" t="n">
        <v>0.06786566418278916</v>
      </c>
      <c r="M196" s="19" t="n">
        <v>0.1284600072031366</v>
      </c>
      <c r="N196" s="20" t="n">
        <v>0</v>
      </c>
      <c r="O196" s="27" t="n">
        <v>0.4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WKU @ UGA</t>
        </is>
      </c>
      <c r="C197" s="12" t="inlineStr">
        <is>
          <t>2026-09-12 16:45</t>
        </is>
      </c>
      <c r="D197" s="22" t="n">
        <v>2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-112</v>
      </c>
      <c r="I197" s="15" t="n">
        <v>0.5943936120446067</v>
      </c>
      <c r="J197" s="15" t="n">
        <v>0.5043297540699688</v>
      </c>
      <c r="K197" s="15" t="n">
        <v>0.5283018867924528</v>
      </c>
      <c r="L197" s="14" t="n">
        <v>0.0660917252521539</v>
      </c>
      <c r="M197" s="14" t="n">
        <v>0.1251021942272913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PRST @ SDSU</t>
        </is>
      </c>
      <c r="C198" s="17" t="inlineStr">
        <is>
          <t>2026-09-06 01:30</t>
        </is>
      </c>
      <c r="D198" s="25" t="n">
        <v>1</v>
      </c>
      <c r="E198" s="17" t="inlineStr">
        <is>
          <t>TOTAL</t>
        </is>
      </c>
      <c r="F198" s="17" t="inlineStr">
        <is>
          <t>Under 62.5</t>
        </is>
      </c>
      <c r="G198" s="26" t="n">
        <v>62.5</v>
      </c>
      <c r="H198" s="18" t="n">
        <v>-118</v>
      </c>
      <c r="I198" s="20" t="n">
        <v>0.6062064451710399</v>
      </c>
      <c r="J198" s="20" t="n">
        <v>0.5173641257162701</v>
      </c>
      <c r="K198" s="20" t="n">
        <v>0.5412844036697247</v>
      </c>
      <c r="L198" s="19" t="n">
        <v>0.0649220415013152</v>
      </c>
      <c r="M198" s="19" t="n">
        <v>0.1199407207397178</v>
      </c>
      <c r="N198" s="20" t="n">
        <v>0</v>
      </c>
      <c r="O198" s="27" t="n">
        <v>0.4</v>
      </c>
      <c r="P198" s="17" t="inlineStr">
        <is>
          <t>DraftKings</t>
        </is>
      </c>
      <c r="Q198" s="17" t="inlineStr">
        <is>
          <t>PRST isn't a full FBS participant this season — model doesn't rate them reliably</t>
        </is>
      </c>
    </row>
    <row r="199">
      <c r="A199" s="12" t="inlineStr">
        <is>
          <t>PASS</t>
        </is>
      </c>
      <c r="B199" s="12" t="inlineStr">
        <is>
          <t>ARST @ MEM</t>
        </is>
      </c>
      <c r="C199" s="12" t="inlineStr">
        <is>
          <t>2026-09-05 23:00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-115</v>
      </c>
      <c r="I199" s="15" t="n">
        <v>0.5994197920334319</v>
      </c>
      <c r="J199" s="15" t="n">
        <v>0.5108342361863488</v>
      </c>
      <c r="K199" s="15" t="n">
        <v>0.5348837209302325</v>
      </c>
      <c r="L199" s="14" t="n">
        <v>0.06453607110319937</v>
      </c>
      <c r="M199" s="14" t="n">
        <v>0.1206543938016335</v>
      </c>
      <c r="N199" s="15" t="n">
        <v>0</v>
      </c>
      <c r="O199" s="24" t="n">
        <v>0.4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UCF @ PITT</t>
        </is>
      </c>
      <c r="C200" s="17" t="inlineStr">
        <is>
          <t>2026-09-12 19:30</t>
        </is>
      </c>
      <c r="D200" s="25" t="n">
        <v>2</v>
      </c>
      <c r="E200" s="17" t="inlineStr">
        <is>
          <t>ATS</t>
        </is>
      </c>
      <c r="F200" s="17" t="inlineStr">
        <is>
          <t>UCF +8.5</t>
        </is>
      </c>
      <c r="G200" s="26" t="n">
        <v>-8.5</v>
      </c>
      <c r="H200" s="18" t="n">
        <v>-110</v>
      </c>
      <c r="I200" s="20" t="n">
        <v>0.5874116956811707</v>
      </c>
      <c r="J200" s="20" t="n">
        <v>0.5</v>
      </c>
      <c r="K200" s="20" t="n">
        <v>0.5238095238095238</v>
      </c>
      <c r="L200" s="19" t="n">
        <v>0.06360217187164685</v>
      </c>
      <c r="M200" s="19" t="n">
        <v>0.1214223281185987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MD @ CONN</t>
        </is>
      </c>
      <c r="C201" s="12" t="inlineStr">
        <is>
          <t>2026-09-12 19:30</t>
        </is>
      </c>
      <c r="D201" s="22" t="n">
        <v>2</v>
      </c>
      <c r="E201" s="12" t="inlineStr">
        <is>
          <t>TOTAL</t>
        </is>
      </c>
      <c r="F201" s="12" t="inlineStr">
        <is>
          <t>Over 53.5</t>
        </is>
      </c>
      <c r="G201" s="23" t="n">
        <v>53.5</v>
      </c>
      <c r="H201" s="13" t="n">
        <v>-115</v>
      </c>
      <c r="I201" s="15" t="n">
        <v>0.5976458525343841</v>
      </c>
      <c r="J201" s="15" t="n">
        <v>0.5108342361863488</v>
      </c>
      <c r="K201" s="15" t="n">
        <v>0.5348837209302325</v>
      </c>
      <c r="L201" s="14" t="n">
        <v>0.06276213160415156</v>
      </c>
      <c r="M201" s="14" t="n">
        <v>0.1173378982164571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SHSU @ TROY</t>
        </is>
      </c>
      <c r="C202" s="17" t="inlineStr">
        <is>
          <t>2026-09-05 23:00</t>
        </is>
      </c>
      <c r="D202" s="25" t="n">
        <v>1</v>
      </c>
      <c r="E202" s="17" t="inlineStr">
        <is>
          <t>TOTAL</t>
        </is>
      </c>
      <c r="F202" s="17" t="inlineStr">
        <is>
          <t>Over 52.5</t>
        </is>
      </c>
      <c r="G202" s="26" t="n">
        <v>52.5</v>
      </c>
      <c r="H202" s="18" t="n">
        <v>-118</v>
      </c>
      <c r="I202" s="20" t="n">
        <v>0.6026847367983925</v>
      </c>
      <c r="J202" s="20" t="n">
        <v>0.5173641257162701</v>
      </c>
      <c r="K202" s="20" t="n">
        <v>0.5412844036697247</v>
      </c>
      <c r="L202" s="19" t="n">
        <v>0.06140033312866777</v>
      </c>
      <c r="M202" s="19" t="n">
        <v>0.1134345137461827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EKU @ JVST</t>
        </is>
      </c>
      <c r="C203" s="12" t="inlineStr">
        <is>
          <t>2026-09-05 23:00</t>
        </is>
      </c>
      <c r="D203" s="22" t="n">
        <v>1</v>
      </c>
      <c r="E203" s="12" t="inlineStr">
        <is>
          <t>TOTAL</t>
        </is>
      </c>
      <c r="F203" s="12" t="inlineStr">
        <is>
          <t>Over 52.5</t>
        </is>
      </c>
      <c r="G203" s="23" t="n">
        <v>52.5</v>
      </c>
      <c r="H203" s="13" t="n">
        <v>-115</v>
      </c>
      <c r="I203" s="15" t="n">
        <v>0.595863371732244</v>
      </c>
      <c r="J203" s="15" t="n">
        <v>0.5108342361863488</v>
      </c>
      <c r="K203" s="15" t="n">
        <v>0.5348837209302325</v>
      </c>
      <c r="L203" s="14" t="n">
        <v>0.06097965080201151</v>
      </c>
      <c r="M203" s="14" t="n">
        <v>0.1140054341081083</v>
      </c>
      <c r="N203" s="15" t="n">
        <v>0</v>
      </c>
      <c r="O203" s="24" t="n">
        <v>0.4</v>
      </c>
      <c r="P203" s="12" t="inlineStr">
        <is>
          <t>DraftKings</t>
        </is>
      </c>
      <c r="Q203" s="12" t="inlineStr">
        <is>
          <t>EKU isn't a full FBS participant this season — model doesn't rate them reliably</t>
        </is>
      </c>
    </row>
    <row r="204">
      <c r="A204" s="17" t="inlineStr">
        <is>
          <t>PASS</t>
        </is>
      </c>
      <c r="B204" s="17" t="inlineStr">
        <is>
          <t>TLSA @ SHSU</t>
        </is>
      </c>
      <c r="C204" s="17" t="inlineStr">
        <is>
          <t>2026-09-12 23:00</t>
        </is>
      </c>
      <c r="D204" s="25" t="n">
        <v>2</v>
      </c>
      <c r="E204" s="17" t="inlineStr">
        <is>
          <t>TOTAL</t>
        </is>
      </c>
      <c r="F204" s="17" t="inlineStr">
        <is>
          <t>Over 53.5</t>
        </is>
      </c>
      <c r="G204" s="26" t="n">
        <v>53.5</v>
      </c>
      <c r="H204" s="18" t="n">
        <v>-112</v>
      </c>
      <c r="I204" s="20" t="n">
        <v>0.5872138239692901</v>
      </c>
      <c r="J204" s="20" t="n">
        <v>0.5043297540699688</v>
      </c>
      <c r="K204" s="20" t="n">
        <v>0.5283018867924528</v>
      </c>
      <c r="L204" s="19" t="n">
        <v>0.05891193717683729</v>
      </c>
      <c r="M204" s="19" t="n">
        <v>0.1115118810847276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CAL @ SYR</t>
        </is>
      </c>
      <c r="C205" s="12" t="inlineStr">
        <is>
          <t>2026-09-12 19:30</t>
        </is>
      </c>
      <c r="D205" s="22" t="n">
        <v>2</v>
      </c>
      <c r="E205" s="12" t="inlineStr">
        <is>
          <t>ATS</t>
        </is>
      </c>
      <c r="F205" s="12" t="inlineStr">
        <is>
          <t>SYR +1.5</t>
        </is>
      </c>
      <c r="G205" s="23" t="n">
        <v>1.5</v>
      </c>
      <c r="H205" s="13" t="n">
        <v>-108</v>
      </c>
      <c r="I205" s="15" t="n">
        <v>0.5772142505009505</v>
      </c>
      <c r="J205" s="15" t="n">
        <v>0.4956702459300312</v>
      </c>
      <c r="K205" s="15" t="n">
        <v>0.5192307692307693</v>
      </c>
      <c r="L205" s="14" t="n">
        <v>0.05798348127018127</v>
      </c>
      <c r="M205" s="14" t="n">
        <v>0.1116718898536826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CLEM @ LSU</t>
        </is>
      </c>
      <c r="C206" s="17" t="inlineStr">
        <is>
          <t>2026-09-05 23:30</t>
        </is>
      </c>
      <c r="D206" s="25" t="n">
        <v>1</v>
      </c>
      <c r="E206" s="17" t="inlineStr">
        <is>
          <t>ML</t>
        </is>
      </c>
      <c r="F206" s="17" t="inlineStr">
        <is>
          <t>CLEM ML</t>
        </is>
      </c>
      <c r="G206" s="26" t="n"/>
      <c r="H206" s="18" t="n">
        <v>300</v>
      </c>
      <c r="I206" s="20" t="n">
        <v>0.3077625778857509</v>
      </c>
      <c r="J206" s="20" t="n">
        <v>0.24</v>
      </c>
      <c r="K206" s="20" t="n">
        <v>0.25</v>
      </c>
      <c r="L206" s="19" t="n">
        <v>0.0577625778857509</v>
      </c>
      <c r="M206" s="19" t="n">
        <v>0.2310503115430036</v>
      </c>
      <c r="N206" s="20" t="n">
        <v>0</v>
      </c>
      <c r="O206" s="27" t="n">
        <v>0.4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USA @ TULN</t>
        </is>
      </c>
      <c r="C207" s="12" t="inlineStr">
        <is>
          <t>2026-09-12 23:00</t>
        </is>
      </c>
      <c r="D207" s="22" t="n">
        <v>2</v>
      </c>
      <c r="E207" s="12" t="inlineStr">
        <is>
          <t>ML</t>
        </is>
      </c>
      <c r="F207" s="12" t="inlineStr">
        <is>
          <t>USA ML</t>
        </is>
      </c>
      <c r="G207" s="23" t="n"/>
      <c r="H207" s="13" t="n">
        <v>300</v>
      </c>
      <c r="I207" s="15" t="n">
        <v>0.3077625778857509</v>
      </c>
      <c r="J207" s="15" t="n">
        <v>0.24</v>
      </c>
      <c r="K207" s="15" t="n">
        <v>0.25</v>
      </c>
      <c r="L207" s="14" t="n">
        <v>0.0577625778857509</v>
      </c>
      <c r="M207" s="14" t="n">
        <v>0.2310503115430036</v>
      </c>
      <c r="N207" s="15" t="n">
        <v>0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ME @ APP</t>
        </is>
      </c>
      <c r="C208" s="17" t="inlineStr">
        <is>
          <t>2026-09-05 19:30</t>
        </is>
      </c>
      <c r="D208" s="25" t="n">
        <v>1</v>
      </c>
      <c r="E208" s="17" t="inlineStr">
        <is>
          <t>TOTAL</t>
        </is>
      </c>
      <c r="F208" s="17" t="inlineStr">
        <is>
          <t>Over 53.5</t>
        </is>
      </c>
      <c r="G208" s="26" t="n">
        <v>53.5</v>
      </c>
      <c r="H208" s="18" t="n">
        <v>-115</v>
      </c>
      <c r="I208" s="20" t="n">
        <v>0.5922733357798803</v>
      </c>
      <c r="J208" s="20" t="n">
        <v>0.5108342361863488</v>
      </c>
      <c r="K208" s="20" t="n">
        <v>0.5348837209302325</v>
      </c>
      <c r="L208" s="19" t="n">
        <v>0.05738961484964777</v>
      </c>
      <c r="M208" s="19" t="n">
        <v>0.1072936277623848</v>
      </c>
      <c r="N208" s="20" t="n">
        <v>0</v>
      </c>
      <c r="O208" s="27" t="n">
        <v>0.4</v>
      </c>
      <c r="P208" s="17" t="inlineStr">
        <is>
          <t>DraftKings</t>
        </is>
      </c>
      <c r="Q208" s="17" t="inlineStr">
        <is>
          <t>ME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UNA @ ARK</t>
        </is>
      </c>
      <c r="C209" s="12" t="inlineStr">
        <is>
          <t>2026-09-05 20:15</t>
        </is>
      </c>
      <c r="D209" s="22" t="n">
        <v>1</v>
      </c>
      <c r="E209" s="12" t="inlineStr">
        <is>
          <t>TOTAL</t>
        </is>
      </c>
      <c r="F209" s="12" t="inlineStr">
        <is>
          <t>Under 63.5</t>
        </is>
      </c>
      <c r="G209" s="23" t="n">
        <v>63.5</v>
      </c>
      <c r="H209" s="13" t="n">
        <v>-115</v>
      </c>
      <c r="I209" s="15" t="n">
        <v>0.5922733347488741</v>
      </c>
      <c r="J209" s="15" t="n">
        <v>0.5108342361863488</v>
      </c>
      <c r="K209" s="15" t="n">
        <v>0.5348837209302325</v>
      </c>
      <c r="L209" s="14" t="n">
        <v>0.0573896138186416</v>
      </c>
      <c r="M209" s="14" t="n">
        <v>0.1072936258348515</v>
      </c>
      <c r="N209" s="15" t="n">
        <v>0</v>
      </c>
      <c r="O209" s="24" t="n">
        <v>0.4</v>
      </c>
      <c r="P209" s="12" t="inlineStr">
        <is>
          <t>DraftKings</t>
        </is>
      </c>
      <c r="Q209" s="12" t="inlineStr">
        <is>
          <t>UNA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NMSU @ HAW</t>
        </is>
      </c>
      <c r="C210" s="17" t="inlineStr">
        <is>
          <t>2026-09-13 03:59</t>
        </is>
      </c>
      <c r="D210" s="25" t="n">
        <v>2</v>
      </c>
      <c r="E210" s="17" t="inlineStr">
        <is>
          <t>ML</t>
        </is>
      </c>
      <c r="F210" s="17" t="inlineStr">
        <is>
          <t>NMSU ML</t>
        </is>
      </c>
      <c r="G210" s="26" t="n"/>
      <c r="H210" s="18" t="n">
        <v>310</v>
      </c>
      <c r="I210" s="20" t="n">
        <v>0.3012502903256988</v>
      </c>
      <c r="J210" s="20" t="n">
        <v>0.2340978954835659</v>
      </c>
      <c r="K210" s="20" t="n">
        <v>0.2439024390243902</v>
      </c>
      <c r="L210" s="19" t="n">
        <v>0.05734785130130859</v>
      </c>
      <c r="M210" s="19" t="n">
        <v>0.2351261903353651</v>
      </c>
      <c r="N210" s="20" t="n">
        <v>0</v>
      </c>
      <c r="O210" s="27" t="n">
        <v>0.725</v>
      </c>
      <c r="P210" s="17" t="inlineStr">
        <is>
          <t>DraftKings</t>
        </is>
      </c>
      <c r="Q210" s="17" t="inlineStr">
        <is>
          <t>correlated with a stronger play on the same game</t>
        </is>
      </c>
    </row>
    <row r="211">
      <c r="A211" s="12" t="inlineStr">
        <is>
          <t>PASS</t>
        </is>
      </c>
      <c r="B211" s="12" t="inlineStr">
        <is>
          <t>MOST @ TA&amp;M</t>
        </is>
      </c>
      <c r="C211" s="12" t="inlineStr">
        <is>
          <t>2026-09-05 23:00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-112</v>
      </c>
      <c r="I211" s="15" t="n">
        <v>0.5853985771098562</v>
      </c>
      <c r="J211" s="15" t="n">
        <v>0.5043297540699688</v>
      </c>
      <c r="K211" s="15" t="n">
        <v>0.5283018867924528</v>
      </c>
      <c r="L211" s="14" t="n">
        <v>0.05709669031740339</v>
      </c>
      <c r="M211" s="14" t="n">
        <v>0.1080758781007992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UCLA @ CAL</t>
        </is>
      </c>
      <c r="C212" s="17" t="inlineStr">
        <is>
          <t>2026-09-06 02:30</t>
        </is>
      </c>
      <c r="D212" s="25" t="n">
        <v>1</v>
      </c>
      <c r="E212" s="17" t="inlineStr">
        <is>
          <t>TOTAL</t>
        </is>
      </c>
      <c r="F212" s="17" t="inlineStr">
        <is>
          <t>Over 53.5</t>
        </is>
      </c>
      <c r="G212" s="26" t="n">
        <v>53.5</v>
      </c>
      <c r="H212" s="18" t="n">
        <v>-112</v>
      </c>
      <c r="I212" s="20" t="n">
        <v>0.5853985771098562</v>
      </c>
      <c r="J212" s="20" t="n">
        <v>0.5043297540699688</v>
      </c>
      <c r="K212" s="20" t="n">
        <v>0.5283018867924528</v>
      </c>
      <c r="L212" s="19" t="n">
        <v>0.05709669031740339</v>
      </c>
      <c r="M212" s="19" t="n">
        <v>0.1080758781007992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ARK @ UTAH</t>
        </is>
      </c>
      <c r="C213" s="12" t="inlineStr">
        <is>
          <t>2026-09-13 02:15</t>
        </is>
      </c>
      <c r="D213" s="22" t="n">
        <v>2</v>
      </c>
      <c r="E213" s="12" t="inlineStr">
        <is>
          <t>ATS</t>
        </is>
      </c>
      <c r="F213" s="12" t="inlineStr">
        <is>
          <t>ARK +9.5</t>
        </is>
      </c>
      <c r="G213" s="23" t="n">
        <v>-9.5</v>
      </c>
      <c r="H213" s="13" t="n">
        <v>-112</v>
      </c>
      <c r="I213" s="15" t="n">
        <v>0.5844781708822786</v>
      </c>
      <c r="J213" s="15" t="n">
        <v>0.5043297540699688</v>
      </c>
      <c r="K213" s="15" t="n">
        <v>0.5283018867924528</v>
      </c>
      <c r="L213" s="14" t="n">
        <v>0.05617628408982578</v>
      </c>
      <c r="M213" s="14" t="n">
        <v>0.1063336805985987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APP @ ECU</t>
        </is>
      </c>
      <c r="C214" s="17" t="inlineStr">
        <is>
          <t>2026-09-12 16:00</t>
        </is>
      </c>
      <c r="D214" s="25" t="n">
        <v>2</v>
      </c>
      <c r="E214" s="17" t="inlineStr">
        <is>
          <t>ML</t>
        </is>
      </c>
      <c r="F214" s="17" t="inlineStr">
        <is>
          <t>APP ML</t>
        </is>
      </c>
      <c r="G214" s="26" t="n"/>
      <c r="H214" s="18" t="n">
        <v>295</v>
      </c>
      <c r="I214" s="20" t="n">
        <v>0.309168328684473</v>
      </c>
      <c r="J214" s="20" t="n">
        <v>0.2428115015974441</v>
      </c>
      <c r="K214" s="20" t="n">
        <v>0.2531645569620253</v>
      </c>
      <c r="L214" s="19" t="n">
        <v>0.05600377172244764</v>
      </c>
      <c r="M214" s="19" t="n">
        <v>0.2212148983036683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SMU @ FSU</t>
        </is>
      </c>
      <c r="C215" s="12" t="inlineStr">
        <is>
          <t>2026-09-07 23:30</t>
        </is>
      </c>
      <c r="D215" s="22" t="n">
        <v>1</v>
      </c>
      <c r="E215" s="12" t="inlineStr">
        <is>
          <t>TOTAL</t>
        </is>
      </c>
      <c r="F215" s="12" t="inlineStr">
        <is>
          <t>Over 53.5</t>
        </is>
      </c>
      <c r="G215" s="23" t="n">
        <v>53.5</v>
      </c>
      <c r="H215" s="13" t="n">
        <v>-108</v>
      </c>
      <c r="I215" s="15" t="n">
        <v>0.5737310527217974</v>
      </c>
      <c r="J215" s="15" t="n">
        <v>0.4956702459300312</v>
      </c>
      <c r="K215" s="15" t="n">
        <v>0.5192307692307693</v>
      </c>
      <c r="L215" s="14" t="n">
        <v>0.05450028349102809</v>
      </c>
      <c r="M215" s="14" t="n">
        <v>0.1049635089456838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ULM @ UAB</t>
        </is>
      </c>
      <c r="C216" s="17" t="inlineStr">
        <is>
          <t>2026-09-12 19:30</t>
        </is>
      </c>
      <c r="D216" s="25" t="n">
        <v>2</v>
      </c>
      <c r="E216" s="17" t="inlineStr">
        <is>
          <t>TOTAL</t>
        </is>
      </c>
      <c r="F216" s="17" t="inlineStr">
        <is>
          <t>Over 54.5</t>
        </is>
      </c>
      <c r="G216" s="26" t="n">
        <v>54.5</v>
      </c>
      <c r="H216" s="18" t="n">
        <v>-110</v>
      </c>
      <c r="I216" s="20" t="n">
        <v>0.577741586022896</v>
      </c>
      <c r="J216" s="20" t="n">
        <v>0.5</v>
      </c>
      <c r="K216" s="20" t="n">
        <v>0.5238095238095238</v>
      </c>
      <c r="L216" s="19" t="n">
        <v>0.05393206221337221</v>
      </c>
      <c r="M216" s="19" t="n">
        <v>0.1029612096800743</v>
      </c>
      <c r="N216" s="20" t="n">
        <v>0</v>
      </c>
      <c r="O216" s="27" t="n">
        <v>0.4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SDSU @ UCLA</t>
        </is>
      </c>
      <c r="C217" s="12" t="inlineStr">
        <is>
          <t>2026-09-12 23:15</t>
        </is>
      </c>
      <c r="D217" s="22" t="n">
        <v>2</v>
      </c>
      <c r="E217" s="12" t="inlineStr">
        <is>
          <t>ML</t>
        </is>
      </c>
      <c r="F217" s="12" t="inlineStr">
        <is>
          <t>SDSU ML</t>
        </is>
      </c>
      <c r="G217" s="23" t="n"/>
      <c r="H217" s="13" t="n">
        <v>285</v>
      </c>
      <c r="I217" s="15" t="n">
        <v>0.3123562940287627</v>
      </c>
      <c r="J217" s="15" t="n">
        <v>0.2491874322860238</v>
      </c>
      <c r="K217" s="15" t="n">
        <v>0.2597402597402597</v>
      </c>
      <c r="L217" s="14" t="n">
        <v>0.05261603428850303</v>
      </c>
      <c r="M217" s="14" t="n">
        <v>0.2025717320107366</v>
      </c>
      <c r="N217" s="15" t="n">
        <v>0</v>
      </c>
      <c r="O217" s="24" t="n">
        <v>0.4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ARST @ MEM</t>
        </is>
      </c>
      <c r="C218" s="17" t="inlineStr">
        <is>
          <t>2026-09-05 23:00</t>
        </is>
      </c>
      <c r="D218" s="25" t="n">
        <v>1</v>
      </c>
      <c r="E218" s="17" t="inlineStr">
        <is>
          <t>ML</t>
        </is>
      </c>
      <c r="F218" s="17" t="inlineStr">
        <is>
          <t>ARST ML</t>
        </is>
      </c>
      <c r="G218" s="26" t="n"/>
      <c r="H218" s="18" t="n">
        <v>330</v>
      </c>
      <c r="I218" s="20" t="n">
        <v>0.2850980194930275</v>
      </c>
      <c r="J218" s="20" t="n">
        <v>0.2231668437832094</v>
      </c>
      <c r="K218" s="20" t="n">
        <v>0.2325581395348837</v>
      </c>
      <c r="L218" s="19" t="n">
        <v>0.05253987995814377</v>
      </c>
      <c r="M218" s="19" t="n">
        <v>0.2259214838200182</v>
      </c>
      <c r="N218" s="20" t="n">
        <v>0</v>
      </c>
      <c r="O218" s="27" t="n">
        <v>0.4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DUKE @ ILL</t>
        </is>
      </c>
      <c r="C219" s="12" t="inlineStr">
        <is>
          <t>2026-09-12 19:30</t>
        </is>
      </c>
      <c r="D219" s="22" t="n">
        <v>2</v>
      </c>
      <c r="E219" s="12" t="inlineStr">
        <is>
          <t>ATS</t>
        </is>
      </c>
      <c r="F219" s="12" t="inlineStr">
        <is>
          <t>DUKE +8.5</t>
        </is>
      </c>
      <c r="G219" s="23" t="n">
        <v>-8.5</v>
      </c>
      <c r="H219" s="13" t="n">
        <v>-112</v>
      </c>
      <c r="I219" s="15" t="n">
        <v>0.5798889551621769</v>
      </c>
      <c r="J219" s="15" t="n">
        <v>0.5043297540699688</v>
      </c>
      <c r="K219" s="15" t="n">
        <v>0.5283018867924528</v>
      </c>
      <c r="L219" s="14" t="n">
        <v>0.05158706836972404</v>
      </c>
      <c r="M219" s="14" t="n">
        <v>0.09764695084269193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CAL @ SYR</t>
        </is>
      </c>
      <c r="C220" s="17" t="inlineStr">
        <is>
          <t>2026-09-12 19:30</t>
        </is>
      </c>
      <c r="D220" s="25" t="n">
        <v>2</v>
      </c>
      <c r="E220" s="17" t="inlineStr">
        <is>
          <t>ML</t>
        </is>
      </c>
      <c r="F220" s="17" t="inlineStr">
        <is>
          <t>SYR ML</t>
        </is>
      </c>
      <c r="G220" s="26" t="n"/>
      <c r="H220" s="18" t="n">
        <v>100</v>
      </c>
      <c r="I220" s="20" t="n">
        <v>0.5513678568968579</v>
      </c>
      <c r="J220" s="20" t="n">
        <v>0.4782608695652174</v>
      </c>
      <c r="K220" s="20" t="n">
        <v>0.5</v>
      </c>
      <c r="L220" s="19" t="n">
        <v>0.05136785689685786</v>
      </c>
      <c r="M220" s="19" t="n">
        <v>0.1027357137937157</v>
      </c>
      <c r="N220" s="20" t="n">
        <v>0</v>
      </c>
      <c r="O220" s="27" t="n">
        <v>0.4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ARK @ UTAH</t>
        </is>
      </c>
      <c r="C221" s="12" t="inlineStr">
        <is>
          <t>2026-09-13 02:15</t>
        </is>
      </c>
      <c r="D221" s="22" t="n">
        <v>2</v>
      </c>
      <c r="E221" s="12" t="inlineStr">
        <is>
          <t>TOTAL</t>
        </is>
      </c>
      <c r="F221" s="12" t="inlineStr">
        <is>
          <t>Over 56.5</t>
        </is>
      </c>
      <c r="G221" s="23" t="n">
        <v>56.5</v>
      </c>
      <c r="H221" s="13" t="n">
        <v>-110</v>
      </c>
      <c r="I221" s="15" t="n">
        <v>0.5721831188801699</v>
      </c>
      <c r="J221" s="15" t="n">
        <v>0.5</v>
      </c>
      <c r="K221" s="15" t="n">
        <v>0.5238095238095238</v>
      </c>
      <c r="L221" s="14" t="n">
        <v>0.04837359507064609</v>
      </c>
      <c r="M221" s="14" t="n">
        <v>0.09234959058941539</v>
      </c>
      <c r="N221" s="15" t="n">
        <v>0</v>
      </c>
      <c r="O221" s="24" t="n">
        <v>0.4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ULM @ UAB</t>
        </is>
      </c>
      <c r="C222" s="17" t="inlineStr">
        <is>
          <t>2026-09-12 19:30</t>
        </is>
      </c>
      <c r="D222" s="25" t="n">
        <v>2</v>
      </c>
      <c r="E222" s="17" t="inlineStr">
        <is>
          <t>ATS</t>
        </is>
      </c>
      <c r="F222" s="17" t="inlineStr">
        <is>
          <t>ULM +7.5</t>
        </is>
      </c>
      <c r="G222" s="26" t="n">
        <v>-7.5</v>
      </c>
      <c r="H222" s="18" t="n">
        <v>-108</v>
      </c>
      <c r="I222" s="20" t="n">
        <v>0.5669896448308236</v>
      </c>
      <c r="J222" s="20" t="n">
        <v>0.4956702459300312</v>
      </c>
      <c r="K222" s="20" t="n">
        <v>0.5192307692307693</v>
      </c>
      <c r="L222" s="19" t="n">
        <v>0.04775887560005432</v>
      </c>
      <c r="M222" s="19" t="n">
        <v>0.0919800567112159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ARK @ UTAH</t>
        </is>
      </c>
      <c r="C223" s="12" t="inlineStr">
        <is>
          <t>2026-09-13 02:15</t>
        </is>
      </c>
      <c r="D223" s="22" t="n">
        <v>2</v>
      </c>
      <c r="E223" s="12" t="inlineStr">
        <is>
          <t>ML</t>
        </is>
      </c>
      <c r="F223" s="12" t="inlineStr">
        <is>
          <t>ARK ML</t>
        </is>
      </c>
      <c r="G223" s="23" t="n"/>
      <c r="H223" s="13" t="n">
        <v>295</v>
      </c>
      <c r="I223" s="15" t="n">
        <v>0.3003051560078724</v>
      </c>
      <c r="J223" s="15" t="n">
        <v>0.2428115015974441</v>
      </c>
      <c r="K223" s="15" t="n">
        <v>0.2531645569620253</v>
      </c>
      <c r="L223" s="14" t="n">
        <v>0.04714059904584711</v>
      </c>
      <c r="M223" s="14" t="n">
        <v>0.1862053662310962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WKU @ NEV</t>
        </is>
      </c>
      <c r="C224" s="17" t="inlineStr">
        <is>
          <t>2026-09-06 02:30</t>
        </is>
      </c>
      <c r="D224" s="25" t="n">
        <v>1</v>
      </c>
      <c r="E224" s="17" t="inlineStr">
        <is>
          <t>ATS</t>
        </is>
      </c>
      <c r="F224" s="17" t="inlineStr">
        <is>
          <t>NEV +1.5</t>
        </is>
      </c>
      <c r="G224" s="26" t="n">
        <v>1.5</v>
      </c>
      <c r="H224" s="18" t="n">
        <v>-118</v>
      </c>
      <c r="I224" s="20" t="n">
        <v>0.58806119039407</v>
      </c>
      <c r="J224" s="20" t="n">
        <v>0.5173641257162701</v>
      </c>
      <c r="K224" s="20" t="n">
        <v>0.5412844036697247</v>
      </c>
      <c r="L224" s="19" t="n">
        <v>0.04677678672434527</v>
      </c>
      <c r="M224" s="19" t="n">
        <v>0.08641813140599375</v>
      </c>
      <c r="N224" s="20" t="n">
        <v>0</v>
      </c>
      <c r="O224" s="27" t="n">
        <v>0.4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OU @ MICH</t>
        </is>
      </c>
      <c r="C225" s="12" t="inlineStr">
        <is>
          <t>2026-09-12 16:00</t>
        </is>
      </c>
      <c r="D225" s="22" t="n">
        <v>2</v>
      </c>
      <c r="E225" s="12" t="inlineStr">
        <is>
          <t>ATS</t>
        </is>
      </c>
      <c r="F225" s="12" t="inlineStr">
        <is>
          <t>MICH +1.5</t>
        </is>
      </c>
      <c r="G225" s="23" t="n">
        <v>1.5</v>
      </c>
      <c r="H225" s="13" t="n">
        <v>-112</v>
      </c>
      <c r="I225" s="15" t="n">
        <v>0.5733904026654422</v>
      </c>
      <c r="J225" s="15" t="n">
        <v>0.5043297540699688</v>
      </c>
      <c r="K225" s="15" t="n">
        <v>0.5283018867924528</v>
      </c>
      <c r="L225" s="14" t="n">
        <v>0.04508851587298934</v>
      </c>
      <c r="M225" s="14" t="n">
        <v>0.08534611933101555</v>
      </c>
      <c r="N225" s="15" t="n">
        <v>0</v>
      </c>
      <c r="O225" s="24" t="n">
        <v>0.4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TULN @ DUKE</t>
        </is>
      </c>
      <c r="C226" s="17" t="inlineStr">
        <is>
          <t>2026-09-05 19:30</t>
        </is>
      </c>
      <c r="D226" s="25" t="n">
        <v>1</v>
      </c>
      <c r="E226" s="17" t="inlineStr">
        <is>
          <t>ML</t>
        </is>
      </c>
      <c r="F226" s="17" t="inlineStr">
        <is>
          <t>TULN ML</t>
        </is>
      </c>
      <c r="G226" s="26" t="n"/>
      <c r="H226" s="18" t="n">
        <v>260</v>
      </c>
      <c r="I226" s="20" t="n">
        <v>0.3209914180111427</v>
      </c>
      <c r="J226" s="20" t="n">
        <v>0.2664576802507838</v>
      </c>
      <c r="K226" s="20" t="n">
        <v>0.2777777777777778</v>
      </c>
      <c r="L226" s="19" t="n">
        <v>0.04321364023336494</v>
      </c>
      <c r="M226" s="19" t="n">
        <v>0.1555691048401139</v>
      </c>
      <c r="N226" s="20" t="n">
        <v>0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UTU @ BYU</t>
        </is>
      </c>
      <c r="C227" s="12" t="inlineStr">
        <is>
          <t>2026-09-06 00:00</t>
        </is>
      </c>
      <c r="D227" s="22" t="n">
        <v>1</v>
      </c>
      <c r="E227" s="12" t="inlineStr">
        <is>
          <t>TOTAL</t>
        </is>
      </c>
      <c r="F227" s="12" t="inlineStr">
        <is>
          <t>Under 61.5</t>
        </is>
      </c>
      <c r="G227" s="23" t="n">
        <v>61.5</v>
      </c>
      <c r="H227" s="13" t="n">
        <v>-115</v>
      </c>
      <c r="I227" s="15" t="n">
        <v>0.577600236285303</v>
      </c>
      <c r="J227" s="15" t="n">
        <v>0.5108342361863488</v>
      </c>
      <c r="K227" s="15" t="n">
        <v>0.5348837209302325</v>
      </c>
      <c r="L227" s="14" t="n">
        <v>0.04271651535507048</v>
      </c>
      <c r="M227" s="14" t="n">
        <v>0.07986131131600116</v>
      </c>
      <c r="N227" s="15" t="n">
        <v>0</v>
      </c>
      <c r="O227" s="24" t="n">
        <v>0.4</v>
      </c>
      <c r="P227" s="12" t="inlineStr">
        <is>
          <t>DraftKings</t>
        </is>
      </c>
      <c r="Q227" s="12" t="inlineStr">
        <is>
          <t>UTU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ULM @ MSST</t>
        </is>
      </c>
      <c r="C228" s="17" t="inlineStr">
        <is>
          <t>2026-09-05 23:30</t>
        </is>
      </c>
      <c r="D228" s="25" t="n">
        <v>1</v>
      </c>
      <c r="E228" s="17" t="inlineStr">
        <is>
          <t>TOTAL</t>
        </is>
      </c>
      <c r="F228" s="17" t="inlineStr">
        <is>
          <t>Over 54.5</t>
        </is>
      </c>
      <c r="G228" s="26" t="n">
        <v>54.5</v>
      </c>
      <c r="H228" s="18" t="n">
        <v>-115</v>
      </c>
      <c r="I228" s="20" t="n">
        <v>0.5757334022354905</v>
      </c>
      <c r="J228" s="20" t="n">
        <v>0.5108342361863488</v>
      </c>
      <c r="K228" s="20" t="n">
        <v>0.5348837209302325</v>
      </c>
      <c r="L228" s="19" t="n">
        <v>0.04084968130525801</v>
      </c>
      <c r="M228" s="19" t="n">
        <v>0.07637114330983008</v>
      </c>
      <c r="N228" s="20" t="n">
        <v>0</v>
      </c>
      <c r="O228" s="27" t="n">
        <v>0.4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WKU @ NEV</t>
        </is>
      </c>
      <c r="C229" s="12" t="inlineStr">
        <is>
          <t>2026-09-06 02:30</t>
        </is>
      </c>
      <c r="D229" s="22" t="n">
        <v>1</v>
      </c>
      <c r="E229" s="12" t="inlineStr">
        <is>
          <t>ML</t>
        </is>
      </c>
      <c r="F229" s="12" t="inlineStr">
        <is>
          <t>NEV ML</t>
        </is>
      </c>
      <c r="G229" s="23" t="n"/>
      <c r="H229" s="13" t="n">
        <v>-108</v>
      </c>
      <c r="I229" s="15" t="n">
        <v>0.5600725450792647</v>
      </c>
      <c r="J229" s="15" t="n">
        <v>0.4956702459300312</v>
      </c>
      <c r="K229" s="15" t="n">
        <v>0.5192307692307693</v>
      </c>
      <c r="L229" s="14" t="n">
        <v>0.04084177584849547</v>
      </c>
      <c r="M229" s="14" t="n">
        <v>0.07865823496747293</v>
      </c>
      <c r="N229" s="15" t="n">
        <v>0</v>
      </c>
      <c r="O229" s="24" t="n">
        <v>0.4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OU @ MICH</t>
        </is>
      </c>
      <c r="C230" s="17" t="inlineStr">
        <is>
          <t>2026-09-12 16:00</t>
        </is>
      </c>
      <c r="D230" s="25" t="n">
        <v>2</v>
      </c>
      <c r="E230" s="17" t="inlineStr">
        <is>
          <t>ML</t>
        </is>
      </c>
      <c r="F230" s="17" t="inlineStr">
        <is>
          <t>MICH ML</t>
        </is>
      </c>
      <c r="G230" s="26" t="n"/>
      <c r="H230" s="18" t="n">
        <v>-102</v>
      </c>
      <c r="I230" s="20" t="n">
        <v>0.5451234626228061</v>
      </c>
      <c r="J230" s="20" t="n">
        <v>0.4826358742837298</v>
      </c>
      <c r="K230" s="20" t="n">
        <v>0.504950495049505</v>
      </c>
      <c r="L230" s="19" t="n">
        <v>0.04017296757330113</v>
      </c>
      <c r="M230" s="19" t="n">
        <v>0.079558229900067</v>
      </c>
      <c r="N230" s="20" t="n">
        <v>0</v>
      </c>
      <c r="O230" s="27" t="n">
        <v>0.4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MEM @ BOIS</t>
        </is>
      </c>
      <c r="C231" s="12" t="inlineStr">
        <is>
          <t>2026-09-12 22:00</t>
        </is>
      </c>
      <c r="D231" s="22" t="n">
        <v>2</v>
      </c>
      <c r="E231" s="12" t="inlineStr">
        <is>
          <t>ML</t>
        </is>
      </c>
      <c r="F231" s="12" t="inlineStr">
        <is>
          <t>MEM ML</t>
        </is>
      </c>
      <c r="G231" s="23" t="n"/>
      <c r="H231" s="13" t="n">
        <v>220</v>
      </c>
      <c r="I231" s="15" t="n">
        <v>0.3522558499495068</v>
      </c>
      <c r="J231" s="15" t="n">
        <v>0.299837925445705</v>
      </c>
      <c r="K231" s="15" t="n">
        <v>0.3125</v>
      </c>
      <c r="L231" s="14" t="n">
        <v>0.03975584994950676</v>
      </c>
      <c r="M231" s="14" t="n">
        <v>0.1272187198384217</v>
      </c>
      <c r="N231" s="15" t="n">
        <v>0</v>
      </c>
      <c r="O231" s="24" t="n">
        <v>0.4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NICH @ KSU</t>
        </is>
      </c>
      <c r="C232" s="17" t="inlineStr">
        <is>
          <t>2026-09-05 23:00</t>
        </is>
      </c>
      <c r="D232" s="25" t="n">
        <v>1</v>
      </c>
      <c r="E232" s="17" t="inlineStr">
        <is>
          <t>TOTAL</t>
        </is>
      </c>
      <c r="F232" s="17" t="inlineStr">
        <is>
          <t>Over 54.5</t>
        </is>
      </c>
      <c r="G232" s="26" t="n">
        <v>54.5</v>
      </c>
      <c r="H232" s="18" t="n">
        <v>-118</v>
      </c>
      <c r="I232" s="20" t="n">
        <v>0.5808651822275118</v>
      </c>
      <c r="J232" s="20" t="n">
        <v>0.5173641257162701</v>
      </c>
      <c r="K232" s="20" t="n">
        <v>0.5412844036697247</v>
      </c>
      <c r="L232" s="19" t="n">
        <v>0.03958077855778708</v>
      </c>
      <c r="M232" s="19" t="n">
        <v>0.07312381123387773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NICH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BC @ CIN</t>
        </is>
      </c>
      <c r="C233" s="12" t="inlineStr">
        <is>
          <t>2026-09-05 19:30</t>
        </is>
      </c>
      <c r="D233" s="22" t="n">
        <v>1</v>
      </c>
      <c r="E233" s="12" t="inlineStr">
        <is>
          <t>ATS</t>
        </is>
      </c>
      <c r="F233" s="12" t="inlineStr">
        <is>
          <t>BC +7</t>
        </is>
      </c>
      <c r="G233" s="23" t="n">
        <v>-7</v>
      </c>
      <c r="H233" s="13" t="n">
        <v>-105</v>
      </c>
      <c r="I233" s="15" t="n">
        <v>0.5516698428808806</v>
      </c>
      <c r="J233" s="15" t="n">
        <v>0.4891657638136511</v>
      </c>
      <c r="K233" s="15" t="n">
        <v>0.5121951219512195</v>
      </c>
      <c r="L233" s="14" t="n">
        <v>0.03947472092966109</v>
      </c>
      <c r="M233" s="14" t="n">
        <v>0.07322988168342626</v>
      </c>
      <c r="N233" s="15" t="n">
        <v>0.0498</v>
      </c>
      <c r="O233" s="24" t="n">
        <v>0.4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UCF @ PITT</t>
        </is>
      </c>
      <c r="C234" s="17" t="inlineStr">
        <is>
          <t>2026-09-12 19:30</t>
        </is>
      </c>
      <c r="D234" s="25" t="n">
        <v>2</v>
      </c>
      <c r="E234" s="17" t="inlineStr">
        <is>
          <t>ML</t>
        </is>
      </c>
      <c r="F234" s="17" t="inlineStr">
        <is>
          <t>UCF ML</t>
        </is>
      </c>
      <c r="G234" s="26" t="n"/>
      <c r="H234" s="18" t="n">
        <v>230</v>
      </c>
      <c r="I234" s="20" t="n">
        <v>0.3408666822503896</v>
      </c>
      <c r="J234" s="20" t="n">
        <v>0.2904564315352697</v>
      </c>
      <c r="K234" s="20" t="n">
        <v>0.303030303030303</v>
      </c>
      <c r="L234" s="19" t="n">
        <v>0.03783637922008659</v>
      </c>
      <c r="M234" s="19" t="n">
        <v>0.1248600514262858</v>
      </c>
      <c r="N234" s="20" t="n">
        <v>0</v>
      </c>
      <c r="O234" s="27" t="n">
        <v>0.4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TULN @ DUKE</t>
        </is>
      </c>
      <c r="C235" s="12" t="inlineStr">
        <is>
          <t>2026-09-05 19:30</t>
        </is>
      </c>
      <c r="D235" s="22" t="n">
        <v>1</v>
      </c>
      <c r="E235" s="12" t="inlineStr">
        <is>
          <t>ATS</t>
        </is>
      </c>
      <c r="F235" s="12" t="inlineStr">
        <is>
          <t>TULN +7.5</t>
        </is>
      </c>
      <c r="G235" s="23" t="n">
        <v>-7.5</v>
      </c>
      <c r="H235" s="13" t="n">
        <v>-115</v>
      </c>
      <c r="I235" s="15" t="n">
        <v>0.5721155058964906</v>
      </c>
      <c r="J235" s="15" t="n">
        <v>0.5108342361863488</v>
      </c>
      <c r="K235" s="15" t="n">
        <v>0.5348837209302325</v>
      </c>
      <c r="L235" s="14" t="n">
        <v>0.03723178496625812</v>
      </c>
      <c r="M235" s="14" t="n">
        <v>0.06960725015430846</v>
      </c>
      <c r="N235" s="15" t="n">
        <v>0</v>
      </c>
      <c r="O235" s="24" t="n">
        <v>0.4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DUKE @ ILL</t>
        </is>
      </c>
      <c r="C236" s="17" t="inlineStr">
        <is>
          <t>2026-09-12 19:30</t>
        </is>
      </c>
      <c r="D236" s="25" t="n">
        <v>2</v>
      </c>
      <c r="E236" s="17" t="inlineStr">
        <is>
          <t>ML</t>
        </is>
      </c>
      <c r="F236" s="17" t="inlineStr">
        <is>
          <t>DUKE ML</t>
        </is>
      </c>
      <c r="G236" s="26" t="n"/>
      <c r="H236" s="18" t="n">
        <v>250</v>
      </c>
      <c r="I236" s="20" t="n">
        <v>0.3226923545845982</v>
      </c>
      <c r="J236" s="20" t="n">
        <v>0.274247491638796</v>
      </c>
      <c r="K236" s="20" t="n">
        <v>0.2857142857142857</v>
      </c>
      <c r="L236" s="19" t="n">
        <v>0.03697806887031252</v>
      </c>
      <c r="M236" s="19" t="n">
        <v>0.1294232410460937</v>
      </c>
      <c r="N236" s="20" t="n">
        <v>0</v>
      </c>
      <c r="O236" s="27" t="n">
        <v>0.4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FOR @ NDSU</t>
        </is>
      </c>
      <c r="C237" s="12" t="inlineStr">
        <is>
          <t>2026-09-05 19:30</t>
        </is>
      </c>
      <c r="D237" s="22" t="n">
        <v>1</v>
      </c>
      <c r="E237" s="12" t="inlineStr">
        <is>
          <t>TOTAL</t>
        </is>
      </c>
      <c r="F237" s="12" t="inlineStr">
        <is>
          <t>Over 54.5</t>
        </is>
      </c>
      <c r="G237" s="23" t="n">
        <v>54.5</v>
      </c>
      <c r="H237" s="13" t="n">
        <v>-108</v>
      </c>
      <c r="I237" s="15" t="n">
        <v>0.554904194564815</v>
      </c>
      <c r="J237" s="15" t="n">
        <v>0.4956702459300312</v>
      </c>
      <c r="K237" s="15" t="n">
        <v>0.5192307692307693</v>
      </c>
      <c r="L237" s="14" t="n">
        <v>0.03567342533404572</v>
      </c>
      <c r="M237" s="14" t="n">
        <v>0.06870437471742152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FOR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DUQ @ AFA</t>
        </is>
      </c>
      <c r="C238" s="17" t="inlineStr">
        <is>
          <t>2026-09-05 17:00</t>
        </is>
      </c>
      <c r="D238" s="25" t="n">
        <v>1</v>
      </c>
      <c r="E238" s="17" t="inlineStr">
        <is>
          <t>TOTAL</t>
        </is>
      </c>
      <c r="F238" s="17" t="inlineStr">
        <is>
          <t>Over 55.5</t>
        </is>
      </c>
      <c r="G238" s="26" t="n">
        <v>55.5</v>
      </c>
      <c r="H238" s="18" t="n">
        <v>-108</v>
      </c>
      <c r="I238" s="20" t="n">
        <v>0.5549041940836872</v>
      </c>
      <c r="J238" s="20" t="n">
        <v>0.4956702459300312</v>
      </c>
      <c r="K238" s="20" t="n">
        <v>0.5192307692307693</v>
      </c>
      <c r="L238" s="19" t="n">
        <v>0.03567342485291791</v>
      </c>
      <c r="M238" s="19" t="n">
        <v>0.06870437379080496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DUQ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ULM @ UAB</t>
        </is>
      </c>
      <c r="C239" s="12" t="inlineStr">
        <is>
          <t>2026-09-12 19:30</t>
        </is>
      </c>
      <c r="D239" s="22" t="n">
        <v>2</v>
      </c>
      <c r="E239" s="12" t="inlineStr">
        <is>
          <t>ML</t>
        </is>
      </c>
      <c r="F239" s="12" t="inlineStr">
        <is>
          <t>ULM ML</t>
        </is>
      </c>
      <c r="G239" s="23" t="n"/>
      <c r="H239" s="13" t="n">
        <v>235</v>
      </c>
      <c r="I239" s="15" t="n">
        <v>0.3334642328245694</v>
      </c>
      <c r="J239" s="15" t="n">
        <v>0.2864487697392581</v>
      </c>
      <c r="K239" s="15" t="n">
        <v>0.2985074626865671</v>
      </c>
      <c r="L239" s="14" t="n">
        <v>0.03495677013800225</v>
      </c>
      <c r="M239" s="14" t="n">
        <v>0.1171051799623075</v>
      </c>
      <c r="N239" s="15" t="n">
        <v>0</v>
      </c>
      <c r="O239" s="24" t="n">
        <v>0.4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ORE @ OKST</t>
        </is>
      </c>
      <c r="C240" s="17" t="inlineStr">
        <is>
          <t>2026-09-12 16:00</t>
        </is>
      </c>
      <c r="D240" s="25" t="n">
        <v>2</v>
      </c>
      <c r="E240" s="17" t="inlineStr">
        <is>
          <t>TOTAL</t>
        </is>
      </c>
      <c r="F240" s="17" t="inlineStr">
        <is>
          <t>Under 60.5</t>
        </is>
      </c>
      <c r="G240" s="26" t="n">
        <v>60.5</v>
      </c>
      <c r="H240" s="18" t="n">
        <v>-112</v>
      </c>
      <c r="I240" s="20" t="n">
        <v>0.5630492144004333</v>
      </c>
      <c r="J240" s="20" t="n">
        <v>0.5043297540699688</v>
      </c>
      <c r="K240" s="20" t="n">
        <v>0.5283018867924528</v>
      </c>
      <c r="L240" s="19" t="n">
        <v>0.03474732760798049</v>
      </c>
      <c r="M240" s="19" t="n">
        <v>0.06577172725796299</v>
      </c>
      <c r="N240" s="20" t="n">
        <v>0</v>
      </c>
      <c r="O240" s="27" t="n">
        <v>0.4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DEL @ VAN</t>
        </is>
      </c>
      <c r="C241" s="12" t="inlineStr">
        <is>
          <t>2026-09-12 20:15</t>
        </is>
      </c>
      <c r="D241" s="22" t="n">
        <v>2</v>
      </c>
      <c r="E241" s="12" t="inlineStr">
        <is>
          <t>TOTAL</t>
        </is>
      </c>
      <c r="F241" s="12" t="inlineStr">
        <is>
          <t>Over 55.5</t>
        </is>
      </c>
      <c r="G241" s="23" t="n">
        <v>55.5</v>
      </c>
      <c r="H241" s="13" t="n">
        <v>-112</v>
      </c>
      <c r="I241" s="15" t="n">
        <v>0.559233948153656</v>
      </c>
      <c r="J241" s="15" t="n">
        <v>0.5043297540699688</v>
      </c>
      <c r="K241" s="15" t="n">
        <v>0.5283018867924528</v>
      </c>
      <c r="L241" s="14" t="n">
        <v>0.03093206136120319</v>
      </c>
      <c r="M241" s="14" t="n">
        <v>0.05854997329084882</v>
      </c>
      <c r="N241" s="15" t="n">
        <v>0</v>
      </c>
      <c r="O241" s="24" t="n">
        <v>0.4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MEM @ BOIS</t>
        </is>
      </c>
      <c r="C242" s="17" t="inlineStr">
        <is>
          <t>2026-09-12 22:00</t>
        </is>
      </c>
      <c r="D242" s="25" t="n">
        <v>2</v>
      </c>
      <c r="E242" s="17" t="inlineStr">
        <is>
          <t>ATS</t>
        </is>
      </c>
      <c r="F242" s="17" t="inlineStr">
        <is>
          <t>MEM +6.5</t>
        </is>
      </c>
      <c r="G242" s="26" t="n">
        <v>-6.5</v>
      </c>
      <c r="H242" s="18" t="n">
        <v>-112</v>
      </c>
      <c r="I242" s="20" t="n">
        <v>0.5586404316123788</v>
      </c>
      <c r="J242" s="20" t="n">
        <v>0.5043297540699688</v>
      </c>
      <c r="K242" s="20" t="n">
        <v>0.5283018867924528</v>
      </c>
      <c r="L242" s="19" t="n">
        <v>0.03033854481992593</v>
      </c>
      <c r="M242" s="19" t="n">
        <v>0.05742653126628833</v>
      </c>
      <c r="N242" s="20" t="n">
        <v>0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USA @ TULN</t>
        </is>
      </c>
      <c r="C243" s="12" t="inlineStr">
        <is>
          <t>2026-09-12 23:00</t>
        </is>
      </c>
      <c r="D243" s="22" t="n">
        <v>2</v>
      </c>
      <c r="E243" s="12" t="inlineStr">
        <is>
          <t>TOTAL</t>
        </is>
      </c>
      <c r="F243" s="12" t="inlineStr">
        <is>
          <t>Over 55.5</t>
        </is>
      </c>
      <c r="G243" s="23" t="n">
        <v>55.5</v>
      </c>
      <c r="H243" s="13" t="n">
        <v>-105</v>
      </c>
      <c r="I243" s="15" t="n">
        <v>0.5420197160056504</v>
      </c>
      <c r="J243" s="15" t="n">
        <v>0.4891657638136511</v>
      </c>
      <c r="K243" s="15" t="n">
        <v>0.5121951219512195</v>
      </c>
      <c r="L243" s="14" t="n">
        <v>0.02982459405443083</v>
      </c>
      <c r="M243" s="14" t="n">
        <v>0.05822896934436494</v>
      </c>
      <c r="N243" s="15" t="n">
        <v>0</v>
      </c>
      <c r="O243" s="24" t="n">
        <v>0.4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USF @ ARMY</t>
        </is>
      </c>
      <c r="C244" s="17" t="inlineStr">
        <is>
          <t>2026-09-12 16:00</t>
        </is>
      </c>
      <c r="D244" s="25" t="n">
        <v>2</v>
      </c>
      <c r="E244" s="17" t="inlineStr">
        <is>
          <t>ML</t>
        </is>
      </c>
      <c r="F244" s="17" t="inlineStr">
        <is>
          <t>ARMY ML</t>
        </is>
      </c>
      <c r="G244" s="26" t="n"/>
      <c r="H244" s="18" t="n">
        <v>-118</v>
      </c>
      <c r="I244" s="20" t="n">
        <v>0.5709194849723842</v>
      </c>
      <c r="J244" s="20" t="n">
        <v>0.5173641257162701</v>
      </c>
      <c r="K244" s="20" t="n">
        <v>0.5412844036697247</v>
      </c>
      <c r="L244" s="19" t="n">
        <v>0.02963508130265946</v>
      </c>
      <c r="M244" s="19" t="n">
        <v>0.05474955698287925</v>
      </c>
      <c r="N244" s="20" t="n">
        <v>0</v>
      </c>
      <c r="O244" s="27" t="n">
        <v>0.4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UTSA @ TXST</t>
        </is>
      </c>
      <c r="C245" s="12" t="inlineStr">
        <is>
          <t>2026-09-12 19:30</t>
        </is>
      </c>
      <c r="D245" s="22" t="n">
        <v>2</v>
      </c>
      <c r="E245" s="12" t="inlineStr">
        <is>
          <t>ML</t>
        </is>
      </c>
      <c r="F245" s="12" t="inlineStr">
        <is>
          <t>TXST ML</t>
        </is>
      </c>
      <c r="G245" s="23" t="n"/>
      <c r="H245" s="13" t="n">
        <v>-118</v>
      </c>
      <c r="I245" s="15" t="n">
        <v>0.5709194849723842</v>
      </c>
      <c r="J245" s="15" t="n">
        <v>0.5173641257162701</v>
      </c>
      <c r="K245" s="15" t="n">
        <v>0.5412844036697247</v>
      </c>
      <c r="L245" s="14" t="n">
        <v>0.02963508130265946</v>
      </c>
      <c r="M245" s="14" t="n">
        <v>0.05474955698287925</v>
      </c>
      <c r="N245" s="15" t="n">
        <v>0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OSU @ TEX</t>
        </is>
      </c>
      <c r="C246" s="17" t="inlineStr">
        <is>
          <t>2026-09-12 23:30</t>
        </is>
      </c>
      <c r="D246" s="25" t="n">
        <v>2</v>
      </c>
      <c r="E246" s="17" t="inlineStr">
        <is>
          <t>ML</t>
        </is>
      </c>
      <c r="F246" s="17" t="inlineStr">
        <is>
          <t>TEX ML</t>
        </is>
      </c>
      <c r="G246" s="26" t="n"/>
      <c r="H246" s="18" t="n">
        <v>-118</v>
      </c>
      <c r="I246" s="20" t="n">
        <v>0.5709194849723842</v>
      </c>
      <c r="J246" s="20" t="n">
        <v>0.5173641257162701</v>
      </c>
      <c r="K246" s="20" t="n">
        <v>0.5412844036697247</v>
      </c>
      <c r="L246" s="19" t="n">
        <v>0.02963508130265946</v>
      </c>
      <c r="M246" s="19" t="n">
        <v>0.05474955698287925</v>
      </c>
      <c r="N246" s="20" t="n">
        <v>0</v>
      </c>
      <c r="O246" s="27" t="n">
        <v>0.4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JVST @ OHIO</t>
        </is>
      </c>
      <c r="C247" s="12" t="inlineStr">
        <is>
          <t>2026-09-12 22:00</t>
        </is>
      </c>
      <c r="D247" s="22" t="n">
        <v>2</v>
      </c>
      <c r="E247" s="12" t="inlineStr">
        <is>
          <t>ML</t>
        </is>
      </c>
      <c r="F247" s="12" t="inlineStr">
        <is>
          <t>OHIO ML</t>
        </is>
      </c>
      <c r="G247" s="23" t="n"/>
      <c r="H247" s="13" t="n">
        <v>-125</v>
      </c>
      <c r="I247" s="15" t="n">
        <v>0.5848934444395482</v>
      </c>
      <c r="J247" s="15" t="n">
        <v>0.5324675324675325</v>
      </c>
      <c r="K247" s="15" t="n">
        <v>0.5555555555555556</v>
      </c>
      <c r="L247" s="14" t="n">
        <v>0.02933788888399258</v>
      </c>
      <c r="M247" s="14" t="n">
        <v>0.05280819999118669</v>
      </c>
      <c r="N247" s="15" t="n">
        <v>0</v>
      </c>
      <c r="O247" s="24" t="n">
        <v>0.4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TNST @ UGA</t>
        </is>
      </c>
      <c r="C248" s="17" t="inlineStr">
        <is>
          <t>2026-09-05 19:00</t>
        </is>
      </c>
      <c r="D248" s="25" t="n">
        <v>1</v>
      </c>
      <c r="E248" s="17" t="inlineStr">
        <is>
          <t>TOTAL</t>
        </is>
      </c>
      <c r="F248" s="17" t="inlineStr">
        <is>
          <t>Over 55.5</t>
        </is>
      </c>
      <c r="G248" s="26" t="n">
        <v>55.5</v>
      </c>
      <c r="H248" s="18" t="n">
        <v>-105</v>
      </c>
      <c r="I248" s="20" t="n">
        <v>0.5400785733029592</v>
      </c>
      <c r="J248" s="20" t="n">
        <v>0.4891657638136511</v>
      </c>
      <c r="K248" s="20" t="n">
        <v>0.5121951219512195</v>
      </c>
      <c r="L248" s="19" t="n">
        <v>0.02788345135173964</v>
      </c>
      <c r="M248" s="19" t="n">
        <v>0.05443911930577738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TNST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DUKE @ ILL</t>
        </is>
      </c>
      <c r="C249" s="12" t="inlineStr">
        <is>
          <t>2026-09-12 19:30</t>
        </is>
      </c>
      <c r="D249" s="22" t="n">
        <v>2</v>
      </c>
      <c r="E249" s="12" t="inlineStr">
        <is>
          <t>TOTAL</t>
        </is>
      </c>
      <c r="F249" s="12" t="inlineStr">
        <is>
          <t>Over 56.5</t>
        </is>
      </c>
      <c r="G249" s="23" t="n">
        <v>56.5</v>
      </c>
      <c r="H249" s="13" t="n">
        <v>-105</v>
      </c>
      <c r="I249" s="15" t="n">
        <v>0.5400785729366729</v>
      </c>
      <c r="J249" s="15" t="n">
        <v>0.4891657638136511</v>
      </c>
      <c r="K249" s="15" t="n">
        <v>0.5121951219512195</v>
      </c>
      <c r="L249" s="14" t="n">
        <v>0.02788345098545342</v>
      </c>
      <c r="M249" s="14" t="n">
        <v>0.0544391185906471</v>
      </c>
      <c r="N249" s="15" t="n">
        <v>0</v>
      </c>
      <c r="O249" s="24" t="n">
        <v>0.4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ARIZ @ BYU</t>
        </is>
      </c>
      <c r="C250" s="17" t="inlineStr">
        <is>
          <t>2026-09-12 19:30</t>
        </is>
      </c>
      <c r="D250" s="25" t="n">
        <v>2</v>
      </c>
      <c r="E250" s="17" t="inlineStr">
        <is>
          <t>ATS</t>
        </is>
      </c>
      <c r="F250" s="17" t="inlineStr">
        <is>
          <t>ARIZ +7</t>
        </is>
      </c>
      <c r="G250" s="26" t="n">
        <v>-7</v>
      </c>
      <c r="H250" s="18" t="n">
        <v>-115</v>
      </c>
      <c r="I250" s="20" t="n">
        <v>0.5625040790672295</v>
      </c>
      <c r="J250" s="20" t="n">
        <v>0.5108342361863488</v>
      </c>
      <c r="K250" s="20" t="n">
        <v>0.5348837209302325</v>
      </c>
      <c r="L250" s="19" t="n">
        <v>0.02762035813699704</v>
      </c>
      <c r="M250" s="19" t="n">
        <v>0.04906531904232275</v>
      </c>
      <c r="N250" s="20" t="n">
        <v>0.0498</v>
      </c>
      <c r="O250" s="27" t="n">
        <v>0.4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BC @ CIN</t>
        </is>
      </c>
      <c r="C251" s="12" t="inlineStr">
        <is>
          <t>2026-09-05 19:30</t>
        </is>
      </c>
      <c r="D251" s="22" t="n">
        <v>1</v>
      </c>
      <c r="E251" s="12" t="inlineStr">
        <is>
          <t>ML</t>
        </is>
      </c>
      <c r="F251" s="12" t="inlineStr">
        <is>
          <t>BC ML</t>
        </is>
      </c>
      <c r="G251" s="23" t="n"/>
      <c r="H251" s="13" t="n">
        <v>225</v>
      </c>
      <c r="I251" s="15" t="n">
        <v>0.3352459957554349</v>
      </c>
      <c r="J251" s="15" t="n">
        <v>0.2949668357393679</v>
      </c>
      <c r="K251" s="15" t="n">
        <v>0.3076923076923077</v>
      </c>
      <c r="L251" s="14" t="n">
        <v>0.02755368806312719</v>
      </c>
      <c r="M251" s="14" t="n">
        <v>0.08954948620516345</v>
      </c>
      <c r="N251" s="15" t="n">
        <v>0</v>
      </c>
      <c r="O251" s="24" t="n">
        <v>0.4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MUR @ MTSU</t>
        </is>
      </c>
      <c r="C252" s="17" t="inlineStr">
        <is>
          <t>2026-09-05 23:00</t>
        </is>
      </c>
      <c r="D252" s="25" t="n">
        <v>1</v>
      </c>
      <c r="E252" s="17" t="inlineStr">
        <is>
          <t>TOTAL</t>
        </is>
      </c>
      <c r="F252" s="17" t="inlineStr">
        <is>
          <t>Over 55.5</t>
        </is>
      </c>
      <c r="G252" s="26" t="n">
        <v>55.5</v>
      </c>
      <c r="H252" s="18" t="n">
        <v>-112</v>
      </c>
      <c r="I252" s="20" t="n">
        <v>0.5553964700560255</v>
      </c>
      <c r="J252" s="20" t="n">
        <v>0.5043297540699688</v>
      </c>
      <c r="K252" s="20" t="n">
        <v>0.5283018867924528</v>
      </c>
      <c r="L252" s="19" t="n">
        <v>0.02709458326357272</v>
      </c>
      <c r="M252" s="19" t="n">
        <v>0.0512861754631912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MUR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MSST @ MINN</t>
        </is>
      </c>
      <c r="C253" s="12" t="inlineStr">
        <is>
          <t>2026-09-12 19:30</t>
        </is>
      </c>
      <c r="D253" s="22" t="n">
        <v>2</v>
      </c>
      <c r="E253" s="12" t="inlineStr">
        <is>
          <t>ML</t>
        </is>
      </c>
      <c r="F253" s="12" t="inlineStr">
        <is>
          <t>MINN ML</t>
        </is>
      </c>
      <c r="G253" s="23" t="n"/>
      <c r="H253" s="13" t="n">
        <v>-130</v>
      </c>
      <c r="I253" s="15" t="n">
        <v>0.5916599169805685</v>
      </c>
      <c r="J253" s="15" t="n">
        <v>0.5427435387673957</v>
      </c>
      <c r="K253" s="15" t="n">
        <v>0.5652173913043478</v>
      </c>
      <c r="L253" s="14" t="n">
        <v>0.02644252567622074</v>
      </c>
      <c r="M253" s="14" t="n">
        <v>0.04678293004254425</v>
      </c>
      <c r="N253" s="15" t="n">
        <v>0</v>
      </c>
      <c r="O253" s="24" t="n">
        <v>0.4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UNLV @ UNT</t>
        </is>
      </c>
      <c r="C254" s="17" t="inlineStr">
        <is>
          <t>2026-09-12 19:45</t>
        </is>
      </c>
      <c r="D254" s="25" t="n">
        <v>2</v>
      </c>
      <c r="E254" s="17" t="inlineStr">
        <is>
          <t>TOTAL</t>
        </is>
      </c>
      <c r="F254" s="17" t="inlineStr">
        <is>
          <t>Under 61.5</t>
        </is>
      </c>
      <c r="G254" s="26" t="n">
        <v>61.5</v>
      </c>
      <c r="H254" s="18" t="n">
        <v>-105</v>
      </c>
      <c r="I254" s="20" t="n">
        <v>0.538132956061409</v>
      </c>
      <c r="J254" s="20" t="n">
        <v>0.4891657638136511</v>
      </c>
      <c r="K254" s="20" t="n">
        <v>0.5121951219512195</v>
      </c>
      <c r="L254" s="19" t="n">
        <v>0.02593783411018946</v>
      </c>
      <c r="M254" s="19" t="n">
        <v>0.05064053326275086</v>
      </c>
      <c r="N254" s="20" t="n">
        <v>0</v>
      </c>
      <c r="O254" s="27" t="n">
        <v>0.4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UNLV @ HAW</t>
        </is>
      </c>
      <c r="C255" s="12" t="inlineStr">
        <is>
          <t>2026-09-06 02:00</t>
        </is>
      </c>
      <c r="D255" s="22" t="n">
        <v>1</v>
      </c>
      <c r="E255" s="12" t="inlineStr">
        <is>
          <t>TOTAL</t>
        </is>
      </c>
      <c r="F255" s="12" t="inlineStr">
        <is>
          <t>Over 55.5</t>
        </is>
      </c>
      <c r="G255" s="23" t="n">
        <v>55.5</v>
      </c>
      <c r="H255" s="13" t="n">
        <v>-112</v>
      </c>
      <c r="I255" s="15" t="n">
        <v>0.5534698433963681</v>
      </c>
      <c r="J255" s="15" t="n">
        <v>0.5043297540699688</v>
      </c>
      <c r="K255" s="15" t="n">
        <v>0.5283018867924528</v>
      </c>
      <c r="L255" s="14" t="n">
        <v>0.02516795660391524</v>
      </c>
      <c r="M255" s="14" t="n">
        <v>0.04763934642883955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LOU @ MISS</t>
        </is>
      </c>
      <c r="C256" s="17" t="inlineStr">
        <is>
          <t>2026-09-06 23:30</t>
        </is>
      </c>
      <c r="D256" s="25" t="n">
        <v>1</v>
      </c>
      <c r="E256" s="17" t="inlineStr">
        <is>
          <t>TOTAL</t>
        </is>
      </c>
      <c r="F256" s="17" t="inlineStr">
        <is>
          <t>Under 54.5</t>
        </is>
      </c>
      <c r="G256" s="26" t="n">
        <v>54.5</v>
      </c>
      <c r="H256" s="18" t="n">
        <v>-105</v>
      </c>
      <c r="I256" s="20" t="n">
        <v>0.5361830388758124</v>
      </c>
      <c r="J256" s="20" t="n">
        <v>0.4891657638136511</v>
      </c>
      <c r="K256" s="20" t="n">
        <v>0.5121951219512195</v>
      </c>
      <c r="L256" s="19" t="n">
        <v>0.0239879169245929</v>
      </c>
      <c r="M256" s="19" t="n">
        <v>0.04683355209087181</v>
      </c>
      <c r="N256" s="20" t="n">
        <v>0</v>
      </c>
      <c r="O256" s="27" t="n">
        <v>0.4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USF @ ARMY</t>
        </is>
      </c>
      <c r="C257" s="12" t="inlineStr">
        <is>
          <t>2026-09-12 16:00</t>
        </is>
      </c>
      <c r="D257" s="22" t="n">
        <v>2</v>
      </c>
      <c r="E257" s="12" t="inlineStr">
        <is>
          <t>ATS</t>
        </is>
      </c>
      <c r="F257" s="12" t="inlineStr">
        <is>
          <t>ARMY -1.5</t>
        </is>
      </c>
      <c r="G257" s="23" t="n">
        <v>-1.5</v>
      </c>
      <c r="H257" s="13" t="n">
        <v>-108</v>
      </c>
      <c r="I257" s="15" t="n">
        <v>0.5421973035763993</v>
      </c>
      <c r="J257" s="15" t="n">
        <v>0.4956702459300312</v>
      </c>
      <c r="K257" s="15" t="n">
        <v>0.5192307692307693</v>
      </c>
      <c r="L257" s="14" t="n">
        <v>0.02296653434563001</v>
      </c>
      <c r="M257" s="14" t="n">
        <v>0.04423184392491719</v>
      </c>
      <c r="N257" s="15" t="n">
        <v>0</v>
      </c>
      <c r="O257" s="24" t="n">
        <v>0.4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OSU @ TEX</t>
        </is>
      </c>
      <c r="C258" s="17" t="inlineStr">
        <is>
          <t>2026-09-12 23:30</t>
        </is>
      </c>
      <c r="D258" s="25" t="n">
        <v>2</v>
      </c>
      <c r="E258" s="17" t="inlineStr">
        <is>
          <t>ATS</t>
        </is>
      </c>
      <c r="F258" s="17" t="inlineStr">
        <is>
          <t>TEX -1.5</t>
        </is>
      </c>
      <c r="G258" s="26" t="n">
        <v>-1.5</v>
      </c>
      <c r="H258" s="18" t="n">
        <v>-108</v>
      </c>
      <c r="I258" s="20" t="n">
        <v>0.5421973035763993</v>
      </c>
      <c r="J258" s="20" t="n">
        <v>0.4956702459300312</v>
      </c>
      <c r="K258" s="20" t="n">
        <v>0.5192307692307693</v>
      </c>
      <c r="L258" s="19" t="n">
        <v>0.02296653434563001</v>
      </c>
      <c r="M258" s="19" t="n">
        <v>0.04423184392491719</v>
      </c>
      <c r="N258" s="20" t="n">
        <v>0</v>
      </c>
      <c r="O258" s="27" t="n">
        <v>0.4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UTSA @ TXST</t>
        </is>
      </c>
      <c r="C259" s="12" t="inlineStr">
        <is>
          <t>2026-09-12 19:30</t>
        </is>
      </c>
      <c r="D259" s="22" t="n">
        <v>2</v>
      </c>
      <c r="E259" s="12" t="inlineStr">
        <is>
          <t>ATS</t>
        </is>
      </c>
      <c r="F259" s="12" t="inlineStr">
        <is>
          <t>TXST -1.5</t>
        </is>
      </c>
      <c r="G259" s="23" t="n">
        <v>-1.5</v>
      </c>
      <c r="H259" s="13" t="n">
        <v>-110</v>
      </c>
      <c r="I259" s="15" t="n">
        <v>0.5443621806113836</v>
      </c>
      <c r="J259" s="15" t="n">
        <v>0.5</v>
      </c>
      <c r="K259" s="15" t="n">
        <v>0.5238095238095238</v>
      </c>
      <c r="L259" s="14" t="n">
        <v>0.0205526568018598</v>
      </c>
      <c r="M259" s="14" t="n">
        <v>0.03923689025809607</v>
      </c>
      <c r="N259" s="15" t="n">
        <v>0</v>
      </c>
      <c r="O259" s="24" t="n">
        <v>0.4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MSST @ MINN</t>
        </is>
      </c>
      <c r="C260" s="17" t="inlineStr">
        <is>
          <t>2026-09-12 19:30</t>
        </is>
      </c>
      <c r="D260" s="25" t="n">
        <v>2</v>
      </c>
      <c r="E260" s="17" t="inlineStr">
        <is>
          <t>ATS</t>
        </is>
      </c>
      <c r="F260" s="17" t="inlineStr">
        <is>
          <t>MINN -2.5</t>
        </is>
      </c>
      <c r="G260" s="26" t="n">
        <v>-2.5</v>
      </c>
      <c r="H260" s="18" t="n">
        <v>-110</v>
      </c>
      <c r="I260" s="20" t="n">
        <v>0.5392687072800557</v>
      </c>
      <c r="J260" s="20" t="n">
        <v>0.5</v>
      </c>
      <c r="K260" s="20" t="n">
        <v>0.5238095238095238</v>
      </c>
      <c r="L260" s="19" t="n">
        <v>0.01545918347053188</v>
      </c>
      <c r="M260" s="19" t="n">
        <v>0.02951298662556096</v>
      </c>
      <c r="N260" s="20" t="n">
        <v>0</v>
      </c>
      <c r="O260" s="27" t="n">
        <v>0.4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JVST @ OHIO</t>
        </is>
      </c>
      <c r="C261" s="12" t="inlineStr">
        <is>
          <t>2026-09-12 22:00</t>
        </is>
      </c>
      <c r="D261" s="22" t="n">
        <v>2</v>
      </c>
      <c r="E261" s="12" t="inlineStr">
        <is>
          <t>ATS</t>
        </is>
      </c>
      <c r="F261" s="12" t="inlineStr">
        <is>
          <t>OHIO -2.5</t>
        </is>
      </c>
      <c r="G261" s="23" t="n">
        <v>-2.5</v>
      </c>
      <c r="H261" s="13" t="n">
        <v>-110</v>
      </c>
      <c r="I261" s="15" t="n">
        <v>0.5375720916248864</v>
      </c>
      <c r="J261" s="15" t="n">
        <v>0.5</v>
      </c>
      <c r="K261" s="15" t="n">
        <v>0.5238095238095238</v>
      </c>
      <c r="L261" s="14" t="n">
        <v>0.01376256781536256</v>
      </c>
      <c r="M261" s="14" t="n">
        <v>0.02627399310205591</v>
      </c>
      <c r="N261" s="15" t="n">
        <v>0</v>
      </c>
      <c r="O261" s="24" t="n">
        <v>0.4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HAMP @ MD</t>
        </is>
      </c>
      <c r="C262" s="17" t="inlineStr">
        <is>
          <t>2026-09-06 00:00</t>
        </is>
      </c>
      <c r="D262" s="25" t="n">
        <v>1</v>
      </c>
      <c r="E262" s="17" t="inlineStr">
        <is>
          <t>TOTAL</t>
        </is>
      </c>
      <c r="F262" s="17" t="inlineStr">
        <is>
          <t>Over 56.5</t>
        </is>
      </c>
      <c r="G262" s="26" t="n">
        <v>56.5</v>
      </c>
      <c r="H262" s="18" t="n">
        <v>-105</v>
      </c>
      <c r="I262" s="20" t="n">
        <v>0.5244040669683934</v>
      </c>
      <c r="J262" s="20" t="n">
        <v>0.4891657638136511</v>
      </c>
      <c r="K262" s="20" t="n">
        <v>0.5121951219512195</v>
      </c>
      <c r="L262" s="19" t="n">
        <v>0.01220894501717384</v>
      </c>
      <c r="M262" s="19" t="n">
        <v>0.02383651170019657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HAMP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ACU @ TTU</t>
        </is>
      </c>
      <c r="C263" s="12" t="inlineStr">
        <is>
          <t>2026-09-05 23:00</t>
        </is>
      </c>
      <c r="D263" s="22" t="n">
        <v>1</v>
      </c>
      <c r="E263" s="12" t="inlineStr">
        <is>
          <t>TOTAL</t>
        </is>
      </c>
      <c r="F263" s="12" t="inlineStr">
        <is>
          <t>Under 59.5</t>
        </is>
      </c>
      <c r="G263" s="23" t="n">
        <v>59.5</v>
      </c>
      <c r="H263" s="13" t="n">
        <v>-110</v>
      </c>
      <c r="I263" s="15" t="n">
        <v>0.5357265900172322</v>
      </c>
      <c r="J263" s="15" t="n">
        <v>0.5</v>
      </c>
      <c r="K263" s="15" t="n">
        <v>0.5238095238095238</v>
      </c>
      <c r="L263" s="14" t="n">
        <v>0.01191706620770838</v>
      </c>
      <c r="M263" s="14" t="n">
        <v>0.02275076276017063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ACU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TXST @ TEX</t>
        </is>
      </c>
      <c r="C264" s="17" t="inlineStr">
        <is>
          <t>2026-09-05 19:30</t>
        </is>
      </c>
      <c r="D264" s="25" t="n">
        <v>1</v>
      </c>
      <c r="E264" s="17" t="inlineStr">
        <is>
          <t>TOTAL</t>
        </is>
      </c>
      <c r="F264" s="17" t="inlineStr">
        <is>
          <t>Under 60.5</t>
        </is>
      </c>
      <c r="G264" s="26" t="n">
        <v>60.5</v>
      </c>
      <c r="H264" s="18" t="n">
        <v>-112</v>
      </c>
      <c r="I264" s="20" t="n">
        <v>0.5398531164556961</v>
      </c>
      <c r="J264" s="20" t="n">
        <v>0.5043297540699688</v>
      </c>
      <c r="K264" s="20" t="n">
        <v>0.5283018867924528</v>
      </c>
      <c r="L264" s="19" t="n">
        <v>0.01155122966324329</v>
      </c>
      <c r="M264" s="19" t="n">
        <v>0.02186482757685332</v>
      </c>
      <c r="N264" s="20" t="n">
        <v>0</v>
      </c>
      <c r="O264" s="27" t="n">
        <v>0.4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NWST @ LT</t>
        </is>
      </c>
      <c r="C265" s="12" t="inlineStr">
        <is>
          <t>2026-09-05 23:30</t>
        </is>
      </c>
      <c r="D265" s="22" t="n">
        <v>1</v>
      </c>
      <c r="E265" s="12" t="inlineStr">
        <is>
          <t>TOTAL</t>
        </is>
      </c>
      <c r="F265" s="12" t="inlineStr">
        <is>
          <t>Over 56.5</t>
        </is>
      </c>
      <c r="G265" s="23" t="n">
        <v>56.5</v>
      </c>
      <c r="H265" s="13" t="n">
        <v>-110</v>
      </c>
      <c r="I265" s="15" t="n">
        <v>0.5278465354893196</v>
      </c>
      <c r="J265" s="15" t="n">
        <v>0.5</v>
      </c>
      <c r="K265" s="15" t="n">
        <v>0.5238095238095238</v>
      </c>
      <c r="L265" s="14" t="n">
        <v>0.004037011679795754</v>
      </c>
      <c r="M265" s="14" t="n">
        <v>0.007707022297791966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NWST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MVSU @ SAC</t>
        </is>
      </c>
      <c r="C266" s="17" t="inlineStr">
        <is>
          <t>2026-09-06 02:00</t>
        </is>
      </c>
      <c r="D266" s="25" t="n">
        <v>1</v>
      </c>
      <c r="E266" s="17" t="inlineStr">
        <is>
          <t>TOTAL</t>
        </is>
      </c>
      <c r="F266" s="17" t="inlineStr">
        <is>
          <t>Over 56.5</t>
        </is>
      </c>
      <c r="G266" s="26" t="n">
        <v>56.5</v>
      </c>
      <c r="H266" s="18" t="n">
        <v>-112</v>
      </c>
      <c r="I266" s="20" t="n">
        <v>0.5319860620965522</v>
      </c>
      <c r="J266" s="20" t="n">
        <v>0.5043297540699688</v>
      </c>
      <c r="K266" s="20" t="n">
        <v>0.5283018867924528</v>
      </c>
      <c r="L266" s="19" t="n">
        <v>0.003684175304099369</v>
      </c>
      <c r="M266" s="19" t="n">
        <v>0.006973617539902333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MVSU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APP @ ECU</t>
        </is>
      </c>
      <c r="C267" s="12" t="inlineStr">
        <is>
          <t>2026-09-12 16:00</t>
        </is>
      </c>
      <c r="D267" s="22" t="n">
        <v>2</v>
      </c>
      <c r="E267" s="12" t="inlineStr">
        <is>
          <t>TOTAL</t>
        </is>
      </c>
      <c r="F267" s="12" t="inlineStr">
        <is>
          <t>Over 56.5</t>
        </is>
      </c>
      <c r="G267" s="23" t="n">
        <v>56.5</v>
      </c>
      <c r="H267" s="13" t="n">
        <v>-110</v>
      </c>
      <c r="I267" s="15" t="n">
        <v>0.5258691171864973</v>
      </c>
      <c r="J267" s="15" t="n">
        <v>0.5</v>
      </c>
      <c r="K267" s="15" t="n">
        <v>0.5238095238095238</v>
      </c>
      <c r="L267" s="14" t="n">
        <v>0.002059593376973479</v>
      </c>
      <c r="M267" s="14" t="n">
        <v>0.00393195099240401</v>
      </c>
      <c r="N267" s="15" t="n">
        <v>0</v>
      </c>
      <c r="O267" s="24" t="n">
        <v>0.4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USU @ WASH</t>
        </is>
      </c>
      <c r="C268" s="17" t="inlineStr">
        <is>
          <t>2026-09-12 19:30</t>
        </is>
      </c>
      <c r="D268" s="25" t="n">
        <v>2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-115</v>
      </c>
      <c r="I268" s="20" t="n">
        <v>0.5352383031547423</v>
      </c>
      <c r="J268" s="20" t="n">
        <v>0.5108342361863488</v>
      </c>
      <c r="K268" s="20" t="n">
        <v>0.5348837209302325</v>
      </c>
      <c r="L268" s="19" t="n">
        <v>0.0003545822245097918</v>
      </c>
      <c r="M268" s="19" t="n">
        <v>0.0006629145936485892</v>
      </c>
      <c r="N268" s="20" t="n">
        <v>0</v>
      </c>
      <c r="O268" s="27" t="n">
        <v>0.4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FAU @ FLA</t>
        </is>
      </c>
      <c r="C269" s="12" t="inlineStr">
        <is>
          <t>2026-09-05 23:45</t>
        </is>
      </c>
      <c r="D269" s="22" t="n">
        <v>1</v>
      </c>
      <c r="E269" s="12" t="inlineStr">
        <is>
          <t>TOTAL</t>
        </is>
      </c>
      <c r="F269" s="12" t="inlineStr">
        <is>
          <t>Under 59.5</t>
        </is>
      </c>
      <c r="G269" s="23" t="n">
        <v>59.5</v>
      </c>
      <c r="H269" s="13" t="n">
        <v>-112</v>
      </c>
      <c r="I269" s="15" t="n">
        <v>0.5280339929869573</v>
      </c>
      <c r="J269" s="15" t="n">
        <v>0.5043297540699688</v>
      </c>
      <c r="K269" s="15" t="n">
        <v>0.5283018867924528</v>
      </c>
      <c r="L269" s="14" t="n">
        <v>-0.0002678938054955227</v>
      </c>
      <c r="M269" s="14" t="n">
        <v>-0.0005070847032594417</v>
      </c>
      <c r="N269" s="15" t="n">
        <v>0</v>
      </c>
      <c r="O269" s="24" t="n">
        <v>0.4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TENN @ GT</t>
        </is>
      </c>
      <c r="C270" s="17" t="inlineStr">
        <is>
          <t>2026-09-12 23:00</t>
        </is>
      </c>
      <c r="D270" s="25" t="n">
        <v>2</v>
      </c>
      <c r="E270" s="17" t="inlineStr">
        <is>
          <t>TOTAL</t>
        </is>
      </c>
      <c r="F270" s="17" t="inlineStr">
        <is>
          <t>Over 56.5</t>
        </is>
      </c>
      <c r="G270" s="26" t="n">
        <v>56.5</v>
      </c>
      <c r="H270" s="18" t="n">
        <v>-108</v>
      </c>
      <c r="I270" s="20" t="n">
        <v>0.5177573195518956</v>
      </c>
      <c r="J270" s="20" t="n">
        <v>0.4956702459300312</v>
      </c>
      <c r="K270" s="20" t="n">
        <v>0.5192307692307693</v>
      </c>
      <c r="L270" s="19" t="n">
        <v>-0.00147344967887364</v>
      </c>
      <c r="M270" s="19" t="n">
        <v>-0.00283775493708982</v>
      </c>
      <c r="N270" s="20" t="n">
        <v>0</v>
      </c>
      <c r="O270" s="27" t="n">
        <v>0.4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IDST @ USU</t>
        </is>
      </c>
      <c r="C271" s="12" t="inlineStr">
        <is>
          <t>2026-09-05 23:00</t>
        </is>
      </c>
      <c r="D271" s="22" t="n">
        <v>1</v>
      </c>
      <c r="E271" s="12" t="inlineStr">
        <is>
          <t>TOTAL</t>
        </is>
      </c>
      <c r="F271" s="12" t="inlineStr">
        <is>
          <t>Under 59.5</t>
        </is>
      </c>
      <c r="G271" s="23" t="n">
        <v>59.5</v>
      </c>
      <c r="H271" s="13" t="n">
        <v>-108</v>
      </c>
      <c r="I271" s="15" t="n">
        <v>0.5177573182579236</v>
      </c>
      <c r="J271" s="15" t="n">
        <v>0.4956702459300312</v>
      </c>
      <c r="K271" s="15" t="n">
        <v>0.5192307692307693</v>
      </c>
      <c r="L271" s="14" t="n">
        <v>-0.00147345097284568</v>
      </c>
      <c r="M271" s="14" t="n">
        <v>-0.002837757429184129</v>
      </c>
      <c r="N271" s="15" t="n">
        <v>0</v>
      </c>
      <c r="O271" s="24" t="n">
        <v>0.4</v>
      </c>
      <c r="P271" s="12" t="inlineStr">
        <is>
          <t>DraftKings</t>
        </is>
      </c>
      <c r="Q271" s="12" t="inlineStr">
        <is>
          <t>IDST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WYO @ CSU</t>
        </is>
      </c>
      <c r="C272" s="17" t="inlineStr">
        <is>
          <t>2026-09-05 22:00</t>
        </is>
      </c>
      <c r="D272" s="25" t="n">
        <v>1</v>
      </c>
      <c r="E272" s="17" t="inlineStr">
        <is>
          <t>ML</t>
        </is>
      </c>
      <c r="F272" s="17" t="inlineStr">
        <is>
          <t>CSU ML</t>
        </is>
      </c>
      <c r="G272" s="26" t="n"/>
      <c r="H272" s="18" t="n">
        <v>-155</v>
      </c>
      <c r="I272" s="20" t="n">
        <v>0.6037337426375524</v>
      </c>
      <c r="J272" s="20" t="n">
        <v>0.5829926410466066</v>
      </c>
      <c r="K272" s="20" t="n">
        <v>0.6078431372549019</v>
      </c>
      <c r="L272" s="19" t="n">
        <v>-0.004109394617349493</v>
      </c>
      <c r="M272" s="19" t="n">
        <v>-0.00676061695112351</v>
      </c>
      <c r="N272" s="20" t="n">
        <v>0</v>
      </c>
      <c r="O272" s="27" t="n">
        <v>0.4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WYO @ CSU</t>
        </is>
      </c>
      <c r="C273" s="12" t="inlineStr">
        <is>
          <t>2026-09-05 22:00</t>
        </is>
      </c>
      <c r="D273" s="22" t="n">
        <v>1</v>
      </c>
      <c r="E273" s="12" t="inlineStr">
        <is>
          <t>ATS</t>
        </is>
      </c>
      <c r="F273" s="12" t="inlineStr">
        <is>
          <t>CSU -3</t>
        </is>
      </c>
      <c r="G273" s="23" t="n">
        <v>-3</v>
      </c>
      <c r="H273" s="13" t="n">
        <v>-110</v>
      </c>
      <c r="I273" s="15" t="n">
        <v>0.5166925776217386</v>
      </c>
      <c r="J273" s="15" t="n">
        <v>0.5</v>
      </c>
      <c r="K273" s="15" t="n">
        <v>0.5238095238095238</v>
      </c>
      <c r="L273" s="14" t="n">
        <v>-0.007116946187785245</v>
      </c>
      <c r="M273" s="14" t="n">
        <v>-0.01275924080379182</v>
      </c>
      <c r="N273" s="15" t="n">
        <v>0.0609</v>
      </c>
      <c r="O273" s="24" t="n">
        <v>0.4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MTSU @ MRSH</t>
        </is>
      </c>
      <c r="C274" s="17" t="inlineStr">
        <is>
          <t>2026-09-12 23:00</t>
        </is>
      </c>
      <c r="D274" s="25" t="n">
        <v>2</v>
      </c>
      <c r="E274" s="17" t="inlineStr">
        <is>
          <t>TOTAL</t>
        </is>
      </c>
      <c r="F274" s="17" t="inlineStr">
        <is>
          <t>Over 57.5</t>
        </is>
      </c>
      <c r="G274" s="26" t="n">
        <v>57.5</v>
      </c>
      <c r="H274" s="18" t="n">
        <v>-115</v>
      </c>
      <c r="I274" s="20" t="n">
        <v>0.5213644382272551</v>
      </c>
      <c r="J274" s="20" t="n">
        <v>0.5108342361863488</v>
      </c>
      <c r="K274" s="20" t="n">
        <v>0.5348837209302325</v>
      </c>
      <c r="L274" s="19" t="n">
        <v>-0.01351928270297742</v>
      </c>
      <c r="M274" s="19" t="n">
        <v>-0.02527518070556667</v>
      </c>
      <c r="N274" s="20" t="n">
        <v>0</v>
      </c>
      <c r="O274" s="27" t="n">
        <v>0.4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RGV @ UTSA</t>
        </is>
      </c>
      <c r="C275" s="12" t="inlineStr">
        <is>
          <t>2026-09-05 19:30</t>
        </is>
      </c>
      <c r="D275" s="22" t="n">
        <v>1</v>
      </c>
      <c r="E275" s="12" t="inlineStr">
        <is>
          <t>TOTAL</t>
        </is>
      </c>
      <c r="F275" s="12" t="inlineStr">
        <is>
          <t>Under 59.5</t>
        </is>
      </c>
      <c r="G275" s="23" t="n">
        <v>59.5</v>
      </c>
      <c r="H275" s="13" t="n">
        <v>-112</v>
      </c>
      <c r="I275" s="15" t="n">
        <v>0.5141309501945724</v>
      </c>
      <c r="J275" s="15" t="n">
        <v>0.5043297540699688</v>
      </c>
      <c r="K275" s="15" t="n">
        <v>0.5283018867924528</v>
      </c>
      <c r="L275" s="14" t="n">
        <v>-0.01417093659788038</v>
      </c>
      <c r="M275" s="14" t="n">
        <v>-0.02682355856027363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RGV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NAU @ ARIZ</t>
        </is>
      </c>
      <c r="C276" s="17" t="inlineStr">
        <is>
          <t>2026-09-06 01:30</t>
        </is>
      </c>
      <c r="D276" s="25" t="n">
        <v>1</v>
      </c>
      <c r="E276" s="17" t="inlineStr">
        <is>
          <t>TOTAL</t>
        </is>
      </c>
      <c r="F276" s="17" t="inlineStr">
        <is>
          <t>Under 58.5</t>
        </is>
      </c>
      <c r="G276" s="26" t="n">
        <v>58.5</v>
      </c>
      <c r="H276" s="18" t="n">
        <v>-112</v>
      </c>
      <c r="I276" s="20" t="n">
        <v>0.5141309499163276</v>
      </c>
      <c r="J276" s="20" t="n">
        <v>0.5043297540699688</v>
      </c>
      <c r="K276" s="20" t="n">
        <v>0.5283018867924528</v>
      </c>
      <c r="L276" s="19" t="n">
        <v>-0.01417093687612525</v>
      </c>
      <c r="M276" s="19" t="n">
        <v>-0.02682355908695139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NAU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APSU @ VAN</t>
        </is>
      </c>
      <c r="C277" s="12" t="inlineStr">
        <is>
          <t>2026-09-05 23:00</t>
        </is>
      </c>
      <c r="D277" s="22" t="n">
        <v>1</v>
      </c>
      <c r="E277" s="12" t="inlineStr">
        <is>
          <t>TOTAL</t>
        </is>
      </c>
      <c r="F277" s="12" t="inlineStr">
        <is>
          <t>Under 58.5</t>
        </is>
      </c>
      <c r="G277" s="23" t="n">
        <v>58.5</v>
      </c>
      <c r="H277" s="13" t="n">
        <v>-102</v>
      </c>
      <c r="I277" s="15" t="n">
        <v>0.4893224267437146</v>
      </c>
      <c r="J277" s="15" t="n">
        <v>0.4826358742837298</v>
      </c>
      <c r="K277" s="15" t="n">
        <v>0.504950495049505</v>
      </c>
      <c r="L277" s="14" t="n">
        <v>-0.01562806830579033</v>
      </c>
      <c r="M277" s="14" t="n">
        <v>-0.03094970389970236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APSU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OKST @ TLSA</t>
        </is>
      </c>
      <c r="C278" s="17" t="inlineStr">
        <is>
          <t>2026-09-05 19:45</t>
        </is>
      </c>
      <c r="D278" s="25" t="n">
        <v>1</v>
      </c>
      <c r="E278" s="17" t="inlineStr">
        <is>
          <t>TOTAL</t>
        </is>
      </c>
      <c r="F278" s="17" t="inlineStr">
        <is>
          <t>Under 57.5</t>
        </is>
      </c>
      <c r="G278" s="26" t="n">
        <v>57.5</v>
      </c>
      <c r="H278" s="18" t="n">
        <v>-110</v>
      </c>
      <c r="I278" s="20" t="n">
        <v>0.503990819335696</v>
      </c>
      <c r="J278" s="20" t="n">
        <v>0.5</v>
      </c>
      <c r="K278" s="20" t="n">
        <v>0.5238095238095238</v>
      </c>
      <c r="L278" s="19" t="n">
        <v>-0.01981870447382783</v>
      </c>
      <c r="M278" s="19" t="n">
        <v>-0.03783570854094392</v>
      </c>
      <c r="N278" s="20" t="n">
        <v>0</v>
      </c>
      <c r="O278" s="27" t="n">
        <v>0.4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GASO @ CLEM</t>
        </is>
      </c>
      <c r="C279" s="12" t="inlineStr">
        <is>
          <t>2026-09-12 23:30</t>
        </is>
      </c>
      <c r="D279" s="22" t="n">
        <v>2</v>
      </c>
      <c r="E279" s="12" t="inlineStr">
        <is>
          <t>TOTAL</t>
        </is>
      </c>
      <c r="F279" s="12" t="inlineStr">
        <is>
          <t>Over 57.5</t>
        </is>
      </c>
      <c r="G279" s="23" t="n">
        <v>57.5</v>
      </c>
      <c r="H279" s="13" t="n">
        <v>-112</v>
      </c>
      <c r="I279" s="15" t="n">
        <v>0.5061556980129385</v>
      </c>
      <c r="J279" s="15" t="n">
        <v>0.5043297540699688</v>
      </c>
      <c r="K279" s="15" t="n">
        <v>0.5283018867924528</v>
      </c>
      <c r="L279" s="14" t="n">
        <v>-0.02214618877951435</v>
      </c>
      <c r="M279" s="14" t="n">
        <v>-0.04191957161836651</v>
      </c>
      <c r="N279" s="15" t="n">
        <v>0</v>
      </c>
      <c r="O279" s="24" t="n">
        <v>0.4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GASO @ CLEM</t>
        </is>
      </c>
      <c r="C280" s="17" t="inlineStr">
        <is>
          <t>2026-09-12 23:30</t>
        </is>
      </c>
      <c r="D280" s="25" t="n">
        <v>2</v>
      </c>
      <c r="E280" s="17" t="inlineStr">
        <is>
          <t>TOTAL</t>
        </is>
      </c>
      <c r="F280" s="17" t="inlineStr">
        <is>
          <t>Under 57.5</t>
        </is>
      </c>
      <c r="G280" s="26" t="n">
        <v>57.5</v>
      </c>
      <c r="H280" s="18" t="n">
        <v>-108</v>
      </c>
      <c r="I280" s="20" t="n">
        <v>0.4938443019870615</v>
      </c>
      <c r="J280" s="20" t="n">
        <v>0.4956702459300312</v>
      </c>
      <c r="K280" s="20" t="n">
        <v>0.5192307692307693</v>
      </c>
      <c r="L280" s="19" t="n">
        <v>-0.02538646724370774</v>
      </c>
      <c r="M280" s="19" t="n">
        <v>-0.0488924554323259</v>
      </c>
      <c r="N280" s="20" t="n">
        <v>0</v>
      </c>
      <c r="O280" s="27" t="n">
        <v>0.4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OKST @ TLSA</t>
        </is>
      </c>
      <c r="C281" s="12" t="inlineStr">
        <is>
          <t>2026-09-05 19:45</t>
        </is>
      </c>
      <c r="D281" s="22" t="n">
        <v>1</v>
      </c>
      <c r="E281" s="12" t="inlineStr">
        <is>
          <t>TOTAL</t>
        </is>
      </c>
      <c r="F281" s="12" t="inlineStr">
        <is>
          <t>Over 57.5</t>
        </is>
      </c>
      <c r="G281" s="23" t="n">
        <v>57.5</v>
      </c>
      <c r="H281" s="13" t="n">
        <v>-110</v>
      </c>
      <c r="I281" s="15" t="n">
        <v>0.496009180664304</v>
      </c>
      <c r="J281" s="15" t="n">
        <v>0.5</v>
      </c>
      <c r="K281" s="15" t="n">
        <v>0.5238095238095238</v>
      </c>
      <c r="L281" s="14" t="n">
        <v>-0.02780034314521984</v>
      </c>
      <c r="M281" s="14" t="n">
        <v>-0.0530733823681469</v>
      </c>
      <c r="N281" s="15" t="n">
        <v>0</v>
      </c>
      <c r="O281" s="24" t="n">
        <v>0.4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APSU @ VAN</t>
        </is>
      </c>
      <c r="C282" s="17" t="inlineStr">
        <is>
          <t>2026-09-05 23:00</t>
        </is>
      </c>
      <c r="D282" s="25" t="n">
        <v>1</v>
      </c>
      <c r="E282" s="17" t="inlineStr">
        <is>
          <t>TOTAL</t>
        </is>
      </c>
      <c r="F282" s="17" t="inlineStr">
        <is>
          <t>Over 58.5</t>
        </is>
      </c>
      <c r="G282" s="26" t="n">
        <v>58.5</v>
      </c>
      <c r="H282" s="18" t="n">
        <v>-118</v>
      </c>
      <c r="I282" s="20" t="n">
        <v>0.5106775732562854</v>
      </c>
      <c r="J282" s="20" t="n">
        <v>0.5173641257162701</v>
      </c>
      <c r="K282" s="20" t="n">
        <v>0.5412844036697247</v>
      </c>
      <c r="L282" s="19" t="n">
        <v>-0.03060683041343937</v>
      </c>
      <c r="M282" s="19" t="n">
        <v>-0.05654482228923552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APSU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NAU @ ARIZ</t>
        </is>
      </c>
      <c r="C283" s="12" t="inlineStr">
        <is>
          <t>2026-09-06 01:30</t>
        </is>
      </c>
      <c r="D283" s="22" t="n">
        <v>1</v>
      </c>
      <c r="E283" s="12" t="inlineStr">
        <is>
          <t>TOTAL</t>
        </is>
      </c>
      <c r="F283" s="12" t="inlineStr">
        <is>
          <t>Over 58.5</t>
        </is>
      </c>
      <c r="G283" s="23" t="n">
        <v>58.5</v>
      </c>
      <c r="H283" s="13" t="n">
        <v>-108</v>
      </c>
      <c r="I283" s="15" t="n">
        <v>0.4858690500836724</v>
      </c>
      <c r="J283" s="15" t="n">
        <v>0.4956702459300312</v>
      </c>
      <c r="K283" s="15" t="n">
        <v>0.5192307692307693</v>
      </c>
      <c r="L283" s="14" t="n">
        <v>-0.03336171914709685</v>
      </c>
      <c r="M283" s="14" t="n">
        <v>-0.06425219983885305</v>
      </c>
      <c r="N283" s="15" t="n">
        <v>0</v>
      </c>
      <c r="O283" s="24" t="n">
        <v>0.4</v>
      </c>
      <c r="P283" s="12" t="inlineStr">
        <is>
          <t>DraftKings</t>
        </is>
      </c>
      <c r="Q283" s="12" t="inlineStr">
        <is>
          <t>NAU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RGV @ UTSA</t>
        </is>
      </c>
      <c r="C284" s="17" t="inlineStr">
        <is>
          <t>2026-09-05 19:30</t>
        </is>
      </c>
      <c r="D284" s="25" t="n">
        <v>1</v>
      </c>
      <c r="E284" s="17" t="inlineStr">
        <is>
          <t>TOTAL</t>
        </is>
      </c>
      <c r="F284" s="17" t="inlineStr">
        <is>
          <t>Over 59.5</t>
        </is>
      </c>
      <c r="G284" s="26" t="n">
        <v>59.5</v>
      </c>
      <c r="H284" s="18" t="n">
        <v>-108</v>
      </c>
      <c r="I284" s="20" t="n">
        <v>0.4858690498054276</v>
      </c>
      <c r="J284" s="20" t="n">
        <v>0.4956702459300312</v>
      </c>
      <c r="K284" s="20" t="n">
        <v>0.5192307692307693</v>
      </c>
      <c r="L284" s="19" t="n">
        <v>-0.03336171942534172</v>
      </c>
      <c r="M284" s="19" t="n">
        <v>-0.06425220037473206</v>
      </c>
      <c r="N284" s="20" t="n">
        <v>0</v>
      </c>
      <c r="O284" s="27" t="n">
        <v>0.4</v>
      </c>
      <c r="P284" s="17" t="inlineStr">
        <is>
          <t>DraftKings</t>
        </is>
      </c>
      <c r="Q284" s="17" t="inlineStr">
        <is>
          <t>RGV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MTSU @ MRSH</t>
        </is>
      </c>
      <c r="C285" s="12" t="inlineStr">
        <is>
          <t>2026-09-12 23:00</t>
        </is>
      </c>
      <c r="D285" s="22" t="n">
        <v>2</v>
      </c>
      <c r="E285" s="12" t="inlineStr">
        <is>
          <t>TOTAL</t>
        </is>
      </c>
      <c r="F285" s="12" t="inlineStr">
        <is>
          <t>Under 57.5</t>
        </is>
      </c>
      <c r="G285" s="23" t="n">
        <v>57.5</v>
      </c>
      <c r="H285" s="13" t="n">
        <v>-105</v>
      </c>
      <c r="I285" s="15" t="n">
        <v>0.4786355617727449</v>
      </c>
      <c r="J285" s="15" t="n">
        <v>0.4891657638136511</v>
      </c>
      <c r="K285" s="15" t="n">
        <v>0.5121951219512195</v>
      </c>
      <c r="L285" s="14" t="n">
        <v>-0.03355956017847461</v>
      </c>
      <c r="M285" s="14" t="n">
        <v>-0.06552104606273618</v>
      </c>
      <c r="N285" s="15" t="n">
        <v>0</v>
      </c>
      <c r="O285" s="24" t="n">
        <v>0.4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WYO @ CSU</t>
        </is>
      </c>
      <c r="C286" s="17" t="inlineStr">
        <is>
          <t>2026-09-05 22:00</t>
        </is>
      </c>
      <c r="D286" s="25" t="n">
        <v>1</v>
      </c>
      <c r="E286" s="17" t="inlineStr">
        <is>
          <t>ML</t>
        </is>
      </c>
      <c r="F286" s="17" t="inlineStr">
        <is>
          <t>WYO ML</t>
        </is>
      </c>
      <c r="G286" s="26" t="n"/>
      <c r="H286" s="18" t="n">
        <v>130</v>
      </c>
      <c r="I286" s="20" t="n">
        <v>0.3962662573624476</v>
      </c>
      <c r="J286" s="20" t="n">
        <v>0.4170073589533933</v>
      </c>
      <c r="K286" s="20" t="n">
        <v>0.4347826086956522</v>
      </c>
      <c r="L286" s="19" t="n">
        <v>-0.03851635133320458</v>
      </c>
      <c r="M286" s="19" t="n">
        <v>-0.08858760806637067</v>
      </c>
      <c r="N286" s="20" t="n">
        <v>0</v>
      </c>
      <c r="O286" s="27" t="n">
        <v>0.4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WYO @ CSU</t>
        </is>
      </c>
      <c r="C287" s="12" t="inlineStr">
        <is>
          <t>2026-09-05 22:00</t>
        </is>
      </c>
      <c r="D287" s="22" t="n">
        <v>1</v>
      </c>
      <c r="E287" s="12" t="inlineStr">
        <is>
          <t>ATS</t>
        </is>
      </c>
      <c r="F287" s="12" t="inlineStr">
        <is>
          <t>WYO +3</t>
        </is>
      </c>
      <c r="G287" s="23" t="n">
        <v>-3</v>
      </c>
      <c r="H287" s="13" t="n">
        <v>-110</v>
      </c>
      <c r="I287" s="15" t="n">
        <v>0.4833074223782614</v>
      </c>
      <c r="J287" s="15" t="n">
        <v>0.5</v>
      </c>
      <c r="K287" s="15" t="n">
        <v>0.5238095238095238</v>
      </c>
      <c r="L287" s="14" t="n">
        <v>-0.04050210143126243</v>
      </c>
      <c r="M287" s="14" t="n">
        <v>-0.07261205179660013</v>
      </c>
      <c r="N287" s="15" t="n">
        <v>0.0609</v>
      </c>
      <c r="O287" s="24" t="n">
        <v>0.4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IDST @ USU</t>
        </is>
      </c>
      <c r="C288" s="17" t="inlineStr">
        <is>
          <t>2026-09-05 23:00</t>
        </is>
      </c>
      <c r="D288" s="25" t="n">
        <v>1</v>
      </c>
      <c r="E288" s="17" t="inlineStr">
        <is>
          <t>TOTAL</t>
        </is>
      </c>
      <c r="F288" s="17" t="inlineStr">
        <is>
          <t>Over 59.5</t>
        </is>
      </c>
      <c r="G288" s="26" t="n">
        <v>59.5</v>
      </c>
      <c r="H288" s="18" t="n">
        <v>-112</v>
      </c>
      <c r="I288" s="20" t="n">
        <v>0.4822426817420764</v>
      </c>
      <c r="J288" s="20" t="n">
        <v>0.5043297540699688</v>
      </c>
      <c r="K288" s="20" t="n">
        <v>0.5283018867924528</v>
      </c>
      <c r="L288" s="19" t="n">
        <v>-0.04605920505037642</v>
      </c>
      <c r="M288" s="19" t="n">
        <v>-0.08718349527392683</v>
      </c>
      <c r="N288" s="20" t="n">
        <v>0</v>
      </c>
      <c r="O288" s="27" t="n">
        <v>0.4</v>
      </c>
      <c r="P288" s="17" t="inlineStr">
        <is>
          <t>DraftKings</t>
        </is>
      </c>
      <c r="Q288" s="17" t="inlineStr">
        <is>
          <t>IDST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TENN @ GT</t>
        </is>
      </c>
      <c r="C289" s="12" t="inlineStr">
        <is>
          <t>2026-09-12 23:00</t>
        </is>
      </c>
      <c r="D289" s="22" t="n">
        <v>2</v>
      </c>
      <c r="E289" s="12" t="inlineStr">
        <is>
          <t>TOTAL</t>
        </is>
      </c>
      <c r="F289" s="12" t="inlineStr">
        <is>
          <t>Under 56.5</t>
        </is>
      </c>
      <c r="G289" s="23" t="n">
        <v>56.5</v>
      </c>
      <c r="H289" s="13" t="n">
        <v>-112</v>
      </c>
      <c r="I289" s="15" t="n">
        <v>0.4822426804481044</v>
      </c>
      <c r="J289" s="15" t="n">
        <v>0.5043297540699688</v>
      </c>
      <c r="K289" s="15" t="n">
        <v>0.5283018867924528</v>
      </c>
      <c r="L289" s="14" t="n">
        <v>-0.04605920634434846</v>
      </c>
      <c r="M289" s="14" t="n">
        <v>-0.08718349772323103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FAU @ FLA</t>
        </is>
      </c>
      <c r="C290" s="17" t="inlineStr">
        <is>
          <t>2026-09-05 23:45</t>
        </is>
      </c>
      <c r="D290" s="25" t="n">
        <v>1</v>
      </c>
      <c r="E290" s="17" t="inlineStr">
        <is>
          <t>TOTAL</t>
        </is>
      </c>
      <c r="F290" s="17" t="inlineStr">
        <is>
          <t>Over 59.5</t>
        </is>
      </c>
      <c r="G290" s="26" t="n">
        <v>59.5</v>
      </c>
      <c r="H290" s="18" t="n">
        <v>-108</v>
      </c>
      <c r="I290" s="20" t="n">
        <v>0.4719660070130427</v>
      </c>
      <c r="J290" s="20" t="n">
        <v>0.4956702459300312</v>
      </c>
      <c r="K290" s="20" t="n">
        <v>0.5192307692307693</v>
      </c>
      <c r="L290" s="19" t="n">
        <v>-0.04726476221772657</v>
      </c>
      <c r="M290" s="19" t="n">
        <v>-0.09102843093784363</v>
      </c>
      <c r="N290" s="20" t="n">
        <v>0</v>
      </c>
      <c r="O290" s="27" t="n">
        <v>0.4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USU @ WASH</t>
        </is>
      </c>
      <c r="C291" s="12" t="inlineStr">
        <is>
          <t>2026-09-12 19:30</t>
        </is>
      </c>
      <c r="D291" s="22" t="n">
        <v>2</v>
      </c>
      <c r="E291" s="12" t="inlineStr">
        <is>
          <t>TOTAL</t>
        </is>
      </c>
      <c r="F291" s="12" t="inlineStr">
        <is>
          <t>Under 56.5</t>
        </is>
      </c>
      <c r="G291" s="23" t="n">
        <v>56.5</v>
      </c>
      <c r="H291" s="13" t="n">
        <v>-105</v>
      </c>
      <c r="I291" s="15" t="n">
        <v>0.4647616968452577</v>
      </c>
      <c r="J291" s="15" t="n">
        <v>0.4891657638136511</v>
      </c>
      <c r="K291" s="15" t="n">
        <v>0.5121951219512195</v>
      </c>
      <c r="L291" s="14" t="n">
        <v>-0.04743342510596182</v>
      </c>
      <c r="M291" s="14" t="n">
        <v>-0.09260811568306831</v>
      </c>
      <c r="N291" s="15" t="n">
        <v>0</v>
      </c>
      <c r="O291" s="24" t="n">
        <v>0.4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APP @ ECU</t>
        </is>
      </c>
      <c r="C292" s="17" t="inlineStr">
        <is>
          <t>2026-09-12 16:00</t>
        </is>
      </c>
      <c r="D292" s="25" t="n">
        <v>2</v>
      </c>
      <c r="E292" s="17" t="inlineStr">
        <is>
          <t>TOTAL</t>
        </is>
      </c>
      <c r="F292" s="17" t="inlineStr">
        <is>
          <t>Under 56.5</t>
        </is>
      </c>
      <c r="G292" s="26" t="n">
        <v>56.5</v>
      </c>
      <c r="H292" s="18" t="n">
        <v>-110</v>
      </c>
      <c r="I292" s="20" t="n">
        <v>0.4741308828135027</v>
      </c>
      <c r="J292" s="20" t="n">
        <v>0.5</v>
      </c>
      <c r="K292" s="20" t="n">
        <v>0.5238095238095238</v>
      </c>
      <c r="L292" s="19" t="n">
        <v>-0.04967864099602115</v>
      </c>
      <c r="M292" s="19" t="n">
        <v>-0.09484104190149484</v>
      </c>
      <c r="N292" s="20" t="n">
        <v>0</v>
      </c>
      <c r="O292" s="27" t="n">
        <v>0.4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MVSU @ SAC</t>
        </is>
      </c>
      <c r="C293" s="12" t="inlineStr">
        <is>
          <t>2026-09-06 02:00</t>
        </is>
      </c>
      <c r="D293" s="22" t="n">
        <v>1</v>
      </c>
      <c r="E293" s="12" t="inlineStr">
        <is>
          <t>TOTAL</t>
        </is>
      </c>
      <c r="F293" s="12" t="inlineStr">
        <is>
          <t>Under 56.5</t>
        </is>
      </c>
      <c r="G293" s="23" t="n">
        <v>56.5</v>
      </c>
      <c r="H293" s="13" t="n">
        <v>-108</v>
      </c>
      <c r="I293" s="15" t="n">
        <v>0.4680139379034478</v>
      </c>
      <c r="J293" s="15" t="n">
        <v>0.4956702459300312</v>
      </c>
      <c r="K293" s="15" t="n">
        <v>0.5192307692307693</v>
      </c>
      <c r="L293" s="14" t="n">
        <v>-0.05121683132732147</v>
      </c>
      <c r="M293" s="14" t="n">
        <v>-0.09863982329706344</v>
      </c>
      <c r="N293" s="15" t="n">
        <v>0</v>
      </c>
      <c r="O293" s="24" t="n">
        <v>0.4</v>
      </c>
      <c r="P293" s="12" t="inlineStr">
        <is>
          <t>DraftKings</t>
        </is>
      </c>
      <c r="Q293" s="12" t="inlineStr">
        <is>
          <t>MVSU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NWST @ LT</t>
        </is>
      </c>
      <c r="C294" s="17" t="inlineStr">
        <is>
          <t>2026-09-05 23:30</t>
        </is>
      </c>
      <c r="D294" s="25" t="n">
        <v>1</v>
      </c>
      <c r="E294" s="17" t="inlineStr">
        <is>
          <t>TOTAL</t>
        </is>
      </c>
      <c r="F294" s="17" t="inlineStr">
        <is>
          <t>Under 56.5</t>
        </is>
      </c>
      <c r="G294" s="26" t="n">
        <v>56.5</v>
      </c>
      <c r="H294" s="18" t="n">
        <v>-110</v>
      </c>
      <c r="I294" s="20" t="n">
        <v>0.4721534645106804</v>
      </c>
      <c r="J294" s="20" t="n">
        <v>0.5</v>
      </c>
      <c r="K294" s="20" t="n">
        <v>0.5238095238095238</v>
      </c>
      <c r="L294" s="19" t="n">
        <v>-0.05165605929884343</v>
      </c>
      <c r="M294" s="19" t="n">
        <v>-0.09861611320688279</v>
      </c>
      <c r="N294" s="20" t="n">
        <v>0</v>
      </c>
      <c r="O294" s="27" t="n">
        <v>0.4</v>
      </c>
      <c r="P294" s="17" t="inlineStr">
        <is>
          <t>DraftKings</t>
        </is>
      </c>
      <c r="Q294" s="17" t="inlineStr">
        <is>
          <t>NWST isn't a full FBS participant this season — model doesn't rate them reliably</t>
        </is>
      </c>
    </row>
    <row r="295">
      <c r="A295" s="12" t="inlineStr">
        <is>
          <t>PASS</t>
        </is>
      </c>
      <c r="B295" s="12" t="inlineStr">
        <is>
          <t>TXST @ TEX</t>
        </is>
      </c>
      <c r="C295" s="12" t="inlineStr">
        <is>
          <t>2026-09-05 19:30</t>
        </is>
      </c>
      <c r="D295" s="22" t="n">
        <v>1</v>
      </c>
      <c r="E295" s="12" t="inlineStr">
        <is>
          <t>TOTAL</t>
        </is>
      </c>
      <c r="F295" s="12" t="inlineStr">
        <is>
          <t>Over 60.5</t>
        </is>
      </c>
      <c r="G295" s="23" t="n">
        <v>60.5</v>
      </c>
      <c r="H295" s="13" t="n">
        <v>-108</v>
      </c>
      <c r="I295" s="15" t="n">
        <v>0.4601468835443039</v>
      </c>
      <c r="J295" s="15" t="n">
        <v>0.4956702459300312</v>
      </c>
      <c r="K295" s="15" t="n">
        <v>0.5192307692307693</v>
      </c>
      <c r="L295" s="14" t="n">
        <v>-0.05908388568646539</v>
      </c>
      <c r="M295" s="14" t="n">
        <v>-0.1137911872480073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HAMP @ MD</t>
        </is>
      </c>
      <c r="C296" s="17" t="inlineStr">
        <is>
          <t>2026-09-06 00:00</t>
        </is>
      </c>
      <c r="D296" s="25" t="n">
        <v>1</v>
      </c>
      <c r="E296" s="17" t="inlineStr">
        <is>
          <t>TOTAL</t>
        </is>
      </c>
      <c r="F296" s="17" t="inlineStr">
        <is>
          <t>Under 56.5</t>
        </is>
      </c>
      <c r="G296" s="26" t="n">
        <v>56.5</v>
      </c>
      <c r="H296" s="18" t="n">
        <v>-115</v>
      </c>
      <c r="I296" s="20" t="n">
        <v>0.4755959330316066</v>
      </c>
      <c r="J296" s="20" t="n">
        <v>0.5108342361863488</v>
      </c>
      <c r="K296" s="20" t="n">
        <v>0.5348837209302325</v>
      </c>
      <c r="L296" s="19" t="n">
        <v>-0.05928778789862588</v>
      </c>
      <c r="M296" s="19" t="n">
        <v>-0.1108423860713442</v>
      </c>
      <c r="N296" s="20" t="n">
        <v>0</v>
      </c>
      <c r="O296" s="27" t="n">
        <v>0.4</v>
      </c>
      <c r="P296" s="17" t="inlineStr">
        <is>
          <t>DraftKings</t>
        </is>
      </c>
      <c r="Q296" s="17" t="inlineStr">
        <is>
          <t>HAMP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ACU @ TTU</t>
        </is>
      </c>
      <c r="C297" s="12" t="inlineStr">
        <is>
          <t>2026-09-05 23:00</t>
        </is>
      </c>
      <c r="D297" s="22" t="n">
        <v>1</v>
      </c>
      <c r="E297" s="12" t="inlineStr">
        <is>
          <t>TOTAL</t>
        </is>
      </c>
      <c r="F297" s="12" t="inlineStr">
        <is>
          <t>Over 59.5</t>
        </is>
      </c>
      <c r="G297" s="23" t="n">
        <v>59.5</v>
      </c>
      <c r="H297" s="13" t="n">
        <v>-110</v>
      </c>
      <c r="I297" s="15" t="n">
        <v>0.4642734099827678</v>
      </c>
      <c r="J297" s="15" t="n">
        <v>0.5</v>
      </c>
      <c r="K297" s="15" t="n">
        <v>0.5238095238095238</v>
      </c>
      <c r="L297" s="14" t="n">
        <v>-0.05953611382675605</v>
      </c>
      <c r="M297" s="14" t="n">
        <v>-0.1136598536692615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ACU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JVST @ OHIO</t>
        </is>
      </c>
      <c r="C298" s="17" t="inlineStr">
        <is>
          <t>2026-09-12 22:00</t>
        </is>
      </c>
      <c r="D298" s="25" t="n">
        <v>2</v>
      </c>
      <c r="E298" s="17" t="inlineStr">
        <is>
          <t>ATS</t>
        </is>
      </c>
      <c r="F298" s="17" t="inlineStr">
        <is>
          <t>JVST +2.5</t>
        </is>
      </c>
      <c r="G298" s="26" t="n">
        <v>-2.5</v>
      </c>
      <c r="H298" s="18" t="n">
        <v>-110</v>
      </c>
      <c r="I298" s="20" t="n">
        <v>0.4624279083751136</v>
      </c>
      <c r="J298" s="20" t="n">
        <v>0.5</v>
      </c>
      <c r="K298" s="20" t="n">
        <v>0.5238095238095238</v>
      </c>
      <c r="L298" s="19" t="n">
        <v>-0.06138161543441023</v>
      </c>
      <c r="M298" s="19" t="n">
        <v>-0.1171830840111467</v>
      </c>
      <c r="N298" s="20" t="n">
        <v>0</v>
      </c>
      <c r="O298" s="27" t="n">
        <v>0.4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MSST @ MINN</t>
        </is>
      </c>
      <c r="C299" s="12" t="inlineStr">
        <is>
          <t>2026-09-12 19:30</t>
        </is>
      </c>
      <c r="D299" s="22" t="n">
        <v>2</v>
      </c>
      <c r="E299" s="12" t="inlineStr">
        <is>
          <t>ATS</t>
        </is>
      </c>
      <c r="F299" s="12" t="inlineStr">
        <is>
          <t>MSST +2.5</t>
        </is>
      </c>
      <c r="G299" s="23" t="n">
        <v>-2.5</v>
      </c>
      <c r="H299" s="13" t="n">
        <v>-110</v>
      </c>
      <c r="I299" s="15" t="n">
        <v>0.4607312927199443</v>
      </c>
      <c r="J299" s="15" t="n">
        <v>0.5</v>
      </c>
      <c r="K299" s="15" t="n">
        <v>0.5238095238095238</v>
      </c>
      <c r="L299" s="14" t="n">
        <v>-0.06307823108957955</v>
      </c>
      <c r="M299" s="14" t="n">
        <v>-0.1204220775346518</v>
      </c>
      <c r="N299" s="15" t="n">
        <v>0</v>
      </c>
      <c r="O299" s="24" t="n">
        <v>0.4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MSST @ MINN</t>
        </is>
      </c>
      <c r="C300" s="17" t="inlineStr">
        <is>
          <t>2026-09-12 19:30</t>
        </is>
      </c>
      <c r="D300" s="25" t="n">
        <v>2</v>
      </c>
      <c r="E300" s="17" t="inlineStr">
        <is>
          <t>ML</t>
        </is>
      </c>
      <c r="F300" s="17" t="inlineStr">
        <is>
          <t>MSST ML</t>
        </is>
      </c>
      <c r="G300" s="26" t="n"/>
      <c r="H300" s="18" t="n">
        <v>110</v>
      </c>
      <c r="I300" s="20" t="n">
        <v>0.4083400830194315</v>
      </c>
      <c r="J300" s="20" t="n">
        <v>0.4572564612326044</v>
      </c>
      <c r="K300" s="20" t="n">
        <v>0.4761904761904762</v>
      </c>
      <c r="L300" s="19" t="n">
        <v>-0.06785039317104469</v>
      </c>
      <c r="M300" s="19" t="n">
        <v>-0.1424858256591939</v>
      </c>
      <c r="N300" s="20" t="n">
        <v>0</v>
      </c>
      <c r="O300" s="27" t="n">
        <v>0.4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UTSA @ TXST</t>
        </is>
      </c>
      <c r="C301" s="12" t="inlineStr">
        <is>
          <t>2026-09-12 19:30</t>
        </is>
      </c>
      <c r="D301" s="22" t="n">
        <v>2</v>
      </c>
      <c r="E301" s="12" t="inlineStr">
        <is>
          <t>ATS</t>
        </is>
      </c>
      <c r="F301" s="12" t="inlineStr">
        <is>
          <t>UTSA +1.5</t>
        </is>
      </c>
      <c r="G301" s="23" t="n">
        <v>-1.5</v>
      </c>
      <c r="H301" s="13" t="n">
        <v>-110</v>
      </c>
      <c r="I301" s="15" t="n">
        <v>0.4556378193886164</v>
      </c>
      <c r="J301" s="15" t="n">
        <v>0.5</v>
      </c>
      <c r="K301" s="15" t="n">
        <v>0.5238095238095238</v>
      </c>
      <c r="L301" s="14" t="n">
        <v>-0.06817170442090748</v>
      </c>
      <c r="M301" s="14" t="n">
        <v>-0.1301459811671869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USF @ ARMY</t>
        </is>
      </c>
      <c r="C302" s="17" t="inlineStr">
        <is>
          <t>2026-09-12 16:00</t>
        </is>
      </c>
      <c r="D302" s="25" t="n">
        <v>2</v>
      </c>
      <c r="E302" s="17" t="inlineStr">
        <is>
          <t>ATS</t>
        </is>
      </c>
      <c r="F302" s="17" t="inlineStr">
        <is>
          <t>USF +1.5</t>
        </is>
      </c>
      <c r="G302" s="26" t="n">
        <v>-1.5</v>
      </c>
      <c r="H302" s="18" t="n">
        <v>-112</v>
      </c>
      <c r="I302" s="20" t="n">
        <v>0.4578026964236007</v>
      </c>
      <c r="J302" s="20" t="n">
        <v>0.5043297540699688</v>
      </c>
      <c r="K302" s="20" t="n">
        <v>0.5283018867924528</v>
      </c>
      <c r="L302" s="19" t="n">
        <v>-0.0704991903688521</v>
      </c>
      <c r="M302" s="19" t="n">
        <v>-0.1334448960553272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OSU @ TEX</t>
        </is>
      </c>
      <c r="C303" s="12" t="inlineStr">
        <is>
          <t>2026-09-12 23:30</t>
        </is>
      </c>
      <c r="D303" s="22" t="n">
        <v>2</v>
      </c>
      <c r="E303" s="12" t="inlineStr">
        <is>
          <t>ATS</t>
        </is>
      </c>
      <c r="F303" s="12" t="inlineStr">
        <is>
          <t>OSU +1.5</t>
        </is>
      </c>
      <c r="G303" s="23" t="n">
        <v>-1.5</v>
      </c>
      <c r="H303" s="13" t="n">
        <v>-112</v>
      </c>
      <c r="I303" s="15" t="n">
        <v>0.4578026964236007</v>
      </c>
      <c r="J303" s="15" t="n">
        <v>0.5043297540699688</v>
      </c>
      <c r="K303" s="15" t="n">
        <v>0.5283018867924528</v>
      </c>
      <c r="L303" s="14" t="n">
        <v>-0.0704991903688521</v>
      </c>
      <c r="M303" s="14" t="n">
        <v>-0.1334448960553272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BC @ CIN</t>
        </is>
      </c>
      <c r="C304" s="17" t="inlineStr">
        <is>
          <t>2026-09-05 19:30</t>
        </is>
      </c>
      <c r="D304" s="25" t="n">
        <v>1</v>
      </c>
      <c r="E304" s="17" t="inlineStr">
        <is>
          <t>ML</t>
        </is>
      </c>
      <c r="F304" s="17" t="inlineStr">
        <is>
          <t>CIN ML</t>
        </is>
      </c>
      <c r="G304" s="26" t="n"/>
      <c r="H304" s="18" t="n">
        <v>-278</v>
      </c>
      <c r="I304" s="20" t="n">
        <v>0.6647540042445651</v>
      </c>
      <c r="J304" s="20" t="n">
        <v>0.705033164260632</v>
      </c>
      <c r="K304" s="20" t="n">
        <v>0.7354497354497355</v>
      </c>
      <c r="L304" s="19" t="n">
        <v>-0.07069573120517036</v>
      </c>
      <c r="M304" s="19" t="n">
        <v>-0.09612585034372084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LOU @ MISS</t>
        </is>
      </c>
      <c r="C305" s="12" t="inlineStr">
        <is>
          <t>2026-09-06 23:30</t>
        </is>
      </c>
      <c r="D305" s="22" t="n">
        <v>1</v>
      </c>
      <c r="E305" s="12" t="inlineStr">
        <is>
          <t>TOTAL</t>
        </is>
      </c>
      <c r="F305" s="12" t="inlineStr">
        <is>
          <t>Over 54.5</t>
        </is>
      </c>
      <c r="G305" s="23" t="n">
        <v>54.5</v>
      </c>
      <c r="H305" s="13" t="n">
        <v>-115</v>
      </c>
      <c r="I305" s="15" t="n">
        <v>0.4638169611241876</v>
      </c>
      <c r="J305" s="15" t="n">
        <v>0.5108342361863488</v>
      </c>
      <c r="K305" s="15" t="n">
        <v>0.5348837209302325</v>
      </c>
      <c r="L305" s="14" t="n">
        <v>-0.07106675980604493</v>
      </c>
      <c r="M305" s="14" t="n">
        <v>-0.1328639422460842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JVST @ OHIO</t>
        </is>
      </c>
      <c r="C306" s="17" t="inlineStr">
        <is>
          <t>2026-09-12 22:00</t>
        </is>
      </c>
      <c r="D306" s="25" t="n">
        <v>2</v>
      </c>
      <c r="E306" s="17" t="inlineStr">
        <is>
          <t>ML</t>
        </is>
      </c>
      <c r="F306" s="17" t="inlineStr">
        <is>
          <t>JVST ML</t>
        </is>
      </c>
      <c r="G306" s="26" t="n"/>
      <c r="H306" s="18" t="n">
        <v>105</v>
      </c>
      <c r="I306" s="20" t="n">
        <v>0.4151065555604518</v>
      </c>
      <c r="J306" s="20" t="n">
        <v>0.4675324675324675</v>
      </c>
      <c r="K306" s="20" t="n">
        <v>0.4878048780487805</v>
      </c>
      <c r="L306" s="19" t="n">
        <v>-0.07269832248832864</v>
      </c>
      <c r="M306" s="19" t="n">
        <v>-0.1490315611010738</v>
      </c>
      <c r="N306" s="20" t="n">
        <v>0</v>
      </c>
      <c r="O306" s="27" t="n">
        <v>0.4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UNLV @ HAW</t>
        </is>
      </c>
      <c r="C307" s="12" t="inlineStr">
        <is>
          <t>2026-09-06 02:00</t>
        </is>
      </c>
      <c r="D307" s="22" t="n">
        <v>1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-108</v>
      </c>
      <c r="I307" s="15" t="n">
        <v>0.4465301566036319</v>
      </c>
      <c r="J307" s="15" t="n">
        <v>0.4956702459300312</v>
      </c>
      <c r="K307" s="15" t="n">
        <v>0.5192307692307693</v>
      </c>
      <c r="L307" s="14" t="n">
        <v>-0.07270061262713734</v>
      </c>
      <c r="M307" s="14" t="n">
        <v>-0.1400159946893014</v>
      </c>
      <c r="N307" s="15" t="n">
        <v>0</v>
      </c>
      <c r="O307" s="24" t="n">
        <v>0.725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UNLV @ UNT</t>
        </is>
      </c>
      <c r="C308" s="17" t="inlineStr">
        <is>
          <t>2026-09-12 19:45</t>
        </is>
      </c>
      <c r="D308" s="25" t="n">
        <v>2</v>
      </c>
      <c r="E308" s="17" t="inlineStr">
        <is>
          <t>TOTAL</t>
        </is>
      </c>
      <c r="F308" s="17" t="inlineStr">
        <is>
          <t>Over 61.5</t>
        </is>
      </c>
      <c r="G308" s="26" t="n">
        <v>61.5</v>
      </c>
      <c r="H308" s="18" t="n">
        <v>-115</v>
      </c>
      <c r="I308" s="20" t="n">
        <v>0.4618670439385911</v>
      </c>
      <c r="J308" s="20" t="n">
        <v>0.5108342361863488</v>
      </c>
      <c r="K308" s="20" t="n">
        <v>0.5348837209302325</v>
      </c>
      <c r="L308" s="19" t="n">
        <v>-0.07301667699164144</v>
      </c>
      <c r="M308" s="19" t="n">
        <v>-0.136509439593069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MUR @ MTSU</t>
        </is>
      </c>
      <c r="C309" s="12" t="inlineStr">
        <is>
          <t>2026-09-05 23:00</t>
        </is>
      </c>
      <c r="D309" s="22" t="n">
        <v>1</v>
      </c>
      <c r="E309" s="12" t="inlineStr">
        <is>
          <t>TOTAL</t>
        </is>
      </c>
      <c r="F309" s="12" t="inlineStr">
        <is>
          <t>Under 55.5</t>
        </is>
      </c>
      <c r="G309" s="23" t="n">
        <v>55.5</v>
      </c>
      <c r="H309" s="13" t="n">
        <v>-108</v>
      </c>
      <c r="I309" s="15" t="n">
        <v>0.4446035299439745</v>
      </c>
      <c r="J309" s="15" t="n">
        <v>0.4956702459300312</v>
      </c>
      <c r="K309" s="15" t="n">
        <v>0.5192307692307693</v>
      </c>
      <c r="L309" s="14" t="n">
        <v>-0.07462723928679482</v>
      </c>
      <c r="M309" s="14" t="n">
        <v>-0.1437265349227158</v>
      </c>
      <c r="N309" s="15" t="n">
        <v>0</v>
      </c>
      <c r="O309" s="24" t="n">
        <v>0.4</v>
      </c>
      <c r="P309" s="12" t="inlineStr">
        <is>
          <t>DraftKings</t>
        </is>
      </c>
      <c r="Q309" s="12" t="inlineStr">
        <is>
          <t>MUR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ARIZ @ BYU</t>
        </is>
      </c>
      <c r="C310" s="17" t="inlineStr">
        <is>
          <t>2026-09-12 19:30</t>
        </is>
      </c>
      <c r="D310" s="25" t="n">
        <v>2</v>
      </c>
      <c r="E310" s="17" t="inlineStr">
        <is>
          <t>ATS</t>
        </is>
      </c>
      <c r="F310" s="17" t="inlineStr">
        <is>
          <t>BYU -7</t>
        </is>
      </c>
      <c r="G310" s="26" t="n">
        <v>-7</v>
      </c>
      <c r="H310" s="18" t="n">
        <v>-105</v>
      </c>
      <c r="I310" s="20" t="n">
        <v>0.4374959209327705</v>
      </c>
      <c r="J310" s="20" t="n">
        <v>0.4891657638136511</v>
      </c>
      <c r="K310" s="20" t="n">
        <v>0.5121951219512195</v>
      </c>
      <c r="L310" s="19" t="n">
        <v>-0.07469920101844901</v>
      </c>
      <c r="M310" s="19" t="n">
        <v>-0.1385751063870653</v>
      </c>
      <c r="N310" s="20" t="n">
        <v>0.0498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DUKE @ ILL</t>
        </is>
      </c>
      <c r="C311" s="12" t="inlineStr">
        <is>
          <t>2026-09-12 19:30</t>
        </is>
      </c>
      <c r="D311" s="22" t="n">
        <v>2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-115</v>
      </c>
      <c r="I311" s="15" t="n">
        <v>0.4599214270633271</v>
      </c>
      <c r="J311" s="15" t="n">
        <v>0.5108342361863488</v>
      </c>
      <c r="K311" s="15" t="n">
        <v>0.5348837209302325</v>
      </c>
      <c r="L311" s="14" t="n">
        <v>-0.07496229386690545</v>
      </c>
      <c r="M311" s="14" t="n">
        <v>-0.1401468972294321</v>
      </c>
      <c r="N311" s="15" t="n">
        <v>0</v>
      </c>
      <c r="O311" s="24" t="n">
        <v>0.4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TNST @ UGA</t>
        </is>
      </c>
      <c r="C312" s="17" t="inlineStr">
        <is>
          <t>2026-09-05 19:00</t>
        </is>
      </c>
      <c r="D312" s="25" t="n">
        <v>1</v>
      </c>
      <c r="E312" s="17" t="inlineStr">
        <is>
          <t>TOTAL</t>
        </is>
      </c>
      <c r="F312" s="17" t="inlineStr">
        <is>
          <t>Under 55.5</t>
        </is>
      </c>
      <c r="G312" s="26" t="n">
        <v>55.5</v>
      </c>
      <c r="H312" s="18" t="n">
        <v>-115</v>
      </c>
      <c r="I312" s="20" t="n">
        <v>0.4599214266970408</v>
      </c>
      <c r="J312" s="20" t="n">
        <v>0.5108342361863488</v>
      </c>
      <c r="K312" s="20" t="n">
        <v>0.5348837209302325</v>
      </c>
      <c r="L312" s="19" t="n">
        <v>-0.07496229423319167</v>
      </c>
      <c r="M312" s="19" t="n">
        <v>-0.1401468979142281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TNST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USF @ ARMY</t>
        </is>
      </c>
      <c r="C313" s="12" t="inlineStr">
        <is>
          <t>2026-09-12 16:00</t>
        </is>
      </c>
      <c r="D313" s="22" t="n">
        <v>2</v>
      </c>
      <c r="E313" s="12" t="inlineStr">
        <is>
          <t>ML</t>
        </is>
      </c>
      <c r="F313" s="12" t="inlineStr">
        <is>
          <t>USF ML</t>
        </is>
      </c>
      <c r="G313" s="23" t="n"/>
      <c r="H313" s="13" t="n">
        <v>-102</v>
      </c>
      <c r="I313" s="15" t="n">
        <v>0.4290805150276158</v>
      </c>
      <c r="J313" s="15" t="n">
        <v>0.4826358742837298</v>
      </c>
      <c r="K313" s="15" t="n">
        <v>0.504950495049505</v>
      </c>
      <c r="L313" s="14" t="n">
        <v>-0.07586998002188916</v>
      </c>
      <c r="M313" s="14" t="n">
        <v>-0.1502523133766824</v>
      </c>
      <c r="N313" s="15" t="n">
        <v>0</v>
      </c>
      <c r="O313" s="24" t="n">
        <v>0.4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UTSA @ TXST</t>
        </is>
      </c>
      <c r="C314" s="17" t="inlineStr">
        <is>
          <t>2026-09-12 19:30</t>
        </is>
      </c>
      <c r="D314" s="25" t="n">
        <v>2</v>
      </c>
      <c r="E314" s="17" t="inlineStr">
        <is>
          <t>ML</t>
        </is>
      </c>
      <c r="F314" s="17" t="inlineStr">
        <is>
          <t>UTSA ML</t>
        </is>
      </c>
      <c r="G314" s="26" t="n"/>
      <c r="H314" s="18" t="n">
        <v>-102</v>
      </c>
      <c r="I314" s="20" t="n">
        <v>0.4290805150276158</v>
      </c>
      <c r="J314" s="20" t="n">
        <v>0.4826358742837298</v>
      </c>
      <c r="K314" s="20" t="n">
        <v>0.504950495049505</v>
      </c>
      <c r="L314" s="19" t="n">
        <v>-0.07586998002188916</v>
      </c>
      <c r="M314" s="19" t="n">
        <v>-0.1502523133766824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OSU @ TEX</t>
        </is>
      </c>
      <c r="C315" s="12" t="inlineStr">
        <is>
          <t>2026-09-12 23:30</t>
        </is>
      </c>
      <c r="D315" s="22" t="n">
        <v>2</v>
      </c>
      <c r="E315" s="12" t="inlineStr">
        <is>
          <t>ML</t>
        </is>
      </c>
      <c r="F315" s="12" t="inlineStr">
        <is>
          <t>OSU ML</t>
        </is>
      </c>
      <c r="G315" s="23" t="n"/>
      <c r="H315" s="13" t="n">
        <v>-102</v>
      </c>
      <c r="I315" s="15" t="n">
        <v>0.4290805150276158</v>
      </c>
      <c r="J315" s="15" t="n">
        <v>0.4826358742837298</v>
      </c>
      <c r="K315" s="15" t="n">
        <v>0.504950495049505</v>
      </c>
      <c r="L315" s="14" t="n">
        <v>-0.07586998002188916</v>
      </c>
      <c r="M315" s="14" t="n">
        <v>-0.1502523133766824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USA @ TULN</t>
        </is>
      </c>
      <c r="C316" s="17" t="inlineStr">
        <is>
          <t>2026-09-12 23:00</t>
        </is>
      </c>
      <c r="D316" s="25" t="n">
        <v>2</v>
      </c>
      <c r="E316" s="17" t="inlineStr">
        <is>
          <t>TOTAL</t>
        </is>
      </c>
      <c r="F316" s="17" t="inlineStr">
        <is>
          <t>Under 55.5</t>
        </is>
      </c>
      <c r="G316" s="26" t="n">
        <v>55.5</v>
      </c>
      <c r="H316" s="18" t="n">
        <v>-115</v>
      </c>
      <c r="I316" s="20" t="n">
        <v>0.4579802839943496</v>
      </c>
      <c r="J316" s="20" t="n">
        <v>0.5108342361863488</v>
      </c>
      <c r="K316" s="20" t="n">
        <v>0.5348837209302325</v>
      </c>
      <c r="L316" s="19" t="n">
        <v>-0.07690343693588286</v>
      </c>
      <c r="M316" s="19" t="n">
        <v>-0.1437759907931724</v>
      </c>
      <c r="N316" s="20" t="n">
        <v>0</v>
      </c>
      <c r="O316" s="27" t="n">
        <v>0.4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ULM @ UAB</t>
        </is>
      </c>
      <c r="C317" s="12" t="inlineStr">
        <is>
          <t>2026-09-12 19:30</t>
        </is>
      </c>
      <c r="D317" s="22" t="n">
        <v>2</v>
      </c>
      <c r="E317" s="12" t="inlineStr">
        <is>
          <t>ML</t>
        </is>
      </c>
      <c r="F317" s="12" t="inlineStr">
        <is>
          <t>UAB ML</t>
        </is>
      </c>
      <c r="G317" s="23" t="n"/>
      <c r="H317" s="13" t="n">
        <v>-290</v>
      </c>
      <c r="I317" s="15" t="n">
        <v>0.6665357671754306</v>
      </c>
      <c r="J317" s="15" t="n">
        <v>0.7135512302607419</v>
      </c>
      <c r="K317" s="15" t="n">
        <v>0.7435897435897436</v>
      </c>
      <c r="L317" s="14" t="n">
        <v>-0.077053976414313</v>
      </c>
      <c r="M317" s="14" t="n">
        <v>-0.1036243131089036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MEM @ BOIS</t>
        </is>
      </c>
      <c r="C318" s="17" t="inlineStr">
        <is>
          <t>2026-09-12 22:00</t>
        </is>
      </c>
      <c r="D318" s="25" t="n">
        <v>2</v>
      </c>
      <c r="E318" s="17" t="inlineStr">
        <is>
          <t>ATS</t>
        </is>
      </c>
      <c r="F318" s="17" t="inlineStr">
        <is>
          <t>BOIS -6.5</t>
        </is>
      </c>
      <c r="G318" s="26" t="n">
        <v>-6.5</v>
      </c>
      <c r="H318" s="18" t="n">
        <v>-108</v>
      </c>
      <c r="I318" s="20" t="n">
        <v>0.4413595683876212</v>
      </c>
      <c r="J318" s="20" t="n">
        <v>0.4956702459300312</v>
      </c>
      <c r="K318" s="20" t="n">
        <v>0.5192307692307693</v>
      </c>
      <c r="L318" s="19" t="n">
        <v>-0.07787120084314803</v>
      </c>
      <c r="M318" s="19" t="n">
        <v>-0.1499741645868035</v>
      </c>
      <c r="N318" s="20" t="n">
        <v>0</v>
      </c>
      <c r="O318" s="27" t="n">
        <v>0.4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DEL @ VAN</t>
        </is>
      </c>
      <c r="C319" s="12" t="inlineStr">
        <is>
          <t>2026-09-12 20:15</t>
        </is>
      </c>
      <c r="D319" s="22" t="n">
        <v>2</v>
      </c>
      <c r="E319" s="12" t="inlineStr">
        <is>
          <t>TOTAL</t>
        </is>
      </c>
      <c r="F319" s="12" t="inlineStr">
        <is>
          <t>Under 55.5</t>
        </is>
      </c>
      <c r="G319" s="23" t="n">
        <v>55.5</v>
      </c>
      <c r="H319" s="13" t="n">
        <v>-108</v>
      </c>
      <c r="I319" s="15" t="n">
        <v>0.440766051846344</v>
      </c>
      <c r="J319" s="15" t="n">
        <v>0.4956702459300312</v>
      </c>
      <c r="K319" s="15" t="n">
        <v>0.5192307692307693</v>
      </c>
      <c r="L319" s="14" t="n">
        <v>-0.07846471738442529</v>
      </c>
      <c r="M319" s="14" t="n">
        <v>-0.1511172334811152</v>
      </c>
      <c r="N319" s="15" t="n">
        <v>0</v>
      </c>
      <c r="O319" s="24" t="n">
        <v>0.4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DUKE @ ILL</t>
        </is>
      </c>
      <c r="C320" s="17" t="inlineStr">
        <is>
          <t>2026-09-12 19:30</t>
        </is>
      </c>
      <c r="D320" s="25" t="n">
        <v>2</v>
      </c>
      <c r="E320" s="17" t="inlineStr">
        <is>
          <t>ML</t>
        </is>
      </c>
      <c r="F320" s="17" t="inlineStr">
        <is>
          <t>ILL ML</t>
        </is>
      </c>
      <c r="G320" s="26" t="n"/>
      <c r="H320" s="18" t="n">
        <v>-310</v>
      </c>
      <c r="I320" s="20" t="n">
        <v>0.6773076454154018</v>
      </c>
      <c r="J320" s="20" t="n">
        <v>0.725752508361204</v>
      </c>
      <c r="K320" s="20" t="n">
        <v>0.7560975609756098</v>
      </c>
      <c r="L320" s="19" t="n">
        <v>-0.07878991556020798</v>
      </c>
      <c r="M320" s="19" t="n">
        <v>-0.1042060173538235</v>
      </c>
      <c r="N320" s="20" t="n">
        <v>0</v>
      </c>
      <c r="O320" s="27" t="n">
        <v>0.4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UCF @ PITT</t>
        </is>
      </c>
      <c r="C321" s="12" t="inlineStr">
        <is>
          <t>2026-09-12 19:30</t>
        </is>
      </c>
      <c r="D321" s="22" t="n">
        <v>2</v>
      </c>
      <c r="E321" s="12" t="inlineStr">
        <is>
          <t>ML</t>
        </is>
      </c>
      <c r="F321" s="12" t="inlineStr">
        <is>
          <t>PITT ML</t>
        </is>
      </c>
      <c r="G321" s="23" t="n"/>
      <c r="H321" s="13" t="n">
        <v>-285</v>
      </c>
      <c r="I321" s="15" t="n">
        <v>0.6591333177496104</v>
      </c>
      <c r="J321" s="15" t="n">
        <v>0.7095435684647302</v>
      </c>
      <c r="K321" s="15" t="n">
        <v>0.7402597402597403</v>
      </c>
      <c r="L321" s="14" t="n">
        <v>-0.08112642251012991</v>
      </c>
      <c r="M321" s="14" t="n">
        <v>-0.109591833917193</v>
      </c>
      <c r="N321" s="15" t="n">
        <v>0</v>
      </c>
      <c r="O321" s="24" t="n">
        <v>0.4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MEM @ BOIS</t>
        </is>
      </c>
      <c r="C322" s="17" t="inlineStr">
        <is>
          <t>2026-09-12 22:00</t>
        </is>
      </c>
      <c r="D322" s="25" t="n">
        <v>2</v>
      </c>
      <c r="E322" s="17" t="inlineStr">
        <is>
          <t>ML</t>
        </is>
      </c>
      <c r="F322" s="17" t="inlineStr">
        <is>
          <t>BOIS ML</t>
        </is>
      </c>
      <c r="G322" s="26" t="n"/>
      <c r="H322" s="18" t="n">
        <v>-270</v>
      </c>
      <c r="I322" s="20" t="n">
        <v>0.6477441500504932</v>
      </c>
      <c r="J322" s="20" t="n">
        <v>0.7001620745542949</v>
      </c>
      <c r="K322" s="20" t="n">
        <v>0.7297297297297297</v>
      </c>
      <c r="L322" s="19" t="n">
        <v>-0.08198557967923648</v>
      </c>
      <c r="M322" s="19" t="n">
        <v>-0.1123506091900649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ORE @ OKST</t>
        </is>
      </c>
      <c r="C323" s="12" t="inlineStr">
        <is>
          <t>2026-09-12 16:00</t>
        </is>
      </c>
      <c r="D323" s="22" t="n">
        <v>2</v>
      </c>
      <c r="E323" s="12" t="inlineStr">
        <is>
          <t>TOTAL</t>
        </is>
      </c>
      <c r="F323" s="12" t="inlineStr">
        <is>
          <t>Over 60.5</t>
        </is>
      </c>
      <c r="G323" s="23" t="n">
        <v>60.5</v>
      </c>
      <c r="H323" s="13" t="n">
        <v>-108</v>
      </c>
      <c r="I323" s="15" t="n">
        <v>0.4369507855995667</v>
      </c>
      <c r="J323" s="15" t="n">
        <v>0.4956702459300312</v>
      </c>
      <c r="K323" s="15" t="n">
        <v>0.5192307692307693</v>
      </c>
      <c r="L323" s="14" t="n">
        <v>-0.08227998363120254</v>
      </c>
      <c r="M323" s="14" t="n">
        <v>-0.1584651536600937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DUQ @ AFA</t>
        </is>
      </c>
      <c r="C324" s="17" t="inlineStr">
        <is>
          <t>2026-09-05 17:00</t>
        </is>
      </c>
      <c r="D324" s="25" t="n">
        <v>1</v>
      </c>
      <c r="E324" s="17" t="inlineStr">
        <is>
          <t>TOTAL</t>
        </is>
      </c>
      <c r="F324" s="17" t="inlineStr">
        <is>
          <t>Under 55.5</t>
        </is>
      </c>
      <c r="G324" s="26" t="n">
        <v>55.5</v>
      </c>
      <c r="H324" s="18" t="n">
        <v>-112</v>
      </c>
      <c r="I324" s="20" t="n">
        <v>0.4450958059163128</v>
      </c>
      <c r="J324" s="20" t="n">
        <v>0.5043297540699688</v>
      </c>
      <c r="K324" s="20" t="n">
        <v>0.5283018867924528</v>
      </c>
      <c r="L324" s="19" t="n">
        <v>-0.08320608087614001</v>
      </c>
      <c r="M324" s="19" t="n">
        <v>-0.1574972245155508</v>
      </c>
      <c r="N324" s="20" t="n">
        <v>0</v>
      </c>
      <c r="O324" s="27" t="n">
        <v>0.4</v>
      </c>
      <c r="P324" s="17" t="inlineStr">
        <is>
          <t>DraftKings</t>
        </is>
      </c>
      <c r="Q324" s="17" t="inlineStr">
        <is>
          <t>DUQ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FOR @ NDSU</t>
        </is>
      </c>
      <c r="C325" s="12" t="inlineStr">
        <is>
          <t>2026-09-05 19:30</t>
        </is>
      </c>
      <c r="D325" s="22" t="n">
        <v>1</v>
      </c>
      <c r="E325" s="12" t="inlineStr">
        <is>
          <t>TOTAL</t>
        </is>
      </c>
      <c r="F325" s="12" t="inlineStr">
        <is>
          <t>Under 54.5</t>
        </is>
      </c>
      <c r="G325" s="23" t="n">
        <v>54.5</v>
      </c>
      <c r="H325" s="13" t="n">
        <v>-112</v>
      </c>
      <c r="I325" s="15" t="n">
        <v>0.445095805435185</v>
      </c>
      <c r="J325" s="15" t="n">
        <v>0.5043297540699688</v>
      </c>
      <c r="K325" s="15" t="n">
        <v>0.5283018867924528</v>
      </c>
      <c r="L325" s="14" t="n">
        <v>-0.08320608135726781</v>
      </c>
      <c r="M325" s="14" t="n">
        <v>-0.157497225426257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FOR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TULN @ DUKE</t>
        </is>
      </c>
      <c r="C326" s="17" t="inlineStr">
        <is>
          <t>2026-09-05 19:30</t>
        </is>
      </c>
      <c r="D326" s="25" t="n">
        <v>1</v>
      </c>
      <c r="E326" s="17" t="inlineStr">
        <is>
          <t>ATS</t>
        </is>
      </c>
      <c r="F326" s="17" t="inlineStr">
        <is>
          <t>DUKE -7.5</t>
        </is>
      </c>
      <c r="G326" s="26" t="n">
        <v>-7.5</v>
      </c>
      <c r="H326" s="18" t="n">
        <v>-105</v>
      </c>
      <c r="I326" s="20" t="n">
        <v>0.4278844941035094</v>
      </c>
      <c r="J326" s="20" t="n">
        <v>0.4891657638136511</v>
      </c>
      <c r="K326" s="20" t="n">
        <v>0.5121951219512195</v>
      </c>
      <c r="L326" s="19" t="n">
        <v>-0.08431062784771015</v>
      </c>
      <c r="M326" s="19" t="n">
        <v>-0.1646064638931484</v>
      </c>
      <c r="N326" s="20" t="n">
        <v>0</v>
      </c>
      <c r="O326" s="27" t="n">
        <v>0.4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TULN @ DUKE</t>
        </is>
      </c>
      <c r="C327" s="12" t="inlineStr">
        <is>
          <t>2026-09-05 19:30</t>
        </is>
      </c>
      <c r="D327" s="22" t="n">
        <v>1</v>
      </c>
      <c r="E327" s="12" t="inlineStr">
        <is>
          <t>ML</t>
        </is>
      </c>
      <c r="F327" s="12" t="inlineStr">
        <is>
          <t>DUKE ML</t>
        </is>
      </c>
      <c r="G327" s="23" t="n"/>
      <c r="H327" s="13" t="n">
        <v>-325</v>
      </c>
      <c r="I327" s="15" t="n">
        <v>0.6790085819888573</v>
      </c>
      <c r="J327" s="15" t="n">
        <v>0.7335423197492164</v>
      </c>
      <c r="K327" s="15" t="n">
        <v>0.7647058823529411</v>
      </c>
      <c r="L327" s="14" t="n">
        <v>-0.08569730036408385</v>
      </c>
      <c r="M327" s="14" t="n">
        <v>-0.1120657004761097</v>
      </c>
      <c r="N327" s="15" t="n">
        <v>0</v>
      </c>
      <c r="O327" s="24" t="n">
        <v>0.4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NICH @ KSU</t>
        </is>
      </c>
      <c r="C328" s="17" t="inlineStr">
        <is>
          <t>2026-09-05 23:00</t>
        </is>
      </c>
      <c r="D328" s="25" t="n">
        <v>1</v>
      </c>
      <c r="E328" s="17" t="inlineStr">
        <is>
          <t>TOTAL</t>
        </is>
      </c>
      <c r="F328" s="17" t="inlineStr">
        <is>
          <t>Under 54.5</t>
        </is>
      </c>
      <c r="G328" s="26" t="n">
        <v>54.5</v>
      </c>
      <c r="H328" s="18" t="n">
        <v>-102</v>
      </c>
      <c r="I328" s="20" t="n">
        <v>0.4191348177724882</v>
      </c>
      <c r="J328" s="20" t="n">
        <v>0.4826358742837298</v>
      </c>
      <c r="K328" s="20" t="n">
        <v>0.504950495049505</v>
      </c>
      <c r="L328" s="19" t="n">
        <v>-0.08581567727701678</v>
      </c>
      <c r="M328" s="19" t="n">
        <v>-0.1699486942152685</v>
      </c>
      <c r="N328" s="20" t="n">
        <v>0</v>
      </c>
      <c r="O328" s="27" t="n">
        <v>0.4</v>
      </c>
      <c r="P328" s="17" t="inlineStr">
        <is>
          <t>DraftKings</t>
        </is>
      </c>
      <c r="Q328" s="17" t="inlineStr">
        <is>
          <t>NICH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OU @ MICH</t>
        </is>
      </c>
      <c r="C329" s="12" t="inlineStr">
        <is>
          <t>2026-09-12 16:00</t>
        </is>
      </c>
      <c r="D329" s="22" t="n">
        <v>2</v>
      </c>
      <c r="E329" s="12" t="inlineStr">
        <is>
          <t>ML</t>
        </is>
      </c>
      <c r="F329" s="12" t="inlineStr">
        <is>
          <t>OU ML</t>
        </is>
      </c>
      <c r="G329" s="23" t="n"/>
      <c r="H329" s="13" t="n">
        <v>-118</v>
      </c>
      <c r="I329" s="15" t="n">
        <v>0.4548765373771939</v>
      </c>
      <c r="J329" s="15" t="n">
        <v>0.5173641257162701</v>
      </c>
      <c r="K329" s="15" t="n">
        <v>0.5412844036697247</v>
      </c>
      <c r="L329" s="14" t="n">
        <v>-0.08640786629253083</v>
      </c>
      <c r="M329" s="14" t="n">
        <v>-0.1596348716251841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BC @ CIN</t>
        </is>
      </c>
      <c r="C330" s="17" t="inlineStr">
        <is>
          <t>2026-09-05 19:30</t>
        </is>
      </c>
      <c r="D330" s="25" t="n">
        <v>1</v>
      </c>
      <c r="E330" s="17" t="inlineStr">
        <is>
          <t>ATS</t>
        </is>
      </c>
      <c r="F330" s="17" t="inlineStr">
        <is>
          <t>CIN -7</t>
        </is>
      </c>
      <c r="G330" s="26" t="n">
        <v>-7</v>
      </c>
      <c r="H330" s="18" t="n">
        <v>-115</v>
      </c>
      <c r="I330" s="20" t="n">
        <v>0.4483301571191194</v>
      </c>
      <c r="J330" s="20" t="n">
        <v>0.5108342361863488</v>
      </c>
      <c r="K330" s="20" t="n">
        <v>0.5348837209302325</v>
      </c>
      <c r="L330" s="19" t="n">
        <v>-0.08655356381111312</v>
      </c>
      <c r="M330" s="19" t="n">
        <v>-0.1537553641259211</v>
      </c>
      <c r="N330" s="20" t="n">
        <v>0.0498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ULM @ MSST</t>
        </is>
      </c>
      <c r="C331" s="12" t="inlineStr">
        <is>
          <t>2026-09-05 23:30</t>
        </is>
      </c>
      <c r="D331" s="22" t="n">
        <v>1</v>
      </c>
      <c r="E331" s="12" t="inlineStr">
        <is>
          <t>TOTAL</t>
        </is>
      </c>
      <c r="F331" s="12" t="inlineStr">
        <is>
          <t>Under 54.5</t>
        </is>
      </c>
      <c r="G331" s="23" t="n">
        <v>54.5</v>
      </c>
      <c r="H331" s="13" t="n">
        <v>-105</v>
      </c>
      <c r="I331" s="15" t="n">
        <v>0.4242665977645095</v>
      </c>
      <c r="J331" s="15" t="n">
        <v>0.4891657638136511</v>
      </c>
      <c r="K331" s="15" t="n">
        <v>0.5121951219512195</v>
      </c>
      <c r="L331" s="14" t="n">
        <v>-0.08792852418671004</v>
      </c>
      <c r="M331" s="14" t="n">
        <v>-0.1716699757931006</v>
      </c>
      <c r="N331" s="15" t="n">
        <v>0</v>
      </c>
      <c r="O331" s="24" t="n">
        <v>0.4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WKU @ NEV</t>
        </is>
      </c>
      <c r="C332" s="17" t="inlineStr">
        <is>
          <t>2026-09-06 02:30</t>
        </is>
      </c>
      <c r="D332" s="25" t="n">
        <v>1</v>
      </c>
      <c r="E332" s="17" t="inlineStr">
        <is>
          <t>ML</t>
        </is>
      </c>
      <c r="F332" s="17" t="inlineStr">
        <is>
          <t>WKU ML</t>
        </is>
      </c>
      <c r="G332" s="26" t="n"/>
      <c r="H332" s="18" t="n">
        <v>-112</v>
      </c>
      <c r="I332" s="20" t="n">
        <v>0.4399274549207353</v>
      </c>
      <c r="J332" s="20" t="n">
        <v>0.5043297540699688</v>
      </c>
      <c r="K332" s="20" t="n">
        <v>0.5283018867924528</v>
      </c>
      <c r="L332" s="19" t="n">
        <v>-0.08837443187171756</v>
      </c>
      <c r="M332" s="19" t="n">
        <v>-0.1672801746143226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ARK @ UTAH</t>
        </is>
      </c>
      <c r="C333" s="12" t="inlineStr">
        <is>
          <t>2026-09-13 02:15</t>
        </is>
      </c>
      <c r="D333" s="22" t="n">
        <v>2</v>
      </c>
      <c r="E333" s="12" t="inlineStr">
        <is>
          <t>ML</t>
        </is>
      </c>
      <c r="F333" s="12" t="inlineStr">
        <is>
          <t>UTAH ML</t>
        </is>
      </c>
      <c r="G333" s="23" t="n"/>
      <c r="H333" s="13" t="n">
        <v>-375</v>
      </c>
      <c r="I333" s="15" t="n">
        <v>0.6996948439921276</v>
      </c>
      <c r="J333" s="15" t="n">
        <v>0.7571884984025559</v>
      </c>
      <c r="K333" s="15" t="n">
        <v>0.7894736842105263</v>
      </c>
      <c r="L333" s="14" t="n">
        <v>-0.08977884021839877</v>
      </c>
      <c r="M333" s="14" t="n">
        <v>-0.1137198642766385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UTU @ BYU</t>
        </is>
      </c>
      <c r="C334" s="17" t="inlineStr">
        <is>
          <t>2026-09-06 00:00</t>
        </is>
      </c>
      <c r="D334" s="25" t="n">
        <v>1</v>
      </c>
      <c r="E334" s="17" t="inlineStr">
        <is>
          <t>TOTAL</t>
        </is>
      </c>
      <c r="F334" s="17" t="inlineStr">
        <is>
          <t>Over 61.5</t>
        </is>
      </c>
      <c r="G334" s="26" t="n">
        <v>61.5</v>
      </c>
      <c r="H334" s="18" t="n">
        <v>-105</v>
      </c>
      <c r="I334" s="20" t="n">
        <v>0.422399763714697</v>
      </c>
      <c r="J334" s="20" t="n">
        <v>0.4891657638136511</v>
      </c>
      <c r="K334" s="20" t="n">
        <v>0.5121951219512195</v>
      </c>
      <c r="L334" s="19" t="n">
        <v>-0.08979535823652252</v>
      </c>
      <c r="M334" s="19" t="n">
        <v>-0.1753147470332106</v>
      </c>
      <c r="N334" s="20" t="n">
        <v>0</v>
      </c>
      <c r="O334" s="27" t="n">
        <v>0.4</v>
      </c>
      <c r="P334" s="17" t="inlineStr">
        <is>
          <t>DraftKings</t>
        </is>
      </c>
      <c r="Q334" s="17" t="inlineStr">
        <is>
          <t>UTU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OU @ MICH</t>
        </is>
      </c>
      <c r="C335" s="12" t="inlineStr">
        <is>
          <t>2026-09-12 16:00</t>
        </is>
      </c>
      <c r="D335" s="22" t="n">
        <v>2</v>
      </c>
      <c r="E335" s="12" t="inlineStr">
        <is>
          <t>ATS</t>
        </is>
      </c>
      <c r="F335" s="12" t="inlineStr">
        <is>
          <t>OU -1.5</t>
        </is>
      </c>
      <c r="G335" s="23" t="n">
        <v>1.5</v>
      </c>
      <c r="H335" s="13" t="n">
        <v>-108</v>
      </c>
      <c r="I335" s="15" t="n">
        <v>0.4266095973345578</v>
      </c>
      <c r="J335" s="15" t="n">
        <v>0.4956702459300312</v>
      </c>
      <c r="K335" s="15" t="n">
        <v>0.5192307692307693</v>
      </c>
      <c r="L335" s="14" t="n">
        <v>-0.09262117189621144</v>
      </c>
      <c r="M335" s="14" t="n">
        <v>-0.1783815162445552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WKU @ NEV</t>
        </is>
      </c>
      <c r="C336" s="17" t="inlineStr">
        <is>
          <t>2026-09-06 02:30</t>
        </is>
      </c>
      <c r="D336" s="25" t="n">
        <v>1</v>
      </c>
      <c r="E336" s="17" t="inlineStr">
        <is>
          <t>ATS</t>
        </is>
      </c>
      <c r="F336" s="17" t="inlineStr">
        <is>
          <t>WKU -1.5</t>
        </is>
      </c>
      <c r="G336" s="26" t="n">
        <v>1.5</v>
      </c>
      <c r="H336" s="18" t="n">
        <v>-102</v>
      </c>
      <c r="I336" s="20" t="n">
        <v>0.41193880960593</v>
      </c>
      <c r="J336" s="20" t="n">
        <v>0.4826358742837298</v>
      </c>
      <c r="K336" s="20" t="n">
        <v>0.504950495049505</v>
      </c>
      <c r="L336" s="19" t="n">
        <v>-0.09301168544357497</v>
      </c>
      <c r="M336" s="19" t="n">
        <v>-0.1841996123490406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ARST @ MEM</t>
        </is>
      </c>
      <c r="C337" s="12" t="inlineStr">
        <is>
          <t>2026-09-05 23:00</t>
        </is>
      </c>
      <c r="D337" s="22" t="n">
        <v>1</v>
      </c>
      <c r="E337" s="12" t="inlineStr">
        <is>
          <t>ML</t>
        </is>
      </c>
      <c r="F337" s="12" t="inlineStr">
        <is>
          <t>MEM ML</t>
        </is>
      </c>
      <c r="G337" s="23" t="n"/>
      <c r="H337" s="13" t="n">
        <v>-425</v>
      </c>
      <c r="I337" s="15" t="n">
        <v>0.7149019805069725</v>
      </c>
      <c r="J337" s="15" t="n">
        <v>0.7768331562167907</v>
      </c>
      <c r="K337" s="15" t="n">
        <v>0.8095238095238095</v>
      </c>
      <c r="L337" s="14" t="n">
        <v>-0.09462182901683702</v>
      </c>
      <c r="M337" s="14" t="n">
        <v>-0.1168857887855045</v>
      </c>
      <c r="N337" s="15" t="n">
        <v>0</v>
      </c>
      <c r="O337" s="24" t="n">
        <v>0.4</v>
      </c>
      <c r="P337" s="12" t="inlineStr">
        <is>
          <t>DraftKings</t>
        </is>
      </c>
      <c r="Q337" s="12" t="inlineStr">
        <is>
          <t>price outside allowed range</t>
        </is>
      </c>
    </row>
    <row r="338">
      <c r="A338" s="17" t="inlineStr">
        <is>
          <t>PASS</t>
        </is>
      </c>
      <c r="B338" s="17" t="inlineStr">
        <is>
          <t>SDSU @ UCLA</t>
        </is>
      </c>
      <c r="C338" s="17" t="inlineStr">
        <is>
          <t>2026-09-12 23:15</t>
        </is>
      </c>
      <c r="D338" s="25" t="n">
        <v>2</v>
      </c>
      <c r="E338" s="17" t="inlineStr">
        <is>
          <t>ML</t>
        </is>
      </c>
      <c r="F338" s="17" t="inlineStr">
        <is>
          <t>UCLA ML</t>
        </is>
      </c>
      <c r="G338" s="26" t="n"/>
      <c r="H338" s="18" t="n">
        <v>-360</v>
      </c>
      <c r="I338" s="20" t="n">
        <v>0.6876437059712373</v>
      </c>
      <c r="J338" s="20" t="n">
        <v>0.7508125677139762</v>
      </c>
      <c r="K338" s="20" t="n">
        <v>0.7826086956521739</v>
      </c>
      <c r="L338" s="19" t="n">
        <v>-0.0949649896809367</v>
      </c>
      <c r="M338" s="19" t="n">
        <v>-0.1213441534811969</v>
      </c>
      <c r="N338" s="20" t="n">
        <v>0</v>
      </c>
      <c r="O338" s="27" t="n">
        <v>0.4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ULM @ UAB</t>
        </is>
      </c>
      <c r="C339" s="12" t="inlineStr">
        <is>
          <t>2026-09-12 19:30</t>
        </is>
      </c>
      <c r="D339" s="22" t="n">
        <v>2</v>
      </c>
      <c r="E339" s="12" t="inlineStr">
        <is>
          <t>ATS</t>
        </is>
      </c>
      <c r="F339" s="12" t="inlineStr">
        <is>
          <t>UAB -7.5</t>
        </is>
      </c>
      <c r="G339" s="23" t="n">
        <v>-7.5</v>
      </c>
      <c r="H339" s="13" t="n">
        <v>-112</v>
      </c>
      <c r="I339" s="15" t="n">
        <v>0.4330103551691764</v>
      </c>
      <c r="J339" s="15" t="n">
        <v>0.5043297540699688</v>
      </c>
      <c r="K339" s="15" t="n">
        <v>0.5283018867924528</v>
      </c>
      <c r="L339" s="14" t="n">
        <v>-0.09529153162327642</v>
      </c>
      <c r="M339" s="14" t="n">
        <v>-0.1803732562869161</v>
      </c>
      <c r="N339" s="15" t="n">
        <v>0</v>
      </c>
      <c r="O339" s="24" t="n">
        <v>0.4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ARK @ UTAH</t>
        </is>
      </c>
      <c r="C340" s="17" t="inlineStr">
        <is>
          <t>2026-09-13 02:15</t>
        </is>
      </c>
      <c r="D340" s="25" t="n">
        <v>2</v>
      </c>
      <c r="E340" s="17" t="inlineStr">
        <is>
          <t>TOTAL</t>
        </is>
      </c>
      <c r="F340" s="17" t="inlineStr">
        <is>
          <t>Under 56.5</t>
        </is>
      </c>
      <c r="G340" s="26" t="n">
        <v>56.5</v>
      </c>
      <c r="H340" s="18" t="n">
        <v>-110</v>
      </c>
      <c r="I340" s="20" t="n">
        <v>0.4278168811198301</v>
      </c>
      <c r="J340" s="20" t="n">
        <v>0.5</v>
      </c>
      <c r="K340" s="20" t="n">
        <v>0.5238095238095238</v>
      </c>
      <c r="L340" s="19" t="n">
        <v>-0.09599264268969376</v>
      </c>
      <c r="M340" s="19" t="n">
        <v>-0.1832586814985062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CAL @ SYR</t>
        </is>
      </c>
      <c r="C341" s="12" t="inlineStr">
        <is>
          <t>2026-09-12 19:30</t>
        </is>
      </c>
      <c r="D341" s="22" t="n">
        <v>2</v>
      </c>
      <c r="E341" s="12" t="inlineStr">
        <is>
          <t>ML</t>
        </is>
      </c>
      <c r="F341" s="12" t="inlineStr">
        <is>
          <t>CAL ML</t>
        </is>
      </c>
      <c r="G341" s="23" t="n"/>
      <c r="H341" s="13" t="n">
        <v>-120</v>
      </c>
      <c r="I341" s="15" t="n">
        <v>0.4486321431031421</v>
      </c>
      <c r="J341" s="15" t="n">
        <v>0.5217391304347826</v>
      </c>
      <c r="K341" s="15" t="n">
        <v>0.5454545454545454</v>
      </c>
      <c r="L341" s="14" t="n">
        <v>-0.09682240235140327</v>
      </c>
      <c r="M341" s="14" t="n">
        <v>-0.1775077376442393</v>
      </c>
      <c r="N341" s="15" t="n">
        <v>0</v>
      </c>
      <c r="O341" s="24" t="n">
        <v>0.4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APP @ ECU</t>
        </is>
      </c>
      <c r="C342" s="17" t="inlineStr">
        <is>
          <t>2026-09-12 16:00</t>
        </is>
      </c>
      <c r="D342" s="25" t="n">
        <v>2</v>
      </c>
      <c r="E342" s="17" t="inlineStr">
        <is>
          <t>ML</t>
        </is>
      </c>
      <c r="F342" s="17" t="inlineStr">
        <is>
          <t>ECU ML</t>
        </is>
      </c>
      <c r="G342" s="26" t="n"/>
      <c r="H342" s="18" t="n">
        <v>-375</v>
      </c>
      <c r="I342" s="20" t="n">
        <v>0.690831671315527</v>
      </c>
      <c r="J342" s="20" t="n">
        <v>0.7571884984025559</v>
      </c>
      <c r="K342" s="20" t="n">
        <v>0.7894736842105263</v>
      </c>
      <c r="L342" s="19" t="n">
        <v>-0.0986420128949993</v>
      </c>
      <c r="M342" s="19" t="n">
        <v>-0.1249465496669991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DUKE @ ILL</t>
        </is>
      </c>
      <c r="C343" s="12" t="inlineStr">
        <is>
          <t>2026-09-12 19:30</t>
        </is>
      </c>
      <c r="D343" s="22" t="n">
        <v>2</v>
      </c>
      <c r="E343" s="12" t="inlineStr">
        <is>
          <t>ATS</t>
        </is>
      </c>
      <c r="F343" s="12" t="inlineStr">
        <is>
          <t>ILL -8.5</t>
        </is>
      </c>
      <c r="G343" s="23" t="n">
        <v>-8.5</v>
      </c>
      <c r="H343" s="13" t="n">
        <v>-108</v>
      </c>
      <c r="I343" s="15" t="n">
        <v>0.4201110448378231</v>
      </c>
      <c r="J343" s="15" t="n">
        <v>0.4956702459300312</v>
      </c>
      <c r="K343" s="15" t="n">
        <v>0.5192307692307693</v>
      </c>
      <c r="L343" s="14" t="n">
        <v>-0.09911972439294614</v>
      </c>
      <c r="M343" s="14" t="n">
        <v>-0.1908972469790072</v>
      </c>
      <c r="N343" s="15" t="n">
        <v>0</v>
      </c>
      <c r="O343" s="24" t="n">
        <v>0.4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NMSU @ HAW</t>
        </is>
      </c>
      <c r="C344" s="17" t="inlineStr">
        <is>
          <t>2026-09-13 03:59</t>
        </is>
      </c>
      <c r="D344" s="25" t="n">
        <v>2</v>
      </c>
      <c r="E344" s="17" t="inlineStr">
        <is>
          <t>ML</t>
        </is>
      </c>
      <c r="F344" s="17" t="inlineStr">
        <is>
          <t>HAW ML</t>
        </is>
      </c>
      <c r="G344" s="26" t="n"/>
      <c r="H344" s="18" t="n">
        <v>-395</v>
      </c>
      <c r="I344" s="20" t="n">
        <v>0.6987497096743012</v>
      </c>
      <c r="J344" s="20" t="n">
        <v>0.7659021045164341</v>
      </c>
      <c r="K344" s="20" t="n">
        <v>0.797979797979798</v>
      </c>
      <c r="L344" s="19" t="n">
        <v>-0.09923008830549684</v>
      </c>
      <c r="M344" s="19" t="n">
        <v>-0.1243516296486606</v>
      </c>
      <c r="N344" s="20" t="n">
        <v>0</v>
      </c>
      <c r="O344" s="27" t="n">
        <v>0.725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CLEM @ LSU</t>
        </is>
      </c>
      <c r="C345" s="12" t="inlineStr">
        <is>
          <t>2026-09-05 23:30</t>
        </is>
      </c>
      <c r="D345" s="22" t="n">
        <v>1</v>
      </c>
      <c r="E345" s="12" t="inlineStr">
        <is>
          <t>ML</t>
        </is>
      </c>
      <c r="F345" s="12" t="inlineStr">
        <is>
          <t>LSU ML</t>
        </is>
      </c>
      <c r="G345" s="23" t="n"/>
      <c r="H345" s="13" t="n">
        <v>-380</v>
      </c>
      <c r="I345" s="15" t="n">
        <v>0.6922374221142491</v>
      </c>
      <c r="J345" s="15" t="n">
        <v>0.7600000000000001</v>
      </c>
      <c r="K345" s="15" t="n">
        <v>0.7916666666666666</v>
      </c>
      <c r="L345" s="14" t="n">
        <v>-0.09942924455241753</v>
      </c>
      <c r="M345" s="14" t="n">
        <v>-0.1255948352241064</v>
      </c>
      <c r="N345" s="15" t="n">
        <v>0</v>
      </c>
      <c r="O345" s="24" t="n">
        <v>0.4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USA @ TULN</t>
        </is>
      </c>
      <c r="C346" s="17" t="inlineStr">
        <is>
          <t>2026-09-12 23:00</t>
        </is>
      </c>
      <c r="D346" s="25" t="n">
        <v>2</v>
      </c>
      <c r="E346" s="17" t="inlineStr">
        <is>
          <t>ML</t>
        </is>
      </c>
      <c r="F346" s="17" t="inlineStr">
        <is>
          <t>TULN ML</t>
        </is>
      </c>
      <c r="G346" s="26" t="n"/>
      <c r="H346" s="18" t="n">
        <v>-380</v>
      </c>
      <c r="I346" s="20" t="n">
        <v>0.6922374221142491</v>
      </c>
      <c r="J346" s="20" t="n">
        <v>0.7600000000000001</v>
      </c>
      <c r="K346" s="20" t="n">
        <v>0.7916666666666666</v>
      </c>
      <c r="L346" s="19" t="n">
        <v>-0.09942924455241753</v>
      </c>
      <c r="M346" s="19" t="n">
        <v>-0.1255948352241064</v>
      </c>
      <c r="N346" s="20" t="n">
        <v>0</v>
      </c>
      <c r="O346" s="27" t="n">
        <v>0.4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ULM @ UAB</t>
        </is>
      </c>
      <c r="C347" s="12" t="inlineStr">
        <is>
          <t>2026-09-12 19:30</t>
        </is>
      </c>
      <c r="D347" s="22" t="n">
        <v>2</v>
      </c>
      <c r="E347" s="12" t="inlineStr">
        <is>
          <t>TOTAL</t>
        </is>
      </c>
      <c r="F347" s="12" t="inlineStr">
        <is>
          <t>Under 54.5</t>
        </is>
      </c>
      <c r="G347" s="23" t="n">
        <v>54.5</v>
      </c>
      <c r="H347" s="13" t="n">
        <v>-110</v>
      </c>
      <c r="I347" s="15" t="n">
        <v>0.422258413977104</v>
      </c>
      <c r="J347" s="15" t="n">
        <v>0.5</v>
      </c>
      <c r="K347" s="15" t="n">
        <v>0.5238095238095238</v>
      </c>
      <c r="L347" s="14" t="n">
        <v>-0.1015511098324199</v>
      </c>
      <c r="M347" s="14" t="n">
        <v>-0.1938703005891652</v>
      </c>
      <c r="N347" s="15" t="n">
        <v>0</v>
      </c>
      <c r="O347" s="24" t="n">
        <v>0.4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SMU @ FSU</t>
        </is>
      </c>
      <c r="C348" s="17" t="inlineStr">
        <is>
          <t>2026-09-07 23:30</t>
        </is>
      </c>
      <c r="D348" s="25" t="n">
        <v>1</v>
      </c>
      <c r="E348" s="17" t="inlineStr">
        <is>
          <t>TOTAL</t>
        </is>
      </c>
      <c r="F348" s="17" t="inlineStr">
        <is>
          <t>Under 53.5</t>
        </is>
      </c>
      <c r="G348" s="26" t="n">
        <v>53.5</v>
      </c>
      <c r="H348" s="18" t="n">
        <v>-112</v>
      </c>
      <c r="I348" s="20" t="n">
        <v>0.4262689472782026</v>
      </c>
      <c r="J348" s="20" t="n">
        <v>0.5043297540699688</v>
      </c>
      <c r="K348" s="20" t="n">
        <v>0.5283018867924528</v>
      </c>
      <c r="L348" s="19" t="n">
        <v>-0.1020329395142502</v>
      </c>
      <c r="M348" s="19" t="n">
        <v>-0.1931337783662593</v>
      </c>
      <c r="N348" s="20" t="n">
        <v>0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ARK @ UTAH</t>
        </is>
      </c>
      <c r="C349" s="12" t="inlineStr">
        <is>
          <t>2026-09-13 02:15</t>
        </is>
      </c>
      <c r="D349" s="22" t="n">
        <v>2</v>
      </c>
      <c r="E349" s="12" t="inlineStr">
        <is>
          <t>ATS</t>
        </is>
      </c>
      <c r="F349" s="12" t="inlineStr">
        <is>
          <t>UTAH -9.5</t>
        </is>
      </c>
      <c r="G349" s="23" t="n">
        <v>-9.5</v>
      </c>
      <c r="H349" s="13" t="n">
        <v>-108</v>
      </c>
      <c r="I349" s="15" t="n">
        <v>0.4155218291177214</v>
      </c>
      <c r="J349" s="15" t="n">
        <v>0.4956702459300312</v>
      </c>
      <c r="K349" s="15" t="n">
        <v>0.5192307692307693</v>
      </c>
      <c r="L349" s="14" t="n">
        <v>-0.1037089401130479</v>
      </c>
      <c r="M349" s="14" t="n">
        <v>-0.199735736514018</v>
      </c>
      <c r="N349" s="15" t="n">
        <v>0</v>
      </c>
      <c r="O349" s="24" t="n">
        <v>0.4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UNA @ ARK</t>
        </is>
      </c>
      <c r="C350" s="17" t="inlineStr">
        <is>
          <t>2026-09-05 20:15</t>
        </is>
      </c>
      <c r="D350" s="25" t="n">
        <v>1</v>
      </c>
      <c r="E350" s="17" t="inlineStr">
        <is>
          <t>TOTAL</t>
        </is>
      </c>
      <c r="F350" s="17" t="inlineStr">
        <is>
          <t>Over 63.5</t>
        </is>
      </c>
      <c r="G350" s="26" t="n">
        <v>63.5</v>
      </c>
      <c r="H350" s="18" t="n">
        <v>-105</v>
      </c>
      <c r="I350" s="20" t="n">
        <v>0.4077266652511259</v>
      </c>
      <c r="J350" s="20" t="n">
        <v>0.4891657638136511</v>
      </c>
      <c r="K350" s="20" t="n">
        <v>0.5121951219512195</v>
      </c>
      <c r="L350" s="19" t="n">
        <v>-0.1044684567000936</v>
      </c>
      <c r="M350" s="19" t="n">
        <v>-0.2039622249858971</v>
      </c>
      <c r="N350" s="20" t="n">
        <v>0</v>
      </c>
      <c r="O350" s="27" t="n">
        <v>0.4</v>
      </c>
      <c r="P350" s="17" t="inlineStr">
        <is>
          <t>DraftKings</t>
        </is>
      </c>
      <c r="Q350" s="17" t="inlineStr">
        <is>
          <t>UNA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ME @ APP</t>
        </is>
      </c>
      <c r="C351" s="12" t="inlineStr">
        <is>
          <t>2026-09-05 19:30</t>
        </is>
      </c>
      <c r="D351" s="22" t="n">
        <v>1</v>
      </c>
      <c r="E351" s="12" t="inlineStr">
        <is>
          <t>TOTAL</t>
        </is>
      </c>
      <c r="F351" s="12" t="inlineStr">
        <is>
          <t>Under 53.5</t>
        </is>
      </c>
      <c r="G351" s="23" t="n">
        <v>53.5</v>
      </c>
      <c r="H351" s="13" t="n">
        <v>-105</v>
      </c>
      <c r="I351" s="15" t="n">
        <v>0.4077266642201197</v>
      </c>
      <c r="J351" s="15" t="n">
        <v>0.4891657638136511</v>
      </c>
      <c r="K351" s="15" t="n">
        <v>0.5121951219512195</v>
      </c>
      <c r="L351" s="14" t="n">
        <v>-0.1044684577310998</v>
      </c>
      <c r="M351" s="14" t="n">
        <v>-0.2039622269988139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ME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MOST @ TA&amp;M</t>
        </is>
      </c>
      <c r="C352" s="17" t="inlineStr">
        <is>
          <t>2026-09-05 23:00</t>
        </is>
      </c>
      <c r="D352" s="25" t="n">
        <v>1</v>
      </c>
      <c r="E352" s="17" t="inlineStr">
        <is>
          <t>TOTAL</t>
        </is>
      </c>
      <c r="F352" s="17" t="inlineStr">
        <is>
          <t>Under 53.5</t>
        </is>
      </c>
      <c r="G352" s="26" t="n">
        <v>53.5</v>
      </c>
      <c r="H352" s="18" t="n">
        <v>-108</v>
      </c>
      <c r="I352" s="20" t="n">
        <v>0.4146014228901438</v>
      </c>
      <c r="J352" s="20" t="n">
        <v>0.4956702459300312</v>
      </c>
      <c r="K352" s="20" t="n">
        <v>0.5192307692307693</v>
      </c>
      <c r="L352" s="19" t="n">
        <v>-0.1046293463406255</v>
      </c>
      <c r="M352" s="19" t="n">
        <v>-0.2015083707300934</v>
      </c>
      <c r="N352" s="20" t="n">
        <v>0</v>
      </c>
      <c r="O352" s="27" t="n">
        <v>0.4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UCLA @ CAL</t>
        </is>
      </c>
      <c r="C353" s="12" t="inlineStr">
        <is>
          <t>2026-09-06 02:30</t>
        </is>
      </c>
      <c r="D353" s="22" t="n">
        <v>1</v>
      </c>
      <c r="E353" s="12" t="inlineStr">
        <is>
          <t>TOTAL</t>
        </is>
      </c>
      <c r="F353" s="12" t="inlineStr">
        <is>
          <t>Under 53.5</t>
        </is>
      </c>
      <c r="G353" s="23" t="n">
        <v>53.5</v>
      </c>
      <c r="H353" s="13" t="n">
        <v>-108</v>
      </c>
      <c r="I353" s="15" t="n">
        <v>0.4146014228901438</v>
      </c>
      <c r="J353" s="15" t="n">
        <v>0.4956702459300312</v>
      </c>
      <c r="K353" s="15" t="n">
        <v>0.5192307692307693</v>
      </c>
      <c r="L353" s="14" t="n">
        <v>-0.1046293463406255</v>
      </c>
      <c r="M353" s="14" t="n">
        <v>-0.2015083707300934</v>
      </c>
      <c r="N353" s="15" t="n">
        <v>0</v>
      </c>
      <c r="O353" s="24" t="n">
        <v>0.4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CAL @ SYR</t>
        </is>
      </c>
      <c r="C354" s="17" t="inlineStr">
        <is>
          <t>2026-09-12 19:30</t>
        </is>
      </c>
      <c r="D354" s="25" t="n">
        <v>2</v>
      </c>
      <c r="E354" s="17" t="inlineStr">
        <is>
          <t>ATS</t>
        </is>
      </c>
      <c r="F354" s="17" t="inlineStr">
        <is>
          <t>CAL -1.5</t>
        </is>
      </c>
      <c r="G354" s="26" t="n">
        <v>1.5</v>
      </c>
      <c r="H354" s="18" t="n">
        <v>-112</v>
      </c>
      <c r="I354" s="20" t="n">
        <v>0.4227857494990495</v>
      </c>
      <c r="J354" s="20" t="n">
        <v>0.5043297540699688</v>
      </c>
      <c r="K354" s="20" t="n">
        <v>0.5283018867924528</v>
      </c>
      <c r="L354" s="19" t="n">
        <v>-0.1055161372934034</v>
      </c>
      <c r="M354" s="19" t="n">
        <v>-0.1997269741625136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TLSA @ SHSU</t>
        </is>
      </c>
      <c r="C355" s="12" t="inlineStr">
        <is>
          <t>2026-09-12 23:00</t>
        </is>
      </c>
      <c r="D355" s="22" t="n">
        <v>2</v>
      </c>
      <c r="E355" s="12" t="inlineStr">
        <is>
          <t>TOTAL</t>
        </is>
      </c>
      <c r="F355" s="12" t="inlineStr">
        <is>
          <t>Under 53.5</t>
        </is>
      </c>
      <c r="G355" s="23" t="n">
        <v>53.5</v>
      </c>
      <c r="H355" s="13" t="n">
        <v>-108</v>
      </c>
      <c r="I355" s="15" t="n">
        <v>0.4127861760307099</v>
      </c>
      <c r="J355" s="15" t="n">
        <v>0.4956702459300312</v>
      </c>
      <c r="K355" s="15" t="n">
        <v>0.5192307692307693</v>
      </c>
      <c r="L355" s="14" t="n">
        <v>-0.1064445932000594</v>
      </c>
      <c r="M355" s="14" t="n">
        <v>-0.2050044017186328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SHSU @ TROY</t>
        </is>
      </c>
      <c r="C356" s="17" t="inlineStr">
        <is>
          <t>2026-09-05 23:00</t>
        </is>
      </c>
      <c r="D356" s="25" t="n">
        <v>1</v>
      </c>
      <c r="E356" s="17" t="inlineStr">
        <is>
          <t>TOTAL</t>
        </is>
      </c>
      <c r="F356" s="17" t="inlineStr">
        <is>
          <t>Under 52.5</t>
        </is>
      </c>
      <c r="G356" s="26" t="n">
        <v>52.5</v>
      </c>
      <c r="H356" s="18" t="n">
        <v>-102</v>
      </c>
      <c r="I356" s="20" t="n">
        <v>0.3973152632016075</v>
      </c>
      <c r="J356" s="20" t="n">
        <v>0.4826358742837298</v>
      </c>
      <c r="K356" s="20" t="n">
        <v>0.504950495049505</v>
      </c>
      <c r="L356" s="19" t="n">
        <v>-0.1076352318478975</v>
      </c>
      <c r="M356" s="19" t="n">
        <v>-0.2131599689536793</v>
      </c>
      <c r="N356" s="20" t="n">
        <v>0</v>
      </c>
      <c r="O356" s="27" t="n">
        <v>0.4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EKU @ JVST</t>
        </is>
      </c>
      <c r="C357" s="12" t="inlineStr">
        <is>
          <t>2026-09-05 23:00</t>
        </is>
      </c>
      <c r="D357" s="22" t="n">
        <v>1</v>
      </c>
      <c r="E357" s="12" t="inlineStr">
        <is>
          <t>TOTAL</t>
        </is>
      </c>
      <c r="F357" s="12" t="inlineStr">
        <is>
          <t>Under 52.5</t>
        </is>
      </c>
      <c r="G357" s="23" t="n">
        <v>52.5</v>
      </c>
      <c r="H357" s="13" t="n">
        <v>-105</v>
      </c>
      <c r="I357" s="15" t="n">
        <v>0.404136628267756</v>
      </c>
      <c r="J357" s="15" t="n">
        <v>0.4891657638136511</v>
      </c>
      <c r="K357" s="15" t="n">
        <v>0.5121951219512195</v>
      </c>
      <c r="L357" s="14" t="n">
        <v>-0.1080584936834635</v>
      </c>
      <c r="M357" s="14" t="n">
        <v>-0.2109713448105717</v>
      </c>
      <c r="N357" s="15" t="n">
        <v>0</v>
      </c>
      <c r="O357" s="24" t="n">
        <v>0.4</v>
      </c>
      <c r="P357" s="12" t="inlineStr">
        <is>
          <t>DraftKings</t>
        </is>
      </c>
      <c r="Q357" s="12" t="inlineStr">
        <is>
          <t>EKU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MD @ CONN</t>
        </is>
      </c>
      <c r="C358" s="17" t="inlineStr">
        <is>
          <t>2026-09-12 19:30</t>
        </is>
      </c>
      <c r="D358" s="25" t="n">
        <v>2</v>
      </c>
      <c r="E358" s="17" t="inlineStr">
        <is>
          <t>TOTAL</t>
        </is>
      </c>
      <c r="F358" s="17" t="inlineStr">
        <is>
          <t>Under 53.5</t>
        </is>
      </c>
      <c r="G358" s="26" t="n">
        <v>53.5</v>
      </c>
      <c r="H358" s="18" t="n">
        <v>-105</v>
      </c>
      <c r="I358" s="20" t="n">
        <v>0.4023541474656159</v>
      </c>
      <c r="J358" s="20" t="n">
        <v>0.4891657638136511</v>
      </c>
      <c r="K358" s="20" t="n">
        <v>0.5121951219512195</v>
      </c>
      <c r="L358" s="19" t="n">
        <v>-0.1098409744856036</v>
      </c>
      <c r="M358" s="19" t="n">
        <v>-0.2144514263766547</v>
      </c>
      <c r="N358" s="20" t="n">
        <v>0</v>
      </c>
      <c r="O358" s="27" t="n">
        <v>0.4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UCLA @ CAL</t>
        </is>
      </c>
      <c r="C359" s="12" t="inlineStr">
        <is>
          <t>2026-09-06 02:30</t>
        </is>
      </c>
      <c r="D359" s="22" t="n">
        <v>1</v>
      </c>
      <c r="E359" s="12" t="inlineStr">
        <is>
          <t>ML</t>
        </is>
      </c>
      <c r="F359" s="12" t="inlineStr">
        <is>
          <t>UCLA ML</t>
        </is>
      </c>
      <c r="G359" s="23" t="n"/>
      <c r="H359" s="13" t="n">
        <v>-135</v>
      </c>
      <c r="I359" s="15" t="n">
        <v>0.4634831352440254</v>
      </c>
      <c r="J359" s="15" t="n">
        <v>0.551441114716549</v>
      </c>
      <c r="K359" s="15" t="n">
        <v>0.574468085106383</v>
      </c>
      <c r="L359" s="14" t="n">
        <v>-0.1109849498623576</v>
      </c>
      <c r="M359" s="14" t="n">
        <v>-0.1931960238344743</v>
      </c>
      <c r="N359" s="15" t="n">
        <v>0</v>
      </c>
      <c r="O359" s="24" t="n">
        <v>0.4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PRST @ SDSU</t>
        </is>
      </c>
      <c r="C360" s="17" t="inlineStr">
        <is>
          <t>2026-09-06 01:30</t>
        </is>
      </c>
      <c r="D360" s="25" t="n">
        <v>1</v>
      </c>
      <c r="E360" s="17" t="inlineStr">
        <is>
          <t>TOTAL</t>
        </is>
      </c>
      <c r="F360" s="17" t="inlineStr">
        <is>
          <t>Over 62.5</t>
        </is>
      </c>
      <c r="G360" s="26" t="n">
        <v>62.5</v>
      </c>
      <c r="H360" s="18" t="n">
        <v>-102</v>
      </c>
      <c r="I360" s="20" t="n">
        <v>0.3937935548289601</v>
      </c>
      <c r="J360" s="20" t="n">
        <v>0.4826358742837298</v>
      </c>
      <c r="K360" s="20" t="n">
        <v>0.504950495049505</v>
      </c>
      <c r="L360" s="19" t="n">
        <v>-0.1111569402205449</v>
      </c>
      <c r="M360" s="19" t="n">
        <v>-0.2201343325936281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PRST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UCF @ PITT</t>
        </is>
      </c>
      <c r="C361" s="12" t="inlineStr">
        <is>
          <t>2026-09-12 19:30</t>
        </is>
      </c>
      <c r="D361" s="22" t="n">
        <v>2</v>
      </c>
      <c r="E361" s="12" t="inlineStr">
        <is>
          <t>ATS</t>
        </is>
      </c>
      <c r="F361" s="12" t="inlineStr">
        <is>
          <t>PITT -8.5</t>
        </is>
      </c>
      <c r="G361" s="23" t="n">
        <v>-8.5</v>
      </c>
      <c r="H361" s="13" t="n">
        <v>-110</v>
      </c>
      <c r="I361" s="15" t="n">
        <v>0.4125883043188293</v>
      </c>
      <c r="J361" s="15" t="n">
        <v>0.5</v>
      </c>
      <c r="K361" s="15" t="n">
        <v>0.5238095238095238</v>
      </c>
      <c r="L361" s="14" t="n">
        <v>-0.1112212194906945</v>
      </c>
      <c r="M361" s="14" t="n">
        <v>-0.2123314190276895</v>
      </c>
      <c r="N361" s="15" t="n">
        <v>0</v>
      </c>
      <c r="O361" s="24" t="n">
        <v>0.4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ARST @ MEM</t>
        </is>
      </c>
      <c r="C362" s="17" t="inlineStr">
        <is>
          <t>2026-09-05 23:00</t>
        </is>
      </c>
      <c r="D362" s="25" t="n">
        <v>1</v>
      </c>
      <c r="E362" s="17" t="inlineStr">
        <is>
          <t>TOTAL</t>
        </is>
      </c>
      <c r="F362" s="17" t="inlineStr">
        <is>
          <t>Under 52.5</t>
        </is>
      </c>
      <c r="G362" s="26" t="n">
        <v>52.5</v>
      </c>
      <c r="H362" s="18" t="n">
        <v>-105</v>
      </c>
      <c r="I362" s="20" t="n">
        <v>0.4005802079665681</v>
      </c>
      <c r="J362" s="20" t="n">
        <v>0.4891657638136511</v>
      </c>
      <c r="K362" s="20" t="n">
        <v>0.5121951219512195</v>
      </c>
      <c r="L362" s="19" t="n">
        <v>-0.1116149139846514</v>
      </c>
      <c r="M362" s="19" t="n">
        <v>-0.2179148320652718</v>
      </c>
      <c r="N362" s="20" t="n">
        <v>0</v>
      </c>
      <c r="O362" s="27" t="n">
        <v>0.4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CMU @ UNM</t>
        </is>
      </c>
      <c r="C363" s="12" t="inlineStr">
        <is>
          <t>2026-09-06 02:00</t>
        </is>
      </c>
      <c r="D363" s="22" t="n">
        <v>1</v>
      </c>
      <c r="E363" s="12" t="inlineStr">
        <is>
          <t>ML</t>
        </is>
      </c>
      <c r="F363" s="12" t="inlineStr">
        <is>
          <t>UNM ML</t>
        </is>
      </c>
      <c r="G363" s="23" t="n"/>
      <c r="H363" s="13" t="n">
        <v>-440</v>
      </c>
      <c r="I363" s="15" t="n">
        <v>0.7031905723565754</v>
      </c>
      <c r="J363" s="15" t="n">
        <v>0.7819063004846527</v>
      </c>
      <c r="K363" s="15" t="n">
        <v>0.8148148148148148</v>
      </c>
      <c r="L363" s="14" t="n">
        <v>-0.1116242424582393</v>
      </c>
      <c r="M363" s="14" t="n">
        <v>-0.1369933884714756</v>
      </c>
      <c r="N363" s="15" t="n">
        <v>0</v>
      </c>
      <c r="O363" s="24" t="n">
        <v>0.4</v>
      </c>
      <c r="P363" s="12" t="inlineStr">
        <is>
          <t>DraftKings</t>
        </is>
      </c>
      <c r="Q363" s="12" t="inlineStr">
        <is>
          <t>price outside allowed range</t>
        </is>
      </c>
    </row>
    <row r="364">
      <c r="A364" s="17" t="inlineStr">
        <is>
          <t>PASS</t>
        </is>
      </c>
      <c r="B364" s="17" t="inlineStr">
        <is>
          <t>WKU @ UGA</t>
        </is>
      </c>
      <c r="C364" s="17" t="inlineStr">
        <is>
          <t>2026-09-12 16:45</t>
        </is>
      </c>
      <c r="D364" s="25" t="n">
        <v>2</v>
      </c>
      <c r="E364" s="17" t="inlineStr">
        <is>
          <t>TOTAL</t>
        </is>
      </c>
      <c r="F364" s="17" t="inlineStr">
        <is>
          <t>Under 52.5</t>
        </is>
      </c>
      <c r="G364" s="26" t="n">
        <v>52.5</v>
      </c>
      <c r="H364" s="18" t="n">
        <v>-108</v>
      </c>
      <c r="I364" s="20" t="n">
        <v>0.4056063879553933</v>
      </c>
      <c r="J364" s="20" t="n">
        <v>0.4956702459300312</v>
      </c>
      <c r="K364" s="20" t="n">
        <v>0.5192307692307693</v>
      </c>
      <c r="L364" s="19" t="n">
        <v>-0.113624381275376</v>
      </c>
      <c r="M364" s="19" t="n">
        <v>-0.2188321417155388</v>
      </c>
      <c r="N364" s="20" t="n">
        <v>0</v>
      </c>
      <c r="O364" s="27" t="n">
        <v>0.4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MEM @ BOIS</t>
        </is>
      </c>
      <c r="C365" s="12" t="inlineStr">
        <is>
          <t>2026-09-12 22:00</t>
        </is>
      </c>
      <c r="D365" s="22" t="n">
        <v>2</v>
      </c>
      <c r="E365" s="12" t="inlineStr">
        <is>
          <t>TOTAL</t>
        </is>
      </c>
      <c r="F365" s="12" t="inlineStr">
        <is>
          <t>Under 52.5</t>
        </is>
      </c>
      <c r="G365" s="23" t="n">
        <v>52.5</v>
      </c>
      <c r="H365" s="13" t="n">
        <v>-108</v>
      </c>
      <c r="I365" s="15" t="n">
        <v>0.403832449024758</v>
      </c>
      <c r="J365" s="15" t="n">
        <v>0.4956702459300312</v>
      </c>
      <c r="K365" s="15" t="n">
        <v>0.5192307692307693</v>
      </c>
      <c r="L365" s="14" t="n">
        <v>-0.1153983202060113</v>
      </c>
      <c r="M365" s="14" t="n">
        <v>-0.2222486166930586</v>
      </c>
      <c r="N365" s="15" t="n">
        <v>0</v>
      </c>
      <c r="O365" s="24" t="n">
        <v>0.4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MSST @ MINN</t>
        </is>
      </c>
      <c r="C366" s="17" t="inlineStr">
        <is>
          <t>2026-09-12 19:30</t>
        </is>
      </c>
      <c r="D366" s="25" t="n">
        <v>2</v>
      </c>
      <c r="E366" s="17" t="inlineStr">
        <is>
          <t>TOTAL</t>
        </is>
      </c>
      <c r="F366" s="17" t="inlineStr">
        <is>
          <t>Under 53.5</t>
        </is>
      </c>
      <c r="G366" s="26" t="n">
        <v>53.5</v>
      </c>
      <c r="H366" s="18" t="n">
        <v>-112</v>
      </c>
      <c r="I366" s="20" t="n">
        <v>0.4117186239952778</v>
      </c>
      <c r="J366" s="20" t="n">
        <v>0.5043297540699688</v>
      </c>
      <c r="K366" s="20" t="n">
        <v>0.5283018867924528</v>
      </c>
      <c r="L366" s="19" t="n">
        <v>-0.116583262797175</v>
      </c>
      <c r="M366" s="19" t="n">
        <v>-0.2206754617232242</v>
      </c>
      <c r="N366" s="20" t="n">
        <v>0</v>
      </c>
      <c r="O366" s="27" t="n">
        <v>0.4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EMU @ MSU</t>
        </is>
      </c>
      <c r="C367" s="12" t="inlineStr">
        <is>
          <t>2026-09-12 19:30</t>
        </is>
      </c>
      <c r="D367" s="22" t="n">
        <v>2</v>
      </c>
      <c r="E367" s="12" t="inlineStr">
        <is>
          <t>TOTAL</t>
        </is>
      </c>
      <c r="F367" s="12" t="inlineStr">
        <is>
          <t>Under 51.5</t>
        </is>
      </c>
      <c r="G367" s="23" t="n">
        <v>51.5</v>
      </c>
      <c r="H367" s="13" t="n">
        <v>-108</v>
      </c>
      <c r="I367" s="15" t="n">
        <v>0.4020671873631646</v>
      </c>
      <c r="J367" s="15" t="n">
        <v>0.4956702459300312</v>
      </c>
      <c r="K367" s="15" t="n">
        <v>0.5192307692307693</v>
      </c>
      <c r="L367" s="14" t="n">
        <v>-0.1171635818676047</v>
      </c>
      <c r="M367" s="14" t="n">
        <v>-0.2256483798931644</v>
      </c>
      <c r="N367" s="15" t="n">
        <v>0</v>
      </c>
      <c r="O367" s="24" t="n">
        <v>0.725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UCLA @ CAL</t>
        </is>
      </c>
      <c r="C368" s="17" t="inlineStr">
        <is>
          <t>2026-09-06 02:30</t>
        </is>
      </c>
      <c r="D368" s="25" t="n">
        <v>1</v>
      </c>
      <c r="E368" s="17" t="inlineStr">
        <is>
          <t>ATS</t>
        </is>
      </c>
      <c r="F368" s="17" t="inlineStr">
        <is>
          <t>UCLA -2.5</t>
        </is>
      </c>
      <c r="G368" s="26" t="n">
        <v>2.5</v>
      </c>
      <c r="H368" s="18" t="n">
        <v>-112</v>
      </c>
      <c r="I368" s="20" t="n">
        <v>0.4106563626251521</v>
      </c>
      <c r="J368" s="20" t="n">
        <v>0.5043297540699688</v>
      </c>
      <c r="K368" s="20" t="n">
        <v>0.5283018867924528</v>
      </c>
      <c r="L368" s="19" t="n">
        <v>-0.1176455241673007</v>
      </c>
      <c r="M368" s="19" t="n">
        <v>-0.2226861707452478</v>
      </c>
      <c r="N368" s="20" t="n">
        <v>0</v>
      </c>
      <c r="O368" s="27" t="n">
        <v>0.4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UTSA @ TXST</t>
        </is>
      </c>
      <c r="C369" s="12" t="inlineStr">
        <is>
          <t>2026-09-12 19:30</t>
        </is>
      </c>
      <c r="D369" s="22" t="n">
        <v>2</v>
      </c>
      <c r="E369" s="12" t="inlineStr">
        <is>
          <t>TOTAL</t>
        </is>
      </c>
      <c r="F369" s="12" t="inlineStr">
        <is>
          <t>Over 64.5</t>
        </is>
      </c>
      <c r="G369" s="23" t="n">
        <v>64.5</v>
      </c>
      <c r="H369" s="13" t="n">
        <v>-108</v>
      </c>
      <c r="I369" s="15" t="n">
        <v>0.4003107402803754</v>
      </c>
      <c r="J369" s="15" t="n">
        <v>0.4956702459300312</v>
      </c>
      <c r="K369" s="15" t="n">
        <v>0.5192307692307693</v>
      </c>
      <c r="L369" s="14" t="n">
        <v>-0.1189200289503939</v>
      </c>
      <c r="M369" s="14" t="n">
        <v>-0.2290311668674251</v>
      </c>
      <c r="N369" s="15" t="n">
        <v>0</v>
      </c>
      <c r="O369" s="24" t="n">
        <v>0.4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SDST @ NU</t>
        </is>
      </c>
      <c r="C370" s="17" t="inlineStr">
        <is>
          <t>2026-09-06 00:00</t>
        </is>
      </c>
      <c r="D370" s="25" t="n">
        <v>1</v>
      </c>
      <c r="E370" s="17" t="inlineStr">
        <is>
          <t>ML</t>
        </is>
      </c>
      <c r="F370" s="17" t="inlineStr">
        <is>
          <t>NU ML</t>
        </is>
      </c>
      <c r="G370" s="26" t="n"/>
      <c r="H370" s="18" t="n">
        <v>-485</v>
      </c>
      <c r="I370" s="20" t="n">
        <v>0.7101253606724618</v>
      </c>
      <c r="J370" s="20" t="n">
        <v>0.7957758771164253</v>
      </c>
      <c r="K370" s="20" t="n">
        <v>0.8290598290598291</v>
      </c>
      <c r="L370" s="19" t="n">
        <v>-0.1189344683873673</v>
      </c>
      <c r="M370" s="19" t="n">
        <v>-0.1434570391888863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SDST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WIS @ ND</t>
        </is>
      </c>
      <c r="C371" s="12" t="inlineStr">
        <is>
          <t>2026-09-06 23:30</t>
        </is>
      </c>
      <c r="D371" s="22" t="n">
        <v>1</v>
      </c>
      <c r="E371" s="12" t="inlineStr">
        <is>
          <t>TOTAL</t>
        </is>
      </c>
      <c r="F371" s="12" t="inlineStr">
        <is>
          <t>Under 46.5</t>
        </is>
      </c>
      <c r="G371" s="23" t="n">
        <v>46.5</v>
      </c>
      <c r="H371" s="13" t="n">
        <v>-110</v>
      </c>
      <c r="I371" s="15" t="n">
        <v>0.4042320323858297</v>
      </c>
      <c r="J371" s="15" t="n">
        <v>0.5</v>
      </c>
      <c r="K371" s="15" t="n">
        <v>0.5238095238095238</v>
      </c>
      <c r="L371" s="14" t="n">
        <v>-0.1195774914236941</v>
      </c>
      <c r="M371" s="14" t="n">
        <v>-0.2282843018088705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CLEM @ LSU</t>
        </is>
      </c>
      <c r="C372" s="17" t="inlineStr">
        <is>
          <t>2026-09-05 23:30</t>
        </is>
      </c>
      <c r="D372" s="25" t="n">
        <v>1</v>
      </c>
      <c r="E372" s="17" t="inlineStr">
        <is>
          <t>ATS</t>
        </is>
      </c>
      <c r="F372" s="17" t="inlineStr">
        <is>
          <t>LSU -10</t>
        </is>
      </c>
      <c r="G372" s="26" t="n">
        <v>-10</v>
      </c>
      <c r="H372" s="18" t="n">
        <v>-105</v>
      </c>
      <c r="I372" s="20" t="n">
        <v>0.3906689044988881</v>
      </c>
      <c r="J372" s="20" t="n">
        <v>0.4891657638136511</v>
      </c>
      <c r="K372" s="20" t="n">
        <v>0.5121951219512195</v>
      </c>
      <c r="L372" s="19" t="n">
        <v>-0.1215262174523314</v>
      </c>
      <c r="M372" s="19" t="n">
        <v>-0.2285302812384178</v>
      </c>
      <c r="N372" s="20" t="n">
        <v>0.0368</v>
      </c>
      <c r="O372" s="27" t="n">
        <v>0.4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BAY @ AUB</t>
        </is>
      </c>
      <c r="C373" s="12" t="inlineStr">
        <is>
          <t>2026-09-05 19:30</t>
        </is>
      </c>
      <c r="D373" s="22" t="n">
        <v>1</v>
      </c>
      <c r="E373" s="12" t="inlineStr">
        <is>
          <t>TOTAL</t>
        </is>
      </c>
      <c r="F373" s="12" t="inlineStr">
        <is>
          <t>Over 57.5</t>
        </is>
      </c>
      <c r="G373" s="23" t="n">
        <v>57.5</v>
      </c>
      <c r="H373" s="13" t="n">
        <v>-115</v>
      </c>
      <c r="I373" s="15" t="n">
        <v>0.4131883924303498</v>
      </c>
      <c r="J373" s="15" t="n">
        <v>0.5108342361863488</v>
      </c>
      <c r="K373" s="15" t="n">
        <v>0.5348837209302325</v>
      </c>
      <c r="L373" s="14" t="n">
        <v>-0.1216953284998827</v>
      </c>
      <c r="M373" s="14" t="n">
        <v>-0.2275173532823896</v>
      </c>
      <c r="N373" s="15" t="n">
        <v>0</v>
      </c>
      <c r="O373" s="24" t="n">
        <v>0.4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ARST @ MEM</t>
        </is>
      </c>
      <c r="C374" s="17" t="inlineStr">
        <is>
          <t>2026-09-05 23:00</t>
        </is>
      </c>
      <c r="D374" s="25" t="n">
        <v>1</v>
      </c>
      <c r="E374" s="17" t="inlineStr">
        <is>
          <t>ATS</t>
        </is>
      </c>
      <c r="F374" s="17" t="inlineStr">
        <is>
          <t>MEM -10.5</t>
        </is>
      </c>
      <c r="G374" s="26" t="n">
        <v>-10.5</v>
      </c>
      <c r="H374" s="18" t="n">
        <v>-112</v>
      </c>
      <c r="I374" s="20" t="n">
        <v>0.4061631675999891</v>
      </c>
      <c r="J374" s="20" t="n">
        <v>0.5043297540699688</v>
      </c>
      <c r="K374" s="20" t="n">
        <v>0.5283018867924528</v>
      </c>
      <c r="L374" s="19" t="n">
        <v>-0.1221387191924638</v>
      </c>
      <c r="M374" s="19" t="n">
        <v>-0.2311911470428779</v>
      </c>
      <c r="N374" s="20" t="n">
        <v>0</v>
      </c>
      <c r="O374" s="27" t="n">
        <v>0.4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SEMO @ ISU</t>
        </is>
      </c>
      <c r="C375" s="12" t="inlineStr">
        <is>
          <t>2026-09-05 17:00</t>
        </is>
      </c>
      <c r="D375" s="22" t="n">
        <v>1</v>
      </c>
      <c r="E375" s="12" t="inlineStr">
        <is>
          <t>TOTAL</t>
        </is>
      </c>
      <c r="F375" s="12" t="inlineStr">
        <is>
          <t>Under 52.5</t>
        </is>
      </c>
      <c r="G375" s="23" t="n">
        <v>52.5</v>
      </c>
      <c r="H375" s="13" t="n">
        <v>-108</v>
      </c>
      <c r="I375" s="15" t="n">
        <v>0.3968247964162825</v>
      </c>
      <c r="J375" s="15" t="n">
        <v>0.4956702459300312</v>
      </c>
      <c r="K375" s="15" t="n">
        <v>0.5192307692307693</v>
      </c>
      <c r="L375" s="14" t="n">
        <v>-0.1224059728144867</v>
      </c>
      <c r="M375" s="14" t="n">
        <v>-0.2357448365316039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SEMO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NORF @ ODU</t>
        </is>
      </c>
      <c r="C376" s="17" t="inlineStr">
        <is>
          <t>2026-09-05 22:00</t>
        </is>
      </c>
      <c r="D376" s="25" t="n">
        <v>1</v>
      </c>
      <c r="E376" s="17" t="inlineStr">
        <is>
          <t>TOTAL</t>
        </is>
      </c>
      <c r="F376" s="17" t="inlineStr">
        <is>
          <t>Under 52.5</t>
        </is>
      </c>
      <c r="G376" s="26" t="n">
        <v>52.5</v>
      </c>
      <c r="H376" s="18" t="n">
        <v>-108</v>
      </c>
      <c r="I376" s="20" t="n">
        <v>0.3968247964162825</v>
      </c>
      <c r="J376" s="20" t="n">
        <v>0.4956702459300312</v>
      </c>
      <c r="K376" s="20" t="n">
        <v>0.5192307692307693</v>
      </c>
      <c r="L376" s="19" t="n">
        <v>-0.1224059728144867</v>
      </c>
      <c r="M376" s="19" t="n">
        <v>-0.2357448365316039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NORF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WAKE @ PUR</t>
        </is>
      </c>
      <c r="C377" s="12" t="inlineStr">
        <is>
          <t>2026-09-12 16:00</t>
        </is>
      </c>
      <c r="D377" s="22" t="n">
        <v>2</v>
      </c>
      <c r="E377" s="12" t="inlineStr">
        <is>
          <t>ML</t>
        </is>
      </c>
      <c r="F377" s="12" t="inlineStr">
        <is>
          <t>WAKE ML</t>
        </is>
      </c>
      <c r="G377" s="23" t="n"/>
      <c r="H377" s="13" t="n">
        <v>-155</v>
      </c>
      <c r="I377" s="15" t="n">
        <v>0.4827020660962977</v>
      </c>
      <c r="J377" s="15" t="n">
        <v>0.5829926410466066</v>
      </c>
      <c r="K377" s="15" t="n">
        <v>0.6078431372549019</v>
      </c>
      <c r="L377" s="14" t="n">
        <v>-0.1251410711586042</v>
      </c>
      <c r="M377" s="14" t="n">
        <v>-0.2058772460996393</v>
      </c>
      <c r="N377" s="15" t="n">
        <v>0</v>
      </c>
      <c r="O377" s="24" t="n">
        <v>0.725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USA @ TULN</t>
        </is>
      </c>
      <c r="C378" s="17" t="inlineStr">
        <is>
          <t>2026-09-12 23:00</t>
        </is>
      </c>
      <c r="D378" s="25" t="n">
        <v>2</v>
      </c>
      <c r="E378" s="17" t="inlineStr">
        <is>
          <t>ATS</t>
        </is>
      </c>
      <c r="F378" s="17" t="inlineStr">
        <is>
          <t>TULN -10</t>
        </is>
      </c>
      <c r="G378" s="26" t="n">
        <v>-10</v>
      </c>
      <c r="H378" s="18" t="n">
        <v>-108</v>
      </c>
      <c r="I378" s="20" t="n">
        <v>0.3939211455570781</v>
      </c>
      <c r="J378" s="20" t="n">
        <v>0.4956702459300312</v>
      </c>
      <c r="K378" s="20" t="n">
        <v>0.5192307692307693</v>
      </c>
      <c r="L378" s="19" t="n">
        <v>-0.1253096236736911</v>
      </c>
      <c r="M378" s="19" t="n">
        <v>-0.2324519623165593</v>
      </c>
      <c r="N378" s="20" t="n">
        <v>0.0368</v>
      </c>
      <c r="O378" s="27" t="n">
        <v>0.4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SELA @ USA</t>
        </is>
      </c>
      <c r="C379" s="12" t="inlineStr">
        <is>
          <t>2026-09-05 23:00</t>
        </is>
      </c>
      <c r="D379" s="22" t="n">
        <v>1</v>
      </c>
      <c r="E379" s="12" t="inlineStr">
        <is>
          <t>ML</t>
        </is>
      </c>
      <c r="F379" s="12" t="inlineStr">
        <is>
          <t>USA ML</t>
        </is>
      </c>
      <c r="G379" s="23" t="n"/>
      <c r="H379" s="13" t="n">
        <v>-535</v>
      </c>
      <c r="I379" s="15" t="n">
        <v>0.7163159719631917</v>
      </c>
      <c r="J379" s="15" t="n">
        <v>0.8081570996978852</v>
      </c>
      <c r="K379" s="15" t="n">
        <v>0.84251968503937</v>
      </c>
      <c r="L379" s="14" t="n">
        <v>-0.1262037130761783</v>
      </c>
      <c r="M379" s="14" t="n">
        <v>-0.1497931921558378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SELA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USF @ ARMY</t>
        </is>
      </c>
      <c r="C380" s="17" t="inlineStr">
        <is>
          <t>2026-09-12 16:00</t>
        </is>
      </c>
      <c r="D380" s="25" t="n">
        <v>2</v>
      </c>
      <c r="E380" s="17" t="inlineStr">
        <is>
          <t>TOTAL</t>
        </is>
      </c>
      <c r="F380" s="17" t="inlineStr">
        <is>
          <t>Under 52.5</t>
        </is>
      </c>
      <c r="G380" s="26" t="n">
        <v>52.5</v>
      </c>
      <c r="H380" s="18" t="n">
        <v>-112</v>
      </c>
      <c r="I380" s="20" t="n">
        <v>0.4011545504862513</v>
      </c>
      <c r="J380" s="20" t="n">
        <v>0.5043297540699688</v>
      </c>
      <c r="K380" s="20" t="n">
        <v>0.5283018867924528</v>
      </c>
      <c r="L380" s="19" t="n">
        <v>-0.1271473363062016</v>
      </c>
      <c r="M380" s="19" t="n">
        <v>-0.240671743722453</v>
      </c>
      <c r="N380" s="20" t="n">
        <v>0</v>
      </c>
      <c r="O380" s="27" t="n">
        <v>0.4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APP @ ECU</t>
        </is>
      </c>
      <c r="C381" s="12" t="inlineStr">
        <is>
          <t>2026-09-12 16:00</t>
        </is>
      </c>
      <c r="D381" s="22" t="n">
        <v>2</v>
      </c>
      <c r="E381" s="12" t="inlineStr">
        <is>
          <t>ATS</t>
        </is>
      </c>
      <c r="F381" s="12" t="inlineStr">
        <is>
          <t>ECU -10</t>
        </is>
      </c>
      <c r="G381" s="23" t="n">
        <v>-10</v>
      </c>
      <c r="H381" s="13" t="n">
        <v>-110</v>
      </c>
      <c r="I381" s="15" t="n">
        <v>0.3960860225920626</v>
      </c>
      <c r="J381" s="15" t="n">
        <v>0.5</v>
      </c>
      <c r="K381" s="15" t="n">
        <v>0.5238095238095238</v>
      </c>
      <c r="L381" s="14" t="n">
        <v>-0.1277235012174612</v>
      </c>
      <c r="M381" s="14" t="n">
        <v>-0.2348586911493712</v>
      </c>
      <c r="N381" s="15" t="n">
        <v>0.0368</v>
      </c>
      <c r="O381" s="24" t="n">
        <v>0.4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SDSU @ UCLA</t>
        </is>
      </c>
      <c r="C382" s="17" t="inlineStr">
        <is>
          <t>2026-09-12 23:15</t>
        </is>
      </c>
      <c r="D382" s="25" t="n">
        <v>2</v>
      </c>
      <c r="E382" s="17" t="inlineStr">
        <is>
          <t>ATS</t>
        </is>
      </c>
      <c r="F382" s="17" t="inlineStr">
        <is>
          <t>UCLA -10</t>
        </is>
      </c>
      <c r="G382" s="26" t="n">
        <v>-10</v>
      </c>
      <c r="H382" s="18" t="n">
        <v>-110</v>
      </c>
      <c r="I382" s="20" t="n">
        <v>0.3960860225920626</v>
      </c>
      <c r="J382" s="20" t="n">
        <v>0.5</v>
      </c>
      <c r="K382" s="20" t="n">
        <v>0.5238095238095238</v>
      </c>
      <c r="L382" s="19" t="n">
        <v>-0.1277235012174612</v>
      </c>
      <c r="M382" s="19" t="n">
        <v>-0.2348586911493712</v>
      </c>
      <c r="N382" s="20" t="n">
        <v>0.0368</v>
      </c>
      <c r="O382" s="27" t="n">
        <v>0.4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ASU @ TA&amp;M</t>
        </is>
      </c>
      <c r="C383" s="12" t="inlineStr">
        <is>
          <t>2026-09-12 16:00</t>
        </is>
      </c>
      <c r="D383" s="22" t="n">
        <v>2</v>
      </c>
      <c r="E383" s="12" t="inlineStr">
        <is>
          <t>ML</t>
        </is>
      </c>
      <c r="F383" s="12" t="inlineStr">
        <is>
          <t>TA&amp;M ML</t>
        </is>
      </c>
      <c r="G383" s="23" t="n"/>
      <c r="H383" s="13" t="n">
        <v>-550</v>
      </c>
      <c r="I383" s="15" t="n">
        <v>0.7181708519261158</v>
      </c>
      <c r="J383" s="15" t="n">
        <v>0.8118668596237336</v>
      </c>
      <c r="K383" s="15" t="n">
        <v>0.8461538461538461</v>
      </c>
      <c r="L383" s="14" t="n">
        <v>-0.1279829942277303</v>
      </c>
      <c r="M383" s="14" t="n">
        <v>-0.1512526295418631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price outside allowed range</t>
        </is>
      </c>
    </row>
    <row r="384">
      <c r="A384" s="17" t="inlineStr">
        <is>
          <t>PASS</t>
        </is>
      </c>
      <c r="B384" s="17" t="inlineStr">
        <is>
          <t>LOU @ MISS</t>
        </is>
      </c>
      <c r="C384" s="17" t="inlineStr">
        <is>
          <t>2026-09-06 23:30</t>
        </is>
      </c>
      <c r="D384" s="25" t="n">
        <v>1</v>
      </c>
      <c r="E384" s="17" t="inlineStr">
        <is>
          <t>ML</t>
        </is>
      </c>
      <c r="F384" s="17" t="inlineStr">
        <is>
          <t>MISS ML</t>
        </is>
      </c>
      <c r="G384" s="26" t="n"/>
      <c r="H384" s="18" t="n">
        <v>-265</v>
      </c>
      <c r="I384" s="20" t="n">
        <v>0.5978849760366743</v>
      </c>
      <c r="J384" s="20" t="n">
        <v>0.6957699520733487</v>
      </c>
      <c r="K384" s="20" t="n">
        <v>0.726027397260274</v>
      </c>
      <c r="L384" s="19" t="n">
        <v>-0.1281424212235996</v>
      </c>
      <c r="M384" s="19" t="n">
        <v>-0.1764980518740146</v>
      </c>
      <c r="N384" s="20" t="n">
        <v>0</v>
      </c>
      <c r="O384" s="27" t="n">
        <v>0.4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SMU @ FSU</t>
        </is>
      </c>
      <c r="C385" s="12" t="inlineStr">
        <is>
          <t>2026-09-07 23:30</t>
        </is>
      </c>
      <c r="D385" s="22" t="n">
        <v>1</v>
      </c>
      <c r="E385" s="12" t="inlineStr">
        <is>
          <t>ATS</t>
        </is>
      </c>
      <c r="F385" s="12" t="inlineStr">
        <is>
          <t>SMU -3</t>
        </is>
      </c>
      <c r="G385" s="23" t="n">
        <v>3</v>
      </c>
      <c r="H385" s="13" t="n">
        <v>-105</v>
      </c>
      <c r="I385" s="15" t="n">
        <v>0.3835322201155489</v>
      </c>
      <c r="J385" s="15" t="n">
        <v>0.4891657638136511</v>
      </c>
      <c r="K385" s="15" t="n">
        <v>0.5121951219512195</v>
      </c>
      <c r="L385" s="14" t="n">
        <v>-0.1286629018356706</v>
      </c>
      <c r="M385" s="14" t="n">
        <v>-0.238137707162174</v>
      </c>
      <c r="N385" s="15" t="n">
        <v>0.052</v>
      </c>
      <c r="O385" s="24" t="n">
        <v>0.4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MERC @ NMSU</t>
        </is>
      </c>
      <c r="C386" s="17" t="inlineStr">
        <is>
          <t>2026-09-06 01:00</t>
        </is>
      </c>
      <c r="D386" s="25" t="n">
        <v>1</v>
      </c>
      <c r="E386" s="17" t="inlineStr">
        <is>
          <t>TOTAL</t>
        </is>
      </c>
      <c r="F386" s="17" t="inlineStr">
        <is>
          <t>Under 52.5</t>
        </is>
      </c>
      <c r="G386" s="26" t="n">
        <v>52.5</v>
      </c>
      <c r="H386" s="18" t="n">
        <v>-115</v>
      </c>
      <c r="I386" s="20" t="n">
        <v>0.4061452274055796</v>
      </c>
      <c r="J386" s="20" t="n">
        <v>0.5108342361863488</v>
      </c>
      <c r="K386" s="20" t="n">
        <v>0.5348837209302325</v>
      </c>
      <c r="L386" s="19" t="n">
        <v>-0.1287384935246529</v>
      </c>
      <c r="M386" s="19" t="n">
        <v>-0.240685009633047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MERC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ODU @ VT</t>
        </is>
      </c>
      <c r="C387" s="12" t="inlineStr">
        <is>
          <t>2026-09-12 16:00</t>
        </is>
      </c>
      <c r="D387" s="22" t="n">
        <v>2</v>
      </c>
      <c r="E387" s="12" t="inlineStr">
        <is>
          <t>TOTAL</t>
        </is>
      </c>
      <c r="F387" s="12" t="inlineStr">
        <is>
          <t>Under 51.5</t>
        </is>
      </c>
      <c r="G387" s="23" t="n">
        <v>51.5</v>
      </c>
      <c r="H387" s="13" t="n">
        <v>-105</v>
      </c>
      <c r="I387" s="15" t="n">
        <v>0.3833393078347842</v>
      </c>
      <c r="J387" s="15" t="n">
        <v>0.4891657638136511</v>
      </c>
      <c r="K387" s="15" t="n">
        <v>0.5121951219512195</v>
      </c>
      <c r="L387" s="14" t="n">
        <v>-0.1288558141164353</v>
      </c>
      <c r="M387" s="14" t="n">
        <v>-0.251575637084469</v>
      </c>
      <c r="N387" s="15" t="n">
        <v>0</v>
      </c>
      <c r="O387" s="24" t="n">
        <v>0.4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WSU @ WASH</t>
        </is>
      </c>
      <c r="C388" s="17" t="inlineStr">
        <is>
          <t>2026-09-06 20:00</t>
        </is>
      </c>
      <c r="D388" s="25" t="n">
        <v>1</v>
      </c>
      <c r="E388" s="17" t="inlineStr">
        <is>
          <t>TOTAL</t>
        </is>
      </c>
      <c r="F388" s="17" t="inlineStr">
        <is>
          <t>Under 51.5</t>
        </is>
      </c>
      <c r="G388" s="26" t="n">
        <v>51.5</v>
      </c>
      <c r="H388" s="18" t="n">
        <v>-112</v>
      </c>
      <c r="I388" s="20" t="n">
        <v>0.3994253107911558</v>
      </c>
      <c r="J388" s="20" t="n">
        <v>0.5043297540699688</v>
      </c>
      <c r="K388" s="20" t="n">
        <v>0.5283018867924528</v>
      </c>
      <c r="L388" s="19" t="n">
        <v>-0.128876576001297</v>
      </c>
      <c r="M388" s="19" t="n">
        <v>-0.2439449474310265</v>
      </c>
      <c r="N388" s="20" t="n">
        <v>0</v>
      </c>
      <c r="O388" s="27" t="n">
        <v>0.4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WKU @ NEV</t>
        </is>
      </c>
      <c r="C389" s="12" t="inlineStr">
        <is>
          <t>2026-09-06 02:30</t>
        </is>
      </c>
      <c r="D389" s="22" t="n">
        <v>1</v>
      </c>
      <c r="E389" s="12" t="inlineStr">
        <is>
          <t>TOTAL</t>
        </is>
      </c>
      <c r="F389" s="12" t="inlineStr">
        <is>
          <t>Under 51.5</t>
        </is>
      </c>
      <c r="G389" s="23" t="n">
        <v>51.5</v>
      </c>
      <c r="H389" s="13" t="n">
        <v>-108</v>
      </c>
      <c r="I389" s="15" t="n">
        <v>0.389964243619906</v>
      </c>
      <c r="J389" s="15" t="n">
        <v>0.4956702459300312</v>
      </c>
      <c r="K389" s="15" t="n">
        <v>0.5192307692307693</v>
      </c>
      <c r="L389" s="14" t="n">
        <v>-0.1292665256108633</v>
      </c>
      <c r="M389" s="14" t="n">
        <v>-0.2489577530283291</v>
      </c>
      <c r="N389" s="15" t="n">
        <v>0</v>
      </c>
      <c r="O389" s="24" t="n">
        <v>0.4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WSU @ KSU</t>
        </is>
      </c>
      <c r="C390" s="17" t="inlineStr">
        <is>
          <t>2026-09-12 16:00</t>
        </is>
      </c>
      <c r="D390" s="25" t="n">
        <v>2</v>
      </c>
      <c r="E390" s="17" t="inlineStr">
        <is>
          <t>TOTAL</t>
        </is>
      </c>
      <c r="F390" s="17" t="inlineStr">
        <is>
          <t>Under 51.5</t>
        </is>
      </c>
      <c r="G390" s="26" t="n">
        <v>51.5</v>
      </c>
      <c r="H390" s="18" t="n">
        <v>-108</v>
      </c>
      <c r="I390" s="20" t="n">
        <v>0.389964243619906</v>
      </c>
      <c r="J390" s="20" t="n">
        <v>0.4956702459300312</v>
      </c>
      <c r="K390" s="20" t="n">
        <v>0.5192307692307693</v>
      </c>
      <c r="L390" s="19" t="n">
        <v>-0.1292665256108633</v>
      </c>
      <c r="M390" s="19" t="n">
        <v>-0.2489577530283291</v>
      </c>
      <c r="N390" s="20" t="n">
        <v>0</v>
      </c>
      <c r="O390" s="27" t="n">
        <v>0.4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SMU @ FSU</t>
        </is>
      </c>
      <c r="C391" s="12" t="inlineStr">
        <is>
          <t>2026-09-07 23:30</t>
        </is>
      </c>
      <c r="D391" s="22" t="n">
        <v>1</v>
      </c>
      <c r="E391" s="12" t="inlineStr">
        <is>
          <t>ML</t>
        </is>
      </c>
      <c r="F391" s="12" t="inlineStr">
        <is>
          <t>SMU ML</t>
        </is>
      </c>
      <c r="G391" s="23" t="n"/>
      <c r="H391" s="13" t="n">
        <v>-155</v>
      </c>
      <c r="I391" s="15" t="n">
        <v>0.478435257401428</v>
      </c>
      <c r="J391" s="15" t="n">
        <v>0.5829926410466066</v>
      </c>
      <c r="K391" s="15" t="n">
        <v>0.6078431372549019</v>
      </c>
      <c r="L391" s="14" t="n">
        <v>-0.1294078798534739</v>
      </c>
      <c r="M391" s="14" t="n">
        <v>-0.2128968345976507</v>
      </c>
      <c r="N391" s="15" t="n">
        <v>0</v>
      </c>
      <c r="O391" s="24" t="n">
        <v>0.4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BAY @ AUB</t>
        </is>
      </c>
      <c r="C392" s="17" t="inlineStr">
        <is>
          <t>2026-09-05 19:30</t>
        </is>
      </c>
      <c r="D392" s="25" t="n">
        <v>1</v>
      </c>
      <c r="E392" s="17" t="inlineStr">
        <is>
          <t>ML</t>
        </is>
      </c>
      <c r="F392" s="17" t="inlineStr">
        <is>
          <t>AUB ML</t>
        </is>
      </c>
      <c r="G392" s="26" t="n"/>
      <c r="H392" s="18" t="n">
        <v>-270</v>
      </c>
      <c r="I392" s="20" t="n">
        <v>0.6000810372771475</v>
      </c>
      <c r="J392" s="20" t="n">
        <v>0.7001620745542949</v>
      </c>
      <c r="K392" s="20" t="n">
        <v>0.7297297297297297</v>
      </c>
      <c r="L392" s="19" t="n">
        <v>-0.1296486924525823</v>
      </c>
      <c r="M392" s="19" t="n">
        <v>-0.1776667266942795</v>
      </c>
      <c r="N392" s="20" t="n">
        <v>0</v>
      </c>
      <c r="O392" s="27" t="n">
        <v>0.4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LOU @ MISS</t>
        </is>
      </c>
      <c r="C393" s="12" t="inlineStr">
        <is>
          <t>2026-09-06 23:30</t>
        </is>
      </c>
      <c r="D393" s="22" t="n">
        <v>1</v>
      </c>
      <c r="E393" s="12" t="inlineStr">
        <is>
          <t>ATS</t>
        </is>
      </c>
      <c r="F393" s="12" t="inlineStr">
        <is>
          <t>MISS -6.5</t>
        </is>
      </c>
      <c r="G393" s="23" t="n">
        <v>-6.5</v>
      </c>
      <c r="H393" s="13" t="n">
        <v>-115</v>
      </c>
      <c r="I393" s="15" t="n">
        <v>0.4048308112321144</v>
      </c>
      <c r="J393" s="15" t="n">
        <v>0.5108342361863488</v>
      </c>
      <c r="K393" s="15" t="n">
        <v>0.5348837209302325</v>
      </c>
      <c r="L393" s="14" t="n">
        <v>-0.1300529096981181</v>
      </c>
      <c r="M393" s="14" t="n">
        <v>-0.243142396392134</v>
      </c>
      <c r="N393" s="15" t="n">
        <v>0</v>
      </c>
      <c r="O393" s="24" t="n">
        <v>0.4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MORG @ ASU</t>
        </is>
      </c>
      <c r="C394" s="17" t="inlineStr">
        <is>
          <t>2026-09-06 02:00</t>
        </is>
      </c>
      <c r="D394" s="25" t="n">
        <v>1</v>
      </c>
      <c r="E394" s="17" t="inlineStr">
        <is>
          <t>TOTAL</t>
        </is>
      </c>
      <c r="F394" s="17" t="inlineStr">
        <is>
          <t>Under 52.5</t>
        </is>
      </c>
      <c r="G394" s="26" t="n">
        <v>52.5</v>
      </c>
      <c r="H394" s="18" t="n">
        <v>-112</v>
      </c>
      <c r="I394" s="20" t="n">
        <v>0.3977053929674179</v>
      </c>
      <c r="J394" s="20" t="n">
        <v>0.5043297540699688</v>
      </c>
      <c r="K394" s="20" t="n">
        <v>0.5283018867924528</v>
      </c>
      <c r="L394" s="19" t="n">
        <v>-0.1305964938250349</v>
      </c>
      <c r="M394" s="19" t="n">
        <v>-0.2472005061688161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MORG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RICE @ ND</t>
        </is>
      </c>
      <c r="C395" s="12" t="inlineStr">
        <is>
          <t>2026-09-12 19:30</t>
        </is>
      </c>
      <c r="D395" s="22" t="n">
        <v>2</v>
      </c>
      <c r="E395" s="12" t="inlineStr">
        <is>
          <t>TOTAL</t>
        </is>
      </c>
      <c r="F395" s="12" t="inlineStr">
        <is>
          <t>Under 52.5</t>
        </is>
      </c>
      <c r="G395" s="23" t="n">
        <v>52.5</v>
      </c>
      <c r="H395" s="13" t="n">
        <v>-110</v>
      </c>
      <c r="I395" s="15" t="n">
        <v>0.3921291212849233</v>
      </c>
      <c r="J395" s="15" t="n">
        <v>0.5</v>
      </c>
      <c r="K395" s="15" t="n">
        <v>0.5238095238095238</v>
      </c>
      <c r="L395" s="14" t="n">
        <v>-0.1316804025246006</v>
      </c>
      <c r="M395" s="14" t="n">
        <v>-0.2513898593651465</v>
      </c>
      <c r="N395" s="15" t="n">
        <v>0</v>
      </c>
      <c r="O395" s="24" t="n">
        <v>0.4</v>
      </c>
      <c r="P395" s="12" t="inlineStr">
        <is>
          <t>DraftKings</t>
        </is>
      </c>
      <c r="Q395" s="12" t="n"/>
    </row>
    <row r="396">
      <c r="A396" s="17" t="inlineStr">
        <is>
          <t>PASS</t>
        </is>
      </c>
      <c r="B396" s="17" t="inlineStr">
        <is>
          <t>WAKE @ PUR</t>
        </is>
      </c>
      <c r="C396" s="17" t="inlineStr">
        <is>
          <t>2026-09-12 16:00</t>
        </is>
      </c>
      <c r="D396" s="25" t="n">
        <v>2</v>
      </c>
      <c r="E396" s="17" t="inlineStr">
        <is>
          <t>ATS</t>
        </is>
      </c>
      <c r="F396" s="17" t="inlineStr">
        <is>
          <t>WAKE -3.5</t>
        </is>
      </c>
      <c r="G396" s="26" t="n">
        <v>3.5</v>
      </c>
      <c r="H396" s="18" t="n">
        <v>-105</v>
      </c>
      <c r="I396" s="20" t="n">
        <v>0.3799684343020295</v>
      </c>
      <c r="J396" s="20" t="n">
        <v>0.4891657638136511</v>
      </c>
      <c r="K396" s="20" t="n">
        <v>0.5121951219512195</v>
      </c>
      <c r="L396" s="19" t="n">
        <v>-0.13222668764919</v>
      </c>
      <c r="M396" s="19" t="n">
        <v>-0.2581568663627042</v>
      </c>
      <c r="N396" s="20" t="n">
        <v>0</v>
      </c>
      <c r="O396" s="27" t="n">
        <v>0.725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CMU @ UNM</t>
        </is>
      </c>
      <c r="C397" s="12" t="inlineStr">
        <is>
          <t>2026-09-06 02:00</t>
        </is>
      </c>
      <c r="D397" s="22" t="n">
        <v>1</v>
      </c>
      <c r="E397" s="12" t="inlineStr">
        <is>
          <t>ATS</t>
        </is>
      </c>
      <c r="F397" s="12" t="inlineStr">
        <is>
          <t>UNM -10.5</t>
        </is>
      </c>
      <c r="G397" s="23" t="n">
        <v>-10.5</v>
      </c>
      <c r="H397" s="13" t="n">
        <v>-110</v>
      </c>
      <c r="I397" s="15" t="n">
        <v>0.3907077040025832</v>
      </c>
      <c r="J397" s="15" t="n">
        <v>0.5</v>
      </c>
      <c r="K397" s="15" t="n">
        <v>0.5238095238095238</v>
      </c>
      <c r="L397" s="14" t="n">
        <v>-0.1331018198069406</v>
      </c>
      <c r="M397" s="14" t="n">
        <v>-0.2541034741768866</v>
      </c>
      <c r="N397" s="15" t="n">
        <v>0</v>
      </c>
      <c r="O397" s="24" t="n">
        <v>0.4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CAL @ SYR</t>
        </is>
      </c>
      <c r="C398" s="17" t="inlineStr">
        <is>
          <t>2026-09-12 19:30</t>
        </is>
      </c>
      <c r="D398" s="25" t="n">
        <v>2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-115</v>
      </c>
      <c r="I398" s="20" t="n">
        <v>0.400957634025608</v>
      </c>
      <c r="J398" s="20" t="n">
        <v>0.5108342361863488</v>
      </c>
      <c r="K398" s="20" t="n">
        <v>0.5348837209302325</v>
      </c>
      <c r="L398" s="19" t="n">
        <v>-0.1339260869046245</v>
      </c>
      <c r="M398" s="19" t="n">
        <v>-0.2503835537782111</v>
      </c>
      <c r="N398" s="20" t="n">
        <v>0</v>
      </c>
      <c r="O398" s="27" t="n">
        <v>0.4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UL @ USC</t>
        </is>
      </c>
      <c r="C399" s="12" t="inlineStr">
        <is>
          <t>2026-09-13 03:00</t>
        </is>
      </c>
      <c r="D399" s="22" t="n">
        <v>2</v>
      </c>
      <c r="E399" s="12" t="inlineStr">
        <is>
          <t>TOTAL</t>
        </is>
      </c>
      <c r="F399" s="12" t="inlineStr">
        <is>
          <t>Over 63.5</t>
        </is>
      </c>
      <c r="G399" s="23" t="n">
        <v>63.5</v>
      </c>
      <c r="H399" s="13" t="n">
        <v>-112</v>
      </c>
      <c r="I399" s="15" t="n">
        <v>0.3942939994763092</v>
      </c>
      <c r="J399" s="15" t="n">
        <v>0.5043297540699688</v>
      </c>
      <c r="K399" s="15" t="n">
        <v>0.5283018867924528</v>
      </c>
      <c r="L399" s="14" t="n">
        <v>-0.1340078873161436</v>
      </c>
      <c r="M399" s="14" t="n">
        <v>-0.2536577867055575</v>
      </c>
      <c r="N399" s="15" t="n">
        <v>0</v>
      </c>
      <c r="O399" s="24" t="n">
        <v>0.4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SELA @ USA</t>
        </is>
      </c>
      <c r="C400" s="17" t="inlineStr">
        <is>
          <t>2026-09-05 23:00</t>
        </is>
      </c>
      <c r="D400" s="25" t="n">
        <v>1</v>
      </c>
      <c r="E400" s="17" t="inlineStr">
        <is>
          <t>TOTAL</t>
        </is>
      </c>
      <c r="F400" s="17" t="inlineStr">
        <is>
          <t>Under 52.5</t>
        </is>
      </c>
      <c r="G400" s="26" t="n">
        <v>52.5</v>
      </c>
      <c r="H400" s="18" t="n">
        <v>-112</v>
      </c>
      <c r="I400" s="20" t="n">
        <v>0.392602756491941</v>
      </c>
      <c r="J400" s="20" t="n">
        <v>0.5043297540699688</v>
      </c>
      <c r="K400" s="20" t="n">
        <v>0.5283018867924528</v>
      </c>
      <c r="L400" s="19" t="n">
        <v>-0.1356991303005118</v>
      </c>
      <c r="M400" s="19" t="n">
        <v>-0.256859068068826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SELA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ARIZ @ BYU</t>
        </is>
      </c>
      <c r="C401" s="12" t="inlineStr">
        <is>
          <t>2026-09-12 19:30</t>
        </is>
      </c>
      <c r="D401" s="22" t="n">
        <v>2</v>
      </c>
      <c r="E401" s="12" t="inlineStr">
        <is>
          <t>TOTAL</t>
        </is>
      </c>
      <c r="F401" s="12" t="inlineStr">
        <is>
          <t>Under 51.5</t>
        </is>
      </c>
      <c r="G401" s="23" t="n">
        <v>51.5</v>
      </c>
      <c r="H401" s="13" t="n">
        <v>-112</v>
      </c>
      <c r="I401" s="15" t="n">
        <v>0.392602755894746</v>
      </c>
      <c r="J401" s="15" t="n">
        <v>0.5043297540699688</v>
      </c>
      <c r="K401" s="15" t="n">
        <v>0.5283018867924528</v>
      </c>
      <c r="L401" s="14" t="n">
        <v>-0.1356991308977068</v>
      </c>
      <c r="M401" s="14" t="n">
        <v>-0.2568590691992307</v>
      </c>
      <c r="N401" s="15" t="n">
        <v>0</v>
      </c>
      <c r="O401" s="24" t="n">
        <v>0.4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NMSU @ HAW</t>
        </is>
      </c>
      <c r="C402" s="17" t="inlineStr">
        <is>
          <t>2026-09-13 03:59</t>
        </is>
      </c>
      <c r="D402" s="25" t="n">
        <v>2</v>
      </c>
      <c r="E402" s="17" t="inlineStr">
        <is>
          <t>TOTAL</t>
        </is>
      </c>
      <c r="F402" s="17" t="inlineStr">
        <is>
          <t>Under 51.5</t>
        </is>
      </c>
      <c r="G402" s="26" t="n">
        <v>51.5</v>
      </c>
      <c r="H402" s="18" t="n">
        <v>-108</v>
      </c>
      <c r="I402" s="20" t="n">
        <v>0.3832584495692732</v>
      </c>
      <c r="J402" s="20" t="n">
        <v>0.4956702459300312</v>
      </c>
      <c r="K402" s="20" t="n">
        <v>0.5192307692307693</v>
      </c>
      <c r="L402" s="19" t="n">
        <v>-0.135972319661496</v>
      </c>
      <c r="M402" s="19" t="n">
        <v>-0.2618726156443626</v>
      </c>
      <c r="N402" s="20" t="n">
        <v>0</v>
      </c>
      <c r="O402" s="27" t="n">
        <v>0.725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ODU @ VT</t>
        </is>
      </c>
      <c r="C403" s="12" t="inlineStr">
        <is>
          <t>2026-09-12 16:00</t>
        </is>
      </c>
      <c r="D403" s="22" t="n">
        <v>2</v>
      </c>
      <c r="E403" s="12" t="inlineStr">
        <is>
          <t>ML</t>
        </is>
      </c>
      <c r="F403" s="12" t="inlineStr">
        <is>
          <t>VT ML</t>
        </is>
      </c>
      <c r="G403" s="23" t="n"/>
      <c r="H403" s="13" t="n">
        <v>-625</v>
      </c>
      <c r="I403" s="15" t="n">
        <v>0.7257992701023266</v>
      </c>
      <c r="J403" s="15" t="n">
        <v>0.827123695976155</v>
      </c>
      <c r="K403" s="15" t="n">
        <v>0.8620689655172413</v>
      </c>
      <c r="L403" s="14" t="n">
        <v>-0.1362696954149147</v>
      </c>
      <c r="M403" s="14" t="n">
        <v>-0.1580728466813012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ISU @ IOWA</t>
        </is>
      </c>
      <c r="C404" s="17" t="inlineStr">
        <is>
          <t>2026-09-12 23:30</t>
        </is>
      </c>
      <c r="D404" s="25" t="n">
        <v>2</v>
      </c>
      <c r="E404" s="17" t="inlineStr">
        <is>
          <t>ML</t>
        </is>
      </c>
      <c r="F404" s="17" t="inlineStr">
        <is>
          <t>IOWA ML</t>
        </is>
      </c>
      <c r="G404" s="26" t="n"/>
      <c r="H404" s="18" t="n">
        <v>-625</v>
      </c>
      <c r="I404" s="20" t="n">
        <v>0.7257992701023266</v>
      </c>
      <c r="J404" s="20" t="n">
        <v>0.827123695976155</v>
      </c>
      <c r="K404" s="20" t="n">
        <v>0.8620689655172413</v>
      </c>
      <c r="L404" s="19" t="n">
        <v>-0.1362696954149147</v>
      </c>
      <c r="M404" s="19" t="n">
        <v>-0.1580728466813012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price outside allowed range</t>
        </is>
      </c>
    </row>
    <row r="405">
      <c r="A405" s="12" t="inlineStr">
        <is>
          <t>PASS</t>
        </is>
      </c>
      <c r="B405" s="12" t="inlineStr">
        <is>
          <t>CLEM @ LSU</t>
        </is>
      </c>
      <c r="C405" s="12" t="inlineStr">
        <is>
          <t>2026-09-05 23:30</t>
        </is>
      </c>
      <c r="D405" s="22" t="n">
        <v>1</v>
      </c>
      <c r="E405" s="12" t="inlineStr">
        <is>
          <t>TOTAL</t>
        </is>
      </c>
      <c r="F405" s="12" t="inlineStr">
        <is>
          <t>Under 50.5</t>
        </is>
      </c>
      <c r="G405" s="23" t="n">
        <v>50.5</v>
      </c>
      <c r="H405" s="13" t="n">
        <v>-108</v>
      </c>
      <c r="I405" s="15" t="n">
        <v>0.3816070157066161</v>
      </c>
      <c r="J405" s="15" t="n">
        <v>0.4956702459300312</v>
      </c>
      <c r="K405" s="15" t="n">
        <v>0.5192307692307693</v>
      </c>
      <c r="L405" s="14" t="n">
        <v>-0.1376237535241531</v>
      </c>
      <c r="M405" s="14" t="n">
        <v>-0.2650531549354059</v>
      </c>
      <c r="N405" s="15" t="n">
        <v>0</v>
      </c>
      <c r="O405" s="24" t="n">
        <v>0.4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IDST @ USU</t>
        </is>
      </c>
      <c r="C406" s="17" t="inlineStr">
        <is>
          <t>2026-09-05 23:00</t>
        </is>
      </c>
      <c r="D406" s="25" t="n">
        <v>1</v>
      </c>
      <c r="E406" s="17" t="inlineStr">
        <is>
          <t>ML</t>
        </is>
      </c>
      <c r="F406" s="17" t="inlineStr">
        <is>
          <t>USU ML</t>
        </is>
      </c>
      <c r="G406" s="26" t="n"/>
      <c r="H406" s="18" t="n">
        <v>-650</v>
      </c>
      <c r="I406" s="20" t="n">
        <v>0.7280623379391649</v>
      </c>
      <c r="J406" s="20" t="n">
        <v>0.8316498316498315</v>
      </c>
      <c r="K406" s="20" t="n">
        <v>0.8666666666666667</v>
      </c>
      <c r="L406" s="19" t="n">
        <v>-0.1386043287275018</v>
      </c>
      <c r="M406" s="19" t="n">
        <v>-0.159928071608656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IDST isn't a full FBS participant this season — model doesn't rate them reliably</t>
        </is>
      </c>
    </row>
    <row r="407">
      <c r="A407" s="12" t="inlineStr">
        <is>
          <t>PASS</t>
        </is>
      </c>
      <c r="B407" s="12" t="inlineStr">
        <is>
          <t>MRSH @ PSU</t>
        </is>
      </c>
      <c r="C407" s="12" t="inlineStr">
        <is>
          <t>2026-09-05 19:30</t>
        </is>
      </c>
      <c r="D407" s="22" t="n">
        <v>1</v>
      </c>
      <c r="E407" s="12" t="inlineStr">
        <is>
          <t>TOTAL</t>
        </is>
      </c>
      <c r="F407" s="12" t="inlineStr">
        <is>
          <t>Under 52.5</t>
        </is>
      </c>
      <c r="G407" s="23" t="n">
        <v>52.5</v>
      </c>
      <c r="H407" s="13" t="n">
        <v>-118</v>
      </c>
      <c r="I407" s="15" t="n">
        <v>0.402512101582681</v>
      </c>
      <c r="J407" s="15" t="n">
        <v>0.5173641257162701</v>
      </c>
      <c r="K407" s="15" t="n">
        <v>0.5412844036697247</v>
      </c>
      <c r="L407" s="14" t="n">
        <v>-0.1387723020870437</v>
      </c>
      <c r="M407" s="14" t="n">
        <v>-0.2563759479235215</v>
      </c>
      <c r="N407" s="15" t="n">
        <v>0</v>
      </c>
      <c r="O407" s="24" t="n">
        <v>0.4</v>
      </c>
      <c r="P407" s="12" t="inlineStr">
        <is>
          <t>DraftKings</t>
        </is>
      </c>
      <c r="Q407" s="12" t="n"/>
    </row>
    <row r="408">
      <c r="A408" s="17" t="inlineStr">
        <is>
          <t>PASS</t>
        </is>
      </c>
      <c r="B408" s="17" t="inlineStr">
        <is>
          <t>BOIS @ ORE</t>
        </is>
      </c>
      <c r="C408" s="17" t="inlineStr">
        <is>
          <t>2026-09-05 19:30</t>
        </is>
      </c>
      <c r="D408" s="25" t="n">
        <v>1</v>
      </c>
      <c r="E408" s="17" t="inlineStr">
        <is>
          <t>TOTAL</t>
        </is>
      </c>
      <c r="F408" s="17" t="inlineStr">
        <is>
          <t>Under 51.5</t>
        </is>
      </c>
      <c r="G408" s="26" t="n">
        <v>51.5</v>
      </c>
      <c r="H408" s="18" t="n">
        <v>-108</v>
      </c>
      <c r="I408" s="20" t="n">
        <v>0.3799657991791088</v>
      </c>
      <c r="J408" s="20" t="n">
        <v>0.4956702459300312</v>
      </c>
      <c r="K408" s="20" t="n">
        <v>0.5192307692307693</v>
      </c>
      <c r="L408" s="19" t="n">
        <v>-0.1392649700516605</v>
      </c>
      <c r="M408" s="19" t="n">
        <v>-0.2682140163957905</v>
      </c>
      <c r="N408" s="20" t="n">
        <v>0</v>
      </c>
      <c r="O408" s="27" t="n">
        <v>0.4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MIZ @ KU</t>
        </is>
      </c>
      <c r="C409" s="12" t="inlineStr">
        <is>
          <t>2026-09-12 00:00</t>
        </is>
      </c>
      <c r="D409" s="22" t="n">
        <v>2</v>
      </c>
      <c r="E409" s="12" t="inlineStr">
        <is>
          <t>TOTAL</t>
        </is>
      </c>
      <c r="F409" s="12" t="inlineStr">
        <is>
          <t>Under 51.5</t>
        </is>
      </c>
      <c r="G409" s="23" t="n">
        <v>51.5</v>
      </c>
      <c r="H409" s="13" t="n">
        <v>-108</v>
      </c>
      <c r="I409" s="15" t="n">
        <v>0.3799657991791088</v>
      </c>
      <c r="J409" s="15" t="n">
        <v>0.4956702459300312</v>
      </c>
      <c r="K409" s="15" t="n">
        <v>0.5192307692307693</v>
      </c>
      <c r="L409" s="14" t="n">
        <v>-0.1392649700516605</v>
      </c>
      <c r="M409" s="14" t="n">
        <v>-0.2682140163957905</v>
      </c>
      <c r="N409" s="15" t="n">
        <v>0</v>
      </c>
      <c r="O409" s="24" t="n">
        <v>0.725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FIU @ USF</t>
        </is>
      </c>
      <c r="C410" s="17" t="inlineStr">
        <is>
          <t>2026-09-05 23:00</t>
        </is>
      </c>
      <c r="D410" s="25" t="n">
        <v>1</v>
      </c>
      <c r="E410" s="17" t="inlineStr">
        <is>
          <t>ML</t>
        </is>
      </c>
      <c r="F410" s="17" t="inlineStr">
        <is>
          <t>USF ML</t>
        </is>
      </c>
      <c r="G410" s="26" t="n"/>
      <c r="H410" s="18" t="n">
        <v>-675</v>
      </c>
      <c r="I410" s="20" t="n">
        <v>0.7307870805483005</v>
      </c>
      <c r="J410" s="20" t="n">
        <v>0.8370993168681029</v>
      </c>
      <c r="K410" s="20" t="n">
        <v>0.8709677419354839</v>
      </c>
      <c r="L410" s="19" t="n">
        <v>-0.1401806613871833</v>
      </c>
      <c r="M410" s="19" t="n">
        <v>-0.1609481667778772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price outside allowed range</t>
        </is>
      </c>
    </row>
    <row r="411">
      <c r="A411" s="12" t="inlineStr">
        <is>
          <t>PASS</t>
        </is>
      </c>
      <c r="B411" s="12" t="inlineStr">
        <is>
          <t>CHSO @ GASO</t>
        </is>
      </c>
      <c r="C411" s="12" t="inlineStr">
        <is>
          <t>2026-09-05 23:00</t>
        </is>
      </c>
      <c r="D411" s="22" t="n">
        <v>1</v>
      </c>
      <c r="E411" s="12" t="inlineStr">
        <is>
          <t>TOTAL</t>
        </is>
      </c>
      <c r="F411" s="12" t="inlineStr">
        <is>
          <t>Under 51.5</t>
        </is>
      </c>
      <c r="G411" s="23" t="n">
        <v>51.5</v>
      </c>
      <c r="H411" s="13" t="n">
        <v>-105</v>
      </c>
      <c r="I411" s="15" t="n">
        <v>0.3702528051178626</v>
      </c>
      <c r="J411" s="15" t="n">
        <v>0.4891657638136511</v>
      </c>
      <c r="K411" s="15" t="n">
        <v>0.5121951219512195</v>
      </c>
      <c r="L411" s="14" t="n">
        <v>-0.1419423168333569</v>
      </c>
      <c r="M411" s="14" t="n">
        <v>-0.2771254757222682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CHSO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FIU @ USF</t>
        </is>
      </c>
      <c r="C412" s="17" t="inlineStr">
        <is>
          <t>2026-09-05 23:00</t>
        </is>
      </c>
      <c r="D412" s="25" t="n">
        <v>1</v>
      </c>
      <c r="E412" s="17" t="inlineStr">
        <is>
          <t>TOTAL</t>
        </is>
      </c>
      <c r="F412" s="17" t="inlineStr">
        <is>
          <t>Under 52.5</t>
        </is>
      </c>
      <c r="G412" s="26" t="n">
        <v>52.5</v>
      </c>
      <c r="H412" s="18" t="n">
        <v>-108</v>
      </c>
      <c r="I412" s="20" t="n">
        <v>0.3767144091213717</v>
      </c>
      <c r="J412" s="20" t="n">
        <v>0.4956702459300312</v>
      </c>
      <c r="K412" s="20" t="n">
        <v>0.5192307692307693</v>
      </c>
      <c r="L412" s="19" t="n">
        <v>-0.1425163601093976</v>
      </c>
      <c r="M412" s="19" t="n">
        <v>-0.2744759528032842</v>
      </c>
      <c r="N412" s="20" t="n">
        <v>0</v>
      </c>
      <c r="O412" s="27" t="n">
        <v>0.4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URI @ TEM</t>
        </is>
      </c>
      <c r="C413" s="12" t="inlineStr">
        <is>
          <t>2026-09-05 18:00</t>
        </is>
      </c>
      <c r="D413" s="22" t="n">
        <v>1</v>
      </c>
      <c r="E413" s="12" t="inlineStr">
        <is>
          <t>ML</t>
        </is>
      </c>
      <c r="F413" s="12" t="inlineStr">
        <is>
          <t>TEM ML</t>
        </is>
      </c>
      <c r="G413" s="23" t="n"/>
      <c r="H413" s="13" t="n">
        <v>-700</v>
      </c>
      <c r="I413" s="15" t="n">
        <v>0.7322374221142491</v>
      </c>
      <c r="J413" s="15" t="n">
        <v>0.84</v>
      </c>
      <c r="K413" s="15" t="n">
        <v>0.875</v>
      </c>
      <c r="L413" s="14" t="n">
        <v>-0.1427625778857509</v>
      </c>
      <c r="M413" s="14" t="n">
        <v>-0.1631572318694296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URI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NMSU @ HAW</t>
        </is>
      </c>
      <c r="C414" s="17" t="inlineStr">
        <is>
          <t>2026-09-13 03:59</t>
        </is>
      </c>
      <c r="D414" s="25" t="n">
        <v>2</v>
      </c>
      <c r="E414" s="17" t="inlineStr">
        <is>
          <t>ATS</t>
        </is>
      </c>
      <c r="F414" s="17" t="inlineStr">
        <is>
          <t>HAW -11.5</t>
        </is>
      </c>
      <c r="G414" s="26" t="n">
        <v>-11.5</v>
      </c>
      <c r="H414" s="18" t="n">
        <v>-112</v>
      </c>
      <c r="I414" s="20" t="n">
        <v>0.3833725803357773</v>
      </c>
      <c r="J414" s="20" t="n">
        <v>0.5043297540699688</v>
      </c>
      <c r="K414" s="20" t="n">
        <v>0.5283018867924528</v>
      </c>
      <c r="L414" s="19" t="n">
        <v>-0.1449293064566756</v>
      </c>
      <c r="M414" s="19" t="n">
        <v>-0.2743304729358502</v>
      </c>
      <c r="N414" s="20" t="n">
        <v>0</v>
      </c>
      <c r="O414" s="27" t="n">
        <v>0.725</v>
      </c>
      <c r="P414" s="17" t="inlineStr">
        <is>
          <t>DraftKings</t>
        </is>
      </c>
      <c r="Q414" s="17" t="n"/>
    </row>
    <row r="415">
      <c r="A415" s="12" t="inlineStr">
        <is>
          <t>PASS</t>
        </is>
      </c>
      <c r="B415" s="12" t="inlineStr">
        <is>
          <t>BAY @ AUB</t>
        </is>
      </c>
      <c r="C415" s="12" t="inlineStr">
        <is>
          <t>2026-09-05 19:30</t>
        </is>
      </c>
      <c r="D415" s="22" t="n">
        <v>1</v>
      </c>
      <c r="E415" s="12" t="inlineStr">
        <is>
          <t>ATS</t>
        </is>
      </c>
      <c r="F415" s="12" t="inlineStr">
        <is>
          <t>AUB -7</t>
        </is>
      </c>
      <c r="G415" s="23" t="n">
        <v>-7</v>
      </c>
      <c r="H415" s="13" t="n">
        <v>-115</v>
      </c>
      <c r="I415" s="15" t="n">
        <v>0.3888052997844137</v>
      </c>
      <c r="J415" s="15" t="n">
        <v>0.5108342361863488</v>
      </c>
      <c r="K415" s="15" t="n">
        <v>0.5348837209302325</v>
      </c>
      <c r="L415" s="14" t="n">
        <v>-0.1460784211458188</v>
      </c>
      <c r="M415" s="14" t="n">
        <v>-0.2611651200951748</v>
      </c>
      <c r="N415" s="15" t="n">
        <v>0.0437</v>
      </c>
      <c r="O415" s="24" t="n">
        <v>0.4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EMU @ MSU</t>
        </is>
      </c>
      <c r="C416" s="17" t="inlineStr">
        <is>
          <t>2026-09-12 19:30</t>
        </is>
      </c>
      <c r="D416" s="25" t="n">
        <v>2</v>
      </c>
      <c r="E416" s="17" t="inlineStr">
        <is>
          <t>ML</t>
        </is>
      </c>
      <c r="F416" s="17" t="inlineStr">
        <is>
          <t>MSU ML</t>
        </is>
      </c>
      <c r="G416" s="26" t="n"/>
      <c r="H416" s="18" t="n">
        <v>-900</v>
      </c>
      <c r="I416" s="20" t="n">
        <v>0.7519304881789592</v>
      </c>
      <c r="J416" s="20" t="n">
        <v>0.863013698630137</v>
      </c>
      <c r="K416" s="20" t="n">
        <v>0.9</v>
      </c>
      <c r="L416" s="19" t="n">
        <v>-0.1480695118210408</v>
      </c>
      <c r="M416" s="19" t="n">
        <v>-0.1645216798011563</v>
      </c>
      <c r="N416" s="20" t="n">
        <v>0</v>
      </c>
      <c r="O416" s="27" t="n">
        <v>0.725</v>
      </c>
      <c r="P416" s="17" t="inlineStr">
        <is>
          <t>DraftKings</t>
        </is>
      </c>
      <c r="Q416" s="17" t="inlineStr">
        <is>
          <t>price outside allowed range</t>
        </is>
      </c>
    </row>
    <row r="417">
      <c r="A417" s="12" t="inlineStr">
        <is>
          <t>PASS</t>
        </is>
      </c>
      <c r="B417" s="12" t="inlineStr">
        <is>
          <t>PSU @ TEM</t>
        </is>
      </c>
      <c r="C417" s="12" t="inlineStr">
        <is>
          <t>2026-09-12 16:00</t>
        </is>
      </c>
      <c r="D417" s="22" t="n">
        <v>2</v>
      </c>
      <c r="E417" s="12" t="inlineStr">
        <is>
          <t>TOTAL</t>
        </is>
      </c>
      <c r="F417" s="12" t="inlineStr">
        <is>
          <t>Under 51.5</t>
        </is>
      </c>
      <c r="G417" s="23" t="n">
        <v>51.5</v>
      </c>
      <c r="H417" s="13" t="n">
        <v>-115</v>
      </c>
      <c r="I417" s="15" t="n">
        <v>0.3859168925709932</v>
      </c>
      <c r="J417" s="15" t="n">
        <v>0.5108342361863488</v>
      </c>
      <c r="K417" s="15" t="n">
        <v>0.5348837209302325</v>
      </c>
      <c r="L417" s="14" t="n">
        <v>-0.1489668283592394</v>
      </c>
      <c r="M417" s="14" t="n">
        <v>-0.2785032008455346</v>
      </c>
      <c r="N417" s="15" t="n">
        <v>0</v>
      </c>
      <c r="O417" s="24" t="n">
        <v>0.4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UNLV @ HAW</t>
        </is>
      </c>
      <c r="C418" s="17" t="inlineStr">
        <is>
          <t>2026-09-06 02:00</t>
        </is>
      </c>
      <c r="D418" s="25" t="n">
        <v>1</v>
      </c>
      <c r="E418" s="17" t="inlineStr">
        <is>
          <t>ML</t>
        </is>
      </c>
      <c r="F418" s="17" t="inlineStr">
        <is>
          <t>UNLV ML</t>
        </is>
      </c>
      <c r="G418" s="26" t="n"/>
      <c r="H418" s="18" t="n">
        <v>-155</v>
      </c>
      <c r="I418" s="20" t="n">
        <v>0.4583611431035725</v>
      </c>
      <c r="J418" s="20" t="n">
        <v>0.5829926410466066</v>
      </c>
      <c r="K418" s="20" t="n">
        <v>0.6078431372549019</v>
      </c>
      <c r="L418" s="19" t="n">
        <v>-0.1494819941513295</v>
      </c>
      <c r="M418" s="19" t="n">
        <v>-0.2459219903779938</v>
      </c>
      <c r="N418" s="20" t="n">
        <v>0</v>
      </c>
      <c r="O418" s="27" t="n">
        <v>0.725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ASU @ TA&amp;M</t>
        </is>
      </c>
      <c r="C419" s="12" t="inlineStr">
        <is>
          <t>2026-09-12 16:00</t>
        </is>
      </c>
      <c r="D419" s="22" t="n">
        <v>2</v>
      </c>
      <c r="E419" s="12" t="inlineStr">
        <is>
          <t>TOTAL</t>
        </is>
      </c>
      <c r="F419" s="12" t="inlineStr">
        <is>
          <t>Under 50.5</t>
        </is>
      </c>
      <c r="G419" s="23" t="n">
        <v>50.5</v>
      </c>
      <c r="H419" s="13" t="n">
        <v>-108</v>
      </c>
      <c r="I419" s="15" t="n">
        <v>0.3687713774325557</v>
      </c>
      <c r="J419" s="15" t="n">
        <v>0.4956702459300312</v>
      </c>
      <c r="K419" s="15" t="n">
        <v>0.5192307692307693</v>
      </c>
      <c r="L419" s="14" t="n">
        <v>-0.1504593917982135</v>
      </c>
      <c r="M419" s="14" t="n">
        <v>-0.289773643463226</v>
      </c>
      <c r="N419" s="15" t="n">
        <v>0</v>
      </c>
      <c r="O419" s="24" t="n">
        <v>0.4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UNLV @ HAW</t>
        </is>
      </c>
      <c r="C420" s="17" t="inlineStr">
        <is>
          <t>2026-09-06 02:00</t>
        </is>
      </c>
      <c r="D420" s="25" t="n">
        <v>1</v>
      </c>
      <c r="E420" s="17" t="inlineStr">
        <is>
          <t>ATS</t>
        </is>
      </c>
      <c r="F420" s="17" t="inlineStr">
        <is>
          <t>UNLV -3</t>
        </is>
      </c>
      <c r="G420" s="26" t="n">
        <v>3</v>
      </c>
      <c r="H420" s="18" t="n">
        <v>-110</v>
      </c>
      <c r="I420" s="20" t="n">
        <v>0.3707108087893897</v>
      </c>
      <c r="J420" s="20" t="n">
        <v>0.5</v>
      </c>
      <c r="K420" s="20" t="n">
        <v>0.5238095238095238</v>
      </c>
      <c r="L420" s="19" t="n">
        <v>-0.1530987150201342</v>
      </c>
      <c r="M420" s="19" t="n">
        <v>-0.2780749075825364</v>
      </c>
      <c r="N420" s="20" t="n">
        <v>0.0486</v>
      </c>
      <c r="O420" s="27" t="n">
        <v>0.725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SHSU @ TROY</t>
        </is>
      </c>
      <c r="C421" s="12" t="inlineStr">
        <is>
          <t>2026-09-05 23:00</t>
        </is>
      </c>
      <c r="D421" s="22" t="n">
        <v>1</v>
      </c>
      <c r="E421" s="12" t="inlineStr">
        <is>
          <t>ML</t>
        </is>
      </c>
      <c r="F421" s="12" t="inlineStr">
        <is>
          <t>TROY ML</t>
        </is>
      </c>
      <c r="G421" s="23" t="n"/>
      <c r="H421" s="13" t="n">
        <v>-850</v>
      </c>
      <c r="I421" s="15" t="n">
        <v>0.7412093847310716</v>
      </c>
      <c r="J421" s="15" t="n">
        <v>0.8579439252336449</v>
      </c>
      <c r="K421" s="15" t="n">
        <v>0.8947368421052632</v>
      </c>
      <c r="L421" s="14" t="n">
        <v>-0.1535274573741916</v>
      </c>
      <c r="M421" s="14" t="n">
        <v>-0.17158951118292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price outside allowed range</t>
        </is>
      </c>
    </row>
    <row r="422">
      <c r="A422" s="17" t="inlineStr">
        <is>
          <t>PASS</t>
        </is>
      </c>
      <c r="B422" s="17" t="inlineStr">
        <is>
          <t>ISU @ IOWA</t>
        </is>
      </c>
      <c r="C422" s="17" t="inlineStr">
        <is>
          <t>2026-09-12 23:30</t>
        </is>
      </c>
      <c r="D422" s="25" t="n">
        <v>2</v>
      </c>
      <c r="E422" s="17" t="inlineStr">
        <is>
          <t>ATS</t>
        </is>
      </c>
      <c r="F422" s="17" t="inlineStr">
        <is>
          <t>IOWA -12.5</t>
        </is>
      </c>
      <c r="G422" s="26" t="n">
        <v>-12.5</v>
      </c>
      <c r="H422" s="18" t="n">
        <v>-110</v>
      </c>
      <c r="I422" s="20" t="n">
        <v>0.3687726191056313</v>
      </c>
      <c r="J422" s="20" t="n">
        <v>0.5</v>
      </c>
      <c r="K422" s="20" t="n">
        <v>0.5238095238095238</v>
      </c>
      <c r="L422" s="19" t="n">
        <v>-0.1550369047038925</v>
      </c>
      <c r="M422" s="19" t="n">
        <v>-0.2959795453437947</v>
      </c>
      <c r="N422" s="20" t="n">
        <v>0</v>
      </c>
      <c r="O422" s="27" t="n">
        <v>0.4</v>
      </c>
      <c r="P422" s="17" t="inlineStr">
        <is>
          <t>DraftKings</t>
        </is>
      </c>
      <c r="Q422" s="17" t="n"/>
    </row>
    <row r="423">
      <c r="A423" s="12" t="inlineStr">
        <is>
          <t>PASS</t>
        </is>
      </c>
      <c r="B423" s="12" t="inlineStr">
        <is>
          <t>WMU @ MICH</t>
        </is>
      </c>
      <c r="C423" s="12" t="inlineStr">
        <is>
          <t>2026-09-05 23:30</t>
        </is>
      </c>
      <c r="D423" s="22" t="n">
        <v>1</v>
      </c>
      <c r="E423" s="12" t="inlineStr">
        <is>
          <t>TOTAL</t>
        </is>
      </c>
      <c r="F423" s="12" t="inlineStr">
        <is>
          <t>Under 49.5</t>
        </is>
      </c>
      <c r="G423" s="23" t="n">
        <v>49.5</v>
      </c>
      <c r="H423" s="13" t="n">
        <v>-112</v>
      </c>
      <c r="I423" s="15" t="n">
        <v>0.371545012452895</v>
      </c>
      <c r="J423" s="15" t="n">
        <v>0.5043297540699688</v>
      </c>
      <c r="K423" s="15" t="n">
        <v>0.5283018867924528</v>
      </c>
      <c r="L423" s="14" t="n">
        <v>-0.1567568743395579</v>
      </c>
      <c r="M423" s="14" t="n">
        <v>-0.2967183692855917</v>
      </c>
      <c r="N423" s="15" t="n">
        <v>0</v>
      </c>
      <c r="O423" s="24" t="n">
        <v>0.4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BC @ CIN</t>
        </is>
      </c>
      <c r="C424" s="17" t="inlineStr">
        <is>
          <t>2026-09-05 19:30</t>
        </is>
      </c>
      <c r="D424" s="25" t="n">
        <v>1</v>
      </c>
      <c r="E424" s="17" t="inlineStr">
        <is>
          <t>TOTAL</t>
        </is>
      </c>
      <c r="F424" s="17" t="inlineStr">
        <is>
          <t>Under 51.5</t>
        </is>
      </c>
      <c r="G424" s="26" t="n">
        <v>51.5</v>
      </c>
      <c r="H424" s="18" t="n">
        <v>-118</v>
      </c>
      <c r="I424" s="20" t="n">
        <v>0.3843519860691722</v>
      </c>
      <c r="J424" s="20" t="n">
        <v>0.5173641257162701</v>
      </c>
      <c r="K424" s="20" t="n">
        <v>0.5412844036697247</v>
      </c>
      <c r="L424" s="19" t="n">
        <v>-0.1569324176005525</v>
      </c>
      <c r="M424" s="19" t="n">
        <v>-0.289925991838309</v>
      </c>
      <c r="N424" s="20" t="n">
        <v>0</v>
      </c>
      <c r="O424" s="27" t="n">
        <v>0.4</v>
      </c>
      <c r="P424" s="17" t="inlineStr">
        <is>
          <t>DraftKings</t>
        </is>
      </c>
      <c r="Q424" s="17" t="n"/>
    </row>
    <row r="425">
      <c r="A425" s="12" t="inlineStr">
        <is>
          <t>PASS</t>
        </is>
      </c>
      <c r="B425" s="12" t="inlineStr">
        <is>
          <t>URI @ TEM</t>
        </is>
      </c>
      <c r="C425" s="12" t="inlineStr">
        <is>
          <t>2026-09-05 18:00</t>
        </is>
      </c>
      <c r="D425" s="22" t="n">
        <v>1</v>
      </c>
      <c r="E425" s="12" t="inlineStr">
        <is>
          <t>TOTAL</t>
        </is>
      </c>
      <c r="F425" s="12" t="inlineStr">
        <is>
          <t>Under 51.5</t>
        </is>
      </c>
      <c r="G425" s="23" t="n">
        <v>51.5</v>
      </c>
      <c r="H425" s="13" t="n">
        <v>-115</v>
      </c>
      <c r="I425" s="15" t="n">
        <v>0.3779204313519817</v>
      </c>
      <c r="J425" s="15" t="n">
        <v>0.5108342361863488</v>
      </c>
      <c r="K425" s="15" t="n">
        <v>0.5348837209302325</v>
      </c>
      <c r="L425" s="14" t="n">
        <v>-0.1569632895782508</v>
      </c>
      <c r="M425" s="14" t="n">
        <v>-0.2934531066028168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URI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SDST @ NU</t>
        </is>
      </c>
      <c r="C426" s="17" t="inlineStr">
        <is>
          <t>2026-09-06 00:00</t>
        </is>
      </c>
      <c r="D426" s="25" t="n">
        <v>1</v>
      </c>
      <c r="E426" s="17" t="inlineStr">
        <is>
          <t>ATS</t>
        </is>
      </c>
      <c r="F426" s="17" t="inlineStr">
        <is>
          <t>NU -12.5</t>
        </is>
      </c>
      <c r="G426" s="26" t="n">
        <v>-12.5</v>
      </c>
      <c r="H426" s="18" t="n">
        <v>-112</v>
      </c>
      <c r="I426" s="20" t="n">
        <v>0.3709374961406158</v>
      </c>
      <c r="J426" s="20" t="n">
        <v>0.5043297540699688</v>
      </c>
      <c r="K426" s="20" t="n">
        <v>0.5283018867924528</v>
      </c>
      <c r="L426" s="19" t="n">
        <v>-0.157364390651837</v>
      </c>
      <c r="M426" s="19" t="n">
        <v>-0.2978683108766916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SDST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UCF @ PITT</t>
        </is>
      </c>
      <c r="C427" s="12" t="inlineStr">
        <is>
          <t>2026-09-12 19:30</t>
        </is>
      </c>
      <c r="D427" s="22" t="n">
        <v>2</v>
      </c>
      <c r="E427" s="12" t="inlineStr">
        <is>
          <t>TOTAL</t>
        </is>
      </c>
      <c r="F427" s="12" t="inlineStr">
        <is>
          <t>Under 51.5</t>
        </is>
      </c>
      <c r="G427" s="23" t="n">
        <v>51.5</v>
      </c>
      <c r="H427" s="13" t="n">
        <v>-112</v>
      </c>
      <c r="I427" s="15" t="n">
        <v>0.3699999141703226</v>
      </c>
      <c r="J427" s="15" t="n">
        <v>0.5043297540699688</v>
      </c>
      <c r="K427" s="15" t="n">
        <v>0.5283018867924528</v>
      </c>
      <c r="L427" s="14" t="n">
        <v>-0.1583019726221302</v>
      </c>
      <c r="M427" s="14" t="n">
        <v>-0.2996430196061751</v>
      </c>
      <c r="N427" s="15" t="n">
        <v>0</v>
      </c>
      <c r="O427" s="24" t="n">
        <v>0.4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ALCN @ USM</t>
        </is>
      </c>
      <c r="C428" s="17" t="inlineStr">
        <is>
          <t>2026-09-05 21:00</t>
        </is>
      </c>
      <c r="D428" s="25" t="n">
        <v>1</v>
      </c>
      <c r="E428" s="17" t="inlineStr">
        <is>
          <t>TOTAL</t>
        </is>
      </c>
      <c r="F428" s="17" t="inlineStr">
        <is>
          <t>Under 50.5</t>
        </is>
      </c>
      <c r="G428" s="26" t="n">
        <v>50.5</v>
      </c>
      <c r="H428" s="18" t="n">
        <v>-105</v>
      </c>
      <c r="I428" s="20" t="n">
        <v>0.3533827419474789</v>
      </c>
      <c r="J428" s="20" t="n">
        <v>0.4891657638136511</v>
      </c>
      <c r="K428" s="20" t="n">
        <v>0.5121951219512195</v>
      </c>
      <c r="L428" s="19" t="n">
        <v>-0.1588123800037406</v>
      </c>
      <c r="M428" s="19" t="n">
        <v>-0.3100622657215889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ALCN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WSU @ KSU</t>
        </is>
      </c>
      <c r="C429" s="12" t="inlineStr">
        <is>
          <t>2026-09-12 16:00</t>
        </is>
      </c>
      <c r="D429" s="22" t="n">
        <v>2</v>
      </c>
      <c r="E429" s="12" t="inlineStr">
        <is>
          <t>ML</t>
        </is>
      </c>
      <c r="F429" s="12" t="inlineStr">
        <is>
          <t>KSU ML</t>
        </is>
      </c>
      <c r="G429" s="23" t="n"/>
      <c r="H429" s="13" t="n">
        <v>-1000</v>
      </c>
      <c r="I429" s="15" t="n">
        <v>0.7482839337421561</v>
      </c>
      <c r="J429" s="15" t="n">
        <v>0.8720930232558138</v>
      </c>
      <c r="K429" s="15" t="n">
        <v>0.9090909090909091</v>
      </c>
      <c r="L429" s="14" t="n">
        <v>-0.160806975348753</v>
      </c>
      <c r="M429" s="14" t="n">
        <v>-0.1768876728836282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price outside allowed range</t>
        </is>
      </c>
    </row>
    <row r="430">
      <c r="A430" s="17" t="inlineStr">
        <is>
          <t>PASS</t>
        </is>
      </c>
      <c r="B430" s="17" t="inlineStr">
        <is>
          <t>MTSU @ MRSH</t>
        </is>
      </c>
      <c r="C430" s="17" t="inlineStr">
        <is>
          <t>2026-09-12 23:00</t>
        </is>
      </c>
      <c r="D430" s="25" t="n">
        <v>2</v>
      </c>
      <c r="E430" s="17" t="inlineStr">
        <is>
          <t>ML</t>
        </is>
      </c>
      <c r="F430" s="17" t="inlineStr">
        <is>
          <t>MRSH ML</t>
        </is>
      </c>
      <c r="G430" s="26" t="n"/>
      <c r="H430" s="18" t="n">
        <v>-1000</v>
      </c>
      <c r="I430" s="20" t="n">
        <v>0.7482839337421561</v>
      </c>
      <c r="J430" s="20" t="n">
        <v>0.8720930232558138</v>
      </c>
      <c r="K430" s="20" t="n">
        <v>0.9090909090909091</v>
      </c>
      <c r="L430" s="19" t="n">
        <v>-0.160806975348753</v>
      </c>
      <c r="M430" s="19" t="n">
        <v>-0.1768876728836282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price outside allowed range</t>
        </is>
      </c>
    </row>
    <row r="431">
      <c r="A431" s="12" t="inlineStr">
        <is>
          <t>PASS</t>
        </is>
      </c>
      <c r="B431" s="12" t="inlineStr">
        <is>
          <t>TOW @ NAVY</t>
        </is>
      </c>
      <c r="C431" s="12" t="inlineStr">
        <is>
          <t>2026-09-05 19:30</t>
        </is>
      </c>
      <c r="D431" s="22" t="n">
        <v>1</v>
      </c>
      <c r="E431" s="12" t="inlineStr">
        <is>
          <t>TOTAL</t>
        </is>
      </c>
      <c r="F431" s="12" t="inlineStr">
        <is>
          <t>Under 50.5</t>
        </is>
      </c>
      <c r="G431" s="23" t="n">
        <v>50.5</v>
      </c>
      <c r="H431" s="13" t="n">
        <v>-108</v>
      </c>
      <c r="I431" s="15" t="n">
        <v>0.3581124831195026</v>
      </c>
      <c r="J431" s="15" t="n">
        <v>0.4956702459300312</v>
      </c>
      <c r="K431" s="15" t="n">
        <v>0.5192307692307693</v>
      </c>
      <c r="L431" s="14" t="n">
        <v>-0.1611182861112667</v>
      </c>
      <c r="M431" s="14" t="n">
        <v>-0.3103018843624394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TOW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TULN @ DUKE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50.5</t>
        </is>
      </c>
      <c r="G432" s="26" t="n">
        <v>50.5</v>
      </c>
      <c r="H432" s="18" t="n">
        <v>-105</v>
      </c>
      <c r="I432" s="20" t="n">
        <v>0.350462265299838</v>
      </c>
      <c r="J432" s="20" t="n">
        <v>0.4891657638136511</v>
      </c>
      <c r="K432" s="20" t="n">
        <v>0.5121951219512195</v>
      </c>
      <c r="L432" s="19" t="n">
        <v>-0.1617328566513815</v>
      </c>
      <c r="M432" s="19" t="n">
        <v>-0.3157641487003162</v>
      </c>
      <c r="N432" s="20" t="n">
        <v>0</v>
      </c>
      <c r="O432" s="27" t="n">
        <v>0.4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TTU @ ORST</t>
        </is>
      </c>
      <c r="C433" s="12" t="inlineStr">
        <is>
          <t>2026-09-12 23:30</t>
        </is>
      </c>
      <c r="D433" s="22" t="n">
        <v>2</v>
      </c>
      <c r="E433" s="12" t="inlineStr">
        <is>
          <t>TOTAL</t>
        </is>
      </c>
      <c r="F433" s="12" t="inlineStr">
        <is>
          <t>Under 49.5</t>
        </is>
      </c>
      <c r="G433" s="23" t="n">
        <v>49.5</v>
      </c>
      <c r="H433" s="13" t="n">
        <v>-112</v>
      </c>
      <c r="I433" s="15" t="n">
        <v>0.3654314653115827</v>
      </c>
      <c r="J433" s="15" t="n">
        <v>0.5043297540699688</v>
      </c>
      <c r="K433" s="15" t="n">
        <v>0.5283018867924528</v>
      </c>
      <c r="L433" s="14" t="n">
        <v>-0.1628704214808702</v>
      </c>
      <c r="M433" s="14" t="n">
        <v>-0.3082904406602185</v>
      </c>
      <c r="N433" s="15" t="n">
        <v>0</v>
      </c>
      <c r="O433" s="24" t="n">
        <v>0.4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MIZ @ KU</t>
        </is>
      </c>
      <c r="C434" s="17" t="inlineStr">
        <is>
          <t>2026-09-12 00:00</t>
        </is>
      </c>
      <c r="D434" s="25" t="n">
        <v>2</v>
      </c>
      <c r="E434" s="17" t="inlineStr">
        <is>
          <t>ML</t>
        </is>
      </c>
      <c r="F434" s="17" t="inlineStr">
        <is>
          <t>MIZ ML</t>
        </is>
      </c>
      <c r="G434" s="26" t="n"/>
      <c r="H434" s="18" t="n">
        <v>-218</v>
      </c>
      <c r="I434" s="20" t="n">
        <v>0.5216023714661433</v>
      </c>
      <c r="J434" s="20" t="n">
        <v>0.6574752261956054</v>
      </c>
      <c r="K434" s="20" t="n">
        <v>0.6855345911949685</v>
      </c>
      <c r="L434" s="19" t="n">
        <v>-0.1639322197288252</v>
      </c>
      <c r="M434" s="19" t="n">
        <v>-0.2391304856594791</v>
      </c>
      <c r="N434" s="20" t="n">
        <v>0</v>
      </c>
      <c r="O434" s="27" t="n">
        <v>0.725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SELA @ USA</t>
        </is>
      </c>
      <c r="C435" s="12" t="inlineStr">
        <is>
          <t>2026-09-05 23:00</t>
        </is>
      </c>
      <c r="D435" s="22" t="n">
        <v>1</v>
      </c>
      <c r="E435" s="12" t="inlineStr">
        <is>
          <t>ATS</t>
        </is>
      </c>
      <c r="F435" s="12" t="inlineStr">
        <is>
          <t>USA -13.5</t>
        </is>
      </c>
      <c r="G435" s="23" t="n">
        <v>-13.5</v>
      </c>
      <c r="H435" s="13" t="n">
        <v>-110</v>
      </c>
      <c r="I435" s="15" t="n">
        <v>0.3588280457916858</v>
      </c>
      <c r="J435" s="15" t="n">
        <v>0.5</v>
      </c>
      <c r="K435" s="15" t="n">
        <v>0.5238095238095238</v>
      </c>
      <c r="L435" s="14" t="n">
        <v>-0.164981478017838</v>
      </c>
      <c r="M435" s="14" t="n">
        <v>-0.3149646398522362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SELA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FUR @ TENN</t>
        </is>
      </c>
      <c r="C436" s="17" t="inlineStr">
        <is>
          <t>2026-09-05 19:30</t>
        </is>
      </c>
      <c r="D436" s="25" t="n">
        <v>1</v>
      </c>
      <c r="E436" s="17" t="inlineStr">
        <is>
          <t>TOTAL</t>
        </is>
      </c>
      <c r="F436" s="17" t="inlineStr">
        <is>
          <t>Over 66.5</t>
        </is>
      </c>
      <c r="G436" s="26" t="n">
        <v>66.5</v>
      </c>
      <c r="H436" s="18" t="n">
        <v>-115</v>
      </c>
      <c r="I436" s="20" t="n">
        <v>0.3686837082204204</v>
      </c>
      <c r="J436" s="20" t="n">
        <v>0.5108342361863488</v>
      </c>
      <c r="K436" s="20" t="n">
        <v>0.5348837209302325</v>
      </c>
      <c r="L436" s="19" t="n">
        <v>-0.1662000127098121</v>
      </c>
      <c r="M436" s="19" t="n">
        <v>-0.3107217628922576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FUR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LAM @ UL</t>
        </is>
      </c>
      <c r="C437" s="12" t="inlineStr">
        <is>
          <t>2026-09-06 00:00</t>
        </is>
      </c>
      <c r="D437" s="22" t="n">
        <v>1</v>
      </c>
      <c r="E437" s="12" t="inlineStr">
        <is>
          <t>ML</t>
        </is>
      </c>
      <c r="F437" s="12" t="inlineStr">
        <is>
          <t>UL ML</t>
        </is>
      </c>
      <c r="G437" s="23" t="n"/>
      <c r="H437" s="13" t="n">
        <v>-1200</v>
      </c>
      <c r="I437" s="15" t="n">
        <v>0.7557156829838143</v>
      </c>
      <c r="J437" s="15" t="n">
        <v>0.8869565217391304</v>
      </c>
      <c r="K437" s="15" t="n">
        <v>0.9230769230769231</v>
      </c>
      <c r="L437" s="14" t="n">
        <v>-0.1673612400931088</v>
      </c>
      <c r="M437" s="14" t="n">
        <v>-0.1813080101008679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LAM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JVST @ OHIO</t>
        </is>
      </c>
      <c r="C438" s="17" t="inlineStr">
        <is>
          <t>2026-09-12 22:00</t>
        </is>
      </c>
      <c r="D438" s="25" t="n">
        <v>2</v>
      </c>
      <c r="E438" s="17" t="inlineStr">
        <is>
          <t>TOTAL</t>
        </is>
      </c>
      <c r="F438" s="17" t="inlineStr">
        <is>
          <t>Under 48.5</t>
        </is>
      </c>
      <c r="G438" s="26" t="n">
        <v>48.5</v>
      </c>
      <c r="H438" s="18" t="n">
        <v>-110</v>
      </c>
      <c r="I438" s="20" t="n">
        <v>0.3558793817703874</v>
      </c>
      <c r="J438" s="20" t="n">
        <v>0.5</v>
      </c>
      <c r="K438" s="20" t="n">
        <v>0.5238095238095238</v>
      </c>
      <c r="L438" s="19" t="n">
        <v>-0.1679301420391365</v>
      </c>
      <c r="M438" s="19" t="n">
        <v>-0.3205939075292605</v>
      </c>
      <c r="N438" s="20" t="n">
        <v>0</v>
      </c>
      <c r="O438" s="27" t="n">
        <v>0.4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WAKE @ PUR</t>
        </is>
      </c>
      <c r="C439" s="12" t="inlineStr">
        <is>
          <t>2026-09-12 16:00</t>
        </is>
      </c>
      <c r="D439" s="22" t="n">
        <v>2</v>
      </c>
      <c r="E439" s="12" t="inlineStr">
        <is>
          <t>TOTAL</t>
        </is>
      </c>
      <c r="F439" s="12" t="inlineStr">
        <is>
          <t>Under 49.5</t>
        </is>
      </c>
      <c r="G439" s="23" t="n">
        <v>49.5</v>
      </c>
      <c r="H439" s="13" t="n">
        <v>-110</v>
      </c>
      <c r="I439" s="15" t="n">
        <v>0.3544365160314871</v>
      </c>
      <c r="J439" s="15" t="n">
        <v>0.5</v>
      </c>
      <c r="K439" s="15" t="n">
        <v>0.5238095238095238</v>
      </c>
      <c r="L439" s="14" t="n">
        <v>-0.1693730077780368</v>
      </c>
      <c r="M439" s="14" t="n">
        <v>-0.3233484693944337</v>
      </c>
      <c r="N439" s="15" t="n">
        <v>0</v>
      </c>
      <c r="O439" s="24" t="n">
        <v>0.725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MIZ @ KU</t>
        </is>
      </c>
      <c r="C440" s="17" t="inlineStr">
        <is>
          <t>2026-09-12 00:00</t>
        </is>
      </c>
      <c r="D440" s="25" t="n">
        <v>2</v>
      </c>
      <c r="E440" s="17" t="inlineStr">
        <is>
          <t>ATS</t>
        </is>
      </c>
      <c r="F440" s="17" t="inlineStr">
        <is>
          <t>MIZ -6.5</t>
        </is>
      </c>
      <c r="G440" s="26" t="n">
        <v>6.5</v>
      </c>
      <c r="H440" s="18" t="n">
        <v>-110</v>
      </c>
      <c r="I440" s="20" t="n">
        <v>0.3535283843673677</v>
      </c>
      <c r="J440" s="20" t="n">
        <v>0.5</v>
      </c>
      <c r="K440" s="20" t="n">
        <v>0.5238095238095238</v>
      </c>
      <c r="L440" s="19" t="n">
        <v>-0.1702811394421562</v>
      </c>
      <c r="M440" s="19" t="n">
        <v>-0.3250821752986617</v>
      </c>
      <c r="N440" s="20" t="n">
        <v>0</v>
      </c>
      <c r="O440" s="27" t="n">
        <v>0.725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ME @ APP</t>
        </is>
      </c>
      <c r="C441" s="12" t="inlineStr">
        <is>
          <t>2026-09-05 19:30</t>
        </is>
      </c>
      <c r="D441" s="22" t="n">
        <v>1</v>
      </c>
      <c r="E441" s="12" t="inlineStr">
        <is>
          <t>ML</t>
        </is>
      </c>
      <c r="F441" s="12" t="inlineStr">
        <is>
          <t>APP ML</t>
        </is>
      </c>
      <c r="G441" s="23" t="n"/>
      <c r="H441" s="13" t="n">
        <v>-1450</v>
      </c>
      <c r="I441" s="15" t="n">
        <v>0.7616664596346406</v>
      </c>
      <c r="J441" s="15" t="n">
        <v>0.8988580750407831</v>
      </c>
      <c r="K441" s="15" t="n">
        <v>0.9354838709677419</v>
      </c>
      <c r="L441" s="14" t="n">
        <v>-0.1738174113331012</v>
      </c>
      <c r="M441" s="14" t="n">
        <v>-0.1858048190112463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ME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SDSU @ UCLA</t>
        </is>
      </c>
      <c r="C442" s="17" t="inlineStr">
        <is>
          <t>2026-09-12 23:15</t>
        </is>
      </c>
      <c r="D442" s="25" t="n">
        <v>2</v>
      </c>
      <c r="E442" s="17" t="inlineStr">
        <is>
          <t>TOTAL</t>
        </is>
      </c>
      <c r="F442" s="17" t="inlineStr">
        <is>
          <t>Under 48.5</t>
        </is>
      </c>
      <c r="G442" s="26" t="n">
        <v>48.5</v>
      </c>
      <c r="H442" s="18" t="n">
        <v>-110</v>
      </c>
      <c r="I442" s="20" t="n">
        <v>0.3487820105747963</v>
      </c>
      <c r="J442" s="20" t="n">
        <v>0.5</v>
      </c>
      <c r="K442" s="20" t="n">
        <v>0.5238095238095238</v>
      </c>
      <c r="L442" s="19" t="n">
        <v>-0.1750275132347275</v>
      </c>
      <c r="M442" s="19" t="n">
        <v>-0.3341434343572071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raw model/market disagreement exceeds the safety limit</t>
        </is>
      </c>
    </row>
    <row r="443">
      <c r="A443" s="12" t="inlineStr">
        <is>
          <t>PASS</t>
        </is>
      </c>
      <c r="B443" s="12" t="inlineStr">
        <is>
          <t>CIT @ CLT</t>
        </is>
      </c>
      <c r="C443" s="12" t="inlineStr">
        <is>
          <t>2026-09-05 19:30</t>
        </is>
      </c>
      <c r="D443" s="22" t="n">
        <v>1</v>
      </c>
      <c r="E443" s="12" t="inlineStr">
        <is>
          <t>ML</t>
        </is>
      </c>
      <c r="F443" s="12" t="inlineStr">
        <is>
          <t>CLT ML</t>
        </is>
      </c>
      <c r="G443" s="23" t="n"/>
      <c r="H443" s="13" t="n">
        <v>-1650</v>
      </c>
      <c r="I443" s="15" t="n">
        <v>0.7663658624812216</v>
      </c>
      <c r="J443" s="15" t="n">
        <v>0.9082568807339451</v>
      </c>
      <c r="K443" s="15" t="n">
        <v>0.9428571428571428</v>
      </c>
      <c r="L443" s="14" t="n">
        <v>-0.1764912803759212</v>
      </c>
      <c r="M443" s="14" t="n">
        <v>-0.1871877216108256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CIT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BGSU @ NEB</t>
        </is>
      </c>
      <c r="C444" s="17" t="inlineStr">
        <is>
          <t>2026-09-12 23:00</t>
        </is>
      </c>
      <c r="D444" s="25" t="n">
        <v>2</v>
      </c>
      <c r="E444" s="17" t="inlineStr">
        <is>
          <t>TOTAL</t>
        </is>
      </c>
      <c r="F444" s="17" t="inlineStr">
        <is>
          <t>Under 48.5</t>
        </is>
      </c>
      <c r="G444" s="26" t="n">
        <v>48.5</v>
      </c>
      <c r="H444" s="18" t="n">
        <v>-108</v>
      </c>
      <c r="I444" s="20" t="n">
        <v>0.3425002582011614</v>
      </c>
      <c r="J444" s="20" t="n">
        <v>0.4956702459300312</v>
      </c>
      <c r="K444" s="20" t="n">
        <v>0.5192307692307693</v>
      </c>
      <c r="L444" s="19" t="n">
        <v>-0.1767305110296079</v>
      </c>
      <c r="M444" s="19" t="n">
        <v>-0.3403698730940595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ALCN @ USM</t>
        </is>
      </c>
      <c r="C445" s="12" t="inlineStr">
        <is>
          <t>2026-09-05 21:00</t>
        </is>
      </c>
      <c r="D445" s="22" t="n">
        <v>1</v>
      </c>
      <c r="E445" s="12" t="inlineStr">
        <is>
          <t>ML</t>
        </is>
      </c>
      <c r="F445" s="12" t="inlineStr">
        <is>
          <t>USM ML</t>
        </is>
      </c>
      <c r="G445" s="23" t="n"/>
      <c r="H445" s="13" t="n">
        <v>-1600</v>
      </c>
      <c r="I445" s="15" t="n">
        <v>0.7642148232441925</v>
      </c>
      <c r="J445" s="15" t="n">
        <v>0.9039548022598869</v>
      </c>
      <c r="K445" s="15" t="n">
        <v>0.9411764705882353</v>
      </c>
      <c r="L445" s="14" t="n">
        <v>-0.1769616473440427</v>
      </c>
      <c r="M445" s="14" t="n">
        <v>-0.1880217503030454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ALCN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ALA @ UK</t>
        </is>
      </c>
      <c r="C446" s="17" t="inlineStr">
        <is>
          <t>2026-09-12 19:30</t>
        </is>
      </c>
      <c r="D446" s="25" t="n">
        <v>2</v>
      </c>
      <c r="E446" s="17" t="inlineStr">
        <is>
          <t>TOTAL</t>
        </is>
      </c>
      <c r="F446" s="17" t="inlineStr">
        <is>
          <t>Under 48.5</t>
        </is>
      </c>
      <c r="G446" s="26" t="n">
        <v>48.5</v>
      </c>
      <c r="H446" s="18" t="n">
        <v>-112</v>
      </c>
      <c r="I446" s="20" t="n">
        <v>0.3509468876097808</v>
      </c>
      <c r="J446" s="20" t="n">
        <v>0.5043297540699688</v>
      </c>
      <c r="K446" s="20" t="n">
        <v>0.5283018867924528</v>
      </c>
      <c r="L446" s="19" t="n">
        <v>-0.1773549991826721</v>
      </c>
      <c r="M446" s="19" t="n">
        <v>-0.3357076770243436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raw model/market disagreement exceeds the safety limit</t>
        </is>
      </c>
    </row>
    <row r="447">
      <c r="A447" s="12" t="inlineStr">
        <is>
          <t>PASS</t>
        </is>
      </c>
      <c r="B447" s="12" t="inlineStr">
        <is>
          <t>FIU @ USF</t>
        </is>
      </c>
      <c r="C447" s="12" t="inlineStr">
        <is>
          <t>2026-09-05 23:00</t>
        </is>
      </c>
      <c r="D447" s="22" t="n">
        <v>1</v>
      </c>
      <c r="E447" s="12" t="inlineStr">
        <is>
          <t>ATS</t>
        </is>
      </c>
      <c r="F447" s="12" t="inlineStr">
        <is>
          <t>USF -14.5</t>
        </is>
      </c>
      <c r="G447" s="23" t="n">
        <v>-14.5</v>
      </c>
      <c r="H447" s="13" t="n">
        <v>-108</v>
      </c>
      <c r="I447" s="15" t="n">
        <v>0.3407933580774348</v>
      </c>
      <c r="J447" s="15" t="n">
        <v>0.4956702459300312</v>
      </c>
      <c r="K447" s="15" t="n">
        <v>0.5192307692307693</v>
      </c>
      <c r="L447" s="14" t="n">
        <v>-0.1784374111533345</v>
      </c>
      <c r="M447" s="14" t="n">
        <v>-0.3436572362953108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MRSH @ PSU</t>
        </is>
      </c>
      <c r="C448" s="17" t="inlineStr">
        <is>
          <t>2026-09-05 19:30</t>
        </is>
      </c>
      <c r="D448" s="25" t="n">
        <v>1</v>
      </c>
      <c r="E448" s="17" t="inlineStr">
        <is>
          <t>ML</t>
        </is>
      </c>
      <c r="F448" s="17" t="inlineStr">
        <is>
          <t>PSU ML</t>
        </is>
      </c>
      <c r="G448" s="26" t="n"/>
      <c r="H448" s="18" t="n">
        <v>-1800</v>
      </c>
      <c r="I448" s="20" t="n">
        <v>0.7684586202709311</v>
      </c>
      <c r="J448" s="20" t="n">
        <v>0.912442396313364</v>
      </c>
      <c r="K448" s="20" t="n">
        <v>0.9473684210526315</v>
      </c>
      <c r="L448" s="19" t="n">
        <v>-0.1789098007817004</v>
      </c>
      <c r="M448" s="19" t="n">
        <v>-0.1888492341584616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price outside allowed range</t>
        </is>
      </c>
    </row>
    <row r="449">
      <c r="A449" s="12" t="inlineStr">
        <is>
          <t>PASS</t>
        </is>
      </c>
      <c r="B449" s="12" t="inlineStr">
        <is>
          <t>CIT @ CLT</t>
        </is>
      </c>
      <c r="C449" s="12" t="inlineStr">
        <is>
          <t>2026-09-05 19:30</t>
        </is>
      </c>
      <c r="D449" s="22" t="n">
        <v>1</v>
      </c>
      <c r="E449" s="12" t="inlineStr">
        <is>
          <t>TOTAL</t>
        </is>
      </c>
      <c r="F449" s="12" t="inlineStr">
        <is>
          <t>Under 48.5</t>
        </is>
      </c>
      <c r="G449" s="23" t="n">
        <v>48.5</v>
      </c>
      <c r="H449" s="13" t="n">
        <v>-105</v>
      </c>
      <c r="I449" s="15" t="n">
        <v>0.3326254625356031</v>
      </c>
      <c r="J449" s="15" t="n">
        <v>0.4891657638136511</v>
      </c>
      <c r="K449" s="15" t="n">
        <v>0.5121951219512195</v>
      </c>
      <c r="L449" s="14" t="n">
        <v>-0.1795696594156164</v>
      </c>
      <c r="M449" s="14" t="n">
        <v>-0.3505883826685844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CIT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SDST @ NU</t>
        </is>
      </c>
      <c r="C450" s="17" t="inlineStr">
        <is>
          <t>2026-09-06 00:00</t>
        </is>
      </c>
      <c r="D450" s="25" t="n">
        <v>1</v>
      </c>
      <c r="E450" s="17" t="inlineStr">
        <is>
          <t>TOTAL</t>
        </is>
      </c>
      <c r="F450" s="17" t="inlineStr">
        <is>
          <t>Under 48.5</t>
        </is>
      </c>
      <c r="G450" s="26" t="n">
        <v>48.5</v>
      </c>
      <c r="H450" s="18" t="n">
        <v>-112</v>
      </c>
      <c r="I450" s="20" t="n">
        <v>0.3481904185232318</v>
      </c>
      <c r="J450" s="20" t="n">
        <v>0.5043297540699688</v>
      </c>
      <c r="K450" s="20" t="n">
        <v>0.5283018867924528</v>
      </c>
      <c r="L450" s="19" t="n">
        <v>-0.180111468269221</v>
      </c>
      <c r="M450" s="19" t="n">
        <v>-0.3409252792238826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SDST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URI @ TEM</t>
        </is>
      </c>
      <c r="C451" s="12" t="inlineStr">
        <is>
          <t>2026-09-05 18:00</t>
        </is>
      </c>
      <c r="D451" s="22" t="n">
        <v>1</v>
      </c>
      <c r="E451" s="12" t="inlineStr">
        <is>
          <t>ATS</t>
        </is>
      </c>
      <c r="F451" s="12" t="inlineStr">
        <is>
          <t>TEM -14.5</t>
        </is>
      </c>
      <c r="G451" s="23" t="n">
        <v>-14.5</v>
      </c>
      <c r="H451" s="13" t="n">
        <v>-110</v>
      </c>
      <c r="I451" s="15" t="n">
        <v>0.3429582351124192</v>
      </c>
      <c r="J451" s="15" t="n">
        <v>0.5</v>
      </c>
      <c r="K451" s="15" t="n">
        <v>0.5238095238095238</v>
      </c>
      <c r="L451" s="14" t="n">
        <v>-0.1808512886971047</v>
      </c>
      <c r="M451" s="14" t="n">
        <v>-0.3452615511490179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URI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ASU @ TA&amp;M</t>
        </is>
      </c>
      <c r="C452" s="17" t="inlineStr">
        <is>
          <t>2026-09-12 16:00</t>
        </is>
      </c>
      <c r="D452" s="25" t="n">
        <v>2</v>
      </c>
      <c r="E452" s="17" t="inlineStr">
        <is>
          <t>ATS</t>
        </is>
      </c>
      <c r="F452" s="17" t="inlineStr">
        <is>
          <t>TA&amp;M -14.5</t>
        </is>
      </c>
      <c r="G452" s="26" t="n">
        <v>-14.5</v>
      </c>
      <c r="H452" s="18" t="n">
        <v>-110</v>
      </c>
      <c r="I452" s="20" t="n">
        <v>0.3429582351124192</v>
      </c>
      <c r="J452" s="20" t="n">
        <v>0.5</v>
      </c>
      <c r="K452" s="20" t="n">
        <v>0.5238095238095238</v>
      </c>
      <c r="L452" s="19" t="n">
        <v>-0.1808512886971047</v>
      </c>
      <c r="M452" s="19" t="n">
        <v>-0.3452615511490179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raw model/market disagreement exceeds the safety limit</t>
        </is>
      </c>
    </row>
    <row r="453">
      <c r="A453" s="12" t="inlineStr">
        <is>
          <t>PASS</t>
        </is>
      </c>
      <c r="B453" s="12" t="inlineStr">
        <is>
          <t>MUR @ MTSU</t>
        </is>
      </c>
      <c r="C453" s="12" t="inlineStr">
        <is>
          <t>2026-09-05 23:00</t>
        </is>
      </c>
      <c r="D453" s="22" t="n">
        <v>1</v>
      </c>
      <c r="E453" s="12" t="inlineStr">
        <is>
          <t>ML</t>
        </is>
      </c>
      <c r="F453" s="12" t="inlineStr">
        <is>
          <t>MTSU ML</t>
        </is>
      </c>
      <c r="G453" s="23" t="n"/>
      <c r="H453" s="13" t="n">
        <v>-2100</v>
      </c>
      <c r="I453" s="15" t="n">
        <v>0.7720914367127893</v>
      </c>
      <c r="J453" s="15" t="n">
        <v>0.9197080291970804</v>
      </c>
      <c r="K453" s="15" t="n">
        <v>0.9545454545454546</v>
      </c>
      <c r="L453" s="14" t="n">
        <v>-0.1824540178326652</v>
      </c>
      <c r="M453" s="14" t="n">
        <v>-0.1911423043961254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MUR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ODU @ VT</t>
        </is>
      </c>
      <c r="C454" s="17" t="inlineStr">
        <is>
          <t>2026-09-12 16:00</t>
        </is>
      </c>
      <c r="D454" s="25" t="n">
        <v>2</v>
      </c>
      <c r="E454" s="17" t="inlineStr">
        <is>
          <t>ATS</t>
        </is>
      </c>
      <c r="F454" s="17" t="inlineStr">
        <is>
          <t>VT -14.5</t>
        </is>
      </c>
      <c r="G454" s="26" t="n">
        <v>-14.5</v>
      </c>
      <c r="H454" s="18" t="n">
        <v>-112</v>
      </c>
      <c r="I454" s="20" t="n">
        <v>0.3451231121474036</v>
      </c>
      <c r="J454" s="20" t="n">
        <v>0.5043297540699688</v>
      </c>
      <c r="K454" s="20" t="n">
        <v>0.5283018867924528</v>
      </c>
      <c r="L454" s="19" t="n">
        <v>-0.1831787746450492</v>
      </c>
      <c r="M454" s="19" t="n">
        <v>-0.3467312520067003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raw model/market disagreement exceeds the safety limit</t>
        </is>
      </c>
    </row>
    <row r="455">
      <c r="A455" s="12" t="inlineStr">
        <is>
          <t>PASS</t>
        </is>
      </c>
      <c r="B455" s="12" t="inlineStr">
        <is>
          <t>UNLV @ UNT</t>
        </is>
      </c>
      <c r="C455" s="12" t="inlineStr">
        <is>
          <t>2026-09-12 19:45</t>
        </is>
      </c>
      <c r="D455" s="22" t="n">
        <v>2</v>
      </c>
      <c r="E455" s="12" t="inlineStr">
        <is>
          <t>ATS</t>
        </is>
      </c>
      <c r="F455" s="12" t="inlineStr">
        <is>
          <t>UNLV -6.5</t>
        </is>
      </c>
      <c r="G455" s="23" t="n">
        <v>6.5</v>
      </c>
      <c r="H455" s="13" t="n">
        <v>-110</v>
      </c>
      <c r="I455" s="15" t="n">
        <v>0.339836951489794</v>
      </c>
      <c r="J455" s="15" t="n">
        <v>0.5</v>
      </c>
      <c r="K455" s="15" t="n">
        <v>0.5238095238095238</v>
      </c>
      <c r="L455" s="14" t="n">
        <v>-0.1839725723197299</v>
      </c>
      <c r="M455" s="14" t="n">
        <v>-0.351220365337666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raw model/market disagreement exceeds the safety limit</t>
        </is>
      </c>
    </row>
    <row r="456">
      <c r="A456" s="17" t="inlineStr">
        <is>
          <t>PASS</t>
        </is>
      </c>
      <c r="B456" s="17" t="inlineStr">
        <is>
          <t>WSU @ WASH</t>
        </is>
      </c>
      <c r="C456" s="17" t="inlineStr">
        <is>
          <t>2026-09-06 20:00</t>
        </is>
      </c>
      <c r="D456" s="25" t="n">
        <v>1</v>
      </c>
      <c r="E456" s="17" t="inlineStr">
        <is>
          <t>ML</t>
        </is>
      </c>
      <c r="F456" s="17" t="inlineStr">
        <is>
          <t>WASH ML</t>
        </is>
      </c>
      <c r="G456" s="26" t="n"/>
      <c r="H456" s="18" t="n">
        <v>-2400</v>
      </c>
      <c r="I456" s="20" t="n">
        <v>0.7751454339836853</v>
      </c>
      <c r="J456" s="20" t="n">
        <v>0.9258160237388724</v>
      </c>
      <c r="K456" s="20" t="n">
        <v>0.96</v>
      </c>
      <c r="L456" s="19" t="n">
        <v>-0.1848545660163147</v>
      </c>
      <c r="M456" s="19" t="n">
        <v>-0.1925568396003278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price outside allowed range</t>
        </is>
      </c>
    </row>
    <row r="457">
      <c r="A457" s="12" t="inlineStr">
        <is>
          <t>PASS</t>
        </is>
      </c>
      <c r="B457" s="12" t="inlineStr">
        <is>
          <t>USU @ WASH</t>
        </is>
      </c>
      <c r="C457" s="12" t="inlineStr">
        <is>
          <t>2026-09-12 19:30</t>
        </is>
      </c>
      <c r="D457" s="22" t="n">
        <v>2</v>
      </c>
      <c r="E457" s="12" t="inlineStr">
        <is>
          <t>ML</t>
        </is>
      </c>
      <c r="F457" s="12" t="inlineStr">
        <is>
          <t>WASH ML</t>
        </is>
      </c>
      <c r="G457" s="23" t="n"/>
      <c r="H457" s="13" t="n">
        <v>-2400</v>
      </c>
      <c r="I457" s="15" t="n">
        <v>0.7751454339836853</v>
      </c>
      <c r="J457" s="15" t="n">
        <v>0.9258160237388724</v>
      </c>
      <c r="K457" s="15" t="n">
        <v>0.96</v>
      </c>
      <c r="L457" s="14" t="n">
        <v>-0.1848545660163147</v>
      </c>
      <c r="M457" s="14" t="n">
        <v>-0.1925568396003278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price outside allowed range</t>
        </is>
      </c>
    </row>
    <row r="458">
      <c r="A458" s="17" t="inlineStr">
        <is>
          <t>PASS</t>
        </is>
      </c>
      <c r="B458" s="17" t="inlineStr">
        <is>
          <t>EMU @ MSU</t>
        </is>
      </c>
      <c r="C458" s="17" t="inlineStr">
        <is>
          <t>2026-09-12 19:30</t>
        </is>
      </c>
      <c r="D458" s="25" t="n">
        <v>2</v>
      </c>
      <c r="E458" s="17" t="inlineStr">
        <is>
          <t>ATS</t>
        </is>
      </c>
      <c r="F458" s="17" t="inlineStr">
        <is>
          <t>MSU -16.5</t>
        </is>
      </c>
      <c r="G458" s="26" t="n">
        <v>-16.5</v>
      </c>
      <c r="H458" s="18" t="n">
        <v>-105</v>
      </c>
      <c r="I458" s="20" t="n">
        <v>0.3271256994403987</v>
      </c>
      <c r="J458" s="20" t="n">
        <v>0.4891657638136511</v>
      </c>
      <c r="K458" s="20" t="n">
        <v>0.5121951219512195</v>
      </c>
      <c r="L458" s="19" t="n">
        <v>-0.1850694225108208</v>
      </c>
      <c r="M458" s="19" t="n">
        <v>-0.3613260153782692</v>
      </c>
      <c r="N458" s="20" t="n">
        <v>0</v>
      </c>
      <c r="O458" s="27" t="n">
        <v>0.725</v>
      </c>
      <c r="P458" s="17" t="inlineStr">
        <is>
          <t>DraftKings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UNLV @ UNT</t>
        </is>
      </c>
      <c r="C459" s="12" t="inlineStr">
        <is>
          <t>2026-09-12 19:45</t>
        </is>
      </c>
      <c r="D459" s="22" t="n">
        <v>2</v>
      </c>
      <c r="E459" s="12" t="inlineStr">
        <is>
          <t>ML</t>
        </is>
      </c>
      <c r="F459" s="12" t="inlineStr">
        <is>
          <t>UNLV ML</t>
        </is>
      </c>
      <c r="G459" s="23" t="n"/>
      <c r="H459" s="13" t="n">
        <v>-225</v>
      </c>
      <c r="I459" s="15" t="n">
        <v>0.5057405729315473</v>
      </c>
      <c r="J459" s="15" t="n">
        <v>0.6636481241914618</v>
      </c>
      <c r="K459" s="15" t="n">
        <v>0.6923076923076923</v>
      </c>
      <c r="L459" s="14" t="n">
        <v>-0.186567119376145</v>
      </c>
      <c r="M459" s="14" t="n">
        <v>-0.2694858390988761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IDST @ USU</t>
        </is>
      </c>
      <c r="C460" s="17" t="inlineStr">
        <is>
          <t>2026-09-05 23:00</t>
        </is>
      </c>
      <c r="D460" s="25" t="n">
        <v>1</v>
      </c>
      <c r="E460" s="17" t="inlineStr">
        <is>
          <t>ATS</t>
        </is>
      </c>
      <c r="F460" s="17" t="inlineStr">
        <is>
          <t>USU -15.5</t>
        </is>
      </c>
      <c r="G460" s="26" t="n">
        <v>-15.5</v>
      </c>
      <c r="H460" s="18" t="n">
        <v>-108</v>
      </c>
      <c r="I460" s="20" t="n">
        <v>0.3323849516138839</v>
      </c>
      <c r="J460" s="20" t="n">
        <v>0.4956702459300312</v>
      </c>
      <c r="K460" s="20" t="n">
        <v>0.5192307692307693</v>
      </c>
      <c r="L460" s="19" t="n">
        <v>-0.1868458176168854</v>
      </c>
      <c r="M460" s="19" t="n">
        <v>-0.3598512042991865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IDST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DEL @ VAN</t>
        </is>
      </c>
      <c r="C461" s="12" t="inlineStr">
        <is>
          <t>2026-09-12 20:15</t>
        </is>
      </c>
      <c r="D461" s="22" t="n">
        <v>2</v>
      </c>
      <c r="E461" s="12" t="inlineStr">
        <is>
          <t>ML</t>
        </is>
      </c>
      <c r="F461" s="12" t="inlineStr">
        <is>
          <t>VAN ML</t>
        </is>
      </c>
      <c r="G461" s="23" t="n"/>
      <c r="H461" s="13" t="n">
        <v>-1800</v>
      </c>
      <c r="I461" s="15" t="n">
        <v>0.7604437685700975</v>
      </c>
      <c r="J461" s="15" t="n">
        <v>0.912442396313364</v>
      </c>
      <c r="K461" s="15" t="n">
        <v>0.9473684210526315</v>
      </c>
      <c r="L461" s="14" t="n">
        <v>-0.186924652482534</v>
      </c>
      <c r="M461" s="14" t="n">
        <v>-0.1973093553982304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price outside allowed range</t>
        </is>
      </c>
    </row>
    <row r="462">
      <c r="A462" s="17" t="inlineStr">
        <is>
          <t>PASS</t>
        </is>
      </c>
      <c r="B462" s="17" t="inlineStr">
        <is>
          <t>OSU @ TEX</t>
        </is>
      </c>
      <c r="C462" s="17" t="inlineStr">
        <is>
          <t>2026-09-12 23:30</t>
        </is>
      </c>
      <c r="D462" s="25" t="n">
        <v>2</v>
      </c>
      <c r="E462" s="17" t="inlineStr">
        <is>
          <t>TOTAL</t>
        </is>
      </c>
      <c r="F462" s="17" t="inlineStr">
        <is>
          <t>Under 47.5</t>
        </is>
      </c>
      <c r="G462" s="26" t="n">
        <v>47.5</v>
      </c>
      <c r="H462" s="18" t="n">
        <v>-110</v>
      </c>
      <c r="I462" s="20" t="n">
        <v>0.3367541315817011</v>
      </c>
      <c r="J462" s="20" t="n">
        <v>0.5</v>
      </c>
      <c r="K462" s="20" t="n">
        <v>0.5238095238095238</v>
      </c>
      <c r="L462" s="19" t="n">
        <v>-0.1870553922278227</v>
      </c>
      <c r="M462" s="19" t="n">
        <v>-0.3571057487985706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UL @ USC</t>
        </is>
      </c>
      <c r="C463" s="12" t="inlineStr">
        <is>
          <t>2026-09-13 03:00</t>
        </is>
      </c>
      <c r="D463" s="22" t="n">
        <v>2</v>
      </c>
      <c r="E463" s="12" t="inlineStr">
        <is>
          <t>ML</t>
        </is>
      </c>
      <c r="F463" s="12" t="inlineStr">
        <is>
          <t>USC ML</t>
        </is>
      </c>
      <c r="G463" s="23" t="n"/>
      <c r="H463" s="13" t="n">
        <v>-8000</v>
      </c>
      <c r="I463" s="15" t="n">
        <v>0.8000178253999073</v>
      </c>
      <c r="J463" s="15" t="n">
        <v>0.9578344612181156</v>
      </c>
      <c r="K463" s="15" t="n">
        <v>0.9876543209876543</v>
      </c>
      <c r="L463" s="14" t="n">
        <v>-0.187636495587747</v>
      </c>
      <c r="M463" s="14" t="n">
        <v>-0.1899819517825939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price outside allowed range</t>
        </is>
      </c>
    </row>
    <row r="464">
      <c r="A464" s="17" t="inlineStr">
        <is>
          <t>PASS</t>
        </is>
      </c>
      <c r="B464" s="17" t="inlineStr">
        <is>
          <t>BOIS @ ORE</t>
        </is>
      </c>
      <c r="C464" s="17" t="inlineStr">
        <is>
          <t>2026-09-05 19:30</t>
        </is>
      </c>
      <c r="D464" s="25" t="n">
        <v>1</v>
      </c>
      <c r="E464" s="17" t="inlineStr">
        <is>
          <t>ML</t>
        </is>
      </c>
      <c r="F464" s="17" t="inlineStr">
        <is>
          <t>ORE ML</t>
        </is>
      </c>
      <c r="G464" s="26" t="n"/>
      <c r="H464" s="18" t="n">
        <v>-2800</v>
      </c>
      <c r="I464" s="20" t="n">
        <v>0.7777956168885958</v>
      </c>
      <c r="J464" s="20" t="n">
        <v>0.9311163895486935</v>
      </c>
      <c r="K464" s="20" t="n">
        <v>0.9655172413793104</v>
      </c>
      <c r="L464" s="19" t="n">
        <v>-0.1877216244907146</v>
      </c>
      <c r="M464" s="19" t="n">
        <v>-0.1944259682225257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price outside allowed range</t>
        </is>
      </c>
    </row>
    <row r="465">
      <c r="A465" s="12" t="inlineStr">
        <is>
          <t>PASS</t>
        </is>
      </c>
      <c r="B465" s="12" t="inlineStr">
        <is>
          <t>FAU @ FLA</t>
        </is>
      </c>
      <c r="C465" s="12" t="inlineStr">
        <is>
          <t>2026-09-05 23:45</t>
        </is>
      </c>
      <c r="D465" s="22" t="n">
        <v>1</v>
      </c>
      <c r="E465" s="12" t="inlineStr">
        <is>
          <t>ML</t>
        </is>
      </c>
      <c r="F465" s="12" t="inlineStr">
        <is>
          <t>FLA ML</t>
        </is>
      </c>
      <c r="G465" s="23" t="n"/>
      <c r="H465" s="13" t="n">
        <v>-2800</v>
      </c>
      <c r="I465" s="15" t="n">
        <v>0.7777956168885958</v>
      </c>
      <c r="J465" s="15" t="n">
        <v>0.9311163895486935</v>
      </c>
      <c r="K465" s="15" t="n">
        <v>0.9655172413793104</v>
      </c>
      <c r="L465" s="14" t="n">
        <v>-0.1877216244907146</v>
      </c>
      <c r="M465" s="14" t="n">
        <v>-0.1944259682225257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price outside allowed range</t>
        </is>
      </c>
    </row>
    <row r="466">
      <c r="A466" s="17" t="inlineStr">
        <is>
          <t>PASS</t>
        </is>
      </c>
      <c r="B466" s="17" t="inlineStr">
        <is>
          <t>EKU @ JVST</t>
        </is>
      </c>
      <c r="C466" s="17" t="inlineStr">
        <is>
          <t>2026-09-05 23:00</t>
        </is>
      </c>
      <c r="D466" s="25" t="n">
        <v>1</v>
      </c>
      <c r="E466" s="17" t="inlineStr">
        <is>
          <t>ML</t>
        </is>
      </c>
      <c r="F466" s="17" t="inlineStr">
        <is>
          <t>JVST ML</t>
        </is>
      </c>
      <c r="G466" s="26" t="n"/>
      <c r="H466" s="18" t="n">
        <v>-2100</v>
      </c>
      <c r="I466" s="20" t="n">
        <v>0.7656037362251444</v>
      </c>
      <c r="J466" s="20" t="n">
        <v>0.9197080291970804</v>
      </c>
      <c r="K466" s="20" t="n">
        <v>0.9545454545454546</v>
      </c>
      <c r="L466" s="19" t="n">
        <v>-0.1889417183203101</v>
      </c>
      <c r="M466" s="19" t="n">
        <v>-0.1979389430022296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EKU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LAM @ UL</t>
        </is>
      </c>
      <c r="C467" s="12" t="inlineStr">
        <is>
          <t>2026-09-06 00:00</t>
        </is>
      </c>
      <c r="D467" s="22" t="n">
        <v>1</v>
      </c>
      <c r="E467" s="12" t="inlineStr">
        <is>
          <t>TOTAL</t>
        </is>
      </c>
      <c r="F467" s="12" t="inlineStr">
        <is>
          <t>Under 48.5</t>
        </is>
      </c>
      <c r="G467" s="23" t="n">
        <v>48.5</v>
      </c>
      <c r="H467" s="13" t="n">
        <v>-110</v>
      </c>
      <c r="I467" s="15" t="n">
        <v>0.3329612271088946</v>
      </c>
      <c r="J467" s="15" t="n">
        <v>0.5</v>
      </c>
      <c r="K467" s="15" t="n">
        <v>0.5238095238095238</v>
      </c>
      <c r="L467" s="14" t="n">
        <v>-0.1908482967006292</v>
      </c>
      <c r="M467" s="14" t="n">
        <v>-0.3643467482466556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LAM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HCU @ RICE</t>
        </is>
      </c>
      <c r="C468" s="17" t="inlineStr">
        <is>
          <t>2026-09-05 23:00</t>
        </is>
      </c>
      <c r="D468" s="25" t="n">
        <v>1</v>
      </c>
      <c r="E468" s="17" t="inlineStr">
        <is>
          <t>ML</t>
        </is>
      </c>
      <c r="F468" s="17" t="inlineStr">
        <is>
          <t>RICE ML</t>
        </is>
      </c>
      <c r="G468" s="26" t="n"/>
      <c r="H468" s="18" t="n">
        <v>-3600</v>
      </c>
      <c r="I468" s="20" t="n">
        <v>0.782057976763515</v>
      </c>
      <c r="J468" s="20" t="n">
        <v>0.9396411092985318</v>
      </c>
      <c r="K468" s="20" t="n">
        <v>0.972972972972973</v>
      </c>
      <c r="L468" s="19" t="n">
        <v>-0.1909149962094581</v>
      </c>
      <c r="M468" s="19" t="n">
        <v>-0.1962181905486097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HCU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CMU @ UNM</t>
        </is>
      </c>
      <c r="C469" s="12" t="inlineStr">
        <is>
          <t>2026-09-06 02:00</t>
        </is>
      </c>
      <c r="D469" s="22" t="n">
        <v>1</v>
      </c>
      <c r="E469" s="12" t="inlineStr">
        <is>
          <t>TOTAL</t>
        </is>
      </c>
      <c r="F469" s="12" t="inlineStr">
        <is>
          <t>Under 47.5</t>
        </is>
      </c>
      <c r="G469" s="23" t="n">
        <v>47.5</v>
      </c>
      <c r="H469" s="13" t="n">
        <v>-115</v>
      </c>
      <c r="I469" s="15" t="n">
        <v>0.3434596978073576</v>
      </c>
      <c r="J469" s="15" t="n">
        <v>0.5108342361863488</v>
      </c>
      <c r="K469" s="15" t="n">
        <v>0.5348837209302325</v>
      </c>
      <c r="L469" s="14" t="n">
        <v>-0.1914240231228749</v>
      </c>
      <c r="M469" s="14" t="n">
        <v>-0.3578796954036358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raw model/market disagreement exceeds the safety limit</t>
        </is>
      </c>
    </row>
    <row r="470">
      <c r="A470" s="17" t="inlineStr">
        <is>
          <t>PASS</t>
        </is>
      </c>
      <c r="B470" s="17" t="inlineStr">
        <is>
          <t>ULM @ MSST</t>
        </is>
      </c>
      <c r="C470" s="17" t="inlineStr">
        <is>
          <t>2026-09-05 23:30</t>
        </is>
      </c>
      <c r="D470" s="25" t="n">
        <v>1</v>
      </c>
      <c r="E470" s="17" t="inlineStr">
        <is>
          <t>ML</t>
        </is>
      </c>
      <c r="F470" s="17" t="inlineStr">
        <is>
          <t>MSST ML</t>
        </is>
      </c>
      <c r="G470" s="26" t="n"/>
      <c r="H470" s="18" t="n">
        <v>-4000</v>
      </c>
      <c r="I470" s="20" t="n">
        <v>0.7838046897980216</v>
      </c>
      <c r="J470" s="20" t="n">
        <v>0.9431345353675451</v>
      </c>
      <c r="K470" s="20" t="n">
        <v>0.975609756097561</v>
      </c>
      <c r="L470" s="19" t="n">
        <v>-0.1918050662995393</v>
      </c>
      <c r="M470" s="19" t="n">
        <v>-0.1966001929570279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price outside allowed range</t>
        </is>
      </c>
    </row>
    <row r="471">
      <c r="A471" s="12" t="inlineStr">
        <is>
          <t>PASS</t>
        </is>
      </c>
      <c r="B471" s="12" t="inlineStr">
        <is>
          <t>BGSU @ NEB</t>
        </is>
      </c>
      <c r="C471" s="12" t="inlineStr">
        <is>
          <t>2026-09-12 23:00</t>
        </is>
      </c>
      <c r="D471" s="22" t="n">
        <v>2</v>
      </c>
      <c r="E471" s="12" t="inlineStr">
        <is>
          <t>ML</t>
        </is>
      </c>
      <c r="F471" s="12" t="inlineStr">
        <is>
          <t>NEB ML</t>
        </is>
      </c>
      <c r="G471" s="23" t="n"/>
      <c r="H471" s="13" t="n">
        <v>-4500</v>
      </c>
      <c r="I471" s="15" t="n">
        <v>0.7853682632357445</v>
      </c>
      <c r="J471" s="15" t="n">
        <v>0.9462616822429908</v>
      </c>
      <c r="K471" s="15" t="n">
        <v>0.9782608695652174</v>
      </c>
      <c r="L471" s="14" t="n">
        <v>-0.1928926063294729</v>
      </c>
      <c r="M471" s="14" t="n">
        <v>-0.1971791086923501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price outside allowed range</t>
        </is>
      </c>
    </row>
    <row r="472">
      <c r="A472" s="17" t="inlineStr">
        <is>
          <t>PASS</t>
        </is>
      </c>
      <c r="B472" s="17" t="inlineStr">
        <is>
          <t>GASO @ CLEM</t>
        </is>
      </c>
      <c r="C472" s="17" t="inlineStr">
        <is>
          <t>2026-09-12 23:30</t>
        </is>
      </c>
      <c r="D472" s="25" t="n">
        <v>2</v>
      </c>
      <c r="E472" s="17" t="inlineStr">
        <is>
          <t>ML</t>
        </is>
      </c>
      <c r="F472" s="17" t="inlineStr">
        <is>
          <t>CLEM ML</t>
        </is>
      </c>
      <c r="G472" s="26" t="n"/>
      <c r="H472" s="18" t="n">
        <v>-4500</v>
      </c>
      <c r="I472" s="20" t="n">
        <v>0.7853682632357445</v>
      </c>
      <c r="J472" s="20" t="n">
        <v>0.9462616822429908</v>
      </c>
      <c r="K472" s="20" t="n">
        <v>0.9782608695652174</v>
      </c>
      <c r="L472" s="19" t="n">
        <v>-0.1928926063294729</v>
      </c>
      <c r="M472" s="19" t="n">
        <v>-0.1971791086923501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price outside allowed range</t>
        </is>
      </c>
    </row>
    <row r="473">
      <c r="A473" s="12" t="inlineStr">
        <is>
          <t>PASS</t>
        </is>
      </c>
      <c r="B473" s="12" t="inlineStr">
        <is>
          <t>CHSO @ GASO</t>
        </is>
      </c>
      <c r="C473" s="12" t="inlineStr">
        <is>
          <t>2026-09-05 23:00</t>
        </is>
      </c>
      <c r="D473" s="22" t="n">
        <v>1</v>
      </c>
      <c r="E473" s="12" t="inlineStr">
        <is>
          <t>ML</t>
        </is>
      </c>
      <c r="F473" s="12" t="inlineStr">
        <is>
          <t>GASO ML</t>
        </is>
      </c>
      <c r="G473" s="23" t="n"/>
      <c r="H473" s="13" t="n">
        <v>-5000</v>
      </c>
      <c r="I473" s="15" t="n">
        <v>0.7867628966397235</v>
      </c>
      <c r="J473" s="15" t="n">
        <v>0.949050949050949</v>
      </c>
      <c r="K473" s="15" t="n">
        <v>0.9803921568627451</v>
      </c>
      <c r="L473" s="14" t="n">
        <v>-0.1936292602230215</v>
      </c>
      <c r="M473" s="14" t="n">
        <v>-0.197501845427482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CHSO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WYO @ CSU</t>
        </is>
      </c>
      <c r="C474" s="17" t="inlineStr">
        <is>
          <t>2026-09-05 22:00</t>
        </is>
      </c>
      <c r="D474" s="25" t="n">
        <v>1</v>
      </c>
      <c r="E474" s="17" t="inlineStr">
        <is>
          <t>TOTAL</t>
        </is>
      </c>
      <c r="F474" s="17" t="inlineStr">
        <is>
          <t>Under 46.5</t>
        </is>
      </c>
      <c r="G474" s="26" t="n">
        <v>46.5</v>
      </c>
      <c r="H474" s="18" t="n">
        <v>-110</v>
      </c>
      <c r="I474" s="20" t="n">
        <v>0.3292771844832185</v>
      </c>
      <c r="J474" s="20" t="n">
        <v>0.5</v>
      </c>
      <c r="K474" s="20" t="n">
        <v>0.5238095238095238</v>
      </c>
      <c r="L474" s="19" t="n">
        <v>-0.1945323393263053</v>
      </c>
      <c r="M474" s="19" t="n">
        <v>-0.3713799205320373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raw model/market disagreement exceeds the safety limit</t>
        </is>
      </c>
    </row>
    <row r="475">
      <c r="A475" s="12" t="inlineStr">
        <is>
          <t>PASS</t>
        </is>
      </c>
      <c r="B475" s="12" t="inlineStr">
        <is>
          <t>SEMO @ ISU</t>
        </is>
      </c>
      <c r="C475" s="12" t="inlineStr">
        <is>
          <t>2026-09-05 17:00</t>
        </is>
      </c>
      <c r="D475" s="22" t="n">
        <v>1</v>
      </c>
      <c r="E475" s="12" t="inlineStr">
        <is>
          <t>ML</t>
        </is>
      </c>
      <c r="F475" s="12" t="inlineStr">
        <is>
          <t>ISU ML</t>
        </is>
      </c>
      <c r="G475" s="23" t="n"/>
      <c r="H475" s="13" t="n">
        <v>-9000</v>
      </c>
      <c r="I475" s="15" t="n">
        <v>0.7935208445741422</v>
      </c>
      <c r="J475" s="15" t="n">
        <v>0.9625668449197861</v>
      </c>
      <c r="K475" s="15" t="n">
        <v>0.9890109890109891</v>
      </c>
      <c r="L475" s="14" t="n">
        <v>-0.1954901444368469</v>
      </c>
      <c r="M475" s="14" t="n">
        <v>-0.1976622571528118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SEMO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TXST @ TEX</t>
        </is>
      </c>
      <c r="C476" s="17" t="inlineStr">
        <is>
          <t>2026-09-05 19:30</t>
        </is>
      </c>
      <c r="D476" s="25" t="n">
        <v>1</v>
      </c>
      <c r="E476" s="17" t="inlineStr">
        <is>
          <t>ML</t>
        </is>
      </c>
      <c r="F476" s="17" t="inlineStr">
        <is>
          <t>TEX ML</t>
        </is>
      </c>
      <c r="G476" s="26" t="n"/>
      <c r="H476" s="18" t="n">
        <v>-9000</v>
      </c>
      <c r="I476" s="20" t="n">
        <v>0.7935208445741422</v>
      </c>
      <c r="J476" s="20" t="n">
        <v>0.9625668449197861</v>
      </c>
      <c r="K476" s="20" t="n">
        <v>0.9890109890109891</v>
      </c>
      <c r="L476" s="19" t="n">
        <v>-0.1954901444368469</v>
      </c>
      <c r="M476" s="19" t="n">
        <v>-0.1976622571528118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price outside allowed range</t>
        </is>
      </c>
    </row>
    <row r="477">
      <c r="A477" s="12" t="inlineStr">
        <is>
          <t>PASS</t>
        </is>
      </c>
      <c r="B477" s="12" t="inlineStr">
        <is>
          <t>DUQ @ AFA</t>
        </is>
      </c>
      <c r="C477" s="12" t="inlineStr">
        <is>
          <t>2026-09-05 17:00</t>
        </is>
      </c>
      <c r="D477" s="22" t="n">
        <v>1</v>
      </c>
      <c r="E477" s="12" t="inlineStr">
        <is>
          <t>ML</t>
        </is>
      </c>
      <c r="F477" s="12" t="inlineStr">
        <is>
          <t>AFA ML</t>
        </is>
      </c>
      <c r="G477" s="23" t="n"/>
      <c r="H477" s="13" t="n">
        <v>-6500</v>
      </c>
      <c r="I477" s="15" t="n">
        <v>0.7891766254685468</v>
      </c>
      <c r="J477" s="15" t="n">
        <v>0.9538784067085954</v>
      </c>
      <c r="K477" s="15" t="n">
        <v>0.9848484848484849</v>
      </c>
      <c r="L477" s="14" t="n">
        <v>-0.195671859379938</v>
      </c>
      <c r="M477" s="14" t="n">
        <v>-0.198682195678091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DUQ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RGV @ UTSA</t>
        </is>
      </c>
      <c r="C478" s="17" t="inlineStr">
        <is>
          <t>2026-09-05 19:30</t>
        </is>
      </c>
      <c r="D478" s="25" t="n">
        <v>1</v>
      </c>
      <c r="E478" s="17" t="inlineStr">
        <is>
          <t>ML</t>
        </is>
      </c>
      <c r="F478" s="17" t="inlineStr">
        <is>
          <t>UTSA ML</t>
        </is>
      </c>
      <c r="G478" s="26" t="n"/>
      <c r="H478" s="18" t="n">
        <v>-6500</v>
      </c>
      <c r="I478" s="20" t="n">
        <v>0.7891766254685468</v>
      </c>
      <c r="J478" s="20" t="n">
        <v>0.9538784067085954</v>
      </c>
      <c r="K478" s="20" t="n">
        <v>0.9848484848484849</v>
      </c>
      <c r="L478" s="19" t="n">
        <v>-0.195671859379938</v>
      </c>
      <c r="M478" s="19" t="n">
        <v>-0.198682195678091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RGV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APSU @ VAN</t>
        </is>
      </c>
      <c r="C479" s="12" t="inlineStr">
        <is>
          <t>2026-09-05 23:00</t>
        </is>
      </c>
      <c r="D479" s="22" t="n">
        <v>1</v>
      </c>
      <c r="E479" s="12" t="inlineStr">
        <is>
          <t>ML</t>
        </is>
      </c>
      <c r="F479" s="12" t="inlineStr">
        <is>
          <t>VAN ML</t>
        </is>
      </c>
      <c r="G479" s="23" t="n"/>
      <c r="H479" s="13" t="n">
        <v>-6500</v>
      </c>
      <c r="I479" s="15" t="n">
        <v>0.7891766254685468</v>
      </c>
      <c r="J479" s="15" t="n">
        <v>0.9538784067085954</v>
      </c>
      <c r="K479" s="15" t="n">
        <v>0.9848484848484849</v>
      </c>
      <c r="L479" s="14" t="n">
        <v>-0.195671859379938</v>
      </c>
      <c r="M479" s="14" t="n">
        <v>-0.198682195678091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APSU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WMU @ MICH</t>
        </is>
      </c>
      <c r="C480" s="17" t="inlineStr">
        <is>
          <t>2026-09-05 23:30</t>
        </is>
      </c>
      <c r="D480" s="25" t="n">
        <v>1</v>
      </c>
      <c r="E480" s="17" t="inlineStr">
        <is>
          <t>ML</t>
        </is>
      </c>
      <c r="F480" s="17" t="inlineStr">
        <is>
          <t>MICH ML</t>
        </is>
      </c>
      <c r="G480" s="26" t="n"/>
      <c r="H480" s="18" t="n">
        <v>-6500</v>
      </c>
      <c r="I480" s="20" t="n">
        <v>0.7891766254685468</v>
      </c>
      <c r="J480" s="20" t="n">
        <v>0.9538784067085954</v>
      </c>
      <c r="K480" s="20" t="n">
        <v>0.9848484848484849</v>
      </c>
      <c r="L480" s="19" t="n">
        <v>-0.195671859379938</v>
      </c>
      <c r="M480" s="19" t="n">
        <v>-0.198682195678091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price outside allowed range</t>
        </is>
      </c>
    </row>
    <row r="481">
      <c r="A481" s="12" t="inlineStr">
        <is>
          <t>PASS</t>
        </is>
      </c>
      <c r="B481" s="12" t="inlineStr">
        <is>
          <t>NAU @ ARIZ</t>
        </is>
      </c>
      <c r="C481" s="12" t="inlineStr">
        <is>
          <t>2026-09-06 01:30</t>
        </is>
      </c>
      <c r="D481" s="22" t="n">
        <v>1</v>
      </c>
      <c r="E481" s="12" t="inlineStr">
        <is>
          <t>ML</t>
        </is>
      </c>
      <c r="F481" s="12" t="inlineStr">
        <is>
          <t>ARIZ ML</t>
        </is>
      </c>
      <c r="G481" s="23" t="n"/>
      <c r="H481" s="13" t="n">
        <v>-6500</v>
      </c>
      <c r="I481" s="15" t="n">
        <v>0.7891766254685468</v>
      </c>
      <c r="J481" s="15" t="n">
        <v>0.9538784067085954</v>
      </c>
      <c r="K481" s="15" t="n">
        <v>0.9848484848484849</v>
      </c>
      <c r="L481" s="14" t="n">
        <v>-0.195671859379938</v>
      </c>
      <c r="M481" s="14" t="n">
        <v>-0.198682195678091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NAU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TOW @ NAVY</t>
        </is>
      </c>
      <c r="C482" s="17" t="inlineStr">
        <is>
          <t>2026-09-05 19:30</t>
        </is>
      </c>
      <c r="D482" s="25" t="n">
        <v>1</v>
      </c>
      <c r="E482" s="17" t="inlineStr">
        <is>
          <t>ML</t>
        </is>
      </c>
      <c r="F482" s="17" t="inlineStr">
        <is>
          <t>NAVY ML</t>
        </is>
      </c>
      <c r="G482" s="26" t="n"/>
      <c r="H482" s="18" t="n">
        <v>-100000</v>
      </c>
      <c r="I482" s="20" t="n">
        <v>0.8026126072068435</v>
      </c>
      <c r="J482" s="20" t="n">
        <v>0.9807503701851887</v>
      </c>
      <c r="K482" s="20" t="n">
        <v>0.999000999000999</v>
      </c>
      <c r="L482" s="19" t="n">
        <v>-0.1963883917941556</v>
      </c>
      <c r="M482" s="19" t="n">
        <v>-0.1965847801859498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TOW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SHSU @ TROY</t>
        </is>
      </c>
      <c r="C483" s="12" t="inlineStr">
        <is>
          <t>2026-09-05 23:00</t>
        </is>
      </c>
      <c r="D483" s="22" t="n">
        <v>1</v>
      </c>
      <c r="E483" s="12" t="inlineStr">
        <is>
          <t>ATS</t>
        </is>
      </c>
      <c r="F483" s="12" t="inlineStr">
        <is>
          <t>TROY -16.5</t>
        </is>
      </c>
      <c r="G483" s="23" t="n">
        <v>-16.5</v>
      </c>
      <c r="H483" s="13" t="n">
        <v>-110</v>
      </c>
      <c r="I483" s="15" t="n">
        <v>0.3271138223564173</v>
      </c>
      <c r="J483" s="15" t="n">
        <v>0.5</v>
      </c>
      <c r="K483" s="15" t="n">
        <v>0.5238095238095238</v>
      </c>
      <c r="L483" s="14" t="n">
        <v>-0.1966957014531066</v>
      </c>
      <c r="M483" s="14" t="n">
        <v>-0.3755099755013852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MERC @ NMSU</t>
        </is>
      </c>
      <c r="C484" s="17" t="inlineStr">
        <is>
          <t>2026-09-06 01:00</t>
        </is>
      </c>
      <c r="D484" s="25" t="n">
        <v>1</v>
      </c>
      <c r="E484" s="17" t="inlineStr">
        <is>
          <t>ML</t>
        </is>
      </c>
      <c r="F484" s="17" t="inlineStr">
        <is>
          <t>NMSU ML</t>
        </is>
      </c>
      <c r="G484" s="26" t="n"/>
      <c r="H484" s="18" t="n">
        <v>-8000</v>
      </c>
      <c r="I484" s="20" t="n">
        <v>0.7901923908547785</v>
      </c>
      <c r="J484" s="20" t="n">
        <v>0.9578344612181156</v>
      </c>
      <c r="K484" s="20" t="n">
        <v>0.9876543209876543</v>
      </c>
      <c r="L484" s="19" t="n">
        <v>-0.1974619301328757</v>
      </c>
      <c r="M484" s="19" t="n">
        <v>-0.1999302042595368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MERC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NIU @ IOWA</t>
        </is>
      </c>
      <c r="C485" s="12" t="inlineStr">
        <is>
          <t>2026-09-05 20:15</t>
        </is>
      </c>
      <c r="D485" s="22" t="n">
        <v>1</v>
      </c>
      <c r="E485" s="12" t="inlineStr">
        <is>
          <t>ML</t>
        </is>
      </c>
      <c r="F485" s="12" t="inlineStr">
        <is>
          <t>IOWA ML</t>
        </is>
      </c>
      <c r="G485" s="23" t="n"/>
      <c r="H485" s="13" t="n">
        <v>-50000</v>
      </c>
      <c r="I485" s="15" t="n">
        <v>0.8003094186858409</v>
      </c>
      <c r="J485" s="15" t="n">
        <v>0.9761439931431837</v>
      </c>
      <c r="K485" s="15" t="n">
        <v>0.998003992015968</v>
      </c>
      <c r="L485" s="14" t="n">
        <v>-0.1976945733301271</v>
      </c>
      <c r="M485" s="14" t="n">
        <v>-0.1980899624767874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price outside allowed range</t>
        </is>
      </c>
    </row>
    <row r="486">
      <c r="A486" s="17" t="inlineStr">
        <is>
          <t>PASS</t>
        </is>
      </c>
      <c r="B486" s="17" t="inlineStr">
        <is>
          <t>OU @ MICH</t>
        </is>
      </c>
      <c r="C486" s="17" t="inlineStr">
        <is>
          <t>2026-09-12 16:00</t>
        </is>
      </c>
      <c r="D486" s="25" t="n">
        <v>2</v>
      </c>
      <c r="E486" s="17" t="inlineStr">
        <is>
          <t>TOTAL</t>
        </is>
      </c>
      <c r="F486" s="17" t="inlineStr">
        <is>
          <t>Under 46.5</t>
        </is>
      </c>
      <c r="G486" s="26" t="n">
        <v>46.5</v>
      </c>
      <c r="H486" s="18" t="n">
        <v>-115</v>
      </c>
      <c r="I486" s="20" t="n">
        <v>0.3359102099910453</v>
      </c>
      <c r="J486" s="20" t="n">
        <v>0.5108342361863488</v>
      </c>
      <c r="K486" s="20" t="n">
        <v>0.5348837209302325</v>
      </c>
      <c r="L486" s="19" t="n">
        <v>-0.1989735109391872</v>
      </c>
      <c r="M486" s="19" t="n">
        <v>-0.3719939552341328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WSU @ KSU</t>
        </is>
      </c>
      <c r="C487" s="12" t="inlineStr">
        <is>
          <t>2026-09-12 16:00</t>
        </is>
      </c>
      <c r="D487" s="22" t="n">
        <v>2</v>
      </c>
      <c r="E487" s="12" t="inlineStr">
        <is>
          <t>ATS</t>
        </is>
      </c>
      <c r="F487" s="12" t="inlineStr">
        <is>
          <t>KSU -16.5</t>
        </is>
      </c>
      <c r="G487" s="23" t="n">
        <v>-16.5</v>
      </c>
      <c r="H487" s="13" t="n">
        <v>-112</v>
      </c>
      <c r="I487" s="15" t="n">
        <v>0.3292786993914017</v>
      </c>
      <c r="J487" s="15" t="n">
        <v>0.5043297540699688</v>
      </c>
      <c r="K487" s="15" t="n">
        <v>0.5283018867924528</v>
      </c>
      <c r="L487" s="14" t="n">
        <v>-0.1990231874010511</v>
      </c>
      <c r="M487" s="14" t="n">
        <v>-0.3767224618662754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HCU @ RICE</t>
        </is>
      </c>
      <c r="C488" s="17" t="inlineStr">
        <is>
          <t>2026-09-05 23:00</t>
        </is>
      </c>
      <c r="D488" s="25" t="n">
        <v>1</v>
      </c>
      <c r="E488" s="17" t="inlineStr">
        <is>
          <t>TOTAL</t>
        </is>
      </c>
      <c r="F488" s="17" t="inlineStr">
        <is>
          <t>Under 47.5</t>
        </is>
      </c>
      <c r="G488" s="26" t="n">
        <v>47.5</v>
      </c>
      <c r="H488" s="18" t="n">
        <v>-108</v>
      </c>
      <c r="I488" s="20" t="n">
        <v>0.3200710114332286</v>
      </c>
      <c r="J488" s="20" t="n">
        <v>0.4956702459300312</v>
      </c>
      <c r="K488" s="20" t="n">
        <v>0.5192307692307693</v>
      </c>
      <c r="L488" s="19" t="n">
        <v>-0.1991597577975407</v>
      </c>
      <c r="M488" s="19" t="n">
        <v>-0.3835669409434116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HCU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MTSU @ MRSH</t>
        </is>
      </c>
      <c r="C489" s="12" t="inlineStr">
        <is>
          <t>2026-09-12 23:00</t>
        </is>
      </c>
      <c r="D489" s="22" t="n">
        <v>2</v>
      </c>
      <c r="E489" s="12" t="inlineStr">
        <is>
          <t>ATS</t>
        </is>
      </c>
      <c r="F489" s="12" t="inlineStr">
        <is>
          <t>MRSH -17.5</t>
        </is>
      </c>
      <c r="G489" s="23" t="n">
        <v>-17.5</v>
      </c>
      <c r="H489" s="13" t="n">
        <v>-110</v>
      </c>
      <c r="I489" s="15" t="n">
        <v>0.3153060310088799</v>
      </c>
      <c r="J489" s="15" t="n">
        <v>0.5</v>
      </c>
      <c r="K489" s="15" t="n">
        <v>0.5238095238095238</v>
      </c>
      <c r="L489" s="14" t="n">
        <v>-0.208503492800644</v>
      </c>
      <c r="M489" s="14" t="n">
        <v>-0.3980521226194111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TLSA @ SHSU</t>
        </is>
      </c>
      <c r="C490" s="17" t="inlineStr">
        <is>
          <t>2026-09-12 23:00</t>
        </is>
      </c>
      <c r="D490" s="25" t="n">
        <v>2</v>
      </c>
      <c r="E490" s="17" t="inlineStr">
        <is>
          <t>ATS</t>
        </is>
      </c>
      <c r="F490" s="17" t="inlineStr">
        <is>
          <t>TLSA -10.5</t>
        </is>
      </c>
      <c r="G490" s="26" t="n">
        <v>10.5</v>
      </c>
      <c r="H490" s="18" t="n">
        <v>-105</v>
      </c>
      <c r="I490" s="20" t="n">
        <v>0.3004940410850535</v>
      </c>
      <c r="J490" s="20" t="n">
        <v>0.4891657638136511</v>
      </c>
      <c r="K490" s="20" t="n">
        <v>0.5121951219512195</v>
      </c>
      <c r="L490" s="19" t="n">
        <v>-0.211701080866166</v>
      </c>
      <c r="M490" s="19" t="n">
        <v>-0.4133211578815622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TENN @ GT</t>
        </is>
      </c>
      <c r="C491" s="12" t="inlineStr">
        <is>
          <t>2026-09-12 23:00</t>
        </is>
      </c>
      <c r="D491" s="22" t="n">
        <v>2</v>
      </c>
      <c r="E491" s="12" t="inlineStr">
        <is>
          <t>ATS</t>
        </is>
      </c>
      <c r="F491" s="12" t="inlineStr">
        <is>
          <t>TENN -10.5</t>
        </is>
      </c>
      <c r="G491" s="23" t="n">
        <v>10.5</v>
      </c>
      <c r="H491" s="13" t="n">
        <v>-110</v>
      </c>
      <c r="I491" s="15" t="n">
        <v>0.311686813728389</v>
      </c>
      <c r="J491" s="15" t="n">
        <v>0.5</v>
      </c>
      <c r="K491" s="15" t="n">
        <v>0.5238095238095238</v>
      </c>
      <c r="L491" s="14" t="n">
        <v>-0.2121227100811348</v>
      </c>
      <c r="M491" s="14" t="n">
        <v>-0.4049615374276209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ALA @ UK</t>
        </is>
      </c>
      <c r="C492" s="17" t="inlineStr">
        <is>
          <t>2026-09-12 19:30</t>
        </is>
      </c>
      <c r="D492" s="25" t="n">
        <v>2</v>
      </c>
      <c r="E492" s="17" t="inlineStr">
        <is>
          <t>ATS</t>
        </is>
      </c>
      <c r="F492" s="17" t="inlineStr">
        <is>
          <t>ALA -10.5</t>
        </is>
      </c>
      <c r="G492" s="26" t="n">
        <v>10.5</v>
      </c>
      <c r="H492" s="18" t="n">
        <v>-110</v>
      </c>
      <c r="I492" s="20" t="n">
        <v>0.305911159178228</v>
      </c>
      <c r="J492" s="20" t="n">
        <v>0.5</v>
      </c>
      <c r="K492" s="20" t="n">
        <v>0.5238095238095238</v>
      </c>
      <c r="L492" s="19" t="n">
        <v>-0.2178983646312959</v>
      </c>
      <c r="M492" s="19" t="n">
        <v>-0.4159877870233829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NIU @ IOWA</t>
        </is>
      </c>
      <c r="C493" s="12" t="inlineStr">
        <is>
          <t>2026-09-05 20:15</t>
        </is>
      </c>
      <c r="D493" s="22" t="n">
        <v>1</v>
      </c>
      <c r="E493" s="12" t="inlineStr">
        <is>
          <t>TOTAL</t>
        </is>
      </c>
      <c r="F493" s="12" t="inlineStr">
        <is>
          <t>Under 44.5</t>
        </is>
      </c>
      <c r="G493" s="23" t="n">
        <v>44.5</v>
      </c>
      <c r="H493" s="13" t="n">
        <v>-110</v>
      </c>
      <c r="I493" s="15" t="n">
        <v>0.3055680195886022</v>
      </c>
      <c r="J493" s="15" t="n">
        <v>0.5</v>
      </c>
      <c r="K493" s="15" t="n">
        <v>0.5238095238095238</v>
      </c>
      <c r="L493" s="14" t="n">
        <v>-0.2182415042209216</v>
      </c>
      <c r="M493" s="14" t="n">
        <v>-0.4166428716944866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ALCN @ USM</t>
        </is>
      </c>
      <c r="C494" s="17" t="inlineStr">
        <is>
          <t>2026-09-05 21:00</t>
        </is>
      </c>
      <c r="D494" s="25" t="n">
        <v>1</v>
      </c>
      <c r="E494" s="17" t="inlineStr">
        <is>
          <t>ATS</t>
        </is>
      </c>
      <c r="F494" s="17" t="inlineStr">
        <is>
          <t>USM -19.5</t>
        </is>
      </c>
      <c r="G494" s="26" t="n">
        <v>-19.5</v>
      </c>
      <c r="H494" s="18" t="n">
        <v>-112</v>
      </c>
      <c r="I494" s="20" t="n">
        <v>0.3047968817792343</v>
      </c>
      <c r="J494" s="20" t="n">
        <v>0.5043297540699688</v>
      </c>
      <c r="K494" s="20" t="n">
        <v>0.5283018867924528</v>
      </c>
      <c r="L494" s="19" t="n">
        <v>-0.2235050050132186</v>
      </c>
      <c r="M494" s="19" t="n">
        <v>-0.4230630452035923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ALCN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CIT @ CLT</t>
        </is>
      </c>
      <c r="C495" s="12" t="inlineStr">
        <is>
          <t>2026-09-05 19:30</t>
        </is>
      </c>
      <c r="D495" s="22" t="n">
        <v>1</v>
      </c>
      <c r="E495" s="12" t="inlineStr">
        <is>
          <t>ATS</t>
        </is>
      </c>
      <c r="F495" s="12" t="inlineStr">
        <is>
          <t>CLT -20.5</t>
        </is>
      </c>
      <c r="G495" s="23" t="n">
        <v>-20.5</v>
      </c>
      <c r="H495" s="13" t="n">
        <v>-108</v>
      </c>
      <c r="I495" s="15" t="n">
        <v>0.294445067828553</v>
      </c>
      <c r="J495" s="15" t="n">
        <v>0.4956702459300312</v>
      </c>
      <c r="K495" s="15" t="n">
        <v>0.5192307692307693</v>
      </c>
      <c r="L495" s="14" t="n">
        <v>-0.2247857014022163</v>
      </c>
      <c r="M495" s="14" t="n">
        <v>-0.4329206101079721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CIT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LAM @ UL</t>
        </is>
      </c>
      <c r="C496" s="17" t="inlineStr">
        <is>
          <t>2026-09-06 00:00</t>
        </is>
      </c>
      <c r="D496" s="25" t="n">
        <v>1</v>
      </c>
      <c r="E496" s="17" t="inlineStr">
        <is>
          <t>ATS</t>
        </is>
      </c>
      <c r="F496" s="17" t="inlineStr">
        <is>
          <t>UL -20.5</t>
        </is>
      </c>
      <c r="G496" s="26" t="n">
        <v>-20.5</v>
      </c>
      <c r="H496" s="18" t="n">
        <v>-108</v>
      </c>
      <c r="I496" s="20" t="n">
        <v>0.294445067828553</v>
      </c>
      <c r="J496" s="20" t="n">
        <v>0.4956702459300312</v>
      </c>
      <c r="K496" s="20" t="n">
        <v>0.5192307692307693</v>
      </c>
      <c r="L496" s="19" t="n">
        <v>-0.2247857014022163</v>
      </c>
      <c r="M496" s="19" t="n">
        <v>-0.4329206101079721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LAM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TENN @ GT</t>
        </is>
      </c>
      <c r="C497" s="12" t="inlineStr">
        <is>
          <t>2026-09-12 23:00</t>
        </is>
      </c>
      <c r="D497" s="22" t="n">
        <v>2</v>
      </c>
      <c r="E497" s="12" t="inlineStr">
        <is>
          <t>ML</t>
        </is>
      </c>
      <c r="F497" s="12" t="inlineStr">
        <is>
          <t>TENN ML</t>
        </is>
      </c>
      <c r="G497" s="23" t="n"/>
      <c r="H497" s="13" t="n">
        <v>-455</v>
      </c>
      <c r="I497" s="15" t="n">
        <v>0.5923523793663562</v>
      </c>
      <c r="J497" s="15" t="n">
        <v>0.7867435158501441</v>
      </c>
      <c r="K497" s="15" t="n">
        <v>0.8198198198198198</v>
      </c>
      <c r="L497" s="14" t="n">
        <v>-0.2274674404534636</v>
      </c>
      <c r="M497" s="14" t="n">
        <v>-0.2774602845091698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price outside allowed range</t>
        </is>
      </c>
    </row>
    <row r="498">
      <c r="A498" s="17" t="inlineStr">
        <is>
          <t>PASS</t>
        </is>
      </c>
      <c r="B498" s="17" t="inlineStr">
        <is>
          <t>MD @ CONN</t>
        </is>
      </c>
      <c r="C498" s="17" t="inlineStr">
        <is>
          <t>2026-09-12 19:30</t>
        </is>
      </c>
      <c r="D498" s="25" t="n">
        <v>2</v>
      </c>
      <c r="E498" s="17" t="inlineStr">
        <is>
          <t>ATS</t>
        </is>
      </c>
      <c r="F498" s="17" t="inlineStr">
        <is>
          <t>MD -12.5</t>
        </is>
      </c>
      <c r="G498" s="26" t="n">
        <v>12.5</v>
      </c>
      <c r="H498" s="18" t="n">
        <v>-108</v>
      </c>
      <c r="I498" s="20" t="n">
        <v>0.2916266451587574</v>
      </c>
      <c r="J498" s="20" t="n">
        <v>0.4956702459300312</v>
      </c>
      <c r="K498" s="20" t="n">
        <v>0.5192307692307693</v>
      </c>
      <c r="L498" s="19" t="n">
        <v>-0.2276041240720119</v>
      </c>
      <c r="M498" s="19" t="n">
        <v>-0.4383486833979487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OKST @ TLSA</t>
        </is>
      </c>
      <c r="C499" s="12" t="inlineStr">
        <is>
          <t>2026-09-05 19:45</t>
        </is>
      </c>
      <c r="D499" s="22" t="n">
        <v>1</v>
      </c>
      <c r="E499" s="12" t="inlineStr">
        <is>
          <t>ATS</t>
        </is>
      </c>
      <c r="F499" s="12" t="inlineStr">
        <is>
          <t>OKST -13.5</t>
        </is>
      </c>
      <c r="G499" s="23" t="n">
        <v>13.5</v>
      </c>
      <c r="H499" s="13" t="n">
        <v>-105</v>
      </c>
      <c r="I499" s="15" t="n">
        <v>0.2833130078128611</v>
      </c>
      <c r="J499" s="15" t="n">
        <v>0.4891657638136511</v>
      </c>
      <c r="K499" s="15" t="n">
        <v>0.5121951219512195</v>
      </c>
      <c r="L499" s="14" t="n">
        <v>-0.2288821141383585</v>
      </c>
      <c r="M499" s="14" t="n">
        <v>-0.4468650799844142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ALA @ UK</t>
        </is>
      </c>
      <c r="C500" s="17" t="inlineStr">
        <is>
          <t>2026-09-12 19:30</t>
        </is>
      </c>
      <c r="D500" s="25" t="n">
        <v>2</v>
      </c>
      <c r="E500" s="17" t="inlineStr">
        <is>
          <t>ML</t>
        </is>
      </c>
      <c r="F500" s="17" t="inlineStr">
        <is>
          <t>ALA ML</t>
        </is>
      </c>
      <c r="G500" s="26" t="n"/>
      <c r="H500" s="18" t="n">
        <v>-410</v>
      </c>
      <c r="I500" s="20" t="n">
        <v>0.5735152660577939</v>
      </c>
      <c r="J500" s="20" t="n">
        <v>0.771505376344086</v>
      </c>
      <c r="K500" s="20" t="n">
        <v>0.803921568627451</v>
      </c>
      <c r="L500" s="19" t="n">
        <v>-0.2304063025696571</v>
      </c>
      <c r="M500" s="19" t="n">
        <v>-0.286602961732988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price outside allowed range</t>
        </is>
      </c>
    </row>
    <row r="501">
      <c r="A501" s="12" t="inlineStr">
        <is>
          <t>PASS</t>
        </is>
      </c>
      <c r="B501" s="12" t="inlineStr">
        <is>
          <t>MD @ CONN</t>
        </is>
      </c>
      <c r="C501" s="12" t="inlineStr">
        <is>
          <t>2026-09-12 19:30</t>
        </is>
      </c>
      <c r="D501" s="22" t="n">
        <v>2</v>
      </c>
      <c r="E501" s="12" t="inlineStr">
        <is>
          <t>ML</t>
        </is>
      </c>
      <c r="F501" s="12" t="inlineStr">
        <is>
          <t>MD ML</t>
        </is>
      </c>
      <c r="G501" s="23" t="n"/>
      <c r="H501" s="13" t="n">
        <v>-410</v>
      </c>
      <c r="I501" s="15" t="n">
        <v>0.5735152660577939</v>
      </c>
      <c r="J501" s="15" t="n">
        <v>0.771505376344086</v>
      </c>
      <c r="K501" s="15" t="n">
        <v>0.803921568627451</v>
      </c>
      <c r="L501" s="14" t="n">
        <v>-0.2304063025696571</v>
      </c>
      <c r="M501" s="14" t="n">
        <v>-0.286602961732988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price outside allowed range</t>
        </is>
      </c>
    </row>
    <row r="502">
      <c r="A502" s="17" t="inlineStr">
        <is>
          <t>PASS</t>
        </is>
      </c>
      <c r="B502" s="17" t="inlineStr">
        <is>
          <t>ME @ APP</t>
        </is>
      </c>
      <c r="C502" s="17" t="inlineStr">
        <is>
          <t>2026-09-05 19:30</t>
        </is>
      </c>
      <c r="D502" s="25" t="n">
        <v>1</v>
      </c>
      <c r="E502" s="17" t="inlineStr">
        <is>
          <t>ATS</t>
        </is>
      </c>
      <c r="F502" s="17" t="inlineStr">
        <is>
          <t>APP -20.5</t>
        </is>
      </c>
      <c r="G502" s="26" t="n">
        <v>-20.5</v>
      </c>
      <c r="H502" s="18" t="n">
        <v>-115</v>
      </c>
      <c r="I502" s="20" t="n">
        <v>0.3020270629567118</v>
      </c>
      <c r="J502" s="20" t="n">
        <v>0.5108342361863488</v>
      </c>
      <c r="K502" s="20" t="n">
        <v>0.5348837209302325</v>
      </c>
      <c r="L502" s="19" t="n">
        <v>-0.2328566579735207</v>
      </c>
      <c r="M502" s="19" t="n">
        <v>-0.435340708385278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ME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MUR @ MTSU</t>
        </is>
      </c>
      <c r="C503" s="12" t="inlineStr">
        <is>
          <t>2026-09-05 23:00</t>
        </is>
      </c>
      <c r="D503" s="22" t="n">
        <v>1</v>
      </c>
      <c r="E503" s="12" t="inlineStr">
        <is>
          <t>ATS</t>
        </is>
      </c>
      <c r="F503" s="12" t="inlineStr">
        <is>
          <t>MTSU -22.5</t>
        </is>
      </c>
      <c r="G503" s="23" t="n">
        <v>-22.5</v>
      </c>
      <c r="H503" s="13" t="n">
        <v>-105</v>
      </c>
      <c r="I503" s="15" t="n">
        <v>0.2789866336889089</v>
      </c>
      <c r="J503" s="15" t="n">
        <v>0.4891657638136511</v>
      </c>
      <c r="K503" s="15" t="n">
        <v>0.5121951219512195</v>
      </c>
      <c r="L503" s="14" t="n">
        <v>-0.2332084882623107</v>
      </c>
      <c r="M503" s="14" t="n">
        <v>-0.4553118104168922</v>
      </c>
      <c r="N503" s="15" t="n">
        <v>0</v>
      </c>
      <c r="O503" s="24" t="n">
        <v>0.4</v>
      </c>
      <c r="P503" s="12" t="inlineStr">
        <is>
          <t>DraftKings</t>
        </is>
      </c>
      <c r="Q503" s="12" t="inlineStr">
        <is>
          <t>MUR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TLSA @ SHSU</t>
        </is>
      </c>
      <c r="C504" s="17" t="inlineStr">
        <is>
          <t>2026-09-12 23:00</t>
        </is>
      </c>
      <c r="D504" s="25" t="n">
        <v>2</v>
      </c>
      <c r="E504" s="17" t="inlineStr">
        <is>
          <t>ML</t>
        </is>
      </c>
      <c r="F504" s="17" t="inlineStr">
        <is>
          <t>TLSA ML</t>
        </is>
      </c>
      <c r="G504" s="26" t="n"/>
      <c r="H504" s="18" t="n">
        <v>-425</v>
      </c>
      <c r="I504" s="20" t="n">
        <v>0.5761791559941463</v>
      </c>
      <c r="J504" s="20" t="n">
        <v>0.7768331562167907</v>
      </c>
      <c r="K504" s="20" t="n">
        <v>0.8095238095238095</v>
      </c>
      <c r="L504" s="19" t="n">
        <v>-0.2333446535296633</v>
      </c>
      <c r="M504" s="19" t="n">
        <v>-0.288249277889584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price outside allowed range</t>
        </is>
      </c>
    </row>
    <row r="505">
      <c r="A505" s="12" t="inlineStr">
        <is>
          <t>PASS</t>
        </is>
      </c>
      <c r="B505" s="12" t="inlineStr">
        <is>
          <t>WIS @ ND</t>
        </is>
      </c>
      <c r="C505" s="12" t="inlineStr">
        <is>
          <t>2026-09-06 23:30</t>
        </is>
      </c>
      <c r="D505" s="22" t="n">
        <v>1</v>
      </c>
      <c r="E505" s="12" t="inlineStr">
        <is>
          <t>ML</t>
        </is>
      </c>
      <c r="F505" s="12" t="inlineStr">
        <is>
          <t>ND ML</t>
        </is>
      </c>
      <c r="G505" s="23" t="n"/>
      <c r="H505" s="13" t="n">
        <v>-1450</v>
      </c>
      <c r="I505" s="15" t="n">
        <v>0.6994290375203915</v>
      </c>
      <c r="J505" s="15" t="n">
        <v>0.8988580750407831</v>
      </c>
      <c r="K505" s="15" t="n">
        <v>0.9354838709677419</v>
      </c>
      <c r="L505" s="14" t="n">
        <v>-0.2360548334473503</v>
      </c>
      <c r="M505" s="14" t="n">
        <v>-0.2523344771333746</v>
      </c>
      <c r="N505" s="15" t="n">
        <v>0</v>
      </c>
      <c r="O505" s="24" t="n">
        <v>0.4</v>
      </c>
      <c r="P505" s="12" t="inlineStr">
        <is>
          <t>DraftKings</t>
        </is>
      </c>
      <c r="Q505" s="12" t="inlineStr">
        <is>
          <t>price outside allowed range</t>
        </is>
      </c>
    </row>
    <row r="506">
      <c r="A506" s="17" t="inlineStr">
        <is>
          <t>PASS</t>
        </is>
      </c>
      <c r="B506" s="17" t="inlineStr">
        <is>
          <t>MRSH @ PSU</t>
        </is>
      </c>
      <c r="C506" s="17" t="inlineStr">
        <is>
          <t>2026-09-05 19:30</t>
        </is>
      </c>
      <c r="D506" s="25" t="n">
        <v>1</v>
      </c>
      <c r="E506" s="17" t="inlineStr">
        <is>
          <t>ATS</t>
        </is>
      </c>
      <c r="F506" s="17" t="inlineStr">
        <is>
          <t>PSU -23.5</t>
        </is>
      </c>
      <c r="G506" s="26" t="n">
        <v>-23.5</v>
      </c>
      <c r="H506" s="18" t="n">
        <v>-105</v>
      </c>
      <c r="I506" s="20" t="n">
        <v>0.2750098398445557</v>
      </c>
      <c r="J506" s="20" t="n">
        <v>0.4891657638136511</v>
      </c>
      <c r="K506" s="20" t="n">
        <v>0.5121951219512195</v>
      </c>
      <c r="L506" s="19" t="n">
        <v>-0.2371852821066638</v>
      </c>
      <c r="M506" s="19" t="n">
        <v>-0.4630760269701532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raw model/market disagreement exceeds the safety limit</t>
        </is>
      </c>
    </row>
    <row r="507">
      <c r="A507" s="12" t="inlineStr">
        <is>
          <t>PASS</t>
        </is>
      </c>
      <c r="B507" s="12" t="inlineStr">
        <is>
          <t>DEL @ VAN</t>
        </is>
      </c>
      <c r="C507" s="12" t="inlineStr">
        <is>
          <t>2026-09-12 20:15</t>
        </is>
      </c>
      <c r="D507" s="22" t="n">
        <v>2</v>
      </c>
      <c r="E507" s="12" t="inlineStr">
        <is>
          <t>ATS</t>
        </is>
      </c>
      <c r="F507" s="12" t="inlineStr">
        <is>
          <t>VAN -21.5</t>
        </is>
      </c>
      <c r="G507" s="23" t="n">
        <v>-21.5</v>
      </c>
      <c r="H507" s="13" t="n">
        <v>-110</v>
      </c>
      <c r="I507" s="15" t="n">
        <v>0.2857533026833013</v>
      </c>
      <c r="J507" s="15" t="n">
        <v>0.5</v>
      </c>
      <c r="K507" s="15" t="n">
        <v>0.5238095238095238</v>
      </c>
      <c r="L507" s="14" t="n">
        <v>-0.2380562211262225</v>
      </c>
      <c r="M507" s="14" t="n">
        <v>-0.4544709676046065</v>
      </c>
      <c r="N507" s="15" t="n">
        <v>0</v>
      </c>
      <c r="O507" s="24" t="n">
        <v>0.4</v>
      </c>
      <c r="P507" s="12" t="inlineStr">
        <is>
          <t>DraftKings</t>
        </is>
      </c>
      <c r="Q507" s="12" t="inlineStr">
        <is>
          <t>raw model/market disagreement exceeds the safety limit</t>
        </is>
      </c>
    </row>
    <row r="508">
      <c r="A508" s="17" t="inlineStr">
        <is>
          <t>PASS</t>
        </is>
      </c>
      <c r="B508" s="17" t="inlineStr">
        <is>
          <t>EKU @ JVST</t>
        </is>
      </c>
      <c r="C508" s="17" t="inlineStr">
        <is>
          <t>2026-09-05 23:00</t>
        </is>
      </c>
      <c r="D508" s="25" t="n">
        <v>1</v>
      </c>
      <c r="E508" s="17" t="inlineStr">
        <is>
          <t>ATS</t>
        </is>
      </c>
      <c r="F508" s="17" t="inlineStr">
        <is>
          <t>JVST -22.5</t>
        </is>
      </c>
      <c r="G508" s="26" t="n">
        <v>-22.5</v>
      </c>
      <c r="H508" s="18" t="n">
        <v>-108</v>
      </c>
      <c r="I508" s="20" t="n">
        <v>0.2799495340950377</v>
      </c>
      <c r="J508" s="20" t="n">
        <v>0.4956702459300312</v>
      </c>
      <c r="K508" s="20" t="n">
        <v>0.5192307692307693</v>
      </c>
      <c r="L508" s="19" t="n">
        <v>-0.2392812351357316</v>
      </c>
      <c r="M508" s="19" t="n">
        <v>-0.4608379343354829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EKU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HCU @ RICE</t>
        </is>
      </c>
      <c r="C509" s="12" t="inlineStr">
        <is>
          <t>2026-09-05 23:00</t>
        </is>
      </c>
      <c r="D509" s="22" t="n">
        <v>1</v>
      </c>
      <c r="E509" s="12" t="inlineStr">
        <is>
          <t>ATS</t>
        </is>
      </c>
      <c r="F509" s="12" t="inlineStr">
        <is>
          <t>RICE -22.5</t>
        </is>
      </c>
      <c r="G509" s="23" t="n">
        <v>-22.5</v>
      </c>
      <c r="H509" s="13" t="n">
        <v>-110</v>
      </c>
      <c r="I509" s="15" t="n">
        <v>0.2844037517820833</v>
      </c>
      <c r="J509" s="15" t="n">
        <v>0.5</v>
      </c>
      <c r="K509" s="15" t="n">
        <v>0.5238095238095238</v>
      </c>
      <c r="L509" s="14" t="n">
        <v>-0.2394057720274406</v>
      </c>
      <c r="M509" s="14" t="n">
        <v>-0.4570473829614774</v>
      </c>
      <c r="N509" s="15" t="n">
        <v>0</v>
      </c>
      <c r="O509" s="24" t="n">
        <v>0.4</v>
      </c>
      <c r="P509" s="12" t="inlineStr">
        <is>
          <t>DraftKings</t>
        </is>
      </c>
      <c r="Q509" s="12" t="inlineStr">
        <is>
          <t>HCU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ISU @ IOWA</t>
        </is>
      </c>
      <c r="C510" s="17" t="inlineStr">
        <is>
          <t>2026-09-12 23:30</t>
        </is>
      </c>
      <c r="D510" s="25" t="n">
        <v>2</v>
      </c>
      <c r="E510" s="17" t="inlineStr">
        <is>
          <t>TOTAL</t>
        </is>
      </c>
      <c r="F510" s="17" t="inlineStr">
        <is>
          <t>Under 41.5</t>
        </is>
      </c>
      <c r="G510" s="26" t="n">
        <v>41.5</v>
      </c>
      <c r="H510" s="18" t="n">
        <v>-108</v>
      </c>
      <c r="I510" s="20" t="n">
        <v>0.2786860995971955</v>
      </c>
      <c r="J510" s="20" t="n">
        <v>0.4956702459300312</v>
      </c>
      <c r="K510" s="20" t="n">
        <v>0.5192307692307693</v>
      </c>
      <c r="L510" s="19" t="n">
        <v>-0.2405446696335738</v>
      </c>
      <c r="M510" s="19" t="n">
        <v>-0.4632712155905864</v>
      </c>
      <c r="N510" s="20" t="n">
        <v>0</v>
      </c>
      <c r="O510" s="27" t="n">
        <v>0.4</v>
      </c>
      <c r="P510" s="17" t="inlineStr">
        <is>
          <t>DraftKings</t>
        </is>
      </c>
      <c r="Q510" s="17" t="inlineStr">
        <is>
          <t>raw model/market disagreement exceeds the safety limit</t>
        </is>
      </c>
    </row>
    <row r="511">
      <c r="A511" s="12" t="inlineStr">
        <is>
          <t>PASS</t>
        </is>
      </c>
      <c r="B511" s="12" t="inlineStr">
        <is>
          <t>WSU @ WASH</t>
        </is>
      </c>
      <c r="C511" s="12" t="inlineStr">
        <is>
          <t>2026-09-06 20:00</t>
        </is>
      </c>
      <c r="D511" s="22" t="n">
        <v>1</v>
      </c>
      <c r="E511" s="12" t="inlineStr">
        <is>
          <t>ATS</t>
        </is>
      </c>
      <c r="F511" s="12" t="inlineStr">
        <is>
          <t>WASH -23.5</t>
        </is>
      </c>
      <c r="G511" s="23" t="n">
        <v>-23.5</v>
      </c>
      <c r="H511" s="13" t="n">
        <v>-108</v>
      </c>
      <c r="I511" s="15" t="n">
        <v>0.2782620809027457</v>
      </c>
      <c r="J511" s="15" t="n">
        <v>0.4956702459300312</v>
      </c>
      <c r="K511" s="15" t="n">
        <v>0.5192307692307693</v>
      </c>
      <c r="L511" s="14" t="n">
        <v>-0.2409686883280235</v>
      </c>
      <c r="M511" s="14" t="n">
        <v>-0.4640878441873045</v>
      </c>
      <c r="N511" s="15" t="n">
        <v>0</v>
      </c>
      <c r="O511" s="24" t="n">
        <v>0.4</v>
      </c>
      <c r="P511" s="12" t="inlineStr">
        <is>
          <t>DraftKings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BGSU @ NEB</t>
        </is>
      </c>
      <c r="C512" s="17" t="inlineStr">
        <is>
          <t>2026-09-12 23:00</t>
        </is>
      </c>
      <c r="D512" s="25" t="n">
        <v>2</v>
      </c>
      <c r="E512" s="17" t="inlineStr">
        <is>
          <t>ATS</t>
        </is>
      </c>
      <c r="F512" s="17" t="inlineStr">
        <is>
          <t>NEB -25.5</t>
        </is>
      </c>
      <c r="G512" s="26" t="n">
        <v>-25.5</v>
      </c>
      <c r="H512" s="18" t="n">
        <v>-108</v>
      </c>
      <c r="I512" s="20" t="n">
        <v>0.2703038118216226</v>
      </c>
      <c r="J512" s="20" t="n">
        <v>0.4956702459300312</v>
      </c>
      <c r="K512" s="20" t="n">
        <v>0.5192307692307693</v>
      </c>
      <c r="L512" s="19" t="n">
        <v>-0.2489269574091467</v>
      </c>
      <c r="M512" s="19" t="n">
        <v>-0.4794148809361343</v>
      </c>
      <c r="N512" s="20" t="n">
        <v>0</v>
      </c>
      <c r="O512" s="27" t="n">
        <v>0.4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RGV @ UTSA</t>
        </is>
      </c>
      <c r="C513" s="12" t="inlineStr">
        <is>
          <t>2026-09-05 19:30</t>
        </is>
      </c>
      <c r="D513" s="22" t="n">
        <v>1</v>
      </c>
      <c r="E513" s="12" t="inlineStr">
        <is>
          <t>ATS</t>
        </is>
      </c>
      <c r="F513" s="12" t="inlineStr">
        <is>
          <t>UTSA -28.5</t>
        </is>
      </c>
      <c r="G513" s="23" t="n">
        <v>-28.5</v>
      </c>
      <c r="H513" s="13" t="n">
        <v>-102</v>
      </c>
      <c r="I513" s="15" t="n">
        <v>0.254902564660674</v>
      </c>
      <c r="J513" s="15" t="n">
        <v>0.4826358742837298</v>
      </c>
      <c r="K513" s="15" t="n">
        <v>0.504950495049505</v>
      </c>
      <c r="L513" s="14" t="n">
        <v>-0.2500479303888309</v>
      </c>
      <c r="M513" s="14" t="n">
        <v>-0.4951929601818025</v>
      </c>
      <c r="N513" s="15" t="n">
        <v>0</v>
      </c>
      <c r="O513" s="24" t="n">
        <v>0.4</v>
      </c>
      <c r="P513" s="12" t="inlineStr">
        <is>
          <t>DraftKings</t>
        </is>
      </c>
      <c r="Q513" s="12" t="inlineStr">
        <is>
          <t>RGV isn't a full FBS participant this season — model doesn't rate them reliably</t>
        </is>
      </c>
    </row>
    <row r="514">
      <c r="A514" s="17" t="inlineStr">
        <is>
          <t>PASS</t>
        </is>
      </c>
      <c r="B514" s="17" t="inlineStr">
        <is>
          <t>USU @ WASH</t>
        </is>
      </c>
      <c r="C514" s="17" t="inlineStr">
        <is>
          <t>2026-09-12 19:30</t>
        </is>
      </c>
      <c r="D514" s="25" t="n">
        <v>2</v>
      </c>
      <c r="E514" s="17" t="inlineStr">
        <is>
          <t>ATS</t>
        </is>
      </c>
      <c r="F514" s="17" t="inlineStr">
        <is>
          <t>WASH -24.5</t>
        </is>
      </c>
      <c r="G514" s="26" t="n">
        <v>-24.5</v>
      </c>
      <c r="H514" s="18" t="n">
        <v>-112</v>
      </c>
      <c r="I514" s="20" t="n">
        <v>0.2777867252527397</v>
      </c>
      <c r="J514" s="20" t="n">
        <v>0.5043297540699688</v>
      </c>
      <c r="K514" s="20" t="n">
        <v>0.5283018867924528</v>
      </c>
      <c r="L514" s="19" t="n">
        <v>-0.2505151615397131</v>
      </c>
      <c r="M514" s="19" t="n">
        <v>-0.474189412914457</v>
      </c>
      <c r="N514" s="20" t="n">
        <v>0</v>
      </c>
      <c r="O514" s="27" t="n">
        <v>0.4</v>
      </c>
      <c r="P514" s="17" t="inlineStr">
        <is>
          <t>DraftKings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FAU @ FLA</t>
        </is>
      </c>
      <c r="C515" s="12" t="inlineStr">
        <is>
          <t>2026-09-05 23:45</t>
        </is>
      </c>
      <c r="D515" s="22" t="n">
        <v>1</v>
      </c>
      <c r="E515" s="12" t="inlineStr">
        <is>
          <t>ATS</t>
        </is>
      </c>
      <c r="F515" s="12" t="inlineStr">
        <is>
          <t>FLA -26.5</t>
        </is>
      </c>
      <c r="G515" s="23" t="n">
        <v>-26.5</v>
      </c>
      <c r="H515" s="13" t="n">
        <v>-108</v>
      </c>
      <c r="I515" s="15" t="n">
        <v>0.2670298113962128</v>
      </c>
      <c r="J515" s="15" t="n">
        <v>0.4956702459300312</v>
      </c>
      <c r="K515" s="15" t="n">
        <v>0.5192307692307693</v>
      </c>
      <c r="L515" s="14" t="n">
        <v>-0.2522009578345564</v>
      </c>
      <c r="M515" s="14" t="n">
        <v>-0.4857203632369234</v>
      </c>
      <c r="N515" s="15" t="n">
        <v>0</v>
      </c>
      <c r="O515" s="24" t="n">
        <v>0.4</v>
      </c>
      <c r="P515" s="12" t="inlineStr">
        <is>
          <t>DraftKings</t>
        </is>
      </c>
      <c r="Q515" s="12" t="inlineStr">
        <is>
          <t>raw model/market disagreement exceeds the safety limit</t>
        </is>
      </c>
    </row>
    <row r="516">
      <c r="A516" s="17" t="inlineStr">
        <is>
          <t>PASS</t>
        </is>
      </c>
      <c r="B516" s="17" t="inlineStr">
        <is>
          <t>GASO @ CLEM</t>
        </is>
      </c>
      <c r="C516" s="17" t="inlineStr">
        <is>
          <t>2026-09-12 23:30</t>
        </is>
      </c>
      <c r="D516" s="25" t="n">
        <v>2</v>
      </c>
      <c r="E516" s="17" t="inlineStr">
        <is>
          <t>ATS</t>
        </is>
      </c>
      <c r="F516" s="17" t="inlineStr">
        <is>
          <t>CLEM -26.5</t>
        </is>
      </c>
      <c r="G516" s="26" t="n">
        <v>-26.5</v>
      </c>
      <c r="H516" s="18" t="n">
        <v>-108</v>
      </c>
      <c r="I516" s="20" t="n">
        <v>0.2670298113962128</v>
      </c>
      <c r="J516" s="20" t="n">
        <v>0.4956702459300312</v>
      </c>
      <c r="K516" s="20" t="n">
        <v>0.5192307692307693</v>
      </c>
      <c r="L516" s="19" t="n">
        <v>-0.2522009578345564</v>
      </c>
      <c r="M516" s="19" t="n">
        <v>-0.4857203632369234</v>
      </c>
      <c r="N516" s="20" t="n">
        <v>0</v>
      </c>
      <c r="O516" s="27" t="n">
        <v>0.4</v>
      </c>
      <c r="P516" s="17" t="inlineStr">
        <is>
          <t>DraftKings</t>
        </is>
      </c>
      <c r="Q516" s="17" t="inlineStr">
        <is>
          <t>raw model/market disagreement exceeds the safety limit</t>
        </is>
      </c>
    </row>
    <row r="517">
      <c r="A517" s="12" t="inlineStr">
        <is>
          <t>PASS</t>
        </is>
      </c>
      <c r="B517" s="12" t="inlineStr">
        <is>
          <t>OKST @ TLSA</t>
        </is>
      </c>
      <c r="C517" s="12" t="inlineStr">
        <is>
          <t>2026-09-05 19:45</t>
        </is>
      </c>
      <c r="D517" s="22" t="n">
        <v>1</v>
      </c>
      <c r="E517" s="12" t="inlineStr">
        <is>
          <t>ML</t>
        </is>
      </c>
      <c r="F517" s="12" t="inlineStr">
        <is>
          <t>OKST ML</t>
        </is>
      </c>
      <c r="G517" s="23" t="n"/>
      <c r="H517" s="13" t="n">
        <v>-550</v>
      </c>
      <c r="I517" s="15" t="n">
        <v>0.5936960076976178</v>
      </c>
      <c r="J517" s="15" t="n">
        <v>0.8118668596237336</v>
      </c>
      <c r="K517" s="15" t="n">
        <v>0.8461538461538461</v>
      </c>
      <c r="L517" s="14" t="n">
        <v>-0.2524578384562284</v>
      </c>
      <c r="M517" s="14" t="n">
        <v>-0.2983592636300881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price outside allowed range</t>
        </is>
      </c>
    </row>
    <row r="518">
      <c r="A518" s="17" t="inlineStr">
        <is>
          <t>PASS</t>
        </is>
      </c>
      <c r="B518" s="17" t="inlineStr">
        <is>
          <t>ORE @ OKST</t>
        </is>
      </c>
      <c r="C518" s="17" t="inlineStr">
        <is>
          <t>2026-09-12 16:00</t>
        </is>
      </c>
      <c r="D518" s="25" t="n">
        <v>2</v>
      </c>
      <c r="E518" s="17" t="inlineStr">
        <is>
          <t>ATS</t>
        </is>
      </c>
      <c r="F518" s="17" t="inlineStr">
        <is>
          <t>ORE -19.5</t>
        </is>
      </c>
      <c r="G518" s="26" t="n">
        <v>19.5</v>
      </c>
      <c r="H518" s="18" t="n">
        <v>-105</v>
      </c>
      <c r="I518" s="20" t="n">
        <v>0.2588093072776991</v>
      </c>
      <c r="J518" s="20" t="n">
        <v>0.4891657638136511</v>
      </c>
      <c r="K518" s="20" t="n">
        <v>0.5121951219512195</v>
      </c>
      <c r="L518" s="19" t="n">
        <v>-0.2533858146735204</v>
      </c>
      <c r="M518" s="19" t="n">
        <v>-0.4947056381721112</v>
      </c>
      <c r="N518" s="20" t="n">
        <v>0</v>
      </c>
      <c r="O518" s="27" t="n">
        <v>0.4</v>
      </c>
      <c r="P518" s="17" t="inlineStr">
        <is>
          <t>DraftKings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BOIS @ ORE</t>
        </is>
      </c>
      <c r="C519" s="12" t="inlineStr">
        <is>
          <t>2026-09-05 19:30</t>
        </is>
      </c>
      <c r="D519" s="22" t="n">
        <v>1</v>
      </c>
      <c r="E519" s="12" t="inlineStr">
        <is>
          <t>ATS</t>
        </is>
      </c>
      <c r="F519" s="12" t="inlineStr">
        <is>
          <t>ORE -24.5</t>
        </is>
      </c>
      <c r="G519" s="23" t="n">
        <v>-24.5</v>
      </c>
      <c r="H519" s="13" t="n">
        <v>-115</v>
      </c>
      <c r="I519" s="15" t="n">
        <v>0.2810389663109297</v>
      </c>
      <c r="J519" s="15" t="n">
        <v>0.5108342361863488</v>
      </c>
      <c r="K519" s="15" t="n">
        <v>0.5348837209302325</v>
      </c>
      <c r="L519" s="14" t="n">
        <v>-0.2538447546193028</v>
      </c>
      <c r="M519" s="14" t="n">
        <v>-0.4745793238534794</v>
      </c>
      <c r="N519" s="15" t="n">
        <v>0</v>
      </c>
      <c r="O519" s="24" t="n">
        <v>0.4</v>
      </c>
      <c r="P519" s="12" t="inlineStr">
        <is>
          <t>DraftKings</t>
        </is>
      </c>
      <c r="Q519" s="12" t="inlineStr">
        <is>
          <t>raw model/market disagreement exceeds the safety limit</t>
        </is>
      </c>
    </row>
    <row r="520">
      <c r="A520" s="17" t="inlineStr">
        <is>
          <t>PASS</t>
        </is>
      </c>
      <c r="B520" s="17" t="inlineStr">
        <is>
          <t>WIS @ ND</t>
        </is>
      </c>
      <c r="C520" s="17" t="inlineStr">
        <is>
          <t>2026-09-06 23:30</t>
        </is>
      </c>
      <c r="D520" s="25" t="n">
        <v>1</v>
      </c>
      <c r="E520" s="17" t="inlineStr">
        <is>
          <t>ATS</t>
        </is>
      </c>
      <c r="F520" s="17" t="inlineStr">
        <is>
          <t>ND -20.5</t>
        </is>
      </c>
      <c r="G520" s="26" t="n">
        <v>-20.5</v>
      </c>
      <c r="H520" s="18" t="n">
        <v>-115</v>
      </c>
      <c r="I520" s="20" t="n">
        <v>0.2801972900138555</v>
      </c>
      <c r="J520" s="20" t="n">
        <v>0.5108342361863488</v>
      </c>
      <c r="K520" s="20" t="n">
        <v>0.5348837209302325</v>
      </c>
      <c r="L520" s="19" t="n">
        <v>-0.254686430916377</v>
      </c>
      <c r="M520" s="19" t="n">
        <v>-0.4761528925827919</v>
      </c>
      <c r="N520" s="20" t="n">
        <v>0</v>
      </c>
      <c r="O520" s="27" t="n">
        <v>0.4</v>
      </c>
      <c r="P520" s="17" t="inlineStr">
        <is>
          <t>DraftKings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APSU @ VAN</t>
        </is>
      </c>
      <c r="C521" s="12" t="inlineStr">
        <is>
          <t>2026-09-05 23:00</t>
        </is>
      </c>
      <c r="D521" s="22" t="n">
        <v>1</v>
      </c>
      <c r="E521" s="12" t="inlineStr">
        <is>
          <t>ATS</t>
        </is>
      </c>
      <c r="F521" s="12" t="inlineStr">
        <is>
          <t>VAN -29.5</t>
        </is>
      </c>
      <c r="G521" s="23" t="n">
        <v>-29.5</v>
      </c>
      <c r="H521" s="13" t="n">
        <v>-105</v>
      </c>
      <c r="I521" s="15" t="n">
        <v>0.2559952324336163</v>
      </c>
      <c r="J521" s="15" t="n">
        <v>0.4891657638136511</v>
      </c>
      <c r="K521" s="15" t="n">
        <v>0.5121951219512195</v>
      </c>
      <c r="L521" s="14" t="n">
        <v>-0.2561998895176032</v>
      </c>
      <c r="M521" s="14" t="n">
        <v>-0.5001997842962729</v>
      </c>
      <c r="N521" s="15" t="n">
        <v>0</v>
      </c>
      <c r="O521" s="24" t="n">
        <v>0.4</v>
      </c>
      <c r="P521" s="12" t="inlineStr">
        <is>
          <t>DraftKings</t>
        </is>
      </c>
      <c r="Q521" s="12" t="inlineStr">
        <is>
          <t>APSU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CHSO @ GASO</t>
        </is>
      </c>
      <c r="C522" s="17" t="inlineStr">
        <is>
          <t>2026-09-05 23:00</t>
        </is>
      </c>
      <c r="D522" s="25" t="n">
        <v>1</v>
      </c>
      <c r="E522" s="17" t="inlineStr">
        <is>
          <t>ATS</t>
        </is>
      </c>
      <c r="F522" s="17" t="inlineStr">
        <is>
          <t>GASO -28.5</t>
        </is>
      </c>
      <c r="G522" s="26" t="n">
        <v>-28.5</v>
      </c>
      <c r="H522" s="18" t="n">
        <v>-108</v>
      </c>
      <c r="I522" s="20" t="n">
        <v>0.2614197504838247</v>
      </c>
      <c r="J522" s="20" t="n">
        <v>0.4956702459300312</v>
      </c>
      <c r="K522" s="20" t="n">
        <v>0.5192307692307693</v>
      </c>
      <c r="L522" s="19" t="n">
        <v>-0.2578110187469446</v>
      </c>
      <c r="M522" s="19" t="n">
        <v>-0.4965249249941154</v>
      </c>
      <c r="N522" s="20" t="n">
        <v>0</v>
      </c>
      <c r="O522" s="27" t="n">
        <v>0.4</v>
      </c>
      <c r="P522" s="17" t="inlineStr">
        <is>
          <t>DraftKings</t>
        </is>
      </c>
      <c r="Q522" s="17" t="inlineStr">
        <is>
          <t>CHSO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ULM @ MSST</t>
        </is>
      </c>
      <c r="C523" s="12" t="inlineStr">
        <is>
          <t>2026-09-05 23:30</t>
        </is>
      </c>
      <c r="D523" s="22" t="n">
        <v>1</v>
      </c>
      <c r="E523" s="12" t="inlineStr">
        <is>
          <t>ATS</t>
        </is>
      </c>
      <c r="F523" s="12" t="inlineStr">
        <is>
          <t>MSST -28.5</t>
        </is>
      </c>
      <c r="G523" s="23" t="n">
        <v>-28.5</v>
      </c>
      <c r="H523" s="13" t="n">
        <v>-108</v>
      </c>
      <c r="I523" s="15" t="n">
        <v>0.2614197504838247</v>
      </c>
      <c r="J523" s="15" t="n">
        <v>0.4956702459300312</v>
      </c>
      <c r="K523" s="15" t="n">
        <v>0.5192307692307693</v>
      </c>
      <c r="L523" s="14" t="n">
        <v>-0.2578110187469446</v>
      </c>
      <c r="M523" s="14" t="n">
        <v>-0.4965249249941154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raw model/market disagreement exceeds the safety limit</t>
        </is>
      </c>
    </row>
    <row r="524">
      <c r="A524" s="17" t="inlineStr">
        <is>
          <t>PASS</t>
        </is>
      </c>
      <c r="B524" s="17" t="inlineStr">
        <is>
          <t>UL @ USC</t>
        </is>
      </c>
      <c r="C524" s="17" t="inlineStr">
        <is>
          <t>2026-09-13 03:00</t>
        </is>
      </c>
      <c r="D524" s="25" t="n">
        <v>2</v>
      </c>
      <c r="E524" s="17" t="inlineStr">
        <is>
          <t>ATS</t>
        </is>
      </c>
      <c r="F524" s="17" t="inlineStr">
        <is>
          <t>USC -28.5</t>
        </is>
      </c>
      <c r="G524" s="26" t="n">
        <v>-28.5</v>
      </c>
      <c r="H524" s="18" t="n">
        <v>-110</v>
      </c>
      <c r="I524" s="20" t="n">
        <v>0.2652100935375293</v>
      </c>
      <c r="J524" s="20" t="n">
        <v>0.5</v>
      </c>
      <c r="K524" s="20" t="n">
        <v>0.5238095238095238</v>
      </c>
      <c r="L524" s="19" t="n">
        <v>-0.2585994302719946</v>
      </c>
      <c r="M524" s="19" t="n">
        <v>-0.4936898214283533</v>
      </c>
      <c r="N524" s="20" t="n">
        <v>0</v>
      </c>
      <c r="O524" s="27" t="n">
        <v>0.4</v>
      </c>
      <c r="P524" s="17" t="inlineStr">
        <is>
          <t>DraftKings</t>
        </is>
      </c>
      <c r="Q524" s="17" t="inlineStr">
        <is>
          <t>raw model/market disagreement exceeds the safety limit</t>
        </is>
      </c>
    </row>
    <row r="525">
      <c r="A525" s="12" t="inlineStr">
        <is>
          <t>PASS</t>
        </is>
      </c>
      <c r="B525" s="12" t="inlineStr">
        <is>
          <t>TOW @ NAVY</t>
        </is>
      </c>
      <c r="C525" s="12" t="inlineStr">
        <is>
          <t>2026-09-05 19:30</t>
        </is>
      </c>
      <c r="D525" s="22" t="n">
        <v>1</v>
      </c>
      <c r="E525" s="12" t="inlineStr">
        <is>
          <t>ATS</t>
        </is>
      </c>
      <c r="F525" s="12" t="inlineStr">
        <is>
          <t>NAVY -31.5</t>
        </is>
      </c>
      <c r="G525" s="23" t="n">
        <v>-31.5</v>
      </c>
      <c r="H525" s="13" t="n">
        <v>-105</v>
      </c>
      <c r="I525" s="15" t="n">
        <v>0.2524383448935788</v>
      </c>
      <c r="J525" s="15" t="n">
        <v>0.4891657638136511</v>
      </c>
      <c r="K525" s="15" t="n">
        <v>0.5121951219512195</v>
      </c>
      <c r="L525" s="14" t="n">
        <v>-0.2597567770576407</v>
      </c>
      <c r="M525" s="14" t="n">
        <v>-0.5071441837792033</v>
      </c>
      <c r="N525" s="15" t="n">
        <v>0</v>
      </c>
      <c r="O525" s="24" t="n">
        <v>0.4</v>
      </c>
      <c r="P525" s="12" t="inlineStr">
        <is>
          <t>DraftKings</t>
        </is>
      </c>
      <c r="Q525" s="12" t="inlineStr">
        <is>
          <t>TOW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PSU @ TEM</t>
        </is>
      </c>
      <c r="C526" s="17" t="inlineStr">
        <is>
          <t>2026-09-12 16:00</t>
        </is>
      </c>
      <c r="D526" s="25" t="n">
        <v>2</v>
      </c>
      <c r="E526" s="17" t="inlineStr">
        <is>
          <t>ATS</t>
        </is>
      </c>
      <c r="F526" s="17" t="inlineStr">
        <is>
          <t>PSU -21.5</t>
        </is>
      </c>
      <c r="G526" s="26" t="n">
        <v>21.5</v>
      </c>
      <c r="H526" s="18" t="n">
        <v>-108</v>
      </c>
      <c r="I526" s="20" t="n">
        <v>0.2573180150162054</v>
      </c>
      <c r="J526" s="20" t="n">
        <v>0.4956702459300312</v>
      </c>
      <c r="K526" s="20" t="n">
        <v>0.5192307692307693</v>
      </c>
      <c r="L526" s="19" t="n">
        <v>-0.2619127542145638</v>
      </c>
      <c r="M526" s="19" t="n">
        <v>-0.5044245636724932</v>
      </c>
      <c r="N526" s="20" t="n">
        <v>0</v>
      </c>
      <c r="O526" s="27" t="n">
        <v>0.4</v>
      </c>
      <c r="P526" s="17" t="inlineStr">
        <is>
          <t>DraftKings</t>
        </is>
      </c>
      <c r="Q526" s="17" t="inlineStr">
        <is>
          <t>raw model/market disagreement exceeds the safety limit</t>
        </is>
      </c>
    </row>
    <row r="527">
      <c r="A527" s="12" t="inlineStr">
        <is>
          <t>PASS</t>
        </is>
      </c>
      <c r="B527" s="12" t="inlineStr">
        <is>
          <t>TXST @ TEX</t>
        </is>
      </c>
      <c r="C527" s="12" t="inlineStr">
        <is>
          <t>2026-09-05 19:30</t>
        </is>
      </c>
      <c r="D527" s="22" t="n">
        <v>1</v>
      </c>
      <c r="E527" s="12" t="inlineStr">
        <is>
          <t>ATS</t>
        </is>
      </c>
      <c r="F527" s="12" t="inlineStr">
        <is>
          <t>TEX -29.5</t>
        </is>
      </c>
      <c r="G527" s="23" t="n">
        <v>-29.5</v>
      </c>
      <c r="H527" s="13" t="n">
        <v>-110</v>
      </c>
      <c r="I527" s="15" t="n">
        <v>0.2614123505267908</v>
      </c>
      <c r="J527" s="15" t="n">
        <v>0.5</v>
      </c>
      <c r="K527" s="15" t="n">
        <v>0.5238095238095238</v>
      </c>
      <c r="L527" s="14" t="n">
        <v>-0.262397173282733</v>
      </c>
      <c r="M527" s="14" t="n">
        <v>-0.5009400580852176</v>
      </c>
      <c r="N527" s="15" t="n">
        <v>0</v>
      </c>
      <c r="O527" s="24" t="n">
        <v>0.4</v>
      </c>
      <c r="P527" s="12" t="inlineStr">
        <is>
          <t>DraftKings</t>
        </is>
      </c>
      <c r="Q527" s="12" t="inlineStr">
        <is>
          <t>raw model/market disagreement exceeds the safety limit</t>
        </is>
      </c>
    </row>
    <row r="528">
      <c r="A528" s="17" t="inlineStr">
        <is>
          <t>PASS</t>
        </is>
      </c>
      <c r="B528" s="17" t="inlineStr">
        <is>
          <t>MERC @ NMSU</t>
        </is>
      </c>
      <c r="C528" s="17" t="inlineStr">
        <is>
          <t>2026-09-06 01:00</t>
        </is>
      </c>
      <c r="D528" s="25" t="n">
        <v>1</v>
      </c>
      <c r="E528" s="17" t="inlineStr">
        <is>
          <t>ATS</t>
        </is>
      </c>
      <c r="F528" s="17" t="inlineStr">
        <is>
          <t>NMSU -29.5</t>
        </is>
      </c>
      <c r="G528" s="26" t="n">
        <v>-29.5</v>
      </c>
      <c r="H528" s="18" t="n">
        <v>-110</v>
      </c>
      <c r="I528" s="20" t="n">
        <v>0.2612689111762902</v>
      </c>
      <c r="J528" s="20" t="n">
        <v>0.5</v>
      </c>
      <c r="K528" s="20" t="n">
        <v>0.5238095238095238</v>
      </c>
      <c r="L528" s="19" t="n">
        <v>-0.2625406126332336</v>
      </c>
      <c r="M528" s="19" t="n">
        <v>-0.5012138968452641</v>
      </c>
      <c r="N528" s="20" t="n">
        <v>0</v>
      </c>
      <c r="O528" s="27" t="n">
        <v>0.4</v>
      </c>
      <c r="P528" s="17" t="inlineStr">
        <is>
          <t>DraftKings</t>
        </is>
      </c>
      <c r="Q528" s="17" t="inlineStr">
        <is>
          <t>MERC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NORF @ ODU</t>
        </is>
      </c>
      <c r="C529" s="12" t="inlineStr">
        <is>
          <t>2026-09-05 22:00</t>
        </is>
      </c>
      <c r="D529" s="22" t="n">
        <v>1</v>
      </c>
      <c r="E529" s="12" t="inlineStr">
        <is>
          <t>ATS</t>
        </is>
      </c>
      <c r="F529" s="12" t="inlineStr">
        <is>
          <t>ODU -41.5</t>
        </is>
      </c>
      <c r="G529" s="23" t="n">
        <v>-41.5</v>
      </c>
      <c r="H529" s="13" t="n">
        <v>-102</v>
      </c>
      <c r="I529" s="15" t="n">
        <v>0.2422309662895671</v>
      </c>
      <c r="J529" s="15" t="n">
        <v>0.4826358742837298</v>
      </c>
      <c r="K529" s="15" t="n">
        <v>0.504950495049505</v>
      </c>
      <c r="L529" s="14" t="n">
        <v>-0.2627195287599378</v>
      </c>
      <c r="M529" s="14" t="n">
        <v>-0.5202876942108572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NORF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NICH @ KSU</t>
        </is>
      </c>
      <c r="C530" s="17" t="inlineStr">
        <is>
          <t>2026-09-05 23:00</t>
        </is>
      </c>
      <c r="D530" s="25" t="n">
        <v>1</v>
      </c>
      <c r="E530" s="17" t="inlineStr">
        <is>
          <t>ATS</t>
        </is>
      </c>
      <c r="F530" s="17" t="inlineStr">
        <is>
          <t>KSU -41.5</t>
        </is>
      </c>
      <c r="G530" s="26" t="n">
        <v>-41.5</v>
      </c>
      <c r="H530" s="18" t="n">
        <v>-102</v>
      </c>
      <c r="I530" s="20" t="n">
        <v>0.2422309662895671</v>
      </c>
      <c r="J530" s="20" t="n">
        <v>0.4826358742837298</v>
      </c>
      <c r="K530" s="20" t="n">
        <v>0.504950495049505</v>
      </c>
      <c r="L530" s="19" t="n">
        <v>-0.2627195287599378</v>
      </c>
      <c r="M530" s="19" t="n">
        <v>-0.5202876942108572</v>
      </c>
      <c r="N530" s="20" t="n">
        <v>0</v>
      </c>
      <c r="O530" s="27" t="n">
        <v>0.4</v>
      </c>
      <c r="P530" s="17" t="inlineStr">
        <is>
          <t>DraftKings</t>
        </is>
      </c>
      <c r="Q530" s="17" t="inlineStr">
        <is>
          <t>NICH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WMU @ MICH</t>
        </is>
      </c>
      <c r="C531" s="12" t="inlineStr">
        <is>
          <t>2026-09-05 23:30</t>
        </is>
      </c>
      <c r="D531" s="22" t="n">
        <v>1</v>
      </c>
      <c r="E531" s="12" t="inlineStr">
        <is>
          <t>ATS</t>
        </is>
      </c>
      <c r="F531" s="12" t="inlineStr">
        <is>
          <t>MICH -27.5</t>
        </is>
      </c>
      <c r="G531" s="23" t="n">
        <v>-27.5</v>
      </c>
      <c r="H531" s="13" t="n">
        <v>-115</v>
      </c>
      <c r="I531" s="15" t="n">
        <v>0.2718829274971575</v>
      </c>
      <c r="J531" s="15" t="n">
        <v>0.5108342361863488</v>
      </c>
      <c r="K531" s="15" t="n">
        <v>0.5348837209302325</v>
      </c>
      <c r="L531" s="14" t="n">
        <v>-0.263000793433075</v>
      </c>
      <c r="M531" s="14" t="n">
        <v>-0.4916971355487925</v>
      </c>
      <c r="N531" s="15" t="n">
        <v>0</v>
      </c>
      <c r="O531" s="24" t="n">
        <v>0.4</v>
      </c>
      <c r="P531" s="12" t="inlineStr">
        <is>
          <t>DraftKings</t>
        </is>
      </c>
      <c r="Q531" s="12" t="inlineStr">
        <is>
          <t>raw model/market disagreement exceeds the safety limit</t>
        </is>
      </c>
    </row>
    <row r="532">
      <c r="A532" s="17" t="inlineStr">
        <is>
          <t>PASS</t>
        </is>
      </c>
      <c r="B532" s="17" t="inlineStr">
        <is>
          <t>NAU @ ARIZ</t>
        </is>
      </c>
      <c r="C532" s="17" t="inlineStr">
        <is>
          <t>2026-09-06 01:30</t>
        </is>
      </c>
      <c r="D532" s="25" t="n">
        <v>1</v>
      </c>
      <c r="E532" s="17" t="inlineStr">
        <is>
          <t>ATS</t>
        </is>
      </c>
      <c r="F532" s="17" t="inlineStr">
        <is>
          <t>ARIZ -31.5</t>
        </is>
      </c>
      <c r="G532" s="26" t="n">
        <v>-31.5</v>
      </c>
      <c r="H532" s="18" t="n">
        <v>-108</v>
      </c>
      <c r="I532" s="20" t="n">
        <v>0.2556905859517689</v>
      </c>
      <c r="J532" s="20" t="n">
        <v>0.4956702459300312</v>
      </c>
      <c r="K532" s="20" t="n">
        <v>0.5192307692307693</v>
      </c>
      <c r="L532" s="19" t="n">
        <v>-0.2635401832790004</v>
      </c>
      <c r="M532" s="19" t="n">
        <v>-0.507558871500297</v>
      </c>
      <c r="N532" s="20" t="n">
        <v>0</v>
      </c>
      <c r="O532" s="27" t="n">
        <v>0.4</v>
      </c>
      <c r="P532" s="17" t="inlineStr">
        <is>
          <t>DraftKings</t>
        </is>
      </c>
      <c r="Q532" s="17" t="inlineStr">
        <is>
          <t>NAU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SEMO @ ISU</t>
        </is>
      </c>
      <c r="C533" s="12" t="inlineStr">
        <is>
          <t>2026-09-05 17:00</t>
        </is>
      </c>
      <c r="D533" s="22" t="n">
        <v>1</v>
      </c>
      <c r="E533" s="12" t="inlineStr">
        <is>
          <t>ATS</t>
        </is>
      </c>
      <c r="F533" s="12" t="inlineStr">
        <is>
          <t>ISU -29.5</t>
        </is>
      </c>
      <c r="G533" s="23" t="n">
        <v>-29.5</v>
      </c>
      <c r="H533" s="13" t="n">
        <v>-112</v>
      </c>
      <c r="I533" s="15" t="n">
        <v>0.2635772275617752</v>
      </c>
      <c r="J533" s="15" t="n">
        <v>0.5043297540699688</v>
      </c>
      <c r="K533" s="15" t="n">
        <v>0.5283018867924528</v>
      </c>
      <c r="L533" s="14" t="n">
        <v>-0.2647246592306776</v>
      </c>
      <c r="M533" s="14" t="n">
        <v>-0.5010859621152113</v>
      </c>
      <c r="N533" s="15" t="n">
        <v>0</v>
      </c>
      <c r="O533" s="24" t="n">
        <v>0.4</v>
      </c>
      <c r="P533" s="12" t="inlineStr">
        <is>
          <t>DraftKings</t>
        </is>
      </c>
      <c r="Q533" s="12" t="inlineStr">
        <is>
          <t>SEMO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DUQ @ AFA</t>
        </is>
      </c>
      <c r="C534" s="17" t="inlineStr">
        <is>
          <t>2026-09-05 17:00</t>
        </is>
      </c>
      <c r="D534" s="25" t="n">
        <v>1</v>
      </c>
      <c r="E534" s="17" t="inlineStr">
        <is>
          <t>ATS</t>
        </is>
      </c>
      <c r="F534" s="17" t="inlineStr">
        <is>
          <t>AFA -31.5</t>
        </is>
      </c>
      <c r="G534" s="26" t="n">
        <v>-31.5</v>
      </c>
      <c r="H534" s="18" t="n">
        <v>-110</v>
      </c>
      <c r="I534" s="20" t="n">
        <v>0.2578554629867533</v>
      </c>
      <c r="J534" s="20" t="n">
        <v>0.5</v>
      </c>
      <c r="K534" s="20" t="n">
        <v>0.5238095238095238</v>
      </c>
      <c r="L534" s="19" t="n">
        <v>-0.2659540608227706</v>
      </c>
      <c r="M534" s="19" t="n">
        <v>-0.5077304797525619</v>
      </c>
      <c r="N534" s="20" t="n">
        <v>0</v>
      </c>
      <c r="O534" s="27" t="n">
        <v>0.4</v>
      </c>
      <c r="P534" s="17" t="inlineStr">
        <is>
          <t>DraftKings</t>
        </is>
      </c>
      <c r="Q534" s="17" t="inlineStr">
        <is>
          <t>DUQ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FOR @ NDSU</t>
        </is>
      </c>
      <c r="C535" s="12" t="inlineStr">
        <is>
          <t>2026-09-05 19:30</t>
        </is>
      </c>
      <c r="D535" s="22" t="n">
        <v>1</v>
      </c>
      <c r="E535" s="12" t="inlineStr">
        <is>
          <t>ATS</t>
        </is>
      </c>
      <c r="F535" s="12" t="inlineStr">
        <is>
          <t>NDSU -41.5</t>
        </is>
      </c>
      <c r="G535" s="23" t="n">
        <v>-41.5</v>
      </c>
      <c r="H535" s="13" t="n">
        <v>-105</v>
      </c>
      <c r="I535" s="15" t="n">
        <v>0.2456217778726535</v>
      </c>
      <c r="J535" s="15" t="n">
        <v>0.4891657638136511</v>
      </c>
      <c r="K535" s="15" t="n">
        <v>0.5121951219512195</v>
      </c>
      <c r="L535" s="14" t="n">
        <v>-0.266573344078566</v>
      </c>
      <c r="M535" s="14" t="n">
        <v>-0.5204527193914861</v>
      </c>
      <c r="N535" s="15" t="n">
        <v>0</v>
      </c>
      <c r="O535" s="24" t="n">
        <v>0.4</v>
      </c>
      <c r="P535" s="12" t="inlineStr">
        <is>
          <t>DraftKings</t>
        </is>
      </c>
      <c r="Q535" s="12" t="inlineStr">
        <is>
          <t>FOR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NIU @ IOWA</t>
        </is>
      </c>
      <c r="C536" s="17" t="inlineStr">
        <is>
          <t>2026-09-05 20:15</t>
        </is>
      </c>
      <c r="D536" s="25" t="n">
        <v>1</v>
      </c>
      <c r="E536" s="17" t="inlineStr">
        <is>
          <t>ATS</t>
        </is>
      </c>
      <c r="F536" s="17" t="inlineStr">
        <is>
          <t>IOWA -31.5</t>
        </is>
      </c>
      <c r="G536" s="26" t="n">
        <v>-31.5</v>
      </c>
      <c r="H536" s="18" t="n">
        <v>-112</v>
      </c>
      <c r="I536" s="20" t="n">
        <v>0.2600203400217377</v>
      </c>
      <c r="J536" s="20" t="n">
        <v>0.5043297540699688</v>
      </c>
      <c r="K536" s="20" t="n">
        <v>0.5283018867924528</v>
      </c>
      <c r="L536" s="19" t="n">
        <v>-0.2682815467707151</v>
      </c>
      <c r="M536" s="19" t="n">
        <v>-0.5078186421017108</v>
      </c>
      <c r="N536" s="20" t="n">
        <v>0</v>
      </c>
      <c r="O536" s="27" t="n">
        <v>0.4</v>
      </c>
      <c r="P536" s="17" t="inlineStr">
        <is>
          <t>DraftKings</t>
        </is>
      </c>
      <c r="Q536" s="17" t="inlineStr">
        <is>
          <t>raw model/market disagreement exceeds the safety limit</t>
        </is>
      </c>
    </row>
    <row r="537">
      <c r="A537" s="12" t="inlineStr">
        <is>
          <t>PASS</t>
        </is>
      </c>
      <c r="B537" s="12" t="inlineStr">
        <is>
          <t>PRST @ SDSU</t>
        </is>
      </c>
      <c r="C537" s="12" t="inlineStr">
        <is>
          <t>2026-09-06 01:30</t>
        </is>
      </c>
      <c r="D537" s="22" t="n">
        <v>1</v>
      </c>
      <c r="E537" s="12" t="inlineStr">
        <is>
          <t>ATS</t>
        </is>
      </c>
      <c r="F537" s="12" t="inlineStr">
        <is>
          <t>SDSU -40.5</t>
        </is>
      </c>
      <c r="G537" s="23" t="n">
        <v>-40.5</v>
      </c>
      <c r="H537" s="13" t="n">
        <v>-108</v>
      </c>
      <c r="I537" s="15" t="n">
        <v>0.2489953131451131</v>
      </c>
      <c r="J537" s="15" t="n">
        <v>0.4956702459300312</v>
      </c>
      <c r="K537" s="15" t="n">
        <v>0.5192307692307693</v>
      </c>
      <c r="L537" s="14" t="n">
        <v>-0.2702354560856562</v>
      </c>
      <c r="M537" s="14" t="n">
        <v>-0.5204534709797822</v>
      </c>
      <c r="N537" s="15" t="n">
        <v>0</v>
      </c>
      <c r="O537" s="24" t="n">
        <v>0.4</v>
      </c>
      <c r="P537" s="12" t="inlineStr">
        <is>
          <t>DraftKings</t>
        </is>
      </c>
      <c r="Q537" s="12" t="inlineStr">
        <is>
          <t>PRST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WKU @ UGA</t>
        </is>
      </c>
      <c r="C538" s="17" t="inlineStr">
        <is>
          <t>2026-09-12 16:45</t>
        </is>
      </c>
      <c r="D538" s="25" t="n">
        <v>2</v>
      </c>
      <c r="E538" s="17" t="inlineStr">
        <is>
          <t>ATS</t>
        </is>
      </c>
      <c r="F538" s="17" t="inlineStr">
        <is>
          <t>UGA -35.5</t>
        </is>
      </c>
      <c r="G538" s="26" t="n">
        <v>-35.5</v>
      </c>
      <c r="H538" s="18" t="n">
        <v>-110</v>
      </c>
      <c r="I538" s="20" t="n">
        <v>0.2535426425087509</v>
      </c>
      <c r="J538" s="20" t="n">
        <v>0.5</v>
      </c>
      <c r="K538" s="20" t="n">
        <v>0.5238095238095238</v>
      </c>
      <c r="L538" s="19" t="n">
        <v>-0.270266881300773</v>
      </c>
      <c r="M538" s="19" t="n">
        <v>-0.5159640461196575</v>
      </c>
      <c r="N538" s="20" t="n">
        <v>0</v>
      </c>
      <c r="O538" s="27" t="n">
        <v>0.4</v>
      </c>
      <c r="P538" s="17" t="inlineStr">
        <is>
          <t>DraftKings</t>
        </is>
      </c>
      <c r="Q538" s="17" t="inlineStr">
        <is>
          <t>raw model/market disagreement exceeds the safety limit</t>
        </is>
      </c>
    </row>
    <row r="539">
      <c r="A539" s="12" t="inlineStr">
        <is>
          <t>PASS</t>
        </is>
      </c>
      <c r="B539" s="12" t="inlineStr">
        <is>
          <t>RICE @ ND</t>
        </is>
      </c>
      <c r="C539" s="12" t="inlineStr">
        <is>
          <t>2026-09-12 19:30</t>
        </is>
      </c>
      <c r="D539" s="22" t="n">
        <v>2</v>
      </c>
      <c r="E539" s="12" t="inlineStr">
        <is>
          <t>ATS</t>
        </is>
      </c>
      <c r="F539" s="12" t="inlineStr">
        <is>
          <t>ND -44.5</t>
        </is>
      </c>
      <c r="G539" s="23" t="n">
        <v>-44.5</v>
      </c>
      <c r="H539" s="13" t="n">
        <v>-108</v>
      </c>
      <c r="I539" s="15" t="n">
        <v>0.2482656919440774</v>
      </c>
      <c r="J539" s="15" t="n">
        <v>0.4956702459300312</v>
      </c>
      <c r="K539" s="15" t="n">
        <v>0.5192307692307693</v>
      </c>
      <c r="L539" s="14" t="n">
        <v>-0.2709650772866918</v>
      </c>
      <c r="M539" s="14" t="n">
        <v>-0.521858667366962</v>
      </c>
      <c r="N539" s="15" t="n">
        <v>0</v>
      </c>
      <c r="O539" s="24" t="n">
        <v>0.4</v>
      </c>
      <c r="P539" s="12" t="inlineStr">
        <is>
          <t>DraftKings</t>
        </is>
      </c>
      <c r="Q539" s="12" t="inlineStr">
        <is>
          <t>raw model/market disagreement exceeds the safety limit</t>
        </is>
      </c>
    </row>
    <row r="540">
      <c r="A540" s="17" t="inlineStr">
        <is>
          <t>PASS</t>
        </is>
      </c>
      <c r="B540" s="17" t="inlineStr">
        <is>
          <t>HAMP @ MD</t>
        </is>
      </c>
      <c r="C540" s="17" t="inlineStr">
        <is>
          <t>2026-09-06 00:00</t>
        </is>
      </c>
      <c r="D540" s="25" t="n">
        <v>1</v>
      </c>
      <c r="E540" s="17" t="inlineStr">
        <is>
          <t>ATS</t>
        </is>
      </c>
      <c r="F540" s="17" t="inlineStr">
        <is>
          <t>MD -45.5</t>
        </is>
      </c>
      <c r="G540" s="26" t="n">
        <v>-45.5</v>
      </c>
      <c r="H540" s="18" t="n">
        <v>-108</v>
      </c>
      <c r="I540" s="20" t="n">
        <v>0.2481665855537018</v>
      </c>
      <c r="J540" s="20" t="n">
        <v>0.4956702459300312</v>
      </c>
      <c r="K540" s="20" t="n">
        <v>0.5192307692307693</v>
      </c>
      <c r="L540" s="19" t="n">
        <v>-0.2710641836770675</v>
      </c>
      <c r="M540" s="19" t="n">
        <v>-0.5220495389336113</v>
      </c>
      <c r="N540" s="20" t="n">
        <v>0</v>
      </c>
      <c r="O540" s="27" t="n">
        <v>0.4</v>
      </c>
      <c r="P540" s="17" t="inlineStr">
        <is>
          <t>DraftKings</t>
        </is>
      </c>
      <c r="Q540" s="17" t="inlineStr">
        <is>
          <t>HAMP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UTU @ BYU</t>
        </is>
      </c>
      <c r="C541" s="12" t="inlineStr">
        <is>
          <t>2026-09-06 00:00</t>
        </is>
      </c>
      <c r="D541" s="22" t="n">
        <v>1</v>
      </c>
      <c r="E541" s="12" t="inlineStr">
        <is>
          <t>ATS</t>
        </is>
      </c>
      <c r="F541" s="12" t="inlineStr">
        <is>
          <t>BYU -49.5</t>
        </is>
      </c>
      <c r="G541" s="23" t="n">
        <v>-49.5</v>
      </c>
      <c r="H541" s="13" t="n">
        <v>-108</v>
      </c>
      <c r="I541" s="15" t="n">
        <v>0.2479452300395306</v>
      </c>
      <c r="J541" s="15" t="n">
        <v>0.4956702459300312</v>
      </c>
      <c r="K541" s="15" t="n">
        <v>0.5192307692307693</v>
      </c>
      <c r="L541" s="14" t="n">
        <v>-0.2712855391912387</v>
      </c>
      <c r="M541" s="14" t="n">
        <v>-0.5224758532572003</v>
      </c>
      <c r="N541" s="15" t="n">
        <v>0</v>
      </c>
      <c r="O541" s="24" t="n">
        <v>0.4</v>
      </c>
      <c r="P541" s="12" t="inlineStr">
        <is>
          <t>DraftKings</t>
        </is>
      </c>
      <c r="Q541" s="12" t="inlineStr">
        <is>
          <t>UTU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UNA @ ARK</t>
        </is>
      </c>
      <c r="C542" s="17" t="inlineStr">
        <is>
          <t>2026-09-05 20:15</t>
        </is>
      </c>
      <c r="D542" s="25" t="n">
        <v>1</v>
      </c>
      <c r="E542" s="17" t="inlineStr">
        <is>
          <t>ATS</t>
        </is>
      </c>
      <c r="F542" s="17" t="inlineStr">
        <is>
          <t>ARK -40.5</t>
        </is>
      </c>
      <c r="G542" s="26" t="n">
        <v>-40.5</v>
      </c>
      <c r="H542" s="18" t="n">
        <v>-110</v>
      </c>
      <c r="I542" s="20" t="n">
        <v>0.2511601901800974</v>
      </c>
      <c r="J542" s="20" t="n">
        <v>0.5</v>
      </c>
      <c r="K542" s="20" t="n">
        <v>0.5238095238095238</v>
      </c>
      <c r="L542" s="19" t="n">
        <v>-0.2726493336294264</v>
      </c>
      <c r="M542" s="19" t="n">
        <v>-0.520512364201632</v>
      </c>
      <c r="N542" s="20" t="n">
        <v>0</v>
      </c>
      <c r="O542" s="27" t="n">
        <v>0.4</v>
      </c>
      <c r="P542" s="17" t="inlineStr">
        <is>
          <t>DraftKings</t>
        </is>
      </c>
      <c r="Q542" s="17" t="inlineStr">
        <is>
          <t>UNA isn't a full FBS participant this season — model doesn't rate them reliably</t>
        </is>
      </c>
    </row>
    <row r="543">
      <c r="A543" s="12" t="inlineStr">
        <is>
          <t>PASS</t>
        </is>
      </c>
      <c r="B543" s="12" t="inlineStr">
        <is>
          <t>MOST @ TA&amp;M</t>
        </is>
      </c>
      <c r="C543" s="12" t="inlineStr">
        <is>
          <t>2026-09-05 23:00</t>
        </is>
      </c>
      <c r="D543" s="22" t="n">
        <v>1</v>
      </c>
      <c r="E543" s="12" t="inlineStr">
        <is>
          <t>ATS</t>
        </is>
      </c>
      <c r="F543" s="12" t="inlineStr">
        <is>
          <t>TA&amp;M -40.5</t>
        </is>
      </c>
      <c r="G543" s="23" t="n">
        <v>-40.5</v>
      </c>
      <c r="H543" s="13" t="n">
        <v>-110</v>
      </c>
      <c r="I543" s="15" t="n">
        <v>0.2511601901800974</v>
      </c>
      <c r="J543" s="15" t="n">
        <v>0.5</v>
      </c>
      <c r="K543" s="15" t="n">
        <v>0.5238095238095238</v>
      </c>
      <c r="L543" s="14" t="n">
        <v>-0.2726493336294264</v>
      </c>
      <c r="M543" s="14" t="n">
        <v>-0.520512364201632</v>
      </c>
      <c r="N543" s="15" t="n">
        <v>0</v>
      </c>
      <c r="O543" s="24" t="n">
        <v>0.4</v>
      </c>
      <c r="P543" s="12" t="inlineStr">
        <is>
          <t>DraftKings</t>
        </is>
      </c>
      <c r="Q543" s="12" t="inlineStr">
        <is>
          <t>raw model/market disagreement exceeds the safety limit</t>
        </is>
      </c>
    </row>
    <row r="544">
      <c r="A544" s="17" t="inlineStr">
        <is>
          <t>PASS</t>
        </is>
      </c>
      <c r="B544" s="17" t="inlineStr">
        <is>
          <t>TTU @ ORST</t>
        </is>
      </c>
      <c r="C544" s="17" t="inlineStr">
        <is>
          <t>2026-09-12 23:30</t>
        </is>
      </c>
      <c r="D544" s="25" t="n">
        <v>2</v>
      </c>
      <c r="E544" s="17" t="inlineStr">
        <is>
          <t>ATS</t>
        </is>
      </c>
      <c r="F544" s="17" t="inlineStr">
        <is>
          <t>TTU -27.5</t>
        </is>
      </c>
      <c r="G544" s="26" t="n">
        <v>27.5</v>
      </c>
      <c r="H544" s="18" t="n">
        <v>-112</v>
      </c>
      <c r="I544" s="20" t="n">
        <v>0.2552717678035972</v>
      </c>
      <c r="J544" s="20" t="n">
        <v>0.5043297540699688</v>
      </c>
      <c r="K544" s="20" t="n">
        <v>0.5283018867924528</v>
      </c>
      <c r="L544" s="19" t="n">
        <v>-0.2730301189888557</v>
      </c>
      <c r="M544" s="19" t="n">
        <v>-0.516807010943191</v>
      </c>
      <c r="N544" s="20" t="n">
        <v>0</v>
      </c>
      <c r="O544" s="27" t="n">
        <v>0.4</v>
      </c>
      <c r="P544" s="17" t="inlineStr">
        <is>
          <t>DraftKings</t>
        </is>
      </c>
      <c r="Q544" s="17" t="inlineStr">
        <is>
          <t>raw model/market disagreement exceeds the safety limit</t>
        </is>
      </c>
    </row>
    <row r="545">
      <c r="A545" s="12" t="inlineStr">
        <is>
          <t>PASS</t>
        </is>
      </c>
      <c r="B545" s="12" t="inlineStr">
        <is>
          <t>ACU @ TTU</t>
        </is>
      </c>
      <c r="C545" s="12" t="inlineStr">
        <is>
          <t>2026-09-05 23:00</t>
        </is>
      </c>
      <c r="D545" s="22" t="n">
        <v>1</v>
      </c>
      <c r="E545" s="12" t="inlineStr">
        <is>
          <t>ATS</t>
        </is>
      </c>
      <c r="F545" s="12" t="inlineStr">
        <is>
          <t>TTU -43.5</t>
        </is>
      </c>
      <c r="G545" s="23" t="n">
        <v>-43.5</v>
      </c>
      <c r="H545" s="13" t="n">
        <v>-110</v>
      </c>
      <c r="I545" s="15" t="n">
        <v>0.2505562228664172</v>
      </c>
      <c r="J545" s="15" t="n">
        <v>0.5</v>
      </c>
      <c r="K545" s="15" t="n">
        <v>0.5238095238095238</v>
      </c>
      <c r="L545" s="14" t="n">
        <v>-0.2732533009431067</v>
      </c>
      <c r="M545" s="14" t="n">
        <v>-0.5216653927095672</v>
      </c>
      <c r="N545" s="15" t="n">
        <v>0</v>
      </c>
      <c r="O545" s="24" t="n">
        <v>0.4</v>
      </c>
      <c r="P545" s="12" t="inlineStr">
        <is>
          <t>DraftKings</t>
        </is>
      </c>
      <c r="Q545" s="12" t="inlineStr">
        <is>
          <t>ACU isn't a full FBS participant this season — model doesn't rate them reliably</t>
        </is>
      </c>
    </row>
    <row r="546">
      <c r="A546" s="17" t="inlineStr">
        <is>
          <t>PASS</t>
        </is>
      </c>
      <c r="B546" s="17" t="inlineStr">
        <is>
          <t>MVSU @ SAC</t>
        </is>
      </c>
      <c r="C546" s="17" t="inlineStr">
        <is>
          <t>2026-09-06 02:00</t>
        </is>
      </c>
      <c r="D546" s="25" t="n">
        <v>1</v>
      </c>
      <c r="E546" s="17" t="inlineStr">
        <is>
          <t>ATS</t>
        </is>
      </c>
      <c r="F546" s="17" t="inlineStr">
        <is>
          <t>SAC -37.5</t>
        </is>
      </c>
      <c r="G546" s="26" t="n">
        <v>-37.5</v>
      </c>
      <c r="H546" s="18" t="n">
        <v>-112</v>
      </c>
      <c r="I546" s="20" t="n">
        <v>0.2545737117425675</v>
      </c>
      <c r="J546" s="20" t="n">
        <v>0.5043297540699688</v>
      </c>
      <c r="K546" s="20" t="n">
        <v>0.5283018867924528</v>
      </c>
      <c r="L546" s="19" t="n">
        <v>-0.2737281750498853</v>
      </c>
      <c r="M546" s="19" t="n">
        <v>-0.5181283313444258</v>
      </c>
      <c r="N546" s="20" t="n">
        <v>0</v>
      </c>
      <c r="O546" s="27" t="n">
        <v>0.4</v>
      </c>
      <c r="P546" s="17" t="inlineStr">
        <is>
          <t>DraftKings</t>
        </is>
      </c>
      <c r="Q546" s="17" t="inlineStr">
        <is>
          <t>MVSU isn't a full FBS participant this season — model doesn't rate them reliably</t>
        </is>
      </c>
    </row>
    <row r="547">
      <c r="A547" s="12" t="inlineStr">
        <is>
          <t>PASS</t>
        </is>
      </c>
      <c r="B547" s="12" t="inlineStr">
        <is>
          <t>VMI @ VT</t>
        </is>
      </c>
      <c r="C547" s="12" t="inlineStr">
        <is>
          <t>2026-09-05 23:30</t>
        </is>
      </c>
      <c r="D547" s="22" t="n">
        <v>1</v>
      </c>
      <c r="E547" s="12" t="inlineStr">
        <is>
          <t>ATS</t>
        </is>
      </c>
      <c r="F547" s="12" t="inlineStr">
        <is>
          <t>VT -54.5</t>
        </is>
      </c>
      <c r="G547" s="23" t="n">
        <v>-54.5</v>
      </c>
      <c r="H547" s="13" t="n">
        <v>-112</v>
      </c>
      <c r="I547" s="15" t="n">
        <v>0.2521893217683004</v>
      </c>
      <c r="J547" s="15" t="n">
        <v>0.5043297540699688</v>
      </c>
      <c r="K547" s="15" t="n">
        <v>0.5283018867924528</v>
      </c>
      <c r="L547" s="14" t="n">
        <v>-0.2761125650241524</v>
      </c>
      <c r="M547" s="14" t="n">
        <v>-0.5226416409385742</v>
      </c>
      <c r="N547" s="15" t="n">
        <v>0</v>
      </c>
      <c r="O547" s="24" t="n">
        <v>0.4</v>
      </c>
      <c r="P547" s="12" t="inlineStr">
        <is>
          <t>DraftKings</t>
        </is>
      </c>
      <c r="Q547" s="12" t="inlineStr">
        <is>
          <t>VMI isn't a full FBS participant this season — model doesn't rate them reliably</t>
        </is>
      </c>
    </row>
    <row r="548">
      <c r="A548" s="17" t="inlineStr">
        <is>
          <t>PASS</t>
        </is>
      </c>
      <c r="B548" s="17" t="inlineStr">
        <is>
          <t>MORG @ ASU</t>
        </is>
      </c>
      <c r="C548" s="17" t="inlineStr">
        <is>
          <t>2026-09-06 02:00</t>
        </is>
      </c>
      <c r="D548" s="25" t="n">
        <v>1</v>
      </c>
      <c r="E548" s="17" t="inlineStr">
        <is>
          <t>ATS</t>
        </is>
      </c>
      <c r="F548" s="17" t="inlineStr">
        <is>
          <t>ASU -43.5</t>
        </is>
      </c>
      <c r="G548" s="26" t="n">
        <v>-43.5</v>
      </c>
      <c r="H548" s="18" t="n">
        <v>-115</v>
      </c>
      <c r="I548" s="20" t="n">
        <v>0.2559733409595916</v>
      </c>
      <c r="J548" s="20" t="n">
        <v>0.5108342361863488</v>
      </c>
      <c r="K548" s="20" t="n">
        <v>0.5348837209302325</v>
      </c>
      <c r="L548" s="19" t="n">
        <v>-0.2789103799706409</v>
      </c>
      <c r="M548" s="19" t="n">
        <v>-0.5214411451625027</v>
      </c>
      <c r="N548" s="20" t="n">
        <v>0</v>
      </c>
      <c r="O548" s="27" t="n">
        <v>0.4</v>
      </c>
      <c r="P548" s="17" t="inlineStr">
        <is>
          <t>DraftKings</t>
        </is>
      </c>
      <c r="Q548" s="17" t="inlineStr">
        <is>
          <t>MORG isn't a full FBS participant this season — model doesn't rate them reliably</t>
        </is>
      </c>
    </row>
    <row r="549">
      <c r="A549" s="12" t="inlineStr">
        <is>
          <t>PASS</t>
        </is>
      </c>
      <c r="B549" s="12" t="inlineStr">
        <is>
          <t>NWST @ LT</t>
        </is>
      </c>
      <c r="C549" s="12" t="inlineStr">
        <is>
          <t>2026-09-05 23:30</t>
        </is>
      </c>
      <c r="D549" s="22" t="n">
        <v>1</v>
      </c>
      <c r="E549" s="12" t="inlineStr">
        <is>
          <t>ATS</t>
        </is>
      </c>
      <c r="F549" s="12" t="inlineStr">
        <is>
          <t>LT -44.5</t>
        </is>
      </c>
      <c r="G549" s="23" t="n">
        <v>-44.5</v>
      </c>
      <c r="H549" s="13" t="n">
        <v>-115</v>
      </c>
      <c r="I549" s="15" t="n">
        <v>0.2558476870722362</v>
      </c>
      <c r="J549" s="15" t="n">
        <v>0.5108342361863488</v>
      </c>
      <c r="K549" s="15" t="n">
        <v>0.5348837209302325</v>
      </c>
      <c r="L549" s="14" t="n">
        <v>-0.2790360338579963</v>
      </c>
      <c r="M549" s="14" t="n">
        <v>-0.5216760632997324</v>
      </c>
      <c r="N549" s="15" t="n">
        <v>0</v>
      </c>
      <c r="O549" s="24" t="n">
        <v>0.4</v>
      </c>
      <c r="P549" s="12" t="inlineStr">
        <is>
          <t>DraftKings</t>
        </is>
      </c>
      <c r="Q549" s="12" t="inlineStr">
        <is>
          <t>NWST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TNST @ UGA</t>
        </is>
      </c>
      <c r="C550" s="17" t="inlineStr">
        <is>
          <t>2026-09-05 19:00</t>
        </is>
      </c>
      <c r="D550" s="25" t="n">
        <v>1</v>
      </c>
      <c r="E550" s="17" t="inlineStr">
        <is>
          <t>ATS</t>
        </is>
      </c>
      <c r="F550" s="17" t="inlineStr">
        <is>
          <t>UGA -48.5</t>
        </is>
      </c>
      <c r="G550" s="26" t="n">
        <v>-48.5</v>
      </c>
      <c r="H550" s="18" t="n">
        <v>-118</v>
      </c>
      <c r="I550" s="20" t="n">
        <v>0.2588283197976194</v>
      </c>
      <c r="J550" s="20" t="n">
        <v>0.5173641257162701</v>
      </c>
      <c r="K550" s="20" t="n">
        <v>0.5412844036697247</v>
      </c>
      <c r="L550" s="19" t="n">
        <v>-0.2824560838721053</v>
      </c>
      <c r="M550" s="19" t="n">
        <v>-0.5218256464755844</v>
      </c>
      <c r="N550" s="20" t="n">
        <v>0</v>
      </c>
      <c r="O550" s="27" t="n">
        <v>0.4</v>
      </c>
      <c r="P550" s="17" t="inlineStr">
        <is>
          <t>DraftKings</t>
        </is>
      </c>
      <c r="Q550" s="17" t="inlineStr">
        <is>
          <t>TNST isn't a full FBS participant this season — model doesn't rate them reliably</t>
        </is>
      </c>
    </row>
    <row r="551">
      <c r="A551" s="12" t="inlineStr">
        <is>
          <t>PASS</t>
        </is>
      </c>
      <c r="B551" s="12" t="inlineStr">
        <is>
          <t>FUR @ TENN</t>
        </is>
      </c>
      <c r="C551" s="12" t="inlineStr">
        <is>
          <t>2026-09-05 19:30</t>
        </is>
      </c>
      <c r="D551" s="22" t="n">
        <v>1</v>
      </c>
      <c r="E551" s="12" t="inlineStr">
        <is>
          <t>ATS</t>
        </is>
      </c>
      <c r="F551" s="12" t="inlineStr">
        <is>
          <t>TENN -48.5</t>
        </is>
      </c>
      <c r="G551" s="23" t="n">
        <v>-48.5</v>
      </c>
      <c r="H551" s="13" t="n">
        <v>-118</v>
      </c>
      <c r="I551" s="15" t="n">
        <v>0.2588283197976194</v>
      </c>
      <c r="J551" s="15" t="n">
        <v>0.5173641257162701</v>
      </c>
      <c r="K551" s="15" t="n">
        <v>0.5412844036697247</v>
      </c>
      <c r="L551" s="14" t="n">
        <v>-0.2824560838721053</v>
      </c>
      <c r="M551" s="14" t="n">
        <v>-0.5218256464755844</v>
      </c>
      <c r="N551" s="15" t="n">
        <v>0</v>
      </c>
      <c r="O551" s="24" t="n">
        <v>0.4</v>
      </c>
      <c r="P551" s="12" t="inlineStr">
        <is>
          <t>DraftKings</t>
        </is>
      </c>
      <c r="Q551" s="12" t="inlineStr">
        <is>
          <t>FUR isn't a full FBS participant this season — model doesn't rate them reliably</t>
        </is>
      </c>
    </row>
    <row r="552">
      <c r="A552" s="17" t="inlineStr">
        <is>
          <t>PASS</t>
        </is>
      </c>
      <c r="B552" s="17" t="inlineStr">
        <is>
          <t>ORE @ OKST</t>
        </is>
      </c>
      <c r="C552" s="17" t="inlineStr">
        <is>
          <t>2026-09-12 16:00</t>
        </is>
      </c>
      <c r="D552" s="25" t="n">
        <v>2</v>
      </c>
      <c r="E552" s="17" t="inlineStr">
        <is>
          <t>ML</t>
        </is>
      </c>
      <c r="F552" s="17" t="inlineStr">
        <is>
          <t>ORE ML</t>
        </is>
      </c>
      <c r="G552" s="26" t="n"/>
      <c r="H552" s="18" t="n">
        <v>-1200</v>
      </c>
      <c r="I552" s="20" t="n">
        <v>0.6312408387553161</v>
      </c>
      <c r="J552" s="20" t="n">
        <v>0.8869565217391304</v>
      </c>
      <c r="K552" s="20" t="n">
        <v>0.9230769230769231</v>
      </c>
      <c r="L552" s="19" t="n">
        <v>-0.291836084321607</v>
      </c>
      <c r="M552" s="19" t="n">
        <v>-0.3161557580150742</v>
      </c>
      <c r="N552" s="20" t="n">
        <v>0</v>
      </c>
      <c r="O552" s="27" t="n">
        <v>0.4</v>
      </c>
      <c r="P552" s="17" t="inlineStr">
        <is>
          <t>DraftKings</t>
        </is>
      </c>
      <c r="Q552" s="17" t="inlineStr">
        <is>
          <t>price outside allowed range</t>
        </is>
      </c>
    </row>
    <row r="553">
      <c r="A553" s="12" t="inlineStr">
        <is>
          <t>PASS</t>
        </is>
      </c>
      <c r="B553" s="12" t="inlineStr">
        <is>
          <t>PSU @ TEM</t>
        </is>
      </c>
      <c r="C553" s="12" t="inlineStr">
        <is>
          <t>2026-09-12 16:00</t>
        </is>
      </c>
      <c r="D553" s="22" t="n">
        <v>2</v>
      </c>
      <c r="E553" s="12" t="inlineStr">
        <is>
          <t>ML</t>
        </is>
      </c>
      <c r="F553" s="12" t="inlineStr">
        <is>
          <t>PSU ML</t>
        </is>
      </c>
      <c r="G553" s="23" t="n"/>
      <c r="H553" s="13" t="n">
        <v>-2100</v>
      </c>
      <c r="I553" s="15" t="n">
        <v>0.647616592484291</v>
      </c>
      <c r="J553" s="15" t="n">
        <v>0.9197080291970804</v>
      </c>
      <c r="K553" s="15" t="n">
        <v>0.9545454545454546</v>
      </c>
      <c r="L553" s="14" t="n">
        <v>-0.3069288620611635</v>
      </c>
      <c r="M553" s="14" t="n">
        <v>-0.3215445221593141</v>
      </c>
      <c r="N553" s="15" t="n">
        <v>0</v>
      </c>
      <c r="O553" s="24" t="n">
        <v>0.4</v>
      </c>
      <c r="P553" s="12" t="inlineStr">
        <is>
          <t>DraftKings</t>
        </is>
      </c>
      <c r="Q553" s="12" t="inlineStr">
        <is>
          <t>price outside allowed range</t>
        </is>
      </c>
    </row>
    <row r="554">
      <c r="A554" s="17" t="inlineStr">
        <is>
          <t>PASS</t>
        </is>
      </c>
      <c r="B554" s="17" t="inlineStr">
        <is>
          <t>TTU @ ORST</t>
        </is>
      </c>
      <c r="C554" s="17" t="inlineStr">
        <is>
          <t>2026-09-12 23:30</t>
        </is>
      </c>
      <c r="D554" s="25" t="n">
        <v>2</v>
      </c>
      <c r="E554" s="17" t="inlineStr">
        <is>
          <t>ML</t>
        </is>
      </c>
      <c r="F554" s="17" t="inlineStr">
        <is>
          <t>TTU ML</t>
        </is>
      </c>
      <c r="G554" s="26" t="n"/>
      <c r="H554" s="18" t="n">
        <v>-5000</v>
      </c>
      <c r="I554" s="20" t="n">
        <v>0.6622880524112255</v>
      </c>
      <c r="J554" s="20" t="n">
        <v>0.949050949050949</v>
      </c>
      <c r="K554" s="20" t="n">
        <v>0.9803921568627451</v>
      </c>
      <c r="L554" s="19" t="n">
        <v>-0.3181041044515196</v>
      </c>
      <c r="M554" s="19" t="n">
        <v>-0.32446618654055</v>
      </c>
      <c r="N554" s="20" t="n">
        <v>0</v>
      </c>
      <c r="O554" s="27" t="n">
        <v>0.4</v>
      </c>
      <c r="P554" s="17" t="inlineStr">
        <is>
          <t>DraftKings</t>
        </is>
      </c>
      <c r="Q554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ARK @ UTAH</t>
        </is>
      </c>
      <c r="C7" s="17" t="inlineStr">
        <is>
          <t>ATS</t>
        </is>
      </c>
      <c r="D7" s="17" t="inlineStr">
        <is>
          <t>ARK +9.5</t>
        </is>
      </c>
      <c r="E7" s="18" t="n">
        <v>-105</v>
      </c>
      <c r="F7" s="21" t="n">
        <v>23.5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0.09180000000000001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2026-09-12</t>
        </is>
      </c>
      <c r="B8" s="12" t="inlineStr">
        <is>
          <t>OSU @ TEX</t>
        </is>
      </c>
      <c r="C8" s="12" t="inlineStr">
        <is>
          <t>TOTAL</t>
        </is>
      </c>
      <c r="D8" s="12" t="inlineStr">
        <is>
          <t>Over 47.5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0.1189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TTU @ ORST</t>
        </is>
      </c>
      <c r="C9" s="17" t="inlineStr">
        <is>
          <t>TOTAL</t>
        </is>
      </c>
      <c r="D9" s="17" t="inlineStr">
        <is>
          <t>Over 49.5</t>
        </is>
      </c>
      <c r="E9" s="18" t="n">
        <v>-108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0.1092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2026-09-12</t>
        </is>
      </c>
      <c r="B10" s="12" t="inlineStr">
        <is>
          <t>ISU @ IOWA</t>
        </is>
      </c>
      <c r="C10" s="12" t="inlineStr">
        <is>
          <t>ATS</t>
        </is>
      </c>
      <c r="D10" s="12" t="inlineStr">
        <is>
          <t>ISU +12.5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0.1201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ISU @ IOWA</t>
        </is>
      </c>
      <c r="C11" s="17" t="inlineStr">
        <is>
          <t>ML</t>
        </is>
      </c>
      <c r="D11" s="17" t="inlineStr">
        <is>
          <t>ISU ML</t>
        </is>
      </c>
      <c r="E11" s="18" t="n">
        <v>550</v>
      </c>
      <c r="F11" s="21" t="n">
        <v>19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0.128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SDSU @ UCLA</t>
        </is>
      </c>
      <c r="C12" s="12" t="inlineStr">
        <is>
          <t>TOTAL</t>
        </is>
      </c>
      <c r="D12" s="12" t="inlineStr">
        <is>
          <t>Over 48.5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0.1218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2026-09-12</t>
        </is>
      </c>
      <c r="B13" s="17" t="inlineStr">
        <is>
          <t>JVST @ OHIO</t>
        </is>
      </c>
      <c r="C13" s="17" t="inlineStr">
        <is>
          <t>TOTAL</t>
        </is>
      </c>
      <c r="D13" s="17" t="inlineStr">
        <is>
          <t>Over 48.5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0.1159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2026-09-12</t>
        </is>
      </c>
      <c r="B14" s="12" t="inlineStr">
        <is>
          <t>UCF @ PITT</t>
        </is>
      </c>
      <c r="C14" s="12" t="inlineStr">
        <is>
          <t>TOTAL</t>
        </is>
      </c>
      <c r="D14" s="12" t="inlineStr">
        <is>
          <t>Over 51.5</t>
        </is>
      </c>
      <c r="E14" s="13" t="n">
        <v>-108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0.1061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EMU @ MSU</t>
        </is>
      </c>
      <c r="C15" s="17" t="inlineStr">
        <is>
          <t>ML</t>
        </is>
      </c>
      <c r="D15" s="17" t="inlineStr">
        <is>
          <t>EMU ML</t>
        </is>
      </c>
      <c r="E15" s="18" t="n">
        <v>550</v>
      </c>
      <c r="F15" s="21" t="n">
        <v>16.5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0.1106</v>
      </c>
      <c r="M15" s="19" t="n"/>
      <c r="N15" s="17" t="n"/>
      <c r="O15" s="17" t="inlineStr">
        <is>
          <t>Draft Kings</t>
        </is>
      </c>
    </row>
    <row r="16">
      <c r="A16" s="12" t="inlineStr">
        <is>
          <t>2026-09-12</t>
        </is>
      </c>
      <c r="B16" s="12" t="inlineStr">
        <is>
          <t>ASU @ TA&amp;M</t>
        </is>
      </c>
      <c r="C16" s="12" t="inlineStr">
        <is>
          <t>ML</t>
        </is>
      </c>
      <c r="D16" s="12" t="inlineStr">
        <is>
          <t>ASU ML</t>
        </is>
      </c>
      <c r="E16" s="13" t="n">
        <v>410</v>
      </c>
      <c r="F16" s="16" t="n">
        <v>16.5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0.1061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ASU @ TA&amp;M</t>
        </is>
      </c>
      <c r="C17" s="17" t="inlineStr">
        <is>
          <t>TOTAL</t>
        </is>
      </c>
      <c r="D17" s="17" t="inlineStr">
        <is>
          <t>Over 50.5</t>
        </is>
      </c>
      <c r="E17" s="18" t="n">
        <v>-112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0.09660000000000001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ODU @ VT</t>
        </is>
      </c>
      <c r="C18" s="12" t="inlineStr">
        <is>
          <t>ML</t>
        </is>
      </c>
      <c r="D18" s="12" t="inlineStr">
        <is>
          <t>ODU ML</t>
        </is>
      </c>
      <c r="E18" s="13" t="n">
        <v>455</v>
      </c>
      <c r="F18" s="16" t="n">
        <v>15.5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0.1006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2026-09-12</t>
        </is>
      </c>
      <c r="B19" s="17" t="inlineStr">
        <is>
          <t>WAKE @ PUR</t>
        </is>
      </c>
      <c r="C19" s="17" t="inlineStr">
        <is>
          <t>TOTAL</t>
        </is>
      </c>
      <c r="D19" s="17" t="inlineStr">
        <is>
          <t>Over 49.5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0.1129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PSU @ TEM</t>
        </is>
      </c>
      <c r="C20" s="12" t="inlineStr">
        <is>
          <t>TOTAL</t>
        </is>
      </c>
      <c r="D20" s="12" t="inlineStr">
        <is>
          <t>Over 51.5</t>
        </is>
      </c>
      <c r="E20" s="13" t="n">
        <v>-105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0.09859999999999999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MIZ @ KU</t>
        </is>
      </c>
      <c r="C21" s="17" t="inlineStr">
        <is>
          <t>ATS</t>
        </is>
      </c>
      <c r="D21" s="17" t="inlineStr">
        <is>
          <t>KU +6.5</t>
        </is>
      </c>
      <c r="E21" s="18" t="n">
        <v>-105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0.1173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2026-09-12</t>
        </is>
      </c>
      <c r="B22" s="12" t="inlineStr">
        <is>
          <t>MIZ @ KU</t>
        </is>
      </c>
      <c r="C22" s="12" t="inlineStr">
        <is>
          <t>ML</t>
        </is>
      </c>
      <c r="D22" s="12" t="inlineStr">
        <is>
          <t>KU ML</t>
        </is>
      </c>
      <c r="E22" s="13" t="n">
        <v>205</v>
      </c>
      <c r="F22" s="16" t="n">
        <v>22.5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0.1213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2026-09-06</t>
        </is>
      </c>
      <c r="B23" s="17" t="inlineStr">
        <is>
          <t>UNLV @ HAW</t>
        </is>
      </c>
      <c r="C23" s="17" t="inlineStr">
        <is>
          <t>ATS</t>
        </is>
      </c>
      <c r="D23" s="17" t="inlineStr">
        <is>
          <t>HAW +3</t>
        </is>
      </c>
      <c r="E23" s="18" t="n">
        <v>-108</v>
      </c>
      <c r="F23" s="21" t="n">
        <v>23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0.08989999999999999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2026-09-06</t>
        </is>
      </c>
      <c r="B24" s="12" t="inlineStr">
        <is>
          <t>UNLV @ HAW</t>
        </is>
      </c>
      <c r="C24" s="12" t="inlineStr">
        <is>
          <t>ML</t>
        </is>
      </c>
      <c r="D24" s="12" t="inlineStr">
        <is>
          <t>HAW ML</t>
        </is>
      </c>
      <c r="E24" s="13" t="n">
        <v>136</v>
      </c>
      <c r="F24" s="16" t="n">
        <v>24.5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0.1085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2026-09-06</t>
        </is>
      </c>
      <c r="B25" s="17" t="inlineStr">
        <is>
          <t>CMU @ UNM</t>
        </is>
      </c>
      <c r="C25" s="17" t="inlineStr">
        <is>
          <t>ATS</t>
        </is>
      </c>
      <c r="D25" s="17" t="inlineStr">
        <is>
          <t>CMU +10.5</t>
        </is>
      </c>
      <c r="E25" s="18" t="n">
        <v>-112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0.0988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2026-09-05</t>
        </is>
      </c>
      <c r="B26" s="12" t="inlineStr">
        <is>
          <t>CLEM @ LSU</t>
        </is>
      </c>
      <c r="C26" s="12" t="inlineStr">
        <is>
          <t>ATS</t>
        </is>
      </c>
      <c r="D26" s="12" t="inlineStr">
        <is>
          <t>CLEM +10.5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0.109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2026-09-05</t>
        </is>
      </c>
      <c r="B27" s="17" t="inlineStr">
        <is>
          <t>CLEM @ LSU</t>
        </is>
      </c>
      <c r="C27" s="17" t="inlineStr">
        <is>
          <t>ML</t>
        </is>
      </c>
      <c r="D27" s="17" t="inlineStr">
        <is>
          <t>CLEM ML</t>
        </is>
      </c>
      <c r="E27" s="18" t="n">
        <v>275</v>
      </c>
      <c r="F27" s="21" t="n">
        <v>15.5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0.0896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WMU @ MICH</t>
        </is>
      </c>
      <c r="C28" s="12" t="inlineStr">
        <is>
          <t>TOTAL</t>
        </is>
      </c>
      <c r="D28" s="12" t="inlineStr">
        <is>
          <t>Over 47.5</t>
        </is>
      </c>
      <c r="E28" s="13" t="n">
        <v>-115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0.1073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2026-09-05</t>
        </is>
      </c>
      <c r="B29" s="17" t="inlineStr">
        <is>
          <t>CLEM @ LSU</t>
        </is>
      </c>
      <c r="C29" s="17" t="inlineStr">
        <is>
          <t>TOTAL</t>
        </is>
      </c>
      <c r="D29" s="17" t="inlineStr">
        <is>
          <t>Over 50.5</t>
        </is>
      </c>
      <c r="E29" s="18" t="n">
        <v>-112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0.0901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ARST @ MEM</t>
        </is>
      </c>
      <c r="C30" s="12" t="inlineStr">
        <is>
          <t>ATS</t>
        </is>
      </c>
      <c r="D30" s="12" t="inlineStr">
        <is>
          <t>ARST +11.5</t>
        </is>
      </c>
      <c r="E30" s="13" t="n">
        <v>-112</v>
      </c>
      <c r="F30" s="16" t="n">
        <v>25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0.1011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2026-09-05</t>
        </is>
      </c>
      <c r="B31" s="17" t="inlineStr">
        <is>
          <t>FIU @ USF</t>
        </is>
      </c>
      <c r="C31" s="17" t="inlineStr">
        <is>
          <t>ML</t>
        </is>
      </c>
      <c r="D31" s="17" t="inlineStr">
        <is>
          <t>FIU ML</t>
        </is>
      </c>
      <c r="E31" s="18" t="n">
        <v>425</v>
      </c>
      <c r="F31" s="21" t="n">
        <v>18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0.1165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2026-09-05</t>
        </is>
      </c>
      <c r="B32" s="12" t="inlineStr">
        <is>
          <t>FIU @ USF</t>
        </is>
      </c>
      <c r="C32" s="12" t="inlineStr">
        <is>
          <t>TOTAL</t>
        </is>
      </c>
      <c r="D32" s="12" t="inlineStr">
        <is>
          <t>Over 53.5</t>
        </is>
      </c>
      <c r="E32" s="13" t="n">
        <v>-115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0.09329999999999999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2026-09-05</t>
        </is>
      </c>
      <c r="B33" s="17" t="inlineStr">
        <is>
          <t>SHSU @ TROY</t>
        </is>
      </c>
      <c r="C33" s="17" t="inlineStr">
        <is>
          <t>ML</t>
        </is>
      </c>
      <c r="D33" s="17" t="inlineStr">
        <is>
          <t>SHSU ML</t>
        </is>
      </c>
      <c r="E33" s="18" t="n">
        <v>600</v>
      </c>
      <c r="F33" s="21" t="n">
        <v>19.5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0.1337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2026-09-05</t>
        </is>
      </c>
      <c r="B34" s="12" t="inlineStr">
        <is>
          <t>WYO @ CSU</t>
        </is>
      </c>
      <c r="C34" s="12" t="inlineStr">
        <is>
          <t>TOTAL</t>
        </is>
      </c>
      <c r="D34" s="12" t="inlineStr">
        <is>
          <t>Over 47.5</t>
        </is>
      </c>
      <c r="E34" s="13" t="n">
        <v>-112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0.1091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2026-09-05</t>
        </is>
      </c>
      <c r="B35" s="17" t="inlineStr">
        <is>
          <t>OKST @ TLSA</t>
        </is>
      </c>
      <c r="C35" s="17" t="inlineStr">
        <is>
          <t>TOTAL</t>
        </is>
      </c>
      <c r="D35" s="17" t="inlineStr">
        <is>
          <t>Under 60.5</t>
        </is>
      </c>
      <c r="E35" s="18" t="n">
        <v>-102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0.1091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2026-09-05</t>
        </is>
      </c>
      <c r="B36" s="12" t="inlineStr">
        <is>
          <t>BAY @ AUB</t>
        </is>
      </c>
      <c r="C36" s="12" t="inlineStr">
        <is>
          <t>ML</t>
        </is>
      </c>
      <c r="D36" s="12" t="inlineStr">
        <is>
          <t>BAY ML</t>
        </is>
      </c>
      <c r="E36" s="13" t="n">
        <v>240</v>
      </c>
      <c r="F36" s="16" t="n">
        <v>18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0.0969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2026-09-05</t>
        </is>
      </c>
      <c r="B37" s="17" t="inlineStr">
        <is>
          <t>BAY @ AUB</t>
        </is>
      </c>
      <c r="C37" s="17" t="inlineStr">
        <is>
          <t>TOTAL</t>
        </is>
      </c>
      <c r="D37" s="17" t="inlineStr">
        <is>
          <t>Under 59.5</t>
        </is>
      </c>
      <c r="E37" s="18" t="n">
        <v>-115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2026-09-05</t>
        </is>
      </c>
      <c r="B38" s="12" t="inlineStr">
        <is>
          <t>BC @ CIN</t>
        </is>
      </c>
      <c r="C38" s="12" t="inlineStr">
        <is>
          <t>TOTAL</t>
        </is>
      </c>
      <c r="D38" s="12" t="inlineStr">
        <is>
          <t>Over 49.5</t>
        </is>
      </c>
      <c r="E38" s="13" t="n">
        <v>-115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0.1042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2026-09-05</t>
        </is>
      </c>
      <c r="B39" s="17" t="inlineStr">
        <is>
          <t>TULN @ DUKE</t>
        </is>
      </c>
      <c r="C39" s="17" t="inlineStr">
        <is>
          <t>TOTAL</t>
        </is>
      </c>
      <c r="D39" s="17" t="inlineStr">
        <is>
          <t>Over 51.5</t>
        </is>
      </c>
      <c r="E39" s="18" t="n">
        <v>-108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0.1029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2026-09-05</t>
        </is>
      </c>
      <c r="B40" s="12" t="inlineStr">
        <is>
          <t>BOIS @ ORE</t>
        </is>
      </c>
      <c r="C40" s="12" t="inlineStr">
        <is>
          <t>TOTAL</t>
        </is>
      </c>
      <c r="D40" s="12" t="inlineStr">
        <is>
          <t>Over 51.5</t>
        </is>
      </c>
      <c r="E40" s="13" t="n">
        <v>-108</v>
      </c>
      <c r="F40" s="16" t="n">
        <v>23.5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0.0898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2026-09-05</t>
        </is>
      </c>
      <c r="B41" s="17" t="inlineStr">
        <is>
          <t>BAY @ AUB</t>
        </is>
      </c>
      <c r="C41" s="17" t="inlineStr">
        <is>
          <t>ATS</t>
        </is>
      </c>
      <c r="D41" s="17" t="inlineStr">
        <is>
          <t>BAY +7</t>
        </is>
      </c>
      <c r="E41" s="18" t="n">
        <v>-105</v>
      </c>
      <c r="F41" s="21" t="n">
        <v>26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0.099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MRSH @ PSU</t>
        </is>
      </c>
      <c r="C42" s="12" t="inlineStr">
        <is>
          <t>TOTAL</t>
        </is>
      </c>
      <c r="D42" s="12" t="inlineStr">
        <is>
          <t>Over 52.5</t>
        </is>
      </c>
      <c r="E42" s="13" t="n">
        <v>-102</v>
      </c>
      <c r="F42" s="16" t="n">
        <v>24.5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0.0925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M-OH @ PITT</t>
        </is>
      </c>
      <c r="C43" s="17" t="inlineStr">
        <is>
          <t>ML</t>
        </is>
      </c>
      <c r="D43" s="17" t="inlineStr">
        <is>
          <t>M-OH ML</t>
        </is>
      </c>
      <c r="E43" s="18" t="n">
        <v>550</v>
      </c>
      <c r="F43" s="21" t="n">
        <v>19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0.1283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BALL @ OSU</t>
        </is>
      </c>
      <c r="C44" s="12" t="inlineStr">
        <is>
          <t>TOTAL</t>
        </is>
      </c>
      <c r="D44" s="12" t="inlineStr">
        <is>
          <t>Under 56.5</t>
        </is>
      </c>
      <c r="E44" s="13" t="n">
        <v>-105</v>
      </c>
      <c r="F44" s="16" t="n">
        <v>22.5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0.0886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ORST @ HOU</t>
        </is>
      </c>
      <c r="C45" s="17" t="inlineStr">
        <is>
          <t>TOTAL</t>
        </is>
      </c>
      <c r="D45" s="17" t="inlineStr">
        <is>
          <t>Over 49.5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0.0973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UNT @ IU</t>
        </is>
      </c>
      <c r="C46" s="12" t="inlineStr">
        <is>
          <t>TOTAL</t>
        </is>
      </c>
      <c r="D46" s="12" t="inlineStr">
        <is>
          <t>Over 55.5</t>
        </is>
      </c>
      <c r="E46" s="13" t="n">
        <v>-108</v>
      </c>
      <c r="F46" s="16" t="n">
        <v>23.5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0.0898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OHIO @ NEB</t>
        </is>
      </c>
      <c r="C47" s="17" t="inlineStr">
        <is>
          <t>TOTAL</t>
        </is>
      </c>
      <c r="D47" s="17" t="inlineStr">
        <is>
          <t>Over 47.5</t>
        </is>
      </c>
      <c r="E47" s="18" t="n">
        <v>-108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0.1092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LIB @ JMU</t>
        </is>
      </c>
      <c r="C48" s="12" t="inlineStr">
        <is>
          <t>TOTAL</t>
        </is>
      </c>
      <c r="D48" s="12" t="inlineStr">
        <is>
          <t>Over 50.5</t>
        </is>
      </c>
      <c r="E48" s="13" t="n">
        <v>-112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0.0982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MIA @ STAN</t>
        </is>
      </c>
      <c r="C49" s="17" t="inlineStr">
        <is>
          <t>TOTAL</t>
        </is>
      </c>
      <c r="D49" s="17" t="inlineStr">
        <is>
          <t>Over 48.5</t>
        </is>
      </c>
      <c r="E49" s="18" t="n">
        <v>100</v>
      </c>
      <c r="F49" s="21" t="n">
        <v>25</v>
      </c>
      <c r="G49" s="17" t="inlineStr">
        <is>
          <t>Win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0.1103</v>
      </c>
      <c r="M49" s="19" t="n">
        <v>-0.0362</v>
      </c>
      <c r="N49" s="17" t="inlineStr">
        <is>
          <t>MIA 45 - STAN 6</t>
        </is>
      </c>
      <c r="O49" s="17" t="inlineStr">
        <is>
          <t>Draft Kings</t>
        </is>
      </c>
    </row>
    <row r="50">
      <c r="A50" s="12" t="inlineStr">
        <is>
          <t>2026-09-05</t>
        </is>
      </c>
      <c r="B50" s="12" t="inlineStr">
        <is>
          <t>TOL @ MSU</t>
        </is>
      </c>
      <c r="C50" s="12" t="inlineStr">
        <is>
          <t>ATS</t>
        </is>
      </c>
      <c r="D50" s="12" t="inlineStr">
        <is>
          <t>TOL +10</t>
        </is>
      </c>
      <c r="E50" s="13" t="n">
        <v>-105</v>
      </c>
      <c r="F50" s="16" t="n">
        <v>25</v>
      </c>
      <c r="G50" s="12" t="inlineStr">
        <is>
          <t>Push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0.111</v>
      </c>
      <c r="M50" s="14" t="n">
        <v>0.0241</v>
      </c>
      <c r="N50" s="12" t="inlineStr">
        <is>
          <t>TOL 20 - MSU 30</t>
        </is>
      </c>
      <c r="O50" s="12" t="inlineStr">
        <is>
          <t>Draft Kings</t>
        </is>
      </c>
    </row>
    <row r="51">
      <c r="A51" s="17" t="inlineStr">
        <is>
          <t>2026-09-04</t>
        </is>
      </c>
      <c r="B51" s="17" t="inlineStr">
        <is>
          <t>COLO @ GT</t>
        </is>
      </c>
      <c r="C51" s="17" t="inlineStr">
        <is>
          <t>TOTAL</t>
        </is>
      </c>
      <c r="D51" s="17" t="inlineStr">
        <is>
          <t>Over 50.5</t>
        </is>
      </c>
      <c r="E51" s="18" t="n">
        <v>-115</v>
      </c>
      <c r="F51" s="21" t="n">
        <v>21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0.0784</v>
      </c>
      <c r="M51" s="19" t="n">
        <v>0.0189</v>
      </c>
      <c r="N51" s="17" t="inlineStr">
        <is>
          <t>COLO 14 - GT 13</t>
        </is>
      </c>
      <c r="O51" s="17" t="inlineStr">
        <is>
          <t>DraftKings</t>
        </is>
      </c>
    </row>
    <row r="52">
      <c r="A52" s="12" t="inlineStr">
        <is>
          <t>2026-09-03</t>
        </is>
      </c>
      <c r="B52" s="12" t="inlineStr">
        <is>
          <t>AKR @ WAKE</t>
        </is>
      </c>
      <c r="C52" s="12" t="inlineStr">
        <is>
          <t>TOTAL</t>
        </is>
      </c>
      <c r="D52" s="12" t="inlineStr">
        <is>
          <t>Over 48.5</t>
        </is>
      </c>
      <c r="E52" s="13" t="n">
        <v>-112</v>
      </c>
      <c r="F52" s="16" t="n">
        <v>24.5</v>
      </c>
      <c r="G52" s="12" t="inlineStr">
        <is>
          <t>Win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0.0917</v>
      </c>
      <c r="M52" s="14" t="n">
        <v>0.0509</v>
      </c>
      <c r="N52" s="12" t="inlineStr">
        <is>
          <t>AKR 16 - WAKE 38</t>
        </is>
      </c>
      <c r="O52" s="12" t="inlineStr">
        <is>
          <t>DraftKings</t>
        </is>
      </c>
    </row>
    <row r="53">
      <c r="A53" s="17" t="inlineStr">
        <is>
          <t>2026-08-29</t>
        </is>
      </c>
      <c r="B53" s="17" t="inlineStr">
        <is>
          <t>HAW @ STAN</t>
        </is>
      </c>
      <c r="C53" s="17" t="inlineStr">
        <is>
          <t>TOTAL</t>
        </is>
      </c>
      <c r="D53" s="17" t="inlineStr">
        <is>
          <t>Over 49.5</t>
        </is>
      </c>
      <c r="E53" s="18" t="n">
        <v>-105</v>
      </c>
      <c r="F53" s="21" t="n">
        <v>21.5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0.0834</v>
      </c>
      <c r="M53" s="19" t="n">
        <v>-0.0139</v>
      </c>
      <c r="N53" s="17" t="inlineStr">
        <is>
          <t>HAW 27 - STAN 37</t>
        </is>
      </c>
      <c r="O53" s="17" t="inlineStr">
        <is>
          <t>Draft Kings</t>
        </is>
      </c>
    </row>
    <row r="54">
      <c r="A54" s="12" t="inlineStr">
        <is>
          <t>2026-08-29</t>
        </is>
      </c>
      <c r="B54" s="12" t="inlineStr">
        <is>
          <t>SAC @ EMU</t>
        </is>
      </c>
      <c r="C54" s="12" t="inlineStr">
        <is>
          <t>ATS</t>
        </is>
      </c>
      <c r="D54" s="12" t="inlineStr">
        <is>
          <t>SAC +8.5</t>
        </is>
      </c>
      <c r="E54" s="13" t="n">
        <v>-108</v>
      </c>
      <c r="F54" s="16" t="n">
        <v>25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0.1065</v>
      </c>
      <c r="M54" s="14" t="n">
        <v>0.0046</v>
      </c>
      <c r="N54" s="12" t="inlineStr">
        <is>
          <t>SAC 17 - EMU 28</t>
        </is>
      </c>
      <c r="O54" s="12" t="inlineStr">
        <is>
          <t>DraftKings</t>
        </is>
      </c>
    </row>
    <row r="55">
      <c r="A55" s="17" t="inlineStr">
        <is>
          <t>2026-08-29</t>
        </is>
      </c>
      <c r="B55" s="17" t="inlineStr">
        <is>
          <t>SAC @ EMU</t>
        </is>
      </c>
      <c r="C55" s="17" t="inlineStr">
        <is>
          <t>ML</t>
        </is>
      </c>
      <c r="D55" s="17" t="inlineStr">
        <is>
          <t>SAC ML</t>
        </is>
      </c>
      <c r="E55" s="18" t="n">
        <v>280</v>
      </c>
      <c r="F55" s="21" t="n">
        <v>18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0.1055</v>
      </c>
      <c r="M55" s="19" t="n">
        <v>0</v>
      </c>
      <c r="N55" s="17" t="inlineStr">
        <is>
          <t>SAC 17 - EMU 28</t>
        </is>
      </c>
      <c r="O55" s="17" t="inlineStr">
        <is>
          <t>Draft Kings</t>
        </is>
      </c>
    </row>
    <row r="56">
      <c r="A56" s="12" t="inlineStr">
        <is>
          <t>2026-08-29</t>
        </is>
      </c>
      <c r="B56" s="12" t="inlineStr">
        <is>
          <t>UNC @ TCU</t>
        </is>
      </c>
      <c r="C56" s="12" t="inlineStr">
        <is>
          <t>ATS</t>
        </is>
      </c>
      <c r="D56" s="12" t="inlineStr">
        <is>
          <t>UNC +7.5</t>
        </is>
      </c>
      <c r="E56" s="13" t="n">
        <v>-108</v>
      </c>
      <c r="F56" s="16" t="n">
        <v>21</v>
      </c>
      <c r="G56" s="12" t="inlineStr">
        <is>
          <t>Win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0.0801</v>
      </c>
      <c r="M56" s="14" t="n">
        <v>-0.009299999999999999</v>
      </c>
      <c r="N56" s="12" t="inlineStr">
        <is>
          <t>UNC 15 - TCU 10</t>
        </is>
      </c>
      <c r="O56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2.2</v>
      </c>
      <c r="D5" s="23" t="n">
        <v>0.97</v>
      </c>
      <c r="E5" s="23" t="n">
        <v>2.52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MASS</t>
        </is>
      </c>
      <c r="C6" s="26" t="n">
        <v>1.48</v>
      </c>
      <c r="D6" s="26" t="n">
        <v>-0.6</v>
      </c>
      <c r="E6" s="26" t="n">
        <v>-0.11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MEM</t>
        </is>
      </c>
      <c r="C7" s="23" t="n">
        <v>1.05</v>
      </c>
      <c r="D7" s="23" t="n">
        <v>0.13</v>
      </c>
      <c r="E7" s="23" t="n">
        <v>0.83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SJSU</t>
        </is>
      </c>
      <c r="C8" s="26" t="n">
        <v>1</v>
      </c>
      <c r="D8" s="26" t="n">
        <v>-0.4</v>
      </c>
      <c r="E8" s="26" t="n">
        <v>-0.21</v>
      </c>
      <c r="F8" s="25" t="n">
        <v>2</v>
      </c>
      <c r="G8" s="17" t="inlineStr">
        <is>
          <t>1-0</t>
        </is>
      </c>
    </row>
    <row r="9">
      <c r="A9" s="22" t="n">
        <v>5</v>
      </c>
      <c r="B9" s="12" t="inlineStr">
        <is>
          <t>COLO</t>
        </is>
      </c>
      <c r="C9" s="23" t="n">
        <v>0.8</v>
      </c>
      <c r="D9" s="23" t="n">
        <v>-1.11</v>
      </c>
      <c r="E9" s="23" t="n">
        <v>0.73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UTAH</t>
        </is>
      </c>
      <c r="C10" s="26" t="n">
        <v>0.65</v>
      </c>
      <c r="D10" s="26" t="n">
        <v>2.44</v>
      </c>
      <c r="E10" s="26" t="n">
        <v>1.16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USC</t>
        </is>
      </c>
      <c r="C11" s="23" t="n">
        <v>0.64</v>
      </c>
      <c r="D11" s="23" t="n">
        <v>1.09</v>
      </c>
      <c r="E11" s="23" t="n">
        <v>1.54</v>
      </c>
      <c r="F11" s="22" t="n">
        <v>2</v>
      </c>
      <c r="G11" s="12" t="inlineStr">
        <is>
          <t>—</t>
        </is>
      </c>
    </row>
    <row r="12">
      <c r="A12" s="25" t="n">
        <v>8</v>
      </c>
      <c r="B12" s="17" t="inlineStr">
        <is>
          <t>MIZ</t>
        </is>
      </c>
      <c r="C12" s="26" t="n">
        <v>0.61</v>
      </c>
      <c r="D12" s="26" t="n">
        <v>0.87</v>
      </c>
      <c r="E12" s="26" t="n">
        <v>1.21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OU</t>
        </is>
      </c>
      <c r="C13" s="23" t="n">
        <v>0.61</v>
      </c>
      <c r="D13" s="23" t="n">
        <v>0.6</v>
      </c>
      <c r="E13" s="23" t="n">
        <v>2.02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KENN</t>
        </is>
      </c>
      <c r="C14" s="26" t="n">
        <v>0.6</v>
      </c>
      <c r="D14" s="26" t="n">
        <v>0.59</v>
      </c>
      <c r="E14" s="26" t="n">
        <v>1.42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KU</t>
        </is>
      </c>
      <c r="C15" s="23" t="n">
        <v>0.59</v>
      </c>
      <c r="D15" s="23" t="n">
        <v>0.75</v>
      </c>
      <c r="E15" s="23" t="n">
        <v>1.03</v>
      </c>
      <c r="F15" s="22" t="n">
        <v>1</v>
      </c>
      <c r="G15" s="12" t="inlineStr">
        <is>
          <t>—</t>
        </is>
      </c>
    </row>
    <row r="16">
      <c r="A16" s="25" t="n">
        <v>12</v>
      </c>
      <c r="B16" s="17" t="inlineStr">
        <is>
          <t>DEL</t>
        </is>
      </c>
      <c r="C16" s="26" t="n">
        <v>0.58</v>
      </c>
      <c r="D16" s="26" t="n">
        <v>0.43</v>
      </c>
      <c r="E16" s="26" t="n">
        <v>0.72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MINN</t>
        </is>
      </c>
      <c r="C17" s="23" t="n">
        <v>0.58</v>
      </c>
      <c r="D17" s="23" t="n">
        <v>0.74</v>
      </c>
      <c r="E17" s="23" t="n">
        <v>1.23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UCF</t>
        </is>
      </c>
      <c r="C18" s="26" t="n">
        <v>0.58</v>
      </c>
      <c r="D18" s="26" t="n">
        <v>1.51</v>
      </c>
      <c r="E18" s="26" t="n">
        <v>1.16</v>
      </c>
      <c r="F18" s="25" t="n">
        <v>1</v>
      </c>
      <c r="G18" s="17" t="inlineStr">
        <is>
          <t>1-0</t>
        </is>
      </c>
    </row>
    <row r="19">
      <c r="A19" s="22" t="n">
        <v>15</v>
      </c>
      <c r="B19" s="12" t="inlineStr">
        <is>
          <t>ALB</t>
        </is>
      </c>
      <c r="C19" s="23" t="n">
        <v>0.57</v>
      </c>
      <c r="D19" s="23" t="n">
        <v>-0.53</v>
      </c>
      <c r="E19" s="23" t="n">
        <v>0.52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GAST</t>
        </is>
      </c>
      <c r="C20" s="26" t="n">
        <v>0.55</v>
      </c>
      <c r="D20" s="26" t="n">
        <v>0.7</v>
      </c>
      <c r="E20" s="26" t="n">
        <v>0.33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NDSU</t>
        </is>
      </c>
      <c r="C21" s="23" t="n">
        <v>0.53</v>
      </c>
      <c r="D21" s="23" t="n">
        <v>0.78</v>
      </c>
      <c r="E21" s="23" t="n">
        <v>1.85</v>
      </c>
      <c r="F21" s="22" t="n">
        <v>1</v>
      </c>
      <c r="G21" s="12" t="inlineStr">
        <is>
          <t>1-0</t>
        </is>
      </c>
    </row>
    <row r="22">
      <c r="A22" s="25" t="n">
        <v>18</v>
      </c>
      <c r="B22" s="17" t="inlineStr">
        <is>
          <t>UVA</t>
        </is>
      </c>
      <c r="C22" s="26" t="n">
        <v>0.5</v>
      </c>
      <c r="D22" s="26" t="n">
        <v>0.03</v>
      </c>
      <c r="E22" s="26" t="n">
        <v>1.58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PUR</t>
        </is>
      </c>
      <c r="C23" s="23" t="n">
        <v>0.41</v>
      </c>
      <c r="D23" s="23" t="n">
        <v>-0.15</v>
      </c>
      <c r="E23" s="23" t="n">
        <v>0.08</v>
      </c>
      <c r="F23" s="22" t="n">
        <v>1</v>
      </c>
      <c r="G23" s="12" t="inlineStr">
        <is>
          <t>0-1</t>
        </is>
      </c>
    </row>
    <row r="24">
      <c r="A24" s="25" t="n">
        <v>20</v>
      </c>
      <c r="B24" s="17" t="inlineStr">
        <is>
          <t>TOL</t>
        </is>
      </c>
      <c r="C24" s="26" t="n">
        <v>0.33</v>
      </c>
      <c r="D24" s="26" t="n">
        <v>-0.21</v>
      </c>
      <c r="E24" s="26" t="n">
        <v>1.16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WAKE</t>
        </is>
      </c>
      <c r="C25" s="23" t="n">
        <v>0.31</v>
      </c>
      <c r="D25" s="23" t="n">
        <v>0.33</v>
      </c>
      <c r="E25" s="23" t="n">
        <v>0.9</v>
      </c>
      <c r="F25" s="22" t="n">
        <v>1</v>
      </c>
      <c r="G25" s="12" t="inlineStr">
        <is>
          <t>0-1</t>
        </is>
      </c>
    </row>
    <row r="26">
      <c r="A26" s="25" t="n">
        <v>22</v>
      </c>
      <c r="B26" s="17" t="inlineStr">
        <is>
          <t>UNC</t>
        </is>
      </c>
      <c r="C26" s="26" t="n">
        <v>0.22</v>
      </c>
      <c r="D26" s="26" t="n">
        <v>-1.1</v>
      </c>
      <c r="E26" s="26" t="n">
        <v>1.24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SAC</t>
        </is>
      </c>
      <c r="C27" s="23" t="n">
        <v>0.2</v>
      </c>
      <c r="D27" s="23" t="n">
        <v>-0.13</v>
      </c>
      <c r="E27" s="23" t="n">
        <v>0.29</v>
      </c>
      <c r="F27" s="22" t="n">
        <v>1</v>
      </c>
      <c r="G27" s="12" t="inlineStr">
        <is>
          <t>0-1</t>
        </is>
      </c>
    </row>
    <row r="28">
      <c r="A28" s="25" t="n">
        <v>24</v>
      </c>
      <c r="B28" s="17" t="inlineStr">
        <is>
          <t>HAW</t>
        </is>
      </c>
      <c r="C28" s="26" t="n">
        <v>0.18</v>
      </c>
      <c r="D28" s="26" t="n">
        <v>-0.03</v>
      </c>
      <c r="E28" s="26" t="n">
        <v>-0.05</v>
      </c>
      <c r="F28" s="25" t="n">
        <v>1</v>
      </c>
      <c r="G28" s="17" t="inlineStr">
        <is>
          <t>0-1</t>
        </is>
      </c>
    </row>
    <row r="29">
      <c r="A29" s="22" t="n">
        <v>25</v>
      </c>
      <c r="B29" s="12" t="inlineStr">
        <is>
          <t>ILL</t>
        </is>
      </c>
      <c r="C29" s="23" t="n">
        <v>0.16</v>
      </c>
      <c r="D29" s="23" t="n">
        <v>0.33</v>
      </c>
      <c r="E29" s="23" t="n">
        <v>0.48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FSU</t>
        </is>
      </c>
      <c r="C30" s="26" t="n">
        <v>0.06</v>
      </c>
      <c r="D30" s="26" t="n">
        <v>0.19</v>
      </c>
      <c r="E30" s="26" t="n">
        <v>0.79</v>
      </c>
      <c r="F30" s="25" t="n">
        <v>1</v>
      </c>
      <c r="G30" s="17" t="inlineStr">
        <is>
          <t>0-1</t>
        </is>
      </c>
    </row>
    <row r="31">
      <c r="A31" s="22" t="n">
        <v>27</v>
      </c>
      <c r="B31" s="12" t="inlineStr">
        <is>
          <t>NMSU</t>
        </is>
      </c>
      <c r="C31" s="23" t="n">
        <v>-0.07000000000000001</v>
      </c>
      <c r="D31" s="23" t="n">
        <v>-0.86</v>
      </c>
      <c r="E31" s="23" t="n">
        <v>-0.05</v>
      </c>
      <c r="F31" s="22" t="n">
        <v>1</v>
      </c>
      <c r="G31" s="12" t="inlineStr">
        <is>
          <t>1-0</t>
        </is>
      </c>
    </row>
    <row r="32">
      <c r="A32" s="25" t="n">
        <v>28</v>
      </c>
      <c r="B32" s="17" t="inlineStr">
        <is>
          <t>UAB</t>
        </is>
      </c>
      <c r="C32" s="26" t="n">
        <v>-0.18</v>
      </c>
      <c r="D32" s="26" t="n">
        <v>-0.36</v>
      </c>
      <c r="E32" s="26" t="n">
        <v>-1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TCU</t>
        </is>
      </c>
      <c r="C33" s="23" t="n">
        <v>-0.22</v>
      </c>
      <c r="D33" s="23" t="n">
        <v>-0.92</v>
      </c>
      <c r="E33" s="23" t="n">
        <v>0.71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AKR</t>
        </is>
      </c>
      <c r="C34" s="26" t="n">
        <v>-0.3</v>
      </c>
      <c r="D34" s="26" t="n">
        <v>-0.79</v>
      </c>
      <c r="E34" s="26" t="n">
        <v>-0.17</v>
      </c>
      <c r="F34" s="25" t="n">
        <v>1</v>
      </c>
      <c r="G34" s="17" t="inlineStr">
        <is>
          <t>1-0</t>
        </is>
      </c>
    </row>
    <row r="35">
      <c r="A35" s="22" t="n">
        <v>31</v>
      </c>
      <c r="B35" s="12" t="inlineStr">
        <is>
          <t>MSU</t>
        </is>
      </c>
      <c r="C35" s="23" t="n">
        <v>-0.3</v>
      </c>
      <c r="D35" s="23" t="n">
        <v>-0.36</v>
      </c>
      <c r="E35" s="23" t="n">
        <v>0.26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INST</t>
        </is>
      </c>
      <c r="C36" s="26" t="n">
        <v>-0.46</v>
      </c>
      <c r="D36" s="26" t="n">
        <v>-0.61</v>
      </c>
      <c r="E36" s="26" t="n">
        <v>-0.85</v>
      </c>
      <c r="F36" s="25" t="n">
        <v>1</v>
      </c>
      <c r="G36" s="17" t="inlineStr">
        <is>
          <t>1-0</t>
        </is>
      </c>
    </row>
    <row r="37">
      <c r="A37" s="22" t="n">
        <v>33</v>
      </c>
      <c r="B37" s="12" t="inlineStr">
        <is>
          <t>NCSU</t>
        </is>
      </c>
      <c r="C37" s="23" t="n">
        <v>-0.46</v>
      </c>
      <c r="D37" s="23" t="n">
        <v>-0.73</v>
      </c>
      <c r="E37" s="23" t="n">
        <v>0.06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JVST</t>
        </is>
      </c>
      <c r="C38" s="26" t="n">
        <v>-0.47</v>
      </c>
      <c r="D38" s="26" t="n">
        <v>-0.9399999999999999</v>
      </c>
      <c r="E38" s="26" t="n">
        <v>0.29</v>
      </c>
      <c r="F38" s="25" t="n">
        <v>1</v>
      </c>
      <c r="G38" s="17" t="inlineStr">
        <is>
          <t>0-1</t>
        </is>
      </c>
    </row>
    <row r="39">
      <c r="A39" s="22" t="n">
        <v>35</v>
      </c>
      <c r="B39" s="12" t="inlineStr">
        <is>
          <t>FRES</t>
        </is>
      </c>
      <c r="C39" s="23" t="n">
        <v>-0.58</v>
      </c>
      <c r="D39" s="23" t="n">
        <v>-1.52</v>
      </c>
      <c r="E39" s="23" t="n">
        <v>0.45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BUFF</t>
        </is>
      </c>
      <c r="C40" s="26" t="n">
        <v>-0.59</v>
      </c>
      <c r="D40" s="26" t="n">
        <v>-0.85</v>
      </c>
      <c r="E40" s="26" t="n">
        <v>0.67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IDHO</t>
        </is>
      </c>
      <c r="C41" s="23" t="n">
        <v>-0.59</v>
      </c>
      <c r="D41" s="23" t="n">
        <v>-0.68</v>
      </c>
      <c r="E41" s="23" t="n">
        <v>-1.5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MRMK</t>
        </is>
      </c>
      <c r="C42" s="26" t="n">
        <v>-0.59</v>
      </c>
      <c r="D42" s="26" t="n">
        <v>-1.05</v>
      </c>
      <c r="E42" s="26" t="n">
        <v>-0.43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BCU</t>
        </is>
      </c>
      <c r="C43" s="23" t="n">
        <v>-0.6</v>
      </c>
      <c r="D43" s="23" t="n">
        <v>-1.15</v>
      </c>
      <c r="E43" s="23" t="n">
        <v>-2.12</v>
      </c>
      <c r="F43" s="22" t="n">
        <v>1</v>
      </c>
      <c r="G43" s="12" t="inlineStr">
        <is>
          <t>0-1</t>
        </is>
      </c>
    </row>
    <row r="44">
      <c r="A44" s="25" t="n">
        <v>40</v>
      </c>
      <c r="B44" s="17" t="inlineStr">
        <is>
          <t>EIU</t>
        </is>
      </c>
      <c r="C44" s="26" t="n">
        <v>-0.6</v>
      </c>
      <c r="D44" s="26" t="n">
        <v>-1.12</v>
      </c>
      <c r="E44" s="26" t="n">
        <v>-1.53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LIU</t>
        </is>
      </c>
      <c r="C45" s="23" t="n">
        <v>-0.6</v>
      </c>
      <c r="D45" s="23" t="n">
        <v>-1.11</v>
      </c>
      <c r="E45" s="23" t="n">
        <v>-1.01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NCAT</t>
        </is>
      </c>
      <c r="C46" s="26" t="n">
        <v>-0.6</v>
      </c>
      <c r="D46" s="26" t="n">
        <v>-0.91</v>
      </c>
      <c r="E46" s="26" t="n">
        <v>-1.51</v>
      </c>
      <c r="F46" s="25" t="n">
        <v>1</v>
      </c>
      <c r="G46" s="17" t="inlineStr">
        <is>
          <t>0-1</t>
        </is>
      </c>
    </row>
    <row r="47">
      <c r="A47" s="22" t="n">
        <v>43</v>
      </c>
      <c r="B47" s="12" t="inlineStr">
        <is>
          <t>UAPB</t>
        </is>
      </c>
      <c r="C47" s="23" t="n">
        <v>-0.6</v>
      </c>
      <c r="D47" s="23" t="n">
        <v>-0.66</v>
      </c>
      <c r="E47" s="23" t="n">
        <v>-1.23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WES</t>
        </is>
      </c>
      <c r="C48" s="26" t="n">
        <v>-0.6</v>
      </c>
      <c r="D48" s="26" t="n">
        <v>-1.3</v>
      </c>
      <c r="E48" s="26" t="n">
        <v>-0.75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UTEP</t>
        </is>
      </c>
      <c r="C49" s="23" t="n">
        <v>-0.62</v>
      </c>
      <c r="D49" s="23" t="n">
        <v>-1.51</v>
      </c>
      <c r="E49" s="23" t="n">
        <v>-1.09</v>
      </c>
      <c r="F49" s="22" t="n">
        <v>1</v>
      </c>
      <c r="G49" s="12" t="inlineStr">
        <is>
          <t>—</t>
        </is>
      </c>
    </row>
    <row r="50">
      <c r="A50" s="25" t="n">
        <v>46</v>
      </c>
      <c r="B50" s="17" t="inlineStr">
        <is>
          <t>GT</t>
        </is>
      </c>
      <c r="C50" s="26" t="n">
        <v>-0.8100000000000001</v>
      </c>
      <c r="D50" s="26" t="n">
        <v>-0.78</v>
      </c>
      <c r="E50" s="26" t="n">
        <v>0.77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UNLV</t>
        </is>
      </c>
      <c r="C51" s="23" t="n">
        <v>-1.02</v>
      </c>
      <c r="D51" s="23" t="n">
        <v>-0.15</v>
      </c>
      <c r="E51" s="23" t="n">
        <v>0.16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EMU</t>
        </is>
      </c>
      <c r="C52" s="26" t="n">
        <v>-1.25</v>
      </c>
      <c r="D52" s="26" t="n">
        <v>-0.98</v>
      </c>
      <c r="E52" s="26" t="n">
        <v>0.38</v>
      </c>
      <c r="F52" s="25" t="n">
        <v>2</v>
      </c>
      <c r="G52" s="17" t="inlineStr">
        <is>
          <t>1-1</t>
        </is>
      </c>
    </row>
    <row r="53">
      <c r="A53" s="22" t="n">
        <v>49</v>
      </c>
      <c r="B53" s="12" t="inlineStr">
        <is>
          <t>RUTG</t>
        </is>
      </c>
      <c r="C53" s="23" t="n">
        <v>-1.56</v>
      </c>
      <c r="D53" s="23" t="n">
        <v>-0.63</v>
      </c>
      <c r="E53" s="23" t="n">
        <v>-0.77</v>
      </c>
      <c r="F53" s="22" t="n">
        <v>1</v>
      </c>
      <c r="G53" s="12" t="inlineStr">
        <is>
          <t>0-1</t>
        </is>
      </c>
    </row>
    <row r="54">
      <c r="A54" s="25" t="n">
        <v>50</v>
      </c>
      <c r="B54" s="17" t="inlineStr">
        <is>
          <t>STAN</t>
        </is>
      </c>
      <c r="C54" s="26" t="n">
        <v>-2.34</v>
      </c>
      <c r="D54" s="26" t="n">
        <v>-1.44</v>
      </c>
      <c r="E54" s="26" t="n">
        <v>-0.87</v>
      </c>
      <c r="F54" s="25" t="n">
        <v>2</v>
      </c>
      <c r="G54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7</v>
      </c>
      <c r="F32" s="25" t="n">
        <v>24</v>
      </c>
      <c r="G32" s="17" t="inlineStr">
        <is>
          <t>10:02 - 2nd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7</v>
      </c>
      <c r="F33" s="22" t="n">
        <v>9</v>
      </c>
      <c r="G33" s="12" t="inlineStr">
        <is>
          <t>8:56 - 2nd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17</v>
      </c>
      <c r="G34" s="17" t="inlineStr">
        <is>
          <t>7:59 - 2nd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21</v>
      </c>
      <c r="G35" s="12" t="inlineStr">
        <is>
          <t>7:32 - 2nd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3</v>
      </c>
      <c r="F36" s="25" t="n">
        <v>21</v>
      </c>
      <c r="G36" s="17" t="inlineStr">
        <is>
          <t>6:46 - 2nd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13</v>
      </c>
      <c r="F37" s="22" t="n">
        <v>13</v>
      </c>
      <c r="G37" s="12" t="inlineStr">
        <is>
          <t>8:13 - 2nd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28</v>
      </c>
      <c r="G38" s="17" t="inlineStr">
        <is>
          <t>9:14 - 2nd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28</v>
      </c>
      <c r="G39" s="12" t="inlineStr">
        <is>
          <t>5:53 - 2nd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10</v>
      </c>
      <c r="F40" s="25" t="n">
        <v>0</v>
      </c>
      <c r="G40" s="17" t="inlineStr">
        <is>
          <t>3:10 - 2nd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3</v>
      </c>
      <c r="F41" s="22" t="n">
        <v>7</v>
      </c>
      <c r="G41" s="12" t="inlineStr">
        <is>
          <t>8:57 - 2nd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7</v>
      </c>
      <c r="G42" s="17" t="inlineStr">
        <is>
          <t>5:03 - 1st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14</v>
      </c>
      <c r="G43" s="12" t="inlineStr">
        <is>
          <t>1:23 - 1st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7:00 - 1st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11:51 - 1st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500</v>
      </c>
      <c r="L48" s="18" t="n">
        <v>-700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-48.5</v>
      </c>
      <c r="J49" s="29" t="n">
        <v>55.5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57.5</v>
      </c>
      <c r="K50" s="18" t="n">
        <v>220</v>
      </c>
      <c r="L50" s="18" t="n">
        <v>-270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-48.5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60.5</v>
      </c>
      <c r="K52" s="18" t="n">
        <v>2500</v>
      </c>
      <c r="L52" s="18" t="n">
        <v>-9000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</v>
      </c>
      <c r="J53" s="29" t="n">
        <v>51.5</v>
      </c>
      <c r="K53" s="13" t="n">
        <v>225</v>
      </c>
      <c r="L53" s="13" t="n">
        <v>-278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50.5</v>
      </c>
      <c r="K54" s="18" t="n">
        <v>260</v>
      </c>
      <c r="L54" s="18" t="n">
        <v>-325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1300</v>
      </c>
      <c r="L55" s="13" t="n">
        <v>-2800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-23.5</v>
      </c>
      <c r="J56" s="30" t="n">
        <v>52.5</v>
      </c>
      <c r="K56" s="18" t="n">
        <v>1000</v>
      </c>
      <c r="L56" s="18" t="n">
        <v>-1800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48.5</v>
      </c>
      <c r="K57" s="13" t="n">
        <v>950</v>
      </c>
      <c r="L57" s="13" t="n">
        <v>-1650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-31.5</v>
      </c>
      <c r="J58" s="30" t="n">
        <v>50.5</v>
      </c>
      <c r="K58" s="18" t="n">
        <v>5000</v>
      </c>
      <c r="L58" s="18" t="n">
        <v>-100000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2000</v>
      </c>
      <c r="L59" s="13" t="n">
        <v>-6500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-41.5</v>
      </c>
      <c r="J60" s="30" t="n">
        <v>54.5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-20.5</v>
      </c>
      <c r="J61" s="29" t="n">
        <v>53.5</v>
      </c>
      <c r="K61" s="13" t="n">
        <v>850</v>
      </c>
      <c r="L61" s="13" t="n">
        <v>-1450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57.5</v>
      </c>
      <c r="K62" s="18" t="n">
        <v>-550</v>
      </c>
      <c r="L62" s="18" t="n">
        <v>410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4000</v>
      </c>
      <c r="L64" s="18" t="n">
        <v>-50000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-19.5</v>
      </c>
      <c r="J65" s="29" t="n">
        <v>50.5</v>
      </c>
      <c r="K65" s="13" t="n">
        <v>900</v>
      </c>
      <c r="L65" s="13" t="n">
        <v>-1600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58.5</v>
      </c>
      <c r="K69" s="13" t="n">
        <v>2000</v>
      </c>
      <c r="L69" s="13" t="n">
        <v>-6500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-43.5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-14.5</v>
      </c>
      <c r="J75" s="29" t="n">
        <v>52.5</v>
      </c>
      <c r="K75" s="13" t="n">
        <v>490</v>
      </c>
      <c r="L75" s="13" t="n">
        <v>-675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-22.5</v>
      </c>
      <c r="J76" s="30" t="n">
        <v>55.5</v>
      </c>
      <c r="K76" s="18" t="n">
        <v>1100</v>
      </c>
      <c r="L76" s="18" t="n">
        <v>-2100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-22.5</v>
      </c>
      <c r="J77" s="29" t="n">
        <v>52.5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-28.5</v>
      </c>
      <c r="J78" s="30" t="n">
        <v>51.5</v>
      </c>
      <c r="K78" s="18" t="n">
        <v>1800</v>
      </c>
      <c r="L78" s="18" t="n">
        <v>-5000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-13.5</v>
      </c>
      <c r="J79" s="29" t="n">
        <v>52.5</v>
      </c>
      <c r="K79" s="13" t="n">
        <v>400</v>
      </c>
      <c r="L79" s="13" t="n">
        <v>-535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52.5</v>
      </c>
      <c r="K80" s="18" t="n">
        <v>575</v>
      </c>
      <c r="L80" s="18" t="n">
        <v>-850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1600</v>
      </c>
      <c r="L82" s="18" t="n">
        <v>-4000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-54.5</v>
      </c>
      <c r="J83" s="29" t="n">
        <v>61.5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49.5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56.5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1300</v>
      </c>
      <c r="L86" s="18" t="n">
        <v>-2800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-49.5</v>
      </c>
      <c r="J87" s="29" t="n">
        <v>61.5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48.5</v>
      </c>
      <c r="K89" s="13" t="n">
        <v>370</v>
      </c>
      <c r="L89" s="13" t="n">
        <v>-485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-29.5</v>
      </c>
      <c r="J91" s="29" t="n">
        <v>52.5</v>
      </c>
      <c r="K91" s="13" t="n">
        <v>2200</v>
      </c>
      <c r="L91" s="13" t="n">
        <v>-8000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2000</v>
      </c>
      <c r="L92" s="18" t="n">
        <v>-6500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62.5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55.5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47.5</v>
      </c>
      <c r="K96" s="18" t="n">
        <v>340</v>
      </c>
      <c r="L96" s="18" t="n">
        <v>-440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2.5</v>
      </c>
      <c r="J98" s="30" t="n">
        <v>53.5</v>
      </c>
      <c r="K98" s="18" t="n">
        <v>-135</v>
      </c>
      <c r="L98" s="18" t="n">
        <v>114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51.5</v>
      </c>
      <c r="K99" s="13" t="n">
        <v>-112</v>
      </c>
      <c r="L99" s="13" t="n">
        <v>-108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1200</v>
      </c>
      <c r="L100" s="18" t="n">
        <v>-2400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54.5</v>
      </c>
      <c r="K101" s="13" t="n">
        <v>215</v>
      </c>
      <c r="L101" s="13" t="n">
        <v>-265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46.5</v>
      </c>
      <c r="K102" s="18" t="n">
        <v>850</v>
      </c>
      <c r="L102" s="18" t="n">
        <v>-1450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51.5</v>
      </c>
      <c r="K109" s="13" t="n">
        <v>-218</v>
      </c>
      <c r="L109" s="13" t="n">
        <v>180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1.5</v>
      </c>
      <c r="J110" s="30" t="n">
        <v>46.5</v>
      </c>
      <c r="K110" s="18" t="n">
        <v>-118</v>
      </c>
      <c r="L110" s="18" t="n">
        <v>-102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410</v>
      </c>
      <c r="L111" s="13" t="n">
        <v>-550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-16.5</v>
      </c>
      <c r="J112" s="30" t="n">
        <v>51.5</v>
      </c>
      <c r="K112" s="18" t="n">
        <v>650</v>
      </c>
      <c r="L112" s="18" t="n">
        <v>-1000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19.5</v>
      </c>
      <c r="J113" s="29" t="n">
        <v>60.5</v>
      </c>
      <c r="K113" s="13" t="n">
        <v>-1200</v>
      </c>
      <c r="L113" s="13" t="n">
        <v>750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-14.5</v>
      </c>
      <c r="J115" s="29" t="n">
        <v>51.5</v>
      </c>
      <c r="K115" s="13" t="n">
        <v>455</v>
      </c>
      <c r="L115" s="13" t="n">
        <v>-625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3.5</v>
      </c>
      <c r="J116" s="30" t="n">
        <v>49.5</v>
      </c>
      <c r="K116" s="18" t="n">
        <v>-155</v>
      </c>
      <c r="L116" s="18" t="n">
        <v>130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21.5</v>
      </c>
      <c r="J118" s="30" t="n">
        <v>51.5</v>
      </c>
      <c r="K118" s="18" t="n">
        <v>-2100</v>
      </c>
      <c r="L118" s="18" t="n">
        <v>1100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-1.5</v>
      </c>
      <c r="J119" s="29" t="n">
        <v>52.5</v>
      </c>
      <c r="K119" s="13" t="n">
        <v>-102</v>
      </c>
      <c r="L119" s="13" t="n">
        <v>-118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-10</v>
      </c>
      <c r="J120" s="30" t="n">
        <v>56.5</v>
      </c>
      <c r="K120" s="18" t="n">
        <v>295</v>
      </c>
      <c r="L120" s="18" t="n">
        <v>-375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-35.5</v>
      </c>
      <c r="J122" s="30" t="n">
        <v>52.5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48.5</v>
      </c>
      <c r="K127" s="13" t="n">
        <v>-410</v>
      </c>
      <c r="L127" s="13" t="n">
        <v>320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-2.5</v>
      </c>
      <c r="J128" s="30" t="n">
        <v>53.5</v>
      </c>
      <c r="K128" s="18" t="n">
        <v>110</v>
      </c>
      <c r="L128" s="18" t="n">
        <v>-130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-8.5</v>
      </c>
      <c r="J130" s="30" t="n">
        <v>51.5</v>
      </c>
      <c r="K130" s="18" t="n">
        <v>230</v>
      </c>
      <c r="L130" s="18" t="n">
        <v>-285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</v>
      </c>
      <c r="J131" s="29" t="n">
        <v>51.5</v>
      </c>
      <c r="K131" s="13" t="n"/>
      <c r="L131" s="13" t="n"/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1.5</v>
      </c>
      <c r="J132" s="30" t="n">
        <v>52.5</v>
      </c>
      <c r="K132" s="18" t="n">
        <v>-120</v>
      </c>
      <c r="L132" s="18" t="n">
        <v>100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-8.5</v>
      </c>
      <c r="J133" s="29" t="n">
        <v>56.5</v>
      </c>
      <c r="K133" s="13" t="n">
        <v>250</v>
      </c>
      <c r="L133" s="13" t="n">
        <v>-310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-16.5</v>
      </c>
      <c r="J134" s="30" t="n">
        <v>51.5</v>
      </c>
      <c r="K134" s="18" t="n">
        <v>600</v>
      </c>
      <c r="L134" s="18" t="n">
        <v>-900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53.5</v>
      </c>
      <c r="K135" s="13" t="n">
        <v>-410</v>
      </c>
      <c r="L135" s="13" t="n">
        <v>320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-24.5</v>
      </c>
      <c r="J136" s="30" t="n">
        <v>56.5</v>
      </c>
      <c r="K136" s="18" t="n">
        <v>1200</v>
      </c>
      <c r="L136" s="18" t="n">
        <v>-2400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52.5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64.5</v>
      </c>
      <c r="K138" s="18" t="n">
        <v>-102</v>
      </c>
      <c r="L138" s="18" t="n">
        <v>-118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-7.5</v>
      </c>
      <c r="J139" s="29" t="n">
        <v>54.5</v>
      </c>
      <c r="K139" s="13" t="n">
        <v>235</v>
      </c>
      <c r="L139" s="13" t="n">
        <v>-290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6.5</v>
      </c>
      <c r="J144" s="30" t="n">
        <v>61.5</v>
      </c>
      <c r="K144" s="18" t="n">
        <v>-225</v>
      </c>
      <c r="L144" s="18" t="n">
        <v>185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-21.5</v>
      </c>
      <c r="J149" s="29" t="n">
        <v>55.5</v>
      </c>
      <c r="K149" s="13" t="n">
        <v>1000</v>
      </c>
      <c r="L149" s="13" t="n">
        <v>-1800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-6.5</v>
      </c>
      <c r="J151" s="29" t="n">
        <v>52.5</v>
      </c>
      <c r="K151" s="13" t="n">
        <v>220</v>
      </c>
      <c r="L151" s="13" t="n">
        <v>-270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48.5</v>
      </c>
      <c r="K153" s="13" t="n">
        <v>105</v>
      </c>
      <c r="L153" s="13" t="n">
        <v>-125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10.5</v>
      </c>
      <c r="J157" s="29" t="n">
        <v>56.5</v>
      </c>
      <c r="K157" s="13" t="n">
        <v>-455</v>
      </c>
      <c r="L157" s="13" t="n">
        <v>350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-25.5</v>
      </c>
      <c r="J160" s="30" t="n">
        <v>48.5</v>
      </c>
      <c r="K160" s="18" t="n">
        <v>1700</v>
      </c>
      <c r="L160" s="18" t="n">
        <v>-4500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10.5</v>
      </c>
      <c r="J162" s="30" t="n">
        <v>53.5</v>
      </c>
      <c r="K162" s="18" t="n">
        <v>-425</v>
      </c>
      <c r="L162" s="18" t="n">
        <v>330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-10</v>
      </c>
      <c r="J164" s="30" t="n">
        <v>55.5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-17.5</v>
      </c>
      <c r="J167" s="29" t="n">
        <v>57.5</v>
      </c>
      <c r="K167" s="13" t="n">
        <v>650</v>
      </c>
      <c r="L167" s="13" t="n">
        <v>-1000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-10</v>
      </c>
      <c r="J169" s="29" t="n">
        <v>48.5</v>
      </c>
      <c r="K169" s="13" t="n">
        <v>285</v>
      </c>
      <c r="L169" s="13" t="n">
        <v>-360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27.5</v>
      </c>
      <c r="J172" s="30" t="n">
        <v>49.5</v>
      </c>
      <c r="K172" s="18" t="n">
        <v>-5000</v>
      </c>
      <c r="L172" s="18" t="n">
        <v>1800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-12.5</v>
      </c>
      <c r="J173" s="29" t="n">
        <v>41.5</v>
      </c>
      <c r="K173" s="13" t="n">
        <v>455</v>
      </c>
      <c r="L173" s="13" t="n">
        <v>-625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-26.5</v>
      </c>
      <c r="J174" s="30" t="n">
        <v>57.5</v>
      </c>
      <c r="K174" s="18" t="n">
        <v>1700</v>
      </c>
      <c r="L174" s="18" t="n">
        <v>-4500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56.5</v>
      </c>
      <c r="K185" s="13" t="n">
        <v>295</v>
      </c>
      <c r="L185" s="13" t="n">
        <v>-375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-28.5</v>
      </c>
      <c r="J188" s="30" t="n">
        <v>63.5</v>
      </c>
      <c r="K188" s="18" t="n">
        <v>2200</v>
      </c>
      <c r="L188" s="18" t="n">
        <v>-8000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-11.5</v>
      </c>
      <c r="J189" s="29" t="n">
        <v>51.5</v>
      </c>
      <c r="K189" s="13" t="n">
        <v>310</v>
      </c>
      <c r="L189" s="13" t="n">
        <v>-395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4.39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4</v>
      </c>
      <c r="C7" s="15" t="n">
        <v>0.6173</v>
      </c>
      <c r="D7" s="15" t="n">
        <v>0.5</v>
      </c>
      <c r="E7" s="14" t="n">
        <v>-0.1173</v>
      </c>
    </row>
    <row r="9">
      <c r="A9" s="3" t="inlineStr">
        <is>
          <t>Average CLV</t>
        </is>
      </c>
      <c r="B9" s="34" t="n">
        <v>0.004887499999999999</v>
      </c>
    </row>
    <row r="10">
      <c r="A10" s="3" t="inlineStr">
        <is>
          <t>Bets beating the close</t>
        </is>
      </c>
      <c r="B10" s="35" t="n">
        <v>0.5</v>
      </c>
    </row>
    <row r="11">
      <c r="A11" s="3" t="inlineStr">
        <is>
          <t>Brier score</t>
        </is>
      </c>
      <c r="B11" s="36" t="n">
        <v>0.2177</v>
      </c>
    </row>
    <row r="12">
      <c r="A12" s="3" t="inlineStr">
        <is>
          <t>Settled bets</t>
        </is>
      </c>
      <c r="B12" s="37" t="n">
        <v>8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29" topLeftCell="A3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413</v>
      </c>
    </row>
    <row r="5">
      <c r="A5" s="3" t="inlineStr">
        <is>
          <t>Settled</t>
        </is>
      </c>
      <c r="B5" s="39" t="n">
        <v>78</v>
      </c>
    </row>
    <row r="6">
      <c r="A6" s="3" t="inlineStr">
        <is>
          <t>Pending</t>
        </is>
      </c>
      <c r="B6" s="39" t="n">
        <v>334</v>
      </c>
    </row>
    <row r="7">
      <c r="A7" s="3" t="inlineStr">
        <is>
          <t>Brier (all settled)</t>
        </is>
      </c>
      <c r="B7" s="40" t="n">
        <v>0.2613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8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8</v>
      </c>
      <c r="C12" s="20" t="n">
        <v>0.35</v>
      </c>
      <c r="D12" s="20" t="n">
        <v>0.5</v>
      </c>
      <c r="E12" s="19" t="n">
        <v>0.15</v>
      </c>
    </row>
    <row r="13">
      <c r="A13" s="12" t="inlineStr">
        <is>
          <t>50-60%</t>
        </is>
      </c>
      <c r="B13" s="22" t="n">
        <v>32</v>
      </c>
      <c r="C13" s="15" t="n">
        <v>0.55</v>
      </c>
      <c r="D13" s="15" t="n">
        <v>0.4688</v>
      </c>
      <c r="E13" s="14" t="n">
        <v>-0.08120000000000005</v>
      </c>
    </row>
    <row r="14">
      <c r="A14" s="17" t="inlineStr">
        <is>
          <t>60-70%</t>
        </is>
      </c>
      <c r="B14" s="25" t="n">
        <v>7</v>
      </c>
      <c r="C14" s="20" t="n">
        <v>0.65</v>
      </c>
      <c r="D14" s="20" t="n">
        <v>0.1429</v>
      </c>
      <c r="E14" s="19" t="n">
        <v>-0.5071</v>
      </c>
    </row>
    <row r="15">
      <c r="A15" s="12" t="inlineStr">
        <is>
          <t>70-80%</t>
        </is>
      </c>
      <c r="B15" s="22" t="n">
        <v>18</v>
      </c>
      <c r="C15" s="15" t="n">
        <v>0.75</v>
      </c>
      <c r="D15" s="15" t="n">
        <v>0.4444</v>
      </c>
      <c r="E15" s="14" t="n">
        <v>-0.3056</v>
      </c>
    </row>
    <row r="17">
      <c r="A17" s="3" t="inlineStr">
        <is>
          <t>ACCURACY BY TIER</t>
        </is>
      </c>
    </row>
    <row r="18">
      <c r="A18" s="11" t="inlineStr">
        <is>
          <t>Tier</t>
        </is>
      </c>
      <c r="B18" s="11" t="inlineStr">
        <is>
          <t>N</t>
        </is>
      </c>
      <c r="C18" s="11" t="inlineStr">
        <is>
          <t>Win Rate</t>
        </is>
      </c>
    </row>
    <row r="19">
      <c r="A19" s="12" t="inlineStr">
        <is>
          <t>LEAN</t>
        </is>
      </c>
      <c r="B19" s="22" t="n">
        <v>2</v>
      </c>
      <c r="C19" s="15" t="n">
        <v>0</v>
      </c>
    </row>
    <row r="20">
      <c r="A20" s="17" t="inlineStr">
        <is>
          <t>PASS</t>
        </is>
      </c>
      <c r="B20" s="25" t="n">
        <v>76</v>
      </c>
      <c r="C20" s="20" t="n">
        <v>0.3816</v>
      </c>
    </row>
    <row r="22">
      <c r="A22" s="3" t="inlineStr">
        <is>
          <t>ACCURACY BY MARKET</t>
        </is>
      </c>
    </row>
    <row r="23">
      <c r="A23" s="11" t="inlineStr">
        <is>
          <t>Market</t>
        </is>
      </c>
      <c r="B23" s="11" t="inlineStr">
        <is>
          <t>N</t>
        </is>
      </c>
      <c r="C23" s="11" t="inlineStr">
        <is>
          <t>Win Rate</t>
        </is>
      </c>
      <c r="D23" s="11" t="inlineStr">
        <is>
          <t>Brier</t>
        </is>
      </c>
    </row>
    <row r="24">
      <c r="A24" s="12" t="inlineStr">
        <is>
          <t>ATS</t>
        </is>
      </c>
      <c r="B24" s="22" t="n">
        <v>27</v>
      </c>
      <c r="C24" s="15" t="n">
        <v>0.4444</v>
      </c>
      <c r="D24" s="41" t="n">
        <v>0.3098</v>
      </c>
    </row>
    <row r="25">
      <c r="A25" s="17" t="inlineStr">
        <is>
          <t>ML</t>
        </is>
      </c>
      <c r="B25" s="25" t="n">
        <v>21</v>
      </c>
      <c r="C25" s="20" t="n">
        <v>0.2381</v>
      </c>
      <c r="D25" s="42" t="n">
        <v>0.1819</v>
      </c>
    </row>
    <row r="26">
      <c r="A26" s="12" t="inlineStr">
        <is>
          <t>TOTAL</t>
        </is>
      </c>
      <c r="B26" s="22" t="n">
        <v>30</v>
      </c>
      <c r="C26" s="15" t="n">
        <v>0.4</v>
      </c>
      <c r="D26" s="41" t="n">
        <v>0.2733</v>
      </c>
    </row>
    <row r="28">
      <c r="A28" s="3" t="inlineStr">
        <is>
          <t>WEEK TREND</t>
        </is>
      </c>
    </row>
    <row r="29">
      <c r="A29" s="11" t="inlineStr">
        <is>
          <t>Week</t>
        </is>
      </c>
      <c r="B29" s="11" t="inlineStr">
        <is>
          <t>Predictions Settled</t>
        </is>
      </c>
      <c r="C29" s="11" t="inlineStr">
        <is>
          <t>Win Rate</t>
        </is>
      </c>
      <c r="D29" s="11" t="inlineStr">
        <is>
          <t>Brier</t>
        </is>
      </c>
    </row>
    <row r="30">
      <c r="A30" s="12" t="inlineStr">
        <is>
          <t>1</t>
        </is>
      </c>
      <c r="B30" s="22" t="n">
        <v>78</v>
      </c>
      <c r="C30" s="15" t="n">
        <v>0.3718</v>
      </c>
      <c r="D30" s="41" t="n">
        <v>0.2613</v>
      </c>
    </row>
    <row r="32">
      <c r="A32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3"/>
    <row r="34"/>
  </sheetData>
  <mergeCells count="1">
    <mergeCell ref="A32:E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2026-09-05T17:07:12Z</dcterms:created>
  <dcterms:modified xsi:type="dcterms:W3CDTF">2026-09-05T17:07:13Z</dcterms:modified>
</cp:coreProperties>
</file>